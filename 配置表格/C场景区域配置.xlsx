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works\mortal-cultivation-war3\xlsx\"/>
    </mc:Choice>
  </mc:AlternateContent>
  <bookViews>
    <workbookView windowWidth="22188" windowHeight="9180"/>
  </bookViews>
  <sheets>
    <sheet name="region_config" sheetId="1" r:id="rId1"/>
    <sheet name="ConfigScene" sheetId="2" r:id="rId2"/>
    <sheet name="编号表" sheetId="3" r:id="rId3"/>
    <sheet name="说明" sheetId="4" r:id="rId4"/>
    <sheet name="本轮配置说明" sheetId="5" r:id="rIdConfig5"/>
    <sheet name="场景设计台账" sheetId="6" r:id="rIdConfig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<sst xmlns="http://schemas.openxmlformats.org/spreadsheetml/2006/main" count="2395" uniqueCount="1215">
  <si>
    <t>##var</t>
  </si>
  <si>
    <t>config_id</t>
  </si>
  <si>
    <t>rect_name</t>
  </si>
  <si>
    <t>scene_name</t>
  </si>
  <si>
    <t>scene_id</t>
  </si>
  <si>
    <t>is_main_rect</t>
  </si>
  <si>
    <t>is_born_rect</t>
  </si>
  <si>
    <t>is_minimap_rect</t>
  </si>
  <si>
    <t>min_x</t>
  </si>
  <si>
    <t>max_x</t>
  </si>
  <si>
    <t>min_y</t>
  </si>
  <si>
    <t>max_y</t>
  </si>
  <si>
    <t>teleport_target</t>
  </si>
  <si>
    <t>refresh_monster_plans</t>
  </si>
  <si>
    <t>##type</t>
  </si>
  <si>
    <t>int</t>
  </si>
  <si>
    <t>string</t>
  </si>
  <si>
    <t>int整数string文本枚举自起名字</t>
  </si>
  <si>
    <t>float?</t>
  </si>
  <si>
    <t>array,int</t>
  </si>
  <si>
    <t>##group</t>
  </si>
  <si>
    <t>c</t>
  </si>
  <si>
    <t>c,s,,C客户端S服务器不填都用</t>
  </si>
  <si>
    <t>s</t>
  </si>
  <si>
    <t>##</t>
  </si>
  <si>
    <t>区域ID</t>
  </si>
  <si>
    <t>区域名（传送才外显）</t>
  </si>
  <si>
    <t>备注</t>
  </si>
  <si>
    <t>地编名</t>
  </si>
  <si>
    <t>所属场景ID</t>
  </si>
  <si>
    <t>类型</t>
  </si>
  <si>
    <t>面积</t>
  </si>
  <si>
    <t>行</t>
  </si>
  <si>
    <t>序号</t>
  </si>
  <si>
    <t>是否场景主区域</t>
  </si>
  <si>
    <t>是否出生区域</t>
  </si>
  <si>
    <t>是否小地图镜头区域</t>
  </si>
  <si>
    <t>区域左边界</t>
  </si>
  <si>
    <t>区域右边界</t>
  </si>
  <si>
    <t>区域下边界</t>
  </si>
  <si>
    <t>区域上边界</t>
  </si>
  <si>
    <t>传送目标区域</t>
  </si>
  <si>
    <t>刷怪方案说明</t>
  </si>
  <si>
    <t>刷怪方案1</t>
  </si>
  <si>
    <t>刷怪方案2</t>
  </si>
  <si>
    <t>刷怪方案3</t>
  </si>
  <si>
    <t>刷怪方案4</t>
  </si>
  <si>
    <t>刷怪方案5</t>
  </si>
  <si>
    <t>刷怪方案6</t>
  </si>
  <si>
    <t>刷怪方案7</t>
  </si>
  <si>
    <t>刷怪方案8</t>
  </si>
  <si>
    <t>天元宗门-怪物1</t>
  </si>
  <si>
    <t>怪物</t>
  </si>
  <si>
    <t>天元宗门-怪物2</t>
  </si>
  <si>
    <t>天元宗门-怪物3</t>
  </si>
  <si>
    <t>天元宗门-怪物4</t>
  </si>
  <si>
    <t>天元宗门-怪物5</t>
  </si>
  <si>
    <t>天元宗门-怪物6</t>
  </si>
  <si>
    <t>天元宗门-怪物7</t>
  </si>
  <si>
    <t>天元宗门-怪物8</t>
  </si>
  <si>
    <t>天元宗门-怪物9</t>
  </si>
  <si>
    <t>天元宗门-怪物10</t>
  </si>
  <si>
    <t>天元宗门-怪物11</t>
  </si>
  <si>
    <t>天元宗门-怪物12</t>
  </si>
  <si>
    <t>天元宗门-怪物13</t>
  </si>
  <si>
    <t>天元宗门-怪物14</t>
  </si>
  <si>
    <t>天元宗门-怪物15</t>
  </si>
  <si>
    <t>天元宗门-怪物16</t>
  </si>
  <si>
    <t>天元宗门-怪物17</t>
  </si>
  <si>
    <t>天元宗门-怪物18</t>
  </si>
  <si>
    <t>天元宗门-怪物19</t>
  </si>
  <si>
    <t>天元宗门-怪物20</t>
  </si>
  <si>
    <t>天元宗门-怪物21</t>
  </si>
  <si>
    <t>天元宗门-怪物22</t>
  </si>
  <si>
    <t>天元宗门-怪物23</t>
  </si>
  <si>
    <t>天元宗门-怪物24</t>
  </si>
  <si>
    <t>天元宗门-怪物25</t>
  </si>
  <si>
    <t>天元宗门-怪物26</t>
  </si>
  <si>
    <t>天元宗门-怪物27</t>
  </si>
  <si>
    <t>天元宗门-怪物28</t>
  </si>
  <si>
    <t>天元宗门-怪物29</t>
  </si>
  <si>
    <t>天元宗门-怪物30</t>
  </si>
  <si>
    <t>天元宗门-怪物31</t>
  </si>
  <si>
    <t>天元宗门-怪物32</t>
  </si>
  <si>
    <t>天元宗门-怪物33</t>
  </si>
  <si>
    <t>天元宗门-怪物34</t>
  </si>
  <si>
    <t>天元宗门-怪物35</t>
  </si>
  <si>
    <t>天元宗门-怪物36</t>
  </si>
  <si>
    <t>天元宗门-怪物37</t>
  </si>
  <si>
    <t>天元宗门-怪物38</t>
  </si>
  <si>
    <t>天元宗门-怪物39</t>
  </si>
  <si>
    <t>天元宗门-怪物40</t>
  </si>
  <si>
    <t>天元宗门-怪物41</t>
  </si>
  <si>
    <t>天元宗门-怪物42</t>
  </si>
  <si>
    <t>天元宗门-怪物43</t>
  </si>
  <si>
    <t>天元宗门-怪物44</t>
  </si>
  <si>
    <t>天元宗门-怪物45</t>
  </si>
  <si>
    <t>天元宗门-怪物46</t>
  </si>
  <si>
    <t>天元宗门-怪物47</t>
  </si>
  <si>
    <t>天元宗门-怪物48</t>
  </si>
  <si>
    <t>天元宗门-怪物49</t>
  </si>
  <si>
    <t xml:space="preserve"> </t>
  </si>
  <si>
    <t>天元宗门-怪物51</t>
  </si>
  <si>
    <t>天元宗门-怪物52</t>
  </si>
  <si>
    <t>天元宗门-怪物53</t>
  </si>
  <si>
    <t>天元宗门-怪物54</t>
  </si>
  <si>
    <t>天元宗门-怪物55</t>
  </si>
  <si>
    <t>天元宗门-怪物56</t>
  </si>
  <si>
    <t>天元宗门-怪物57</t>
  </si>
  <si>
    <t>天元宗门-怪物58</t>
  </si>
  <si>
    <t>天元宗门-怪物59</t>
  </si>
  <si>
    <t>天元宗门-怪物60</t>
  </si>
  <si>
    <t>天元宗门-怪物61</t>
  </si>
  <si>
    <t>天元宗门-怪物62</t>
  </si>
  <si>
    <t>天元宗门-怪物63</t>
  </si>
  <si>
    <t>天元宗门-怪物64</t>
  </si>
  <si>
    <t>天元宗门-怪物65</t>
  </si>
  <si>
    <t>天元宗门-怪物66</t>
  </si>
  <si>
    <t>天元宗门-怪物67</t>
  </si>
  <si>
    <t>天元宗门-怪物68</t>
  </si>
  <si>
    <t>天元宗门-怪物69</t>
  </si>
  <si>
    <t>天元宗门-怪物70</t>
  </si>
  <si>
    <t>天元宗门-怪物71</t>
  </si>
  <si>
    <t>天元宗门-怪物72</t>
  </si>
  <si>
    <t>天元宗门-怪物73</t>
  </si>
  <si>
    <t>天元宗门-怪物74</t>
  </si>
  <si>
    <t>天元宗门-怪物75</t>
  </si>
  <si>
    <t>天元宗门-怪物76</t>
  </si>
  <si>
    <t>天元宗门-怪物77</t>
  </si>
  <si>
    <t>天元宗门-怪物78</t>
  </si>
  <si>
    <t>天元宗门-怪物79</t>
  </si>
  <si>
    <t>天元宗门-怪物80</t>
  </si>
  <si>
    <t>天元宗门-怪物81</t>
  </si>
  <si>
    <t>天元宗门-怪物82</t>
  </si>
  <si>
    <t>天元宗门-怪物83</t>
  </si>
  <si>
    <t>天元宗门-怪物84</t>
  </si>
  <si>
    <t>天元宗门-怪物85</t>
  </si>
  <si>
    <t>天元宗门-怪物86</t>
  </si>
  <si>
    <t>天元宗门-怪物87</t>
  </si>
  <si>
    <t>天元宗门-怪物88</t>
  </si>
  <si>
    <t>天元宗门-怪物89</t>
  </si>
  <si>
    <t>天元宗门-怪物90</t>
  </si>
  <si>
    <t>天元宗门-怪物91</t>
  </si>
  <si>
    <t>天元宗门-怪物92</t>
  </si>
  <si>
    <t>天元宗门-怪物93</t>
  </si>
  <si>
    <t>天元宗门-怪物94</t>
  </si>
  <si>
    <t>天元宗门-怪物95</t>
  </si>
  <si>
    <t>天元宗门-怪物96</t>
  </si>
  <si>
    <t>天元宗门-怪物97</t>
  </si>
  <si>
    <t>天元宗门-怪物98</t>
  </si>
  <si>
    <t>天元宗门-怪物99</t>
  </si>
  <si>
    <t>天元宗门-怪物100</t>
  </si>
  <si>
    <t>天元宗门-怪物101</t>
  </si>
  <si>
    <t>天元宗门-怪物102</t>
  </si>
  <si>
    <t>天元宗门-怪物103</t>
  </si>
  <si>
    <t>天元宗门-怪物104</t>
  </si>
  <si>
    <t>天元宗门-怪物105</t>
  </si>
  <si>
    <t>天元宗门-怪物106</t>
  </si>
  <si>
    <t>天元宗门-怪物107</t>
  </si>
  <si>
    <t>天元宗门-怪物108</t>
  </si>
  <si>
    <t>天元宗门-怪物109</t>
  </si>
  <si>
    <t>天元宗门-怪物110</t>
  </si>
  <si>
    <t>天元宗门-怪物111</t>
  </si>
  <si>
    <t>天元宗门-怪物112</t>
  </si>
  <si>
    <t>天元宗门-怪物113</t>
  </si>
  <si>
    <t>天元宗门-怪物114</t>
  </si>
  <si>
    <t>天元宗门-镜头</t>
  </si>
  <si>
    <t>镜头</t>
  </si>
  <si>
    <t>天元宗门-传送</t>
  </si>
  <si>
    <t>传送</t>
  </si>
  <si>
    <t>天元宗门-小地图</t>
  </si>
  <si>
    <t>小地图</t>
  </si>
  <si>
    <t>蚀苇沼·末流所积-怪物1</t>
  </si>
  <si>
    <t>蚀苇沼·末流所积-怪物2</t>
  </si>
  <si>
    <t>蚀苇沼·末流所积-怪物3</t>
  </si>
  <si>
    <t>蚀苇沼·末流所积-怪物4</t>
  </si>
  <si>
    <t>蚀苇沼·末流所积-怪物5</t>
  </si>
  <si>
    <t>蚀苇沼·末流所积-怪物6</t>
  </si>
  <si>
    <t>精英</t>
  </si>
  <si>
    <t>蚀苇沼·末流所积-镜头</t>
  </si>
  <si>
    <t>蚀苇沼·末流所积-传送</t>
  </si>
  <si>
    <t>蚀苇沼·末流所积-小地图</t>
  </si>
  <si>
    <t>望岳津-镜头</t>
  </si>
  <si>
    <t>望岳津-传送</t>
  </si>
  <si>
    <t>望岳津-小地图</t>
  </si>
  <si>
    <t>浮沉洲-怪物1</t>
  </si>
  <si>
    <t>浮沉洲-怪物2</t>
  </si>
  <si>
    <t>浮沉洲-怪物3</t>
  </si>
  <si>
    <t>浮沉洲-怪物4</t>
  </si>
  <si>
    <t>浮沉洲-怪物5</t>
  </si>
  <si>
    <t>浮沉洲-怪物6</t>
  </si>
  <si>
    <t>浮沉洲-怪物7</t>
  </si>
  <si>
    <t>浮沉洲-怪物8</t>
  </si>
  <si>
    <t>浮沉洲-怪物9</t>
  </si>
  <si>
    <t>浮沉洲-怪物10</t>
  </si>
  <si>
    <t>浮沉洲-怪物11</t>
  </si>
  <si>
    <t>浮沉洲-怪物12</t>
  </si>
  <si>
    <t>浮沉洲-怪物13</t>
  </si>
  <si>
    <t>浮沉洲-怪物14</t>
  </si>
  <si>
    <t>浮沉洲-怪物15</t>
  </si>
  <si>
    <t>浮沉洲-怪物16</t>
  </si>
  <si>
    <t>浮沉洲-怪物17</t>
  </si>
  <si>
    <t>浮沉洲-怪物18</t>
  </si>
  <si>
    <t>浮沉洲-镜头</t>
  </si>
  <si>
    <t>浮沉洲-传送</t>
  </si>
  <si>
    <t>浮沉洲-小地图</t>
  </si>
  <si>
    <t>蔽苇汀-怪物1</t>
  </si>
  <si>
    <t>蔽苇汀-怪物2</t>
  </si>
  <si>
    <t>蔽苇汀-怪物3</t>
  </si>
  <si>
    <t>蔽苇汀-怪物5</t>
  </si>
  <si>
    <t>蔽苇汀-怪物6</t>
  </si>
  <si>
    <t>蔽苇汀-怪物7</t>
  </si>
  <si>
    <t>蔽苇汀-怪物8</t>
  </si>
  <si>
    <t>蔽苇汀-怪物9</t>
  </si>
  <si>
    <t>蔽苇汀-怪物10</t>
  </si>
  <si>
    <t>蔽苇汀-怪物11</t>
  </si>
  <si>
    <t>蔽苇汀-怪物12</t>
  </si>
  <si>
    <t>蔽苇汀-怪物13</t>
  </si>
  <si>
    <t>蔽苇汀-怪物14</t>
  </si>
  <si>
    <t>蔽苇汀-怪物15</t>
  </si>
  <si>
    <t>蔽苇汀-怪物16</t>
  </si>
  <si>
    <t>蔽苇汀-怪物17</t>
  </si>
  <si>
    <t>蔽苇汀-怪物18</t>
  </si>
  <si>
    <t>蔽苇汀-怪物19</t>
  </si>
  <si>
    <t>蔽苇汀-怪物20</t>
  </si>
  <si>
    <t>蔽苇汀-怪物21</t>
  </si>
  <si>
    <t>蔽苇汀-怪物22</t>
  </si>
  <si>
    <t>蔽苇汀-怪物23</t>
  </si>
  <si>
    <t>蔽苇汀-怪物24</t>
  </si>
  <si>
    <t>蔽苇汀-怪物25</t>
  </si>
  <si>
    <t>蔽苇汀-怪物26</t>
  </si>
  <si>
    <t>蔽苇汀-怪物27</t>
  </si>
  <si>
    <t>蔽苇汀-怪物28</t>
  </si>
  <si>
    <t>蔽苇汀-镜头</t>
  </si>
  <si>
    <t>蔽苇汀-传送</t>
  </si>
  <si>
    <t>蔽苇汀-小地图</t>
  </si>
  <si>
    <t>岳骨阶-怪物1</t>
  </si>
  <si>
    <t>岳骨阶-怪物2</t>
  </si>
  <si>
    <t>岳骨阶-怪物3</t>
  </si>
  <si>
    <t>岳骨阶-怪物4</t>
  </si>
  <si>
    <t>岳骨阶-怪物5</t>
  </si>
  <si>
    <t>岳骨阶-怪物6</t>
  </si>
  <si>
    <t>岳骨阶-怪物7</t>
  </si>
  <si>
    <t>岳骨阶-怪物8</t>
  </si>
  <si>
    <t>岳骨阶-怪物9</t>
  </si>
  <si>
    <t>岳骨阶-怪物10</t>
  </si>
  <si>
    <t>岳骨阶-怪物11</t>
  </si>
  <si>
    <t>岳骨阶-怪物12</t>
  </si>
  <si>
    <t>岳骨阶-怪物13</t>
  </si>
  <si>
    <t>岳骨阶-怪物14</t>
  </si>
  <si>
    <t>boss</t>
  </si>
  <si>
    <t>岳骨阶-怪物15</t>
  </si>
  <si>
    <t>岳骨阶-怪物16</t>
  </si>
  <si>
    <t>岳骨阶-怪物17</t>
  </si>
  <si>
    <t>岳骨阶-怪物18</t>
  </si>
  <si>
    <t>岳骨阶-怪物19</t>
  </si>
  <si>
    <t>岳骨阶-怪物20</t>
  </si>
  <si>
    <t>岳骨阶-怪物21</t>
  </si>
  <si>
    <t>岳骨阶-怪物22</t>
  </si>
  <si>
    <t>岳骨阶-怪物23</t>
  </si>
  <si>
    <t>岳骨阶-怪物24</t>
  </si>
  <si>
    <t>岳骨阶-怪物25</t>
  </si>
  <si>
    <t>岳骨阶-怪物26</t>
  </si>
  <si>
    <t>岳骨阶-怪物27</t>
  </si>
  <si>
    <t>岳骨阶-镜头</t>
  </si>
  <si>
    <t>岳骨阶-传送</t>
  </si>
  <si>
    <t>岳骨阶-小地图</t>
  </si>
  <si>
    <t>异霭浦-采集物1</t>
  </si>
  <si>
    <t>采集物</t>
  </si>
  <si>
    <t>异霭浦-采集物2</t>
  </si>
  <si>
    <t>异霭浦-采集物3</t>
  </si>
  <si>
    <t>异霭浦-采集物4</t>
  </si>
  <si>
    <t>异霭浦-采集物5</t>
  </si>
  <si>
    <t>异霭浦-采集物6</t>
  </si>
  <si>
    <t>异霭浦-采集物7</t>
  </si>
  <si>
    <t>异霭浦-采集物8</t>
  </si>
  <si>
    <t>异霭浦-采集物9</t>
  </si>
  <si>
    <t>异霭浦-采集物10</t>
  </si>
  <si>
    <t>异霭浦-采集物11</t>
  </si>
  <si>
    <t>异霭浦-采集物12</t>
  </si>
  <si>
    <t>异霭浦-镜头</t>
  </si>
  <si>
    <t>异霭浦-传送</t>
  </si>
  <si>
    <t>异霭浦-小地图</t>
  </si>
  <si>
    <t>砾台-采集物1</t>
  </si>
  <si>
    <t>砾台-采集物2</t>
  </si>
  <si>
    <t>砾台-采集物3</t>
  </si>
  <si>
    <t>砾台-采集物4</t>
  </si>
  <si>
    <t>砾台-采集物5</t>
  </si>
  <si>
    <t>砾台-采集物6</t>
  </si>
  <si>
    <t>砾台-采集物7</t>
  </si>
  <si>
    <t>砾台-采集物8</t>
  </si>
  <si>
    <t>砾台-采集物9</t>
  </si>
  <si>
    <t>砾台-采集物10</t>
  </si>
  <si>
    <t>砾台-采集物11</t>
  </si>
  <si>
    <t>砾台-镜头</t>
  </si>
  <si>
    <t>砾台-传送</t>
  </si>
  <si>
    <t>砾台-小地图</t>
  </si>
  <si>
    <t>垂练岩·覆而偶开-怪物1</t>
  </si>
  <si>
    <t>垂练岩·覆而偶开-怪物2</t>
  </si>
  <si>
    <t>垂练岩·覆而偶开-怪物3</t>
  </si>
  <si>
    <t>垂练岩·覆而偶开-怪物4</t>
  </si>
  <si>
    <t>垂练岩·覆而偶开-怪物5</t>
  </si>
  <si>
    <t>垂练岩·覆而偶开-怪物6</t>
  </si>
  <si>
    <t>垂练岩·覆而偶开-怪物7</t>
  </si>
  <si>
    <t>垂练岩·覆而偶开-怪物8</t>
  </si>
  <si>
    <t>垂练岩·覆而偶开-怪物9</t>
  </si>
  <si>
    <t>垂练岩·覆而偶开-怪物10</t>
  </si>
  <si>
    <t>垂练岩·覆而偶开-怪物11</t>
  </si>
  <si>
    <t>垂练岩·覆而偶开-怪物12</t>
  </si>
  <si>
    <t>垂练岩·覆而偶开-镜头</t>
  </si>
  <si>
    <t>垂练岩·覆而偶开-传送</t>
  </si>
  <si>
    <t>垂练岩·覆而偶开-小地图</t>
  </si>
  <si>
    <t>水镜滩·水退方见-怪物1</t>
  </si>
  <si>
    <t>水镜滩·水退方见-怪物2</t>
  </si>
  <si>
    <t>水镜滩·水退方见-怪物3</t>
  </si>
  <si>
    <t>水镜滩·水退方见-怪物4</t>
  </si>
  <si>
    <t>水镜滩·水退方见-怪物5</t>
  </si>
  <si>
    <t>水镜滩·水退方见-怪物6</t>
  </si>
  <si>
    <t>水镜滩·水退方见-怪物7</t>
  </si>
  <si>
    <t>水镜滩·水退方见-怪物8</t>
  </si>
  <si>
    <t>水镜滩·水退方见-怪物9</t>
  </si>
  <si>
    <t>水镜滩·水退方见-怪物10</t>
  </si>
  <si>
    <t>水镜滩·水退方见-怪物11</t>
  </si>
  <si>
    <t>水镜滩·水退方见-镜头</t>
  </si>
  <si>
    <t>水镜滩·水退方见-传送</t>
  </si>
  <si>
    <t>水镜滩·水退方见-小地图</t>
  </si>
  <si>
    <t>汇歧渚-镜头</t>
  </si>
  <si>
    <t>汇歧渚-传送</t>
  </si>
  <si>
    <t>汇歧渚-小地图</t>
  </si>
  <si>
    <t>沉浊坡-怪物1</t>
  </si>
  <si>
    <t>沉浊坡-怪物2</t>
  </si>
  <si>
    <t>沉浊坡-怪物3</t>
  </si>
  <si>
    <t>沉浊坡-怪物4</t>
  </si>
  <si>
    <t>沉浊坡-怪物5</t>
  </si>
  <si>
    <t>沉浊坡-怪物6</t>
  </si>
  <si>
    <t>沉浊坡-怪物7</t>
  </si>
  <si>
    <t>沉浊坡-怪物8</t>
  </si>
  <si>
    <t>沉浊坡-怪物9</t>
  </si>
  <si>
    <t>沉浊坡-镜头</t>
  </si>
  <si>
    <t>沉浊坡-传送</t>
  </si>
  <si>
    <t>沉浊坡-小地图</t>
  </si>
  <si>
    <t>豁烟水-怪物1</t>
  </si>
  <si>
    <t>豁烟水-怪物2</t>
  </si>
  <si>
    <t>豁烟水-怪物3</t>
  </si>
  <si>
    <t>豁烟水-怪物4</t>
  </si>
  <si>
    <t>豁烟水-怪物5</t>
  </si>
  <si>
    <t>豁烟水-怪物6</t>
  </si>
  <si>
    <t>豁烟水-怪物7</t>
  </si>
  <si>
    <t>豁烟水-怪物8</t>
  </si>
  <si>
    <t>豁烟水-怪物9</t>
  </si>
  <si>
    <t>豁烟水-怪物10</t>
  </si>
  <si>
    <t>豁烟水-怪物11</t>
  </si>
  <si>
    <t>豁烟水-怪物12</t>
  </si>
  <si>
    <t>豁烟水-怪物13</t>
  </si>
  <si>
    <t>豁烟水-怪物14</t>
  </si>
  <si>
    <t>豁烟水-怪物15</t>
  </si>
  <si>
    <t>豁烟水-怪物16</t>
  </si>
  <si>
    <t>豁烟水-怪物17</t>
  </si>
  <si>
    <t>豁烟水-怪物18</t>
  </si>
  <si>
    <t>豁烟水-怪物19</t>
  </si>
  <si>
    <t>豁烟水-怪物20</t>
  </si>
  <si>
    <t>豁烟水-镜头</t>
  </si>
  <si>
    <t>豁烟水-传送</t>
  </si>
  <si>
    <t>豁烟水-小地图</t>
  </si>
  <si>
    <t>密荷影-怪物1</t>
  </si>
  <si>
    <t>密荷影-怪物2</t>
  </si>
  <si>
    <t>密荷影-怪物3</t>
  </si>
  <si>
    <t>密荷影-怪物4</t>
  </si>
  <si>
    <t>密荷影-怪物5</t>
  </si>
  <si>
    <t>密荷影-怪物6</t>
  </si>
  <si>
    <t>密荷影-怪物7</t>
  </si>
  <si>
    <t>密荷影-怪物8</t>
  </si>
  <si>
    <t>密荷影-怪物9</t>
  </si>
  <si>
    <t>密荷影-怪物10</t>
  </si>
  <si>
    <t>密荷影-怪物11</t>
  </si>
  <si>
    <t>密荷影-怪物12</t>
  </si>
  <si>
    <t>密荷影-怪物13</t>
  </si>
  <si>
    <t>密荷影-怪物14</t>
  </si>
  <si>
    <t>密荷影-怪物15</t>
  </si>
  <si>
    <t>密荷影-怪物16</t>
  </si>
  <si>
    <t>密荷影-怪物17</t>
  </si>
  <si>
    <t>密荷影-镜头</t>
  </si>
  <si>
    <t>密荷影-传送</t>
  </si>
  <si>
    <t>密荷影-小地图</t>
  </si>
  <si>
    <t>末分石-怪物1</t>
  </si>
  <si>
    <t>末分石-怪物2</t>
  </si>
  <si>
    <t>末分石-怪物3</t>
  </si>
  <si>
    <t>末分石-怪物4</t>
  </si>
  <si>
    <t>末分石-怪物5</t>
  </si>
  <si>
    <t>末分石-怪物6</t>
  </si>
  <si>
    <t>末分石-怪物7</t>
  </si>
  <si>
    <t>末分石-怪物8</t>
  </si>
  <si>
    <t>末分石-怪物9</t>
  </si>
  <si>
    <t>末分石-怪物10</t>
  </si>
  <si>
    <t>末分石-怪物11</t>
  </si>
  <si>
    <t>末分石-怪物12</t>
  </si>
  <si>
    <t>末分石-怪物13</t>
  </si>
  <si>
    <t>末分石-镜头</t>
  </si>
  <si>
    <t>末分石-传送</t>
  </si>
  <si>
    <t>末分石-小地图</t>
  </si>
  <si>
    <t>粉浪风-采集物1</t>
  </si>
  <si>
    <t>粉浪风-采集物2</t>
  </si>
  <si>
    <t>粉浪风-采集物3</t>
  </si>
  <si>
    <t>粉浪风-采集物4</t>
  </si>
  <si>
    <t>粉浪风-采集物5</t>
  </si>
  <si>
    <t>粉浪风-采集物6</t>
  </si>
  <si>
    <t>粉浪风-采集物7</t>
  </si>
  <si>
    <t>粉浪风-采集物8</t>
  </si>
  <si>
    <t>粉浪风-采集物9</t>
  </si>
  <si>
    <t>粉浪风-镜头</t>
  </si>
  <si>
    <t>粉浪风-传送</t>
  </si>
  <si>
    <t>粉浪风-小地图</t>
  </si>
  <si>
    <t>漫莎台-采集物1</t>
  </si>
  <si>
    <t>漫莎台-采集物2</t>
  </si>
  <si>
    <t>漫莎台-采集物3</t>
  </si>
  <si>
    <t>漫莎台-采集物4</t>
  </si>
  <si>
    <t>漫莎台-采集物5</t>
  </si>
  <si>
    <t>漫莎台-采集物6</t>
  </si>
  <si>
    <t>漫莎台-采集物7</t>
  </si>
  <si>
    <t>漫莎台-采集物8</t>
  </si>
  <si>
    <t>漫莎台-采集物9</t>
  </si>
  <si>
    <t>漫莎台-镜头</t>
  </si>
  <si>
    <t>漫莎台-传送</t>
  </si>
  <si>
    <t>漫莎台-小地图</t>
  </si>
  <si>
    <t>匿汊口-怪物1</t>
  </si>
  <si>
    <t>匿汊口-怪物2</t>
  </si>
  <si>
    <t>匿汊口-怪物3</t>
  </si>
  <si>
    <t>匿汊口-怪物4</t>
  </si>
  <si>
    <t>匿汊口-怪物5</t>
  </si>
  <si>
    <t>匿汊口-怪物6</t>
  </si>
  <si>
    <t>匿汊口-怪物7</t>
  </si>
  <si>
    <t>匿汊口-怪物8</t>
  </si>
  <si>
    <t>匿汊口-怪物9</t>
  </si>
  <si>
    <t>匿汊口-怪物10</t>
  </si>
  <si>
    <t>匿汊口-怪物11</t>
  </si>
  <si>
    <t>匿汊口-怪物12</t>
  </si>
  <si>
    <t>匿汊口-怪物13</t>
  </si>
  <si>
    <t>匿汊口-镜头</t>
  </si>
  <si>
    <t>匿汊口-传送</t>
  </si>
  <si>
    <t>匿汊口-小地图</t>
  </si>
  <si>
    <t>砾藏岩-怪物1</t>
  </si>
  <si>
    <t>砾藏岩-怪物2</t>
  </si>
  <si>
    <t>砾藏岩-怪物3</t>
  </si>
  <si>
    <t>砾藏岩-怪物4</t>
  </si>
  <si>
    <t>砾藏岩-怪物5</t>
  </si>
  <si>
    <t>砾藏岩-怪物6</t>
  </si>
  <si>
    <t>砾藏岩-怪物7</t>
  </si>
  <si>
    <t>砾藏岩-怪物8</t>
  </si>
  <si>
    <t>砾藏岩-怪物9</t>
  </si>
  <si>
    <t>砾藏岩-怪物10</t>
  </si>
  <si>
    <t>砾藏岩-怪物11</t>
  </si>
  <si>
    <t>砾藏岩-镜头</t>
  </si>
  <si>
    <t>砾藏岩-传送</t>
  </si>
  <si>
    <t>砾藏岩-小地图</t>
  </si>
  <si>
    <t>岔坡-镜头</t>
  </si>
  <si>
    <t>岔坡-传送</t>
  </si>
  <si>
    <t>岔坡-小地图</t>
  </si>
  <si>
    <t>风背余晦-怪物1</t>
  </si>
  <si>
    <t>风背余晦-怪物2</t>
  </si>
  <si>
    <t>风背余晦-怪物3</t>
  </si>
  <si>
    <t>风背余晦-怪物4</t>
  </si>
  <si>
    <t>风背余晦-怪物5</t>
  </si>
  <si>
    <t>风背余晦-怪物6</t>
  </si>
  <si>
    <t>风背余晦-怪物7</t>
  </si>
  <si>
    <t>风背余晦-怪物8</t>
  </si>
  <si>
    <t>风背余晦-镜头</t>
  </si>
  <si>
    <t>风背余晦-传送</t>
  </si>
  <si>
    <t>风背余晦-小地图</t>
  </si>
  <si>
    <t>砺赭坂-怪物1</t>
  </si>
  <si>
    <t>砺赭坂-怪物2</t>
  </si>
  <si>
    <t>砺赭坂-怪物3</t>
  </si>
  <si>
    <t>砺赭坂-怪物4</t>
  </si>
  <si>
    <t>砺赭坂-怪物5</t>
  </si>
  <si>
    <t>砺赭坂-怪物6</t>
  </si>
  <si>
    <t>砺赭坂-怪物7</t>
  </si>
  <si>
    <t>砺赭坂-怪物8</t>
  </si>
  <si>
    <t>砺赭坂-怪物9</t>
  </si>
  <si>
    <t>砺赭坂-怪物10</t>
  </si>
  <si>
    <t>砺赭坂-镜头</t>
  </si>
  <si>
    <t>砺赭坂-传送</t>
  </si>
  <si>
    <t>砺赭坂-小地图</t>
  </si>
  <si>
    <t>铁色横侵-怪物1</t>
  </si>
  <si>
    <t>铁色横侵-怪物2</t>
  </si>
  <si>
    <t>铁色横侵-怪物3</t>
  </si>
  <si>
    <t>铁色横侵-怪物4</t>
  </si>
  <si>
    <t>铁色横侵-怪物5</t>
  </si>
  <si>
    <t>铁色横侵-怪物6</t>
  </si>
  <si>
    <t>铁色横侵-怪物7</t>
  </si>
  <si>
    <t>铁色横侵-怪物8</t>
  </si>
  <si>
    <t>铁色横侵-怪物9</t>
  </si>
  <si>
    <t>铁色横侵-怪物10</t>
  </si>
  <si>
    <t>铁色横侵-怪物11</t>
  </si>
  <si>
    <t>铁色横侵-怪物12</t>
  </si>
  <si>
    <t>铁色横侵-怪物13</t>
  </si>
  <si>
    <t>铁色横侵-怪物14</t>
  </si>
  <si>
    <t>铁色横侵-怪物15</t>
  </si>
  <si>
    <t>铁色横侵-镜头</t>
  </si>
  <si>
    <t>铁色横侵-传送</t>
  </si>
  <si>
    <t>铁色横侵-小地图</t>
  </si>
  <si>
    <t>伏沟鸣石-怪物1</t>
  </si>
  <si>
    <t>伏沟鸣石-怪物2</t>
  </si>
  <si>
    <t>伏沟鸣石-怪物3</t>
  </si>
  <si>
    <t>伏沟鸣石-怪物4</t>
  </si>
  <si>
    <t>伏沟鸣石-怪物5</t>
  </si>
  <si>
    <t>伏沟鸣石-怪物6</t>
  </si>
  <si>
    <t>伏沟鸣石-怪物7</t>
  </si>
  <si>
    <t>伏沟鸣石-怪物8</t>
  </si>
  <si>
    <t>伏沟鸣石-怪物9</t>
  </si>
  <si>
    <t>伏沟鸣石-怪物10</t>
  </si>
  <si>
    <t>伏沟鸣石-怪物11</t>
  </si>
  <si>
    <t>伏沟鸣石-怪物12</t>
  </si>
  <si>
    <t>伏沟鸣石-镜头</t>
  </si>
  <si>
    <t>伏沟鸣石-传送</t>
  </si>
  <si>
    <t>伏沟鸣石-小地图</t>
  </si>
  <si>
    <t>褐苔含润-采集物1</t>
  </si>
  <si>
    <t>褐苔含润-采集物2</t>
  </si>
  <si>
    <t>褐苔含润-采集物3</t>
  </si>
  <si>
    <t>褐苔含润-采集物4</t>
  </si>
  <si>
    <t>褐苔含润-采集物5</t>
  </si>
  <si>
    <t>褐苔含润-采集物6</t>
  </si>
  <si>
    <t>褐苔含润-采集物7</t>
  </si>
  <si>
    <t>褐苔含润-镜头</t>
  </si>
  <si>
    <t>褐苔含润-传送</t>
  </si>
  <si>
    <t>褐苔含润-小地图</t>
  </si>
  <si>
    <t>肩生瘠芽-采集物1</t>
  </si>
  <si>
    <t>肩生瘠芽-采集物2</t>
  </si>
  <si>
    <t>肩生瘠芽-采集物3</t>
  </si>
  <si>
    <t>肩生瘠芽-采集物4</t>
  </si>
  <si>
    <t>肩生瘠芽-采集物5</t>
  </si>
  <si>
    <t>肩生瘠芽-采集物6</t>
  </si>
  <si>
    <t>肩生瘠芽-采集物7</t>
  </si>
  <si>
    <t>肩生瘠芽-镜头</t>
  </si>
  <si>
    <t>肩生瘠芽-传送</t>
  </si>
  <si>
    <t>肩生瘠芽-小地图</t>
  </si>
  <si>
    <t>岩腹潜龛-怪物1</t>
  </si>
  <si>
    <t>岩腹潜龛-怪物2</t>
  </si>
  <si>
    <t>岩腹潜龛-怪物3</t>
  </si>
  <si>
    <t>岩腹潜龛-怪物4</t>
  </si>
  <si>
    <t>岩腹潜龛-怪物5</t>
  </si>
  <si>
    <t>岩腹潜龛-怪物6</t>
  </si>
  <si>
    <t>岩腹潜龛-怪物7</t>
  </si>
  <si>
    <t>岩腹潜龛-怪物8</t>
  </si>
  <si>
    <t>岩腹潜龛-怪物9</t>
  </si>
  <si>
    <t>岩腹潜龛-怪物10</t>
  </si>
  <si>
    <t>岩腹潜龛-镜头</t>
  </si>
  <si>
    <t>岩腹潜龛-传送</t>
  </si>
  <si>
    <t>岩腹潜龛-小地图</t>
  </si>
  <si>
    <t>水息留痕-怪物1</t>
  </si>
  <si>
    <t>水息留痕-怪物2</t>
  </si>
  <si>
    <t>水息留痕-怪物3</t>
  </si>
  <si>
    <t>水息留痕-怪物4</t>
  </si>
  <si>
    <t>水息留痕-怪物5</t>
  </si>
  <si>
    <t>水息留痕-怪物6</t>
  </si>
  <si>
    <t>水息留痕-怪物7</t>
  </si>
  <si>
    <t>水息留痕-怪物8</t>
  </si>
  <si>
    <t>水息留痕-镜头</t>
  </si>
  <si>
    <t>水息留痕-传送</t>
  </si>
  <si>
    <t>水息留痕-小地图</t>
  </si>
  <si>
    <t>断墙-镜头</t>
  </si>
  <si>
    <t>断墙-传送</t>
  </si>
  <si>
    <t>断墙-小地图</t>
  </si>
  <si>
    <t>泻砾堑-怪物1</t>
  </si>
  <si>
    <t>泻砾堑-怪物2</t>
  </si>
  <si>
    <t>泻砾堑-怪物3</t>
  </si>
  <si>
    <t>泻砾堑-怪物4</t>
  </si>
  <si>
    <t>泻砾堑-怪物5</t>
  </si>
  <si>
    <t>泻砾堑-怪物6</t>
  </si>
  <si>
    <t>泻砾堑-怪物7</t>
  </si>
  <si>
    <t>泻砾堑-怪物8</t>
  </si>
  <si>
    <t>泻砾堑-怪物9</t>
  </si>
  <si>
    <t>泻砾堑-怪物10</t>
  </si>
  <si>
    <t>泻砾堑-怪物11</t>
  </si>
  <si>
    <t>泻砾堑-镜头</t>
  </si>
  <si>
    <t>泻砾堑-传送</t>
  </si>
  <si>
    <t>泻砾堑-小地图</t>
  </si>
  <si>
    <t>幽崩谷-怪物1</t>
  </si>
  <si>
    <t>幽崩谷-怪物2</t>
  </si>
  <si>
    <t>幽崩谷-怪物3</t>
  </si>
  <si>
    <t>幽崩谷-怪物4</t>
  </si>
  <si>
    <t>幽崩谷-怪物5</t>
  </si>
  <si>
    <t>幽崩谷-怪物6</t>
  </si>
  <si>
    <t>幽崩谷-怪物7</t>
  </si>
  <si>
    <t>幽崩谷-怪物8</t>
  </si>
  <si>
    <t>幽崩谷-怪物9</t>
  </si>
  <si>
    <t>幽崩谷-怪物10</t>
  </si>
  <si>
    <t>幽崩谷-镜头</t>
  </si>
  <si>
    <t>幽崩谷-传送</t>
  </si>
  <si>
    <t>幽崩谷-小地图</t>
  </si>
  <si>
    <t>截风坡-怪物1</t>
  </si>
  <si>
    <t>截风坡-怪物2</t>
  </si>
  <si>
    <t>截风坡-怪物3</t>
  </si>
  <si>
    <t>截风坡-怪物4</t>
  </si>
  <si>
    <t>截风坡-怪物5</t>
  </si>
  <si>
    <t>截风坡-怪物6</t>
  </si>
  <si>
    <t>截风坡-怪物7</t>
  </si>
  <si>
    <t>截风坡-怪物8</t>
  </si>
  <si>
    <t>截风坡-怪物9</t>
  </si>
  <si>
    <t>截风坡-怪物10</t>
  </si>
  <si>
    <t>截风坡-镜头</t>
  </si>
  <si>
    <t>截风坡-传送</t>
  </si>
  <si>
    <t>截风坡-小地图</t>
  </si>
  <si>
    <t>隙光苔-采集物1</t>
  </si>
  <si>
    <t>隙光苔-采集物2</t>
  </si>
  <si>
    <t>隙光苔-采集物3</t>
  </si>
  <si>
    <t>隙光苔-采集物4</t>
  </si>
  <si>
    <t>隙光苔-采集物5</t>
  </si>
  <si>
    <t>隙光苔-采集物6</t>
  </si>
  <si>
    <t>隙光苔-镜头</t>
  </si>
  <si>
    <t>隙光苔-传送</t>
  </si>
  <si>
    <t>隙光苔-小地图</t>
  </si>
  <si>
    <t>浸岩菖-采集物1</t>
  </si>
  <si>
    <t>浸岩菖-采集物2</t>
  </si>
  <si>
    <t>浸岩菖-采集物3</t>
  </si>
  <si>
    <t>浸岩菖-采集物4</t>
  </si>
  <si>
    <t>浸岩菖-采集物5</t>
  </si>
  <si>
    <t>浸岩菖-采集物6</t>
  </si>
  <si>
    <t>浸岩菖-采集物7</t>
  </si>
  <si>
    <t>浸岩菖-镜头</t>
  </si>
  <si>
    <t>浸岩菖-传送</t>
  </si>
  <si>
    <t>浸岩菖-小地图</t>
  </si>
  <si>
    <t>裂口-怪物1</t>
  </si>
  <si>
    <t>裂口-怪物2</t>
  </si>
  <si>
    <t>裂口-怪物3</t>
  </si>
  <si>
    <t>裂口-怪物4</t>
  </si>
  <si>
    <t>裂口-怪物5</t>
  </si>
  <si>
    <t>裂口-怪物6</t>
  </si>
  <si>
    <t>裂口-怪物7</t>
  </si>
  <si>
    <t>裂口-怪物8</t>
  </si>
  <si>
    <t>裂口-怪物9</t>
  </si>
  <si>
    <t>裂口-怪物10</t>
  </si>
  <si>
    <t>裂口-镜头</t>
  </si>
  <si>
    <t>裂口-传送</t>
  </si>
  <si>
    <t>裂口-小地图</t>
  </si>
  <si>
    <t>承影-怪物1</t>
  </si>
  <si>
    <t>承影-怪物2</t>
  </si>
  <si>
    <t>承影-怪物3</t>
  </si>
  <si>
    <t>承影-怪物4</t>
  </si>
  <si>
    <t>承影-怪物5</t>
  </si>
  <si>
    <t>承影-怪物6</t>
  </si>
  <si>
    <t>承影-怪物7</t>
  </si>
  <si>
    <t>承影-怪物8</t>
  </si>
  <si>
    <t>承影-怪物9</t>
  </si>
  <si>
    <t>承影-镜头</t>
  </si>
  <si>
    <t>承影-传送</t>
  </si>
  <si>
    <t>承影-小地图</t>
  </si>
  <si>
    <t>壅浊石-怪物1</t>
  </si>
  <si>
    <t>壅浊石-怪物2</t>
  </si>
  <si>
    <t>壅浊石-怪物3</t>
  </si>
  <si>
    <t>壅浊石-怪物4</t>
  </si>
  <si>
    <t>壅浊石-怪物5</t>
  </si>
  <si>
    <t>壅浊石-怪物6</t>
  </si>
  <si>
    <t>壅浊石-镜头</t>
  </si>
  <si>
    <t>壅浊石-传送</t>
  </si>
  <si>
    <t>壅浊石-小地图</t>
  </si>
  <si>
    <t>石息-镜头</t>
  </si>
  <si>
    <t>石息-传送</t>
  </si>
  <si>
    <t>石息-小地图</t>
  </si>
  <si>
    <t>沉岚-怪物1</t>
  </si>
  <si>
    <t>沉岚-怪物2</t>
  </si>
  <si>
    <t>沉岚-怪物3</t>
  </si>
  <si>
    <t>沉岚-怪物4</t>
  </si>
  <si>
    <t>沉岚-怪物5</t>
  </si>
  <si>
    <t>沉岚-怪物6</t>
  </si>
  <si>
    <t>沉岚-怪物7</t>
  </si>
  <si>
    <t>沉岚-怪物8</t>
  </si>
  <si>
    <t>沉岚-怪物9</t>
  </si>
  <si>
    <t>沉岚-怪物10</t>
  </si>
  <si>
    <t>沉岚-怪物11</t>
  </si>
  <si>
    <t>沉岚-怪物12</t>
  </si>
  <si>
    <t>沉岚-镜头</t>
  </si>
  <si>
    <t>沉岚-传送</t>
  </si>
  <si>
    <t>沉岚-小地图</t>
  </si>
  <si>
    <t>悬晖-怪物1</t>
  </si>
  <si>
    <t>悬晖-怪物2</t>
  </si>
  <si>
    <t>悬晖-怪物3</t>
  </si>
  <si>
    <t>悬晖-怪物4</t>
  </si>
  <si>
    <t>悬晖-怪物5</t>
  </si>
  <si>
    <t>悬晖-怪物6</t>
  </si>
  <si>
    <t>悬晖-怪物7</t>
  </si>
  <si>
    <t>悬晖-怪物8</t>
  </si>
  <si>
    <t>悬晖-怪物9</t>
  </si>
  <si>
    <t>悬晖-怪物10</t>
  </si>
  <si>
    <t>悬晖-怪物11</t>
  </si>
  <si>
    <t>悬晖-怪物12</t>
  </si>
  <si>
    <t>悬晖-镜头</t>
  </si>
  <si>
    <t>悬晖-传送</t>
  </si>
  <si>
    <t>悬晖-小地图</t>
  </si>
  <si>
    <t>隐翳-怪物1</t>
  </si>
  <si>
    <t>隐翳-怪物2</t>
  </si>
  <si>
    <t>隐翳-怪物3</t>
  </si>
  <si>
    <t>隐翳-怪物4</t>
  </si>
  <si>
    <t>隐翳-怪物5</t>
  </si>
  <si>
    <t>隐翳-怪物6</t>
  </si>
  <si>
    <t>隐翳-怪物7</t>
  </si>
  <si>
    <t>隐翳-怪物8</t>
  </si>
  <si>
    <t>隐翳-怪物9</t>
  </si>
  <si>
    <t>隐翳-怪物10</t>
  </si>
  <si>
    <t>隐翳-怪物11</t>
  </si>
  <si>
    <t>隐翳-镜头</t>
  </si>
  <si>
    <t>隐翳-传送</t>
  </si>
  <si>
    <t>隐翳-小地图</t>
  </si>
  <si>
    <t>云根露-采集物1</t>
  </si>
  <si>
    <t>云根露-采集物2</t>
  </si>
  <si>
    <t>云根露-采集物3</t>
  </si>
  <si>
    <t>云根露-采集物4</t>
  </si>
  <si>
    <t>云根露-采集物5</t>
  </si>
  <si>
    <t>云根露-采集物6</t>
  </si>
  <si>
    <t>云根露-镜头</t>
  </si>
  <si>
    <t>云根露-传送</t>
  </si>
  <si>
    <t>云根露-小地图</t>
  </si>
  <si>
    <t>风痕苔生-采集物1</t>
  </si>
  <si>
    <t>风痕苔生-采集物2</t>
  </si>
  <si>
    <t>风痕苔生-采集物3</t>
  </si>
  <si>
    <t>风痕苔生-采集物4</t>
  </si>
  <si>
    <t>风痕苔生-采集物5</t>
  </si>
  <si>
    <t>风痕苔生-采集物6</t>
  </si>
  <si>
    <t>风痕苔生-镜头</t>
  </si>
  <si>
    <t>风痕苔生-传送</t>
  </si>
  <si>
    <t>风痕苔生-小地图</t>
  </si>
  <si>
    <t>涓台窦-怪物1</t>
  </si>
  <si>
    <t>涓台窦-怪物2</t>
  </si>
  <si>
    <t>涓台窦-怪物3</t>
  </si>
  <si>
    <t>涓台窦-怪物4</t>
  </si>
  <si>
    <t>涓台窦-怪物5</t>
  </si>
  <si>
    <t>涓台窦-怪物6</t>
  </si>
  <si>
    <t>涓台窦-怪物7</t>
  </si>
  <si>
    <t>涓台窦-怪物8</t>
  </si>
  <si>
    <t>涓台窦-怪物9</t>
  </si>
  <si>
    <t>涓台窦-镜头</t>
  </si>
  <si>
    <t>涓台窦-传送</t>
  </si>
  <si>
    <t>涓台窦-小地图</t>
  </si>
  <si>
    <t>孔收暮影-怪物1</t>
  </si>
  <si>
    <t>孔收暮影-怪物2</t>
  </si>
  <si>
    <t>孔收暮影-怪物3</t>
  </si>
  <si>
    <t>孔收暮影-怪物4</t>
  </si>
  <si>
    <t>孔收暮影-怪物5</t>
  </si>
  <si>
    <t>孔收暮影-怪物6</t>
  </si>
  <si>
    <t>孔收暮影-怪物7</t>
  </si>
  <si>
    <t>孔收暮影-怪物8</t>
  </si>
  <si>
    <t>孔收暮影-怪物9</t>
  </si>
  <si>
    <t>孔收暮影-怪物10</t>
  </si>
  <si>
    <t>孔收暮影-怪物11</t>
  </si>
  <si>
    <t>孔收暮影-镜头</t>
  </si>
  <si>
    <t>孔收暮影-传送</t>
  </si>
  <si>
    <t>孔收暮影-小地图</t>
  </si>
  <si>
    <t>雾黯岩-怪物1</t>
  </si>
  <si>
    <t>雾黯岩-怪物2</t>
  </si>
  <si>
    <t>雾黯岩-怪物3</t>
  </si>
  <si>
    <t>雾黯岩-怪物4</t>
  </si>
  <si>
    <t>雾黯岩-怪物5</t>
  </si>
  <si>
    <t>雾黯岩-镜头</t>
  </si>
  <si>
    <t>雾黯岩-传送</t>
  </si>
  <si>
    <t>雾黯岩-小地图</t>
  </si>
  <si>
    <t>风候-镜头</t>
  </si>
  <si>
    <t>风候-传送</t>
  </si>
  <si>
    <t>风候-小地图</t>
  </si>
  <si>
    <t>雪檐古兽-怪物1</t>
  </si>
  <si>
    <t>雪檐古兽-怪物2</t>
  </si>
  <si>
    <t>雪檐古兽-怪物3</t>
  </si>
  <si>
    <t>雪檐古兽-怪物4</t>
  </si>
  <si>
    <t>雪檐古兽-怪物5</t>
  </si>
  <si>
    <t>雪檐古兽-怪物6</t>
  </si>
  <si>
    <t>雪檐古兽-怪物7</t>
  </si>
  <si>
    <t>雪檐古兽-怪物8</t>
  </si>
  <si>
    <t>雪檐古兽-怪物9</t>
  </si>
  <si>
    <t>雪檐古兽-怪物10</t>
  </si>
  <si>
    <t>雪檐古兽-怪物11</t>
  </si>
  <si>
    <t>雪檐古兽-镜头</t>
  </si>
  <si>
    <t>雪檐古兽-传送</t>
  </si>
  <si>
    <t>雪檐古兽-小地图</t>
  </si>
  <si>
    <t>霰砾坡-怪物1</t>
  </si>
  <si>
    <t>霰砾坡-怪物2</t>
  </si>
  <si>
    <t>霰砾坡-怪物3</t>
  </si>
  <si>
    <t>霰砾坡-怪物4</t>
  </si>
  <si>
    <t>霰砾坡-怪物5</t>
  </si>
  <si>
    <t>霰砾坡-怪物6</t>
  </si>
  <si>
    <t>霰砾坡-怪物7</t>
  </si>
  <si>
    <t>霰砾坡-怪物8</t>
  </si>
  <si>
    <t>霰砾坡-怪物9</t>
  </si>
  <si>
    <t>霰砾坡-怪物10</t>
  </si>
  <si>
    <t>霰砾坡-怪物11</t>
  </si>
  <si>
    <t>霰砾坡-镜头</t>
  </si>
  <si>
    <t>霰砾坡-传送</t>
  </si>
  <si>
    <t>霰砾坡-小地图</t>
  </si>
  <si>
    <t>融口初声-怪物1</t>
  </si>
  <si>
    <t>融口初声-怪物2</t>
  </si>
  <si>
    <t>融口初声-怪物3</t>
  </si>
  <si>
    <t>融口初声-怪物4</t>
  </si>
  <si>
    <t>融口初声-怪物5</t>
  </si>
  <si>
    <t>融口初声-怪物6</t>
  </si>
  <si>
    <t>融口初声-怪物7</t>
  </si>
  <si>
    <t>融口初声-怪物8</t>
  </si>
  <si>
    <t>融口初声-怪物9</t>
  </si>
  <si>
    <t>融口初声-镜头</t>
  </si>
  <si>
    <t>融口初声-传送</t>
  </si>
  <si>
    <t>融口初声-小地图</t>
  </si>
  <si>
    <t>凇覆苔痕-怪物1</t>
  </si>
  <si>
    <t>凇覆苔痕-怪物2</t>
  </si>
  <si>
    <t>凇覆苔痕-怪物3</t>
  </si>
  <si>
    <t>凇覆苔痕-怪物4</t>
  </si>
  <si>
    <t>凇覆苔痕-怪物5</t>
  </si>
  <si>
    <t>凇覆苔痕-怪物6</t>
  </si>
  <si>
    <t>凇覆苔痕-怪物7</t>
  </si>
  <si>
    <t>凇覆苔痕-镜头</t>
  </si>
  <si>
    <t>凇覆苔痕-传送</t>
  </si>
  <si>
    <t>凇覆苔痕-小地图</t>
  </si>
  <si>
    <t>寒水迟芽-怪物1</t>
  </si>
  <si>
    <t>寒水迟芽-怪物2</t>
  </si>
  <si>
    <t>寒水迟芽-怪物3</t>
  </si>
  <si>
    <t>寒水迟芽-怪物4</t>
  </si>
  <si>
    <t>寒水迟芽-怪物5</t>
  </si>
  <si>
    <t>寒水迟芽-怪物6</t>
  </si>
  <si>
    <t>寒水迟芽-镜头</t>
  </si>
  <si>
    <t>寒水迟芽-传送</t>
  </si>
  <si>
    <t>寒水迟芽-小地图</t>
  </si>
  <si>
    <t>鞍窍-采集物1</t>
  </si>
  <si>
    <t>鞍窍-采集物2</t>
  </si>
  <si>
    <t>鞍窍-采集物3</t>
  </si>
  <si>
    <t>鞍窍-采集物4</t>
  </si>
  <si>
    <t>鞍窍-采集物5</t>
  </si>
  <si>
    <t>鞍窍-采集物6</t>
  </si>
  <si>
    <t>鞍窍-采集物7</t>
  </si>
  <si>
    <t>鞍窍-镜头</t>
  </si>
  <si>
    <t>鞍窍-传送</t>
  </si>
  <si>
    <t>鞍窍-小地图</t>
  </si>
  <si>
    <t>霁台-采集物1</t>
  </si>
  <si>
    <t>霁台-采集物2</t>
  </si>
  <si>
    <t>霁台-采集物3</t>
  </si>
  <si>
    <t>霁台-采集物4</t>
  </si>
  <si>
    <t>霁台-采集物5</t>
  </si>
  <si>
    <t>霁台-采集物6</t>
  </si>
  <si>
    <t>霁台-采集物7</t>
  </si>
  <si>
    <t>霁台-镜头</t>
  </si>
  <si>
    <t>霁台-传送</t>
  </si>
  <si>
    <t>霁台-小地图</t>
  </si>
  <si>
    <t>霁台-怪物1</t>
  </si>
  <si>
    <t>霁台-怪物2</t>
  </si>
  <si>
    <t>霁台-怪物3</t>
  </si>
  <si>
    <t>霁台-怪物4</t>
  </si>
  <si>
    <t>霁台-怪物5</t>
  </si>
  <si>
    <t>霁台-怪物6</t>
  </si>
  <si>
    <t>凛冽坡-镜头</t>
  </si>
  <si>
    <t>凛冽坡-传送</t>
  </si>
  <si>
    <t>凛冽坡-小地图</t>
  </si>
  <si>
    <t>凛冽坡-怪物1</t>
  </si>
  <si>
    <t>凛冽坡-怪物2</t>
  </si>
  <si>
    <t>凛冽坡-怪物3</t>
  </si>
  <si>
    <t>凛冽坡-怪物4</t>
  </si>
  <si>
    <t>凛冽坡-怪物5</t>
  </si>
  <si>
    <t>凛冽坡-怪物6</t>
  </si>
  <si>
    <t>凛冽坡-怪物7</t>
  </si>
  <si>
    <t>凛冽坡-怪物8</t>
  </si>
  <si>
    <t>凛冽坡-怪物9</t>
  </si>
  <si>
    <t>凛冽坡-怪物10</t>
  </si>
  <si>
    <t>凛冽坡-怪物11</t>
  </si>
  <si>
    <t>凛冽坡-怪物12</t>
  </si>
  <si>
    <t>虚浮台-怪物1</t>
  </si>
  <si>
    <t>虚浮台-怪物2</t>
  </si>
  <si>
    <t>虚浮台-怪物3</t>
  </si>
  <si>
    <t>虚浮台-怪物4</t>
  </si>
  <si>
    <t>虚浮台-怪物5</t>
  </si>
  <si>
    <t>虚浮台-怪物6</t>
  </si>
  <si>
    <t>虚浮台-怪物7</t>
  </si>
  <si>
    <t>虚浮台-怪物8</t>
  </si>
  <si>
    <t>虚浮台-怪物9</t>
  </si>
  <si>
    <t>虚浮台-怪物10</t>
  </si>
  <si>
    <t>虚浮台-怪物11</t>
  </si>
  <si>
    <t>虚浮台-怪物12</t>
  </si>
  <si>
    <t>虚浮台-怪物13</t>
  </si>
  <si>
    <t>虚浮台-怪物14</t>
  </si>
  <si>
    <t>虚浮台-怪物15</t>
  </si>
  <si>
    <t>虚浮台-怪物16</t>
  </si>
  <si>
    <t>虚浮台-镜头</t>
  </si>
  <si>
    <t>虚浮台-传送</t>
  </si>
  <si>
    <t>虚浮台-小地图</t>
  </si>
  <si>
    <t>照影窗-怪物1</t>
  </si>
  <si>
    <t>照影窗-镜头</t>
  </si>
  <si>
    <t>照影窗-传送</t>
  </si>
  <si>
    <t>照影窗-小地图</t>
  </si>
  <si>
    <t>回光藓-采集物1</t>
  </si>
  <si>
    <t>回光藓-采集物2</t>
  </si>
  <si>
    <t>回光藓-采集物3</t>
  </si>
  <si>
    <t>回光藓-采集物4</t>
  </si>
  <si>
    <t>回光藓-采集物5</t>
  </si>
  <si>
    <t>回光藓-采集物6</t>
  </si>
  <si>
    <t>回光藓-采集物7</t>
  </si>
  <si>
    <t>回光藓-镜头</t>
  </si>
  <si>
    <t>回光藓-传送</t>
  </si>
  <si>
    <t>回光藓-小地图</t>
  </si>
  <si>
    <t>风偃枝-采集物1</t>
  </si>
  <si>
    <t>风偃枝-采集物2</t>
  </si>
  <si>
    <t>风偃枝-采集物3</t>
  </si>
  <si>
    <t>风偃枝-采集物4</t>
  </si>
  <si>
    <t>风偃枝-采集物5</t>
  </si>
  <si>
    <t>风偃枝-采集物6</t>
  </si>
  <si>
    <t>风偃枝-采集物7</t>
  </si>
  <si>
    <t>风偃枝-镜头</t>
  </si>
  <si>
    <t>风偃枝-传送</t>
  </si>
  <si>
    <t>风偃枝-小地图</t>
  </si>
  <si>
    <t>阖岫口-怪物1</t>
  </si>
  <si>
    <t>阖岫口-怪物2</t>
  </si>
  <si>
    <t>阖岫口-怪物3</t>
  </si>
  <si>
    <t>阖岫口-怪物4</t>
  </si>
  <si>
    <t>阖岫口-怪物5</t>
  </si>
  <si>
    <t>阖岫口-怪物6</t>
  </si>
  <si>
    <t>阖岫口-怪物7</t>
  </si>
  <si>
    <t>阖岫口-怪物8</t>
  </si>
  <si>
    <t>阖岫口-怪物9</t>
  </si>
  <si>
    <t>阖岫口-镜头</t>
  </si>
  <si>
    <t>阖岫口-传送</t>
  </si>
  <si>
    <t>阖岫口-小地图</t>
  </si>
  <si>
    <t>坠尽渊-怪物1</t>
  </si>
  <si>
    <t>坠尽渊-怪物2</t>
  </si>
  <si>
    <t>坠尽渊-怪物3</t>
  </si>
  <si>
    <t>坠尽渊-怪物4</t>
  </si>
  <si>
    <t>坠尽渊-怪物5</t>
  </si>
  <si>
    <t>坠尽渊-怪物6</t>
  </si>
  <si>
    <t>坠尽渊-怪物7</t>
  </si>
  <si>
    <t>坠尽渊-怪物8</t>
  </si>
  <si>
    <t>坠尽渊-怪物9</t>
  </si>
  <si>
    <t>坠尽渊-怪物10</t>
  </si>
  <si>
    <t>坠尽渊-镜头</t>
  </si>
  <si>
    <t>坠尽渊-传送</t>
  </si>
  <si>
    <t>坠尽渊-小地图</t>
  </si>
  <si>
    <t>昏金岩-怪物1</t>
  </si>
  <si>
    <t>昏金岩-怪物2</t>
  </si>
  <si>
    <t>昏金岩-怪物3</t>
  </si>
  <si>
    <t>昏金岩-怪物4</t>
  </si>
  <si>
    <t>昏金岩-镜头</t>
  </si>
  <si>
    <t>昏金岩-传送</t>
  </si>
  <si>
    <t>昏金岩-小地图</t>
  </si>
  <si>
    <t>camera_distance</t>
  </si>
  <si>
    <t>camera_angle</t>
  </si>
  <si>
    <t>minimap</t>
  </si>
  <si>
    <t>bigmap</t>
  </si>
  <si>
    <t>grade</t>
  </si>
  <si>
    <t>bgm_sound_id</t>
  </si>
  <si>
    <t>场景ID</t>
  </si>
  <si>
    <t>场景名</t>
  </si>
  <si>
    <t>镜头距离</t>
  </si>
  <si>
    <t>镜头初始角度</t>
  </si>
  <si>
    <t>大地图</t>
  </si>
  <si>
    <t>场景等级</t>
  </si>
  <si>
    <t>背景音乐</t>
  </si>
  <si>
    <t>天元宗门</t>
  </si>
  <si>
    <t>mini_zm</t>
  </si>
  <si>
    <t>big_zm</t>
  </si>
  <si>
    <t/>
  </si>
  <si>
    <t>蚀苇沼·末流所积</t>
  </si>
  <si>
    <t>map_xiao_03</t>
  </si>
  <si>
    <t>望岳津</t>
  </si>
  <si>
    <t>map_xiao_02</t>
  </si>
  <si>
    <t>浮沉洲</t>
  </si>
  <si>
    <t>map_xiao_04</t>
  </si>
  <si>
    <t>蔽苇汀</t>
  </si>
  <si>
    <t>map_xiao_05</t>
  </si>
  <si>
    <t>岳骨阶</t>
  </si>
  <si>
    <t>map_xiao_06</t>
  </si>
  <si>
    <t>异霭浦</t>
  </si>
  <si>
    <t>map_xiao_07</t>
  </si>
  <si>
    <t>砾台</t>
  </si>
  <si>
    <t>map_xiao_08</t>
  </si>
  <si>
    <t>垂练岩·覆而偶开</t>
  </si>
  <si>
    <t>map_xiao_09</t>
  </si>
  <si>
    <t>水镜滩·水退方见</t>
  </si>
  <si>
    <t>map_xiao_10</t>
  </si>
  <si>
    <t>汇歧渚</t>
  </si>
  <si>
    <t>map_xiao_11</t>
  </si>
  <si>
    <t>沉浊坡</t>
  </si>
  <si>
    <t>map_xiao_12</t>
  </si>
  <si>
    <t>豁烟水</t>
  </si>
  <si>
    <t>map_xiao_13</t>
  </si>
  <si>
    <t>密荷影</t>
  </si>
  <si>
    <t>map_xiao_14</t>
  </si>
  <si>
    <t>末分石</t>
  </si>
  <si>
    <t>map_xiao_15</t>
  </si>
  <si>
    <t>粉浪风</t>
  </si>
  <si>
    <t>map_xiao_16</t>
  </si>
  <si>
    <t>漫莎台</t>
  </si>
  <si>
    <t>map_xiao_17</t>
  </si>
  <si>
    <t>匿汊口</t>
  </si>
  <si>
    <t>map_xiao_18</t>
  </si>
  <si>
    <t>砾藏岩</t>
  </si>
  <si>
    <t>map_xiao_28</t>
  </si>
  <si>
    <t>岔坡</t>
  </si>
  <si>
    <t>map_xiao_20</t>
  </si>
  <si>
    <t>风背余晦</t>
  </si>
  <si>
    <t>map_xiao_19</t>
  </si>
  <si>
    <t>砺赭坂</t>
  </si>
  <si>
    <t>map_xiao_21</t>
  </si>
  <si>
    <t>铁色横侵</t>
  </si>
  <si>
    <t>map_xiao_22</t>
  </si>
  <si>
    <t>伏沟鸣石</t>
  </si>
  <si>
    <t>map_xiao_23</t>
  </si>
  <si>
    <t>褐苔含润</t>
  </si>
  <si>
    <t>map_xiao_24</t>
  </si>
  <si>
    <t>肩生瘠芽</t>
  </si>
  <si>
    <t>map_xiao_25</t>
  </si>
  <si>
    <t>岩腹潜龛</t>
  </si>
  <si>
    <t>map_xiao_26</t>
  </si>
  <si>
    <t>水息留痕</t>
  </si>
  <si>
    <t>map_xiao_27</t>
  </si>
  <si>
    <t>断墙</t>
  </si>
  <si>
    <t>map_xiao_29</t>
  </si>
  <si>
    <t>泻砾堑</t>
  </si>
  <si>
    <t>map_xiao_30</t>
  </si>
  <si>
    <t>幽崩谷</t>
  </si>
  <si>
    <t>map_xiao_31</t>
  </si>
  <si>
    <t>截风坡</t>
  </si>
  <si>
    <t>map_xiao_32</t>
  </si>
  <si>
    <t>隙光苔</t>
  </si>
  <si>
    <t>map_xiao_33</t>
  </si>
  <si>
    <t>浸岩菖</t>
  </si>
  <si>
    <t>map_xiao_34</t>
  </si>
  <si>
    <t>裂口</t>
  </si>
  <si>
    <t>map_xiao_35</t>
  </si>
  <si>
    <t>承影</t>
  </si>
  <si>
    <t>map_xiao_36</t>
  </si>
  <si>
    <t>壅浊石</t>
  </si>
  <si>
    <t>map_xiao_37</t>
  </si>
  <si>
    <t>石息</t>
  </si>
  <si>
    <t>map_xiao_38</t>
  </si>
  <si>
    <t>沉岚</t>
  </si>
  <si>
    <t>map_xiao_39</t>
  </si>
  <si>
    <t>悬晖</t>
  </si>
  <si>
    <t>map_xiao_40</t>
  </si>
  <si>
    <t>隐翳</t>
  </si>
  <si>
    <t>map_xiao_41</t>
  </si>
  <si>
    <t>云根露</t>
  </si>
  <si>
    <t>map_xiao_42</t>
  </si>
  <si>
    <t>风痕苔生</t>
  </si>
  <si>
    <t>map_xiao_43</t>
  </si>
  <si>
    <t>涓台窦</t>
  </si>
  <si>
    <t>map_xiao_44</t>
  </si>
  <si>
    <t>孔收暮影</t>
  </si>
  <si>
    <t>map_xiao_45</t>
  </si>
  <si>
    <t>雾黯岩</t>
  </si>
  <si>
    <t>map_xiao_46</t>
  </si>
  <si>
    <t>风候</t>
  </si>
  <si>
    <t>map_xiao_47</t>
  </si>
  <si>
    <t>雪檐古兽</t>
  </si>
  <si>
    <t>map_xiao_48</t>
  </si>
  <si>
    <t>霰砾坡</t>
  </si>
  <si>
    <t>map_xiao_49</t>
  </si>
  <si>
    <t>融口初声</t>
  </si>
  <si>
    <t>map_xiao_50</t>
  </si>
  <si>
    <t>凇覆苔痕</t>
  </si>
  <si>
    <t>map_xiao_51</t>
  </si>
  <si>
    <t>寒水迟芽</t>
  </si>
  <si>
    <t>map_xiao_52</t>
  </si>
  <si>
    <t>鞍窍</t>
  </si>
  <si>
    <t>map_xiao_53</t>
  </si>
  <si>
    <t>霁台</t>
  </si>
  <si>
    <t>map_xiao_54</t>
  </si>
  <si>
    <t>脊阴</t>
  </si>
  <si>
    <t>map_xiao_55</t>
  </si>
  <si>
    <t>望来石</t>
  </si>
  <si>
    <t>map_xiao_56</t>
  </si>
  <si>
    <t>凛冽坡</t>
  </si>
  <si>
    <t>map_xiao_57</t>
  </si>
  <si>
    <t>虚浮台</t>
  </si>
  <si>
    <t>map_xiao_58</t>
  </si>
  <si>
    <t>照影窗</t>
  </si>
  <si>
    <t>map_xiao_59</t>
  </si>
  <si>
    <t>回光藓</t>
  </si>
  <si>
    <t>map_xiao_60</t>
  </si>
  <si>
    <t>风偃枝</t>
  </si>
  <si>
    <t>map_xiao_61</t>
  </si>
  <si>
    <t>阖岫口</t>
  </si>
  <si>
    <t>map_xiao_62</t>
  </si>
  <si>
    <t>坠尽渊</t>
  </si>
  <si>
    <t>map_xiao_63</t>
  </si>
  <si>
    <t>昏金岩</t>
  </si>
  <si>
    <t>缩写</t>
  </si>
  <si>
    <t>比奇城</t>
  </si>
  <si>
    <t>D1_1_</t>
  </si>
  <si>
    <t>N</t>
  </si>
  <si>
    <t>刷怪,镜头：蓝色</t>
  </si>
  <si>
    <t>兽人古墓一层</t>
  </si>
  <si>
    <t>D1_2_</t>
  </si>
  <si>
    <t>T</t>
  </si>
  <si>
    <t>传送点：绿色</t>
  </si>
  <si>
    <t>兽人古墓二层</t>
  </si>
  <si>
    <t>D1_3_</t>
  </si>
  <si>
    <t>NPC</t>
  </si>
  <si>
    <t>P</t>
  </si>
  <si>
    <t>npc:黄色</t>
  </si>
  <si>
    <t>国王陵墓</t>
  </si>
  <si>
    <t>D1_4_</t>
  </si>
  <si>
    <t>音效</t>
  </si>
  <si>
    <t>M</t>
  </si>
  <si>
    <t>采集物：紫色</t>
  </si>
  <si>
    <t>废矿区东部</t>
  </si>
  <si>
    <t>D1_5_</t>
  </si>
  <si>
    <t>J</t>
  </si>
  <si>
    <t>D-小地图</t>
  </si>
  <si>
    <t>尸王殿</t>
  </si>
  <si>
    <t>D1_6_</t>
  </si>
  <si>
    <t>C</t>
  </si>
  <si>
    <t>地牢</t>
  </si>
  <si>
    <t>D2_1_</t>
  </si>
  <si>
    <t>D</t>
  </si>
  <si>
    <t>黑暗地带</t>
  </si>
  <si>
    <t>D2_2_</t>
  </si>
  <si>
    <t>死亡棺材</t>
  </si>
  <si>
    <t>D2_3_</t>
  </si>
  <si>
    <t>未知暗殿</t>
  </si>
  <si>
    <t>D2_4_</t>
  </si>
  <si>
    <t>沃玛寺庙一层</t>
  </si>
  <si>
    <t>D2_5_</t>
  </si>
  <si>
    <t>沃玛寺庙二层</t>
  </si>
  <si>
    <t>D2_6_</t>
  </si>
  <si>
    <t>沃玛教主大殿</t>
  </si>
  <si>
    <t>D3_1_</t>
  </si>
  <si>
    <t>石墓一层</t>
  </si>
  <si>
    <t>D3_2_</t>
  </si>
  <si>
    <t>石墓阵入口</t>
  </si>
  <si>
    <t>D3_3_</t>
  </si>
  <si>
    <t>石墓阵出口</t>
  </si>
  <si>
    <t>D3_4_</t>
  </si>
  <si>
    <t>石墓顶层</t>
  </si>
  <si>
    <t>D3_5_</t>
  </si>
  <si>
    <t>桃源之门</t>
  </si>
  <si>
    <t>D3_6_</t>
  </si>
  <si>
    <t>困惑殿堂</t>
  </si>
  <si>
    <t>D4_1_</t>
  </si>
  <si>
    <t>祖玛寺庙一层</t>
  </si>
  <si>
    <t>D4_2_</t>
  </si>
  <si>
    <t>祖玛寺庙二层</t>
  </si>
  <si>
    <t>D4_3_</t>
  </si>
  <si>
    <t>祖玛阁</t>
  </si>
  <si>
    <t>D4_4_</t>
  </si>
  <si>
    <t>祖玛教主之家</t>
  </si>
  <si>
    <t>D4_5_</t>
  </si>
  <si>
    <t>封魔矿区</t>
  </si>
  <si>
    <t>D4_6_</t>
  </si>
  <si>
    <t>光芒回廊</t>
  </si>
  <si>
    <t>D5_1_</t>
  </si>
  <si>
    <t>编号命名</t>
  </si>
  <si>
    <t>封魔殿</t>
  </si>
  <si>
    <t>D5_2_</t>
  </si>
  <si>
    <t>固定“7”</t>
  </si>
  <si>
    <t>地图序号</t>
  </si>
  <si>
    <t>格子边长</t>
  </si>
  <si>
    <t>地图从上往下格子所在第x行</t>
  </si>
  <si>
    <t>格子所在行左起第x个</t>
  </si>
  <si>
    <t>尸魔洞一层</t>
  </si>
  <si>
    <t>D5_3_</t>
  </si>
  <si>
    <t>尸魔洞二层</t>
  </si>
  <si>
    <t>D5_4_</t>
  </si>
  <si>
    <t>示例：70015304，解释：序号1的地图边长为5的区域位置在地图从上往下第3行左数第4个</t>
  </si>
  <si>
    <t>骨魔洞一层</t>
  </si>
  <si>
    <t>D5_5_</t>
  </si>
  <si>
    <t>骨魔洞二层</t>
  </si>
  <si>
    <t>D5_6_</t>
  </si>
  <si>
    <t>比奇城按6区域划分行数，传送点-0，左上-1，右上-2，左下-3，右下4，城中-5</t>
  </si>
  <si>
    <t>牛魔寺庙入口</t>
  </si>
  <si>
    <t>D6_1_</t>
  </si>
  <si>
    <t>牛魔寺庙一层</t>
  </si>
  <si>
    <t>D6_2_</t>
  </si>
  <si>
    <t>牛魔寺庙大厅</t>
  </si>
  <si>
    <t>D6_3_</t>
  </si>
  <si>
    <t>地编命名</t>
  </si>
  <si>
    <t>丛林迷宫</t>
  </si>
  <si>
    <t>D6_4_</t>
  </si>
  <si>
    <t>区域类型</t>
  </si>
  <si>
    <t>格子所在第x行</t>
  </si>
  <si>
    <t>赤月峡谷西走廊</t>
  </si>
  <si>
    <t>D6_5_</t>
  </si>
  <si>
    <t>P-传送</t>
  </si>
  <si>
    <t>赤月峡谷东二层</t>
  </si>
  <si>
    <t>D6_6_</t>
  </si>
  <si>
    <t>T-NPC</t>
  </si>
  <si>
    <t>赤月峡谷广场</t>
  </si>
  <si>
    <t>M1</t>
  </si>
  <si>
    <t>N-怪物</t>
  </si>
  <si>
    <t>抉择之地</t>
  </si>
  <si>
    <t>M2</t>
  </si>
  <si>
    <t>M-音效</t>
  </si>
  <si>
    <t>恶魔祭坛</t>
  </si>
  <si>
    <t>M3</t>
  </si>
  <si>
    <t>J-镜头</t>
  </si>
  <si>
    <t>赤月魔穴</t>
  </si>
  <si>
    <t>M4</t>
  </si>
  <si>
    <t>示例：1N3_4_5，解释：序号1的地图边长为3的从上往下第4行左数第5个怪物区域</t>
  </si>
  <si>
    <t>新手村</t>
  </si>
  <si>
    <t>M5</t>
  </si>
  <si>
    <t>版本</t>
  </si>
  <si>
    <t>内容</t>
  </si>
  <si>
    <t>V1.11</t>
  </si>
  <si>
    <t>新增场景区域</t>
  </si>
  <si>
    <t>V1.12</t>
  </si>
  <si>
    <t>修改兽人古墓、矿区传送、位置</t>
  </si>
  <si>
    <t>V1.13</t>
  </si>
  <si>
    <t>V1.14</t>
  </si>
  <si>
    <t>V1.15</t>
  </si>
  <si>
    <t>更新传送方案，刷怪方案</t>
  </si>
  <si>
    <t>V1.16</t>
  </si>
  <si>
    <t>增加两个测试木桩，biqi_77,biqi_78</t>
  </si>
  <si>
    <t>V1.17</t>
  </si>
  <si>
    <t>增加主场景区域-场景镜头区域</t>
  </si>
  <si>
    <t>V1.18</t>
  </si>
  <si>
    <t>增加场景小地图大地图</t>
  </si>
  <si>
    <t>V1.19</t>
  </si>
  <si>
    <t>按照新的怪物刷新配置，刷新场景内的怪物配置</t>
  </si>
  <si>
    <t>V1.20</t>
  </si>
  <si>
    <t>更新场景</t>
  </si>
  <si>
    <t>V1.21</t>
  </si>
  <si>
    <t>比奇城新增羊，鹿和狼的配置，测试任务用。</t>
  </si>
  <si>
    <t>V1.22</t>
  </si>
  <si>
    <t>新增新手村场景区域；比奇城22,77,78刷新木桩；</t>
  </si>
  <si>
    <t>V1.23</t>
  </si>
  <si>
    <t>① 新手村、比奇城各一个出生点
② 新手村5个备用传送区域，5个落点区域，备用NPC区域10个，普通40，精英10，BOSS 5，音乐10，镜头1</t>
  </si>
  <si>
    <t>V1.24</t>
  </si>
  <si>
    <t>区域版本重制
1、传送落地点与传送起始点分开
2、区域密度提高，适配更多刷怪密度和位置策略
3、区域命名方式优化，附带区域信息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</si>
</sst>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color theme="1"/>
      <name val="宋体"/>
      <charset val="134"/>
    </font>
    <font>
      <sz val="9"/>
      <color theme="1"/>
      <name val="微软雅黑"/>
      <charset val="134"/>
    </font>
    <font>
      <b/>
      <sz val="11"/>
      <color rgb="FFFF0000"/>
      <name val="宋体"/>
      <charset val="134"/>
    </font>
    <font>
      <b/>
      <sz val="11"/>
      <color theme="1"/>
      <name val="宋体"/>
      <charset val="134"/>
    </font>
    <font>
      <b/>
      <sz val="9"/>
      <color theme="1"/>
      <name val="微软雅黑"/>
      <charset val="134"/>
    </font>
    <font>
      <sz val="11"/>
      <color theme="1"/>
      <name val="Calibri"/>
      <charset val="134"/>
      <scheme val="minor"/>
    </font>
    <font>
      <sz val="10"/>
      <color rgb="FF000000"/>
      <name val="宋体"/>
      <charset val="134"/>
    </font>
    <font>
      <sz val="11"/>
      <color theme="1"/>
      <name val="微软雅黑"/>
      <charset val="134"/>
    </font>
    <font>
      <sz val="10"/>
      <color theme="1"/>
      <name val="微软雅黑"/>
      <charset val="134"/>
    </font>
    <font>
      <sz val="9"/>
      <color rgb="FFFF0000"/>
      <name val="微软雅黑"/>
      <charset val="134"/>
    </font>
    <font>
      <sz val="9"/>
      <name val="微软雅黑"/>
      <charset val="134"/>
    </font>
    <font>
      <sz val="11"/>
      <color rgb="FF0000FF"/>
      <name val="宋体"/>
      <charset val="134"/>
    </font>
    <font>
      <sz val="11"/>
      <color rgb="FF800080"/>
      <name val="宋体"/>
      <charset val="134"/>
    </font>
    <font>
      <sz val="11"/>
      <color rgb="FFFF0000"/>
      <name val="宋体"/>
      <charset val="134"/>
    </font>
    <font>
      <b/>
      <sz val="18"/>
      <color theme="3"/>
      <name val="宋体"/>
      <charset val="134"/>
    </font>
    <font>
      <i/>
      <sz val="11"/>
      <color rgb="FF7F7F7F"/>
      <name val="宋体"/>
      <charset val="134"/>
    </font>
    <font>
      <b/>
      <sz val="15"/>
      <color theme="3"/>
      <name val="宋体"/>
      <charset val="134"/>
    </font>
    <font>
      <b/>
      <sz val="13"/>
      <color theme="3"/>
      <name val="宋体"/>
      <charset val="134"/>
    </font>
    <font>
      <b/>
      <sz val="11"/>
      <color theme="3"/>
      <name val="宋体"/>
      <charset val="134"/>
    </font>
    <font>
      <sz val="11"/>
      <color rgb="FF3F3F76"/>
      <name val="宋体"/>
      <charset val="134"/>
    </font>
    <font>
      <b/>
      <sz val="11"/>
      <color rgb="FF3F3F3F"/>
      <name val="宋体"/>
      <charset val="134"/>
    </font>
    <font>
      <b/>
      <sz val="11"/>
      <color rgb="FFFA7D00"/>
      <name val="宋体"/>
      <charset val="134"/>
    </font>
    <font>
      <b/>
      <sz val="11"/>
      <color rgb="FFFFFFFF"/>
      <name val="宋体"/>
      <charset val="134"/>
    </font>
    <font>
      <sz val="11"/>
      <color rgb="FFFA7D00"/>
      <name val="宋体"/>
      <charset val="134"/>
    </font>
    <font>
      <sz val="11"/>
      <color rgb="FF006100"/>
      <name val="宋体"/>
      <charset val="134"/>
    </font>
    <font>
      <sz val="11"/>
      <color rgb="FF9C0006"/>
      <name val="宋体"/>
      <charset val="134"/>
    </font>
    <font>
      <sz val="11"/>
      <color rgb="FF9C6500"/>
      <name val="宋体"/>
      <charset val="134"/>
    </font>
    <font>
      <sz val="11"/>
      <color theme="0"/>
      <name val="宋体"/>
      <charset val="134"/>
    </font>
    <font>
      <sz val="11"/>
      <name val="Carlito"/>
    </font>
    <font>
      <sz val="10"/>
      <name val="Microsoft YaHei"/>
    </font>
    <font>
      <b/>
      <sz val="10"/>
      <color rgb="FFFFFFFF"/>
      <name val="Microsoft YaHei"/>
    </font>
    <font>
      <sz val="11"/>
      <name val="Carlito"/>
    </font>
    <font>
      <sz val="10"/>
      <name val="Microsoft YaHei"/>
    </font>
    <font>
      <b/>
      <sz val="10"/>
      <color rgb="FFFFFFFF"/>
      <name val="Microsoft YaHei"/>
    </font>
  </fonts>
  <fills count="40">
    <fill>
      <patternFill patternType="none"/>
    </fill>
    <fill>
      <patternFill patternType="gray125"/>
    </fill>
    <fill>
      <patternFill patternType="solid">
        <fgColor theme="7" tint="0.3999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none"/>
    </fill>
    <fill>
      <patternFill patternType="gray125"/>
    </fill>
    <fill>
      <patternFill patternType="solid">
        <fgColor rgb="FF17365D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/>
      <diagonal/>
    </border>
    <border>
      <left/>
      <right/>
      <top/>
      <bottom/>
      <diagonal/>
    </border>
  </borders>
  <cellStyleXfs count="51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0" fillId="5" borderId="11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12">
      <alignment vertical="center"/>
    </xf>
    <xf numFmtId="0" fontId="17" fillId="0" borderId="12">
      <alignment vertical="center"/>
    </xf>
    <xf numFmtId="0" fontId="18" fillId="0" borderId="13">
      <alignment vertical="center"/>
    </xf>
    <xf numFmtId="0" fontId="18" fillId="0" borderId="0">
      <alignment vertical="center"/>
    </xf>
    <xf numFmtId="0" fontId="19" fillId="6" borderId="14">
      <alignment vertical="center"/>
    </xf>
    <xf numFmtId="0" fontId="20" fillId="7" borderId="15">
      <alignment vertical="center"/>
    </xf>
    <xf numFmtId="0" fontId="21" fillId="7" borderId="14">
      <alignment vertical="center"/>
    </xf>
    <xf numFmtId="0" fontId="22" fillId="8" borderId="16">
      <alignment vertical="center"/>
    </xf>
    <xf numFmtId="0" fontId="23" fillId="0" borderId="17">
      <alignment vertical="center"/>
    </xf>
    <xf numFmtId="0" fontId="3" fillId="0" borderId="18">
      <alignment vertical="center"/>
    </xf>
    <xf numFmtId="0" fontId="24" fillId="9" borderId="0">
      <alignment vertical="center"/>
    </xf>
    <xf numFmtId="0" fontId="25" fillId="10" borderId="0">
      <alignment vertical="center"/>
    </xf>
    <xf numFmtId="0" fontId="26" fillId="11" borderId="0">
      <alignment vertical="center"/>
    </xf>
    <xf numFmtId="0" fontId="27" fillId="12" borderId="0">
      <alignment vertical="center"/>
    </xf>
    <xf numFmtId="0" fontId="0" fillId="13" borderId="0">
      <alignment vertical="center"/>
    </xf>
    <xf numFmtId="0" fontId="0" fillId="14" borderId="0">
      <alignment vertical="center"/>
    </xf>
    <xf numFmtId="0" fontId="27" fillId="15" borderId="0">
      <alignment vertical="center"/>
    </xf>
    <xf numFmtId="0" fontId="27" fillId="16" borderId="0">
      <alignment vertical="center"/>
    </xf>
    <xf numFmtId="0" fontId="0" fillId="17" borderId="0">
      <alignment vertical="center"/>
    </xf>
    <xf numFmtId="0" fontId="0" fillId="18" borderId="0">
      <alignment vertical="center"/>
    </xf>
    <xf numFmtId="0" fontId="27" fillId="19" borderId="0">
      <alignment vertical="center"/>
    </xf>
    <xf numFmtId="0" fontId="27" fillId="20" borderId="0">
      <alignment vertical="center"/>
    </xf>
    <xf numFmtId="0" fontId="0" fillId="21" borderId="0">
      <alignment vertical="center"/>
    </xf>
    <xf numFmtId="0" fontId="0" fillId="22" borderId="0">
      <alignment vertical="center"/>
    </xf>
    <xf numFmtId="0" fontId="27" fillId="23" borderId="0">
      <alignment vertical="center"/>
    </xf>
    <xf numFmtId="0" fontId="27" fillId="24" borderId="0">
      <alignment vertical="center"/>
    </xf>
    <xf numFmtId="0" fontId="0" fillId="25" borderId="0">
      <alignment vertical="center"/>
    </xf>
    <xf numFmtId="0" fontId="0" fillId="26" borderId="0">
      <alignment vertical="center"/>
    </xf>
    <xf numFmtId="0" fontId="27" fillId="2" borderId="0">
      <alignment vertical="center"/>
    </xf>
    <xf numFmtId="0" fontId="27" fillId="27" borderId="0">
      <alignment vertical="center"/>
    </xf>
    <xf numFmtId="0" fontId="0" fillId="4" borderId="0">
      <alignment vertical="center"/>
    </xf>
    <xf numFmtId="0" fontId="0" fillId="28" borderId="0">
      <alignment vertical="center"/>
    </xf>
    <xf numFmtId="0" fontId="27" fillId="29" borderId="0">
      <alignment vertical="center"/>
    </xf>
    <xf numFmtId="0" fontId="27" fillId="30" borderId="0">
      <alignment vertical="center"/>
    </xf>
    <xf numFmtId="0" fontId="0" fillId="31" borderId="0">
      <alignment vertical="center"/>
    </xf>
    <xf numFmtId="0" fontId="0" fillId="32" borderId="0">
      <alignment vertical="center"/>
    </xf>
    <xf numFmtId="0" fontId="27" fillId="33" borderId="0">
      <alignment vertical="center"/>
    </xf>
    <xf numFmtId="0" fontId="28" fillId="34" borderId="19"/>
    <xf numFmtId="0" fontId="31" fillId="37" borderId="20"/>
  </cellStyleXfs>
  <cellXfs count="51">
    <xf numFmtId="0" fontId="0" fillId="0" borderId="0" xfId="0" applyAlignment="1">
      <alignment vertical="center"/>
    </xf>
    <xf numFmtId="0" fontId="0" fillId="0" borderId="0" xfId="0" applyAlignment="1"/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/>
    <xf numFmtId="0" fontId="0" fillId="0" borderId="3" xfId="0" applyBorder="1" applyAlignment="1"/>
    <xf numFmtId="0" fontId="0" fillId="0" borderId="1" xfId="0" applyBorder="1" applyAlignment="1">
      <alignment horizontal="center" vertical="center" wrapText="1"/>
    </xf>
    <xf numFmtId="0" fontId="0" fillId="0" borderId="4" xfId="0" applyBorder="1" applyAlignment="1"/>
    <xf numFmtId="0" fontId="0" fillId="0" borderId="5" xfId="0" applyBorder="1" applyAlignment="1"/>
    <xf numFmtId="0" fontId="0" fillId="0" borderId="6" xfId="0" applyBorder="1" applyAlignment="1"/>
    <xf numFmtId="0" fontId="0" fillId="0" borderId="7" xfId="0" applyBorder="1" applyAlignment="1"/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8" xfId="0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4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5" fillId="0" borderId="0" xfId="0" applyFont="1" applyAlignment="1"/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0" fontId="7" fillId="0" borderId="9" xfId="0" applyFont="1" applyBorder="1" applyAlignment="1"/>
    <xf numFmtId="0" fontId="7" fillId="0" borderId="10" xfId="0" applyFont="1" applyBorder="1" applyAlignment="1"/>
    <xf numFmtId="0" fontId="4" fillId="2" borderId="0" xfId="0" applyFont="1" applyFill="1" applyAlignment="1">
      <alignment vertical="center"/>
    </xf>
    <xf numFmtId="0" fontId="4" fillId="2" borderId="2" xfId="0" applyFont="1" applyFill="1" applyBorder="1" applyAlignment="1">
      <alignment horizontal="left" vertical="center"/>
    </xf>
    <xf numFmtId="0" fontId="7" fillId="0" borderId="2" xfId="0" applyFont="1" applyBorder="1" applyAlignment="1"/>
    <xf numFmtId="0" fontId="4" fillId="2" borderId="6" xfId="0" applyFont="1" applyFill="1" applyBorder="1" applyAlignment="1">
      <alignment horizontal="left" vertical="center"/>
    </xf>
    <xf numFmtId="0" fontId="7" fillId="0" borderId="6" xfId="0" applyFont="1" applyBorder="1" applyAlignment="1"/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28" fillId="34" borderId="19" xfId="49"/>
    <xf numFmtId="0" fontId="29" fillId="34" borderId="19" xfId="49" applyNumberFormat="1" applyFont="1" applyFill="1" applyBorder="1"/>
    <xf numFmtId="0" fontId="29" fillId="34" borderId="19" xfId="49" applyNumberFormat="1" applyFont="1" applyFill="1" applyBorder="1" applyAlignment="1">
      <alignment wrapText="1"/>
    </xf>
    <xf numFmtId="0" fontId="29" fillId="36" borderId="19" xfId="49" applyNumberFormat="1" applyFont="1" applyFill="1" applyBorder="1" applyAlignment="1">
      <alignment wrapText="1"/>
    </xf>
    <xf numFmtId="0" fontId="30" fillId="36" borderId="19" xfId="49" applyNumberFormat="1" applyFont="1" applyFill="1" applyBorder="1" applyAlignment="1">
      <alignment wrapText="1"/>
    </xf>
    <xf numFmtId="0" fontId="31" fillId="37" borderId="20" xfId="50"/>
    <xf numFmtId="0" fontId="32" fillId="37" borderId="20" xfId="50" applyNumberFormat="1" applyFont="1" applyFill="1" applyBorder="1"/>
    <xf numFmtId="0" fontId="32" fillId="37" borderId="20" xfId="50" applyNumberFormat="1" applyFont="1" applyFill="1" applyBorder="1" applyAlignment="1">
      <alignment wrapText="1"/>
    </xf>
    <xf numFmtId="0" fontId="32" fillId="39" borderId="20" xfId="50" applyNumberFormat="1" applyFont="1" applyFill="1" applyBorder="1" applyAlignment="1">
      <alignment wrapText="1"/>
    </xf>
    <xf numFmtId="0" fontId="33" fillId="39" borderId="20" xfId="50" applyNumberFormat="1" applyFont="1" applyFill="1" applyBorder="1" applyAlignment="1">
      <alignment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'1.0' encoding='UTF-8' standalone='yes'?>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Config5" Type="http://schemas.openxmlformats.org/officeDocument/2006/relationships/worksheet" Target="worksheets/sheet5.xml"/><Relationship Id="rIdConfig6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098"/>
  <sheetViews>
    <sheetView tabSelected="1" zoomScale="85" zoomScaleNormal="85" workbookViewId="0">
      <pane xSplit="5" ySplit="4" topLeftCell="O890" activePane="bottomRight" state="frozen"/>
      <selection/>
      <selection pane="topRight"/>
      <selection pane="bottomLeft"/>
      <selection pane="bottomRight" activeCell="T962" sqref="T962"/>
    </sheetView>
  </sheetViews>
  <sheetFormatPr defaultColWidth="9" defaultRowHeight="13.2"/>
  <cols>
    <col min="1" max="1" width="9" style="17" customWidth="1"/>
    <col min="2" max="2" width="9.66666666666667" style="17" customWidth="1"/>
    <col min="3" max="3" width="22.6296296296296" style="3" customWidth="1"/>
    <col min="4" max="4" width="22.7222222222222" style="3" customWidth="1"/>
    <col min="5" max="5" width="14.6296296296296" style="3" customWidth="1"/>
    <col min="6" max="6" width="11" style="3" customWidth="1"/>
    <col min="7" max="10" width="5.09259259259259" style="3" customWidth="1"/>
    <col min="11" max="18" width="16.0925925925926" style="3" customWidth="1"/>
    <col min="19" max="19" width="21.7222222222222" style="17" customWidth="1"/>
    <col min="20" max="20" width="9.5462962962963" style="18" customWidth="1"/>
    <col min="21" max="21" width="10" style="17" customWidth="1"/>
    <col min="22" max="27" width="9" style="17" customWidth="1"/>
    <col min="28" max="16384" width="9" style="17"/>
  </cols>
  <sheetData>
    <row r="1" spans="1:27">
      <c r="A1" s="17" t="s">
        <v>0</v>
      </c>
      <c r="B1" s="25" t="s">
        <v>1</v>
      </c>
      <c r="C1" s="25" t="s">
        <v>2</v>
      </c>
      <c r="D1" s="25"/>
      <c r="E1" s="25" t="s">
        <v>3</v>
      </c>
      <c r="F1" s="25" t="s">
        <v>4</v>
      </c>
      <c r="G1" s="25"/>
      <c r="H1" s="25"/>
      <c r="I1" s="25"/>
      <c r="J1" s="25"/>
      <c r="K1" s="25" t="s">
        <v>5</v>
      </c>
      <c r="L1" s="25" t="s">
        <v>6</v>
      </c>
      <c r="M1" s="25" t="s">
        <v>7</v>
      </c>
      <c r="N1" s="25" t="s">
        <v>8</v>
      </c>
      <c r="O1" s="25" t="s">
        <v>9</v>
      </c>
      <c r="P1" s="25" t="s">
        <v>10</v>
      </c>
      <c r="Q1" s="25" t="s">
        <v>11</v>
      </c>
      <c r="R1" s="25" t="s">
        <v>12</v>
      </c>
      <c r="S1" s="26"/>
      <c r="T1" s="27" t="s">
        <v>13</v>
      </c>
      <c r="U1" s="28"/>
      <c r="V1" s="28"/>
      <c r="W1" s="28"/>
      <c r="X1" s="28"/>
      <c r="Y1" s="28"/>
      <c r="Z1" s="28"/>
      <c r="AA1" s="29"/>
    </row>
    <row r="2" spans="1:27">
      <c r="A2" s="17" t="s">
        <v>14</v>
      </c>
      <c r="B2" s="20" t="s">
        <v>15</v>
      </c>
      <c r="C2" s="20" t="s">
        <v>16</v>
      </c>
      <c r="D2" s="20" t="s">
        <v>17</v>
      </c>
      <c r="E2" s="20" t="s">
        <v>16</v>
      </c>
      <c r="F2" s="20" t="s">
        <v>15</v>
      </c>
      <c r="G2" s="20"/>
      <c r="H2" s="20"/>
      <c r="I2" s="20"/>
      <c r="J2" s="20"/>
      <c r="K2" s="20" t="s">
        <v>15</v>
      </c>
      <c r="L2" s="20" t="s">
        <v>15</v>
      </c>
      <c r="M2" s="20" t="s">
        <v>15</v>
      </c>
      <c r="N2" s="20" t="s">
        <v>18</v>
      </c>
      <c r="O2" s="20" t="s">
        <v>18</v>
      </c>
      <c r="P2" s="20" t="s">
        <v>18</v>
      </c>
      <c r="Q2" s="20" t="s">
        <v>18</v>
      </c>
      <c r="R2" s="20" t="s">
        <v>15</v>
      </c>
      <c r="S2" s="30"/>
      <c r="T2" s="31" t="s">
        <v>19</v>
      </c>
      <c r="U2" s="32"/>
      <c r="V2" s="32"/>
      <c r="W2" s="32"/>
      <c r="X2" s="32"/>
      <c r="Y2" s="32"/>
      <c r="Z2" s="32"/>
      <c r="AA2" s="32"/>
    </row>
    <row r="3" spans="1:27">
      <c r="A3" s="17" t="s">
        <v>20</v>
      </c>
      <c r="B3" s="20"/>
      <c r="C3" s="20" t="s">
        <v>21</v>
      </c>
      <c r="D3" s="20" t="s">
        <v>22</v>
      </c>
      <c r="E3" s="20" t="s">
        <v>21</v>
      </c>
      <c r="F3" s="20"/>
      <c r="G3" s="20"/>
      <c r="H3" s="20"/>
      <c r="I3" s="20"/>
      <c r="J3" s="20"/>
      <c r="K3" s="20"/>
      <c r="L3" s="20"/>
      <c r="M3" s="20"/>
      <c r="N3" s="20"/>
      <c r="O3" s="20"/>
      <c r="P3" s="20"/>
      <c r="Q3" s="20"/>
      <c r="R3" s="20" t="s">
        <v>21</v>
      </c>
      <c r="S3" s="30"/>
      <c r="T3" s="33" t="s">
        <v>23</v>
      </c>
      <c r="U3" s="34"/>
      <c r="V3" s="34"/>
      <c r="W3" s="34"/>
      <c r="X3" s="34"/>
      <c r="Y3" s="34"/>
      <c r="Z3" s="34"/>
      <c r="AA3" s="34"/>
    </row>
    <row r="4" spans="1:27">
      <c r="A4" s="17" t="s">
        <v>24</v>
      </c>
      <c r="B4" s="25" t="s">
        <v>25</v>
      </c>
      <c r="C4" s="25" t="s">
        <v>26</v>
      </c>
      <c r="D4" s="25" t="s">
        <v>27</v>
      </c>
      <c r="E4" s="25" t="s">
        <v>28</v>
      </c>
      <c r="F4" s="25" t="s">
        <v>29</v>
      </c>
      <c r="G4" s="25" t="s">
        <v>30</v>
      </c>
      <c r="H4" s="25" t="s">
        <v>31</v>
      </c>
      <c r="I4" s="25" t="s">
        <v>32</v>
      </c>
      <c r="J4" s="25" t="s">
        <v>33</v>
      </c>
      <c r="K4" s="25" t="s">
        <v>34</v>
      </c>
      <c r="L4" s="25" t="s">
        <v>35</v>
      </c>
      <c r="M4" s="25" t="s">
        <v>36</v>
      </c>
      <c r="N4" s="25" t="s">
        <v>37</v>
      </c>
      <c r="O4" s="25" t="s">
        <v>38</v>
      </c>
      <c r="P4" s="25" t="s">
        <v>39</v>
      </c>
      <c r="Q4" s="25" t="s">
        <v>40</v>
      </c>
      <c r="R4" s="25" t="s">
        <v>41</v>
      </c>
      <c r="S4" s="26" t="s">
        <v>42</v>
      </c>
      <c r="T4" s="27" t="s">
        <v>43</v>
      </c>
      <c r="U4" s="26" t="s">
        <v>44</v>
      </c>
      <c r="V4" s="26" t="s">
        <v>45</v>
      </c>
      <c r="W4" s="26" t="s">
        <v>46</v>
      </c>
      <c r="X4" s="26" t="s">
        <v>47</v>
      </c>
      <c r="Y4" s="26" t="s">
        <v>48</v>
      </c>
      <c r="Z4" s="26" t="s">
        <v>49</v>
      </c>
      <c r="AA4" s="26" t="s">
        <v>50</v>
      </c>
    </row>
    <row r="5" ht="15" spans="1:27">
      <c r="A5" s="35"/>
      <c r="B5" t="n" s="17">
        <f>70000000+F5*10000+H5*1000+I5*100+J5</f>
        <v>70015101</v>
      </c>
      <c r="C5" t="str" s="3">
        <v>万宝坊市-怪物1</v>
      </c>
      <c r="D5" s="3"/>
      <c r="E5" t="str" s="3">
        <f>F5&amp;(VLOOKUP(G5,编号表!$E$1:$G$8,2,0))&amp;H5&amp;"_"&amp;I5&amp;"_"&amp;J5</f>
        <v>1N5_1_1</v>
      </c>
      <c r="F5" t="n" s="3">
        <v>1</v>
      </c>
      <c r="G5" t="str" s="3">
        <v>怪物</v>
      </c>
      <c r="H5" t="n" s="3">
        <v>5</v>
      </c>
      <c r="I5" t="n" s="3">
        <v>1</v>
      </c>
      <c r="J5" t="n" s="3">
        <f>COUNTIFS($F$5:F5,F5,$I$5:I5,I5)</f>
        <v>1</v>
      </c>
      <c r="K5" s="3"/>
      <c r="L5" s="3"/>
      <c r="M5" s="3"/>
      <c r="N5" s="3"/>
      <c r="O5" s="3"/>
      <c r="P5" s="3"/>
      <c r="Q5" s="3"/>
      <c r="R5" s="3"/>
      <c r="S5" s="17"/>
      <c r="T5" s="18"/>
      <c r="U5"/>
      <c r="V5"/>
      <c r="W5"/>
      <c r="X5"/>
      <c r="Y5"/>
      <c r="Z5"/>
      <c r="AA5"/>
    </row>
    <row r="6" ht="15" spans="1:27">
      <c r="A6" s="35"/>
      <c r="B6" t="n" s="17">
        <f>70000000+F6*10000+H6*1000+I6*100+J6</f>
        <v>70015102</v>
      </c>
      <c r="C6" t="str" s="3">
        <v>万宝坊市-怪物2</v>
      </c>
      <c r="D6" s="3"/>
      <c r="E6" t="str" s="3">
        <f>F6&amp;(VLOOKUP(G6,编号表!$E$1:$G$8,2,0))&amp;H6&amp;"_"&amp;I6&amp;"_"&amp;J6</f>
        <v>1N5_1_2</v>
      </c>
      <c r="F6" t="n" s="3">
        <v>1</v>
      </c>
      <c r="G6" t="str" s="3">
        <v>怪物</v>
      </c>
      <c r="H6" t="n" s="3">
        <v>5</v>
      </c>
      <c r="I6" t="n" s="3">
        <v>1</v>
      </c>
      <c r="J6" t="n" s="3">
        <f>COUNTIFS($F$5:F6,F6,$I$5:I6,I6)</f>
        <v>2</v>
      </c>
      <c r="K6" s="3"/>
      <c r="L6" s="3"/>
      <c r="M6" s="3"/>
      <c r="N6" s="3"/>
      <c r="O6" s="3"/>
      <c r="P6" s="3"/>
      <c r="Q6" s="3"/>
      <c r="R6" s="3"/>
      <c r="S6" s="17"/>
      <c r="T6" s="18"/>
      <c r="U6"/>
      <c r="V6"/>
      <c r="W6"/>
      <c r="X6"/>
      <c r="Y6"/>
      <c r="Z6"/>
      <c r="AA6"/>
    </row>
    <row r="7" ht="15" spans="1:27">
      <c r="A7" s="35"/>
      <c r="B7" t="n" s="17">
        <f>70000000+F7*10000+H7*1000+I7*100+J7</f>
        <v>70015103</v>
      </c>
      <c r="C7" t="str" s="3">
        <v>万宝坊市-怪物3</v>
      </c>
      <c r="D7" s="3"/>
      <c r="E7" t="str" s="3">
        <f>F7&amp;(VLOOKUP(G7,编号表!$E$1:$G$8,2,0))&amp;H7&amp;"_"&amp;I7&amp;"_"&amp;J7</f>
        <v>1N5_1_3</v>
      </c>
      <c r="F7" t="n" s="3">
        <v>1</v>
      </c>
      <c r="G7" t="str" s="3">
        <v>怪物</v>
      </c>
      <c r="H7" t="n" s="3">
        <v>5</v>
      </c>
      <c r="I7" t="n" s="3">
        <v>1</v>
      </c>
      <c r="J7" t="n" s="3">
        <f>COUNTIFS($F$5:F7,F7,$I$5:I7,I7)</f>
        <v>3</v>
      </c>
      <c r="K7" s="3"/>
      <c r="L7" s="3"/>
      <c r="M7" s="3"/>
      <c r="N7" s="3"/>
      <c r="O7" s="3"/>
      <c r="P7" s="3"/>
      <c r="Q7" s="3"/>
      <c r="R7" s="3"/>
      <c r="S7" s="17"/>
      <c r="T7" s="18"/>
      <c r="U7"/>
      <c r="V7"/>
      <c r="W7"/>
      <c r="X7"/>
      <c r="Y7"/>
      <c r="Z7"/>
      <c r="AA7"/>
    </row>
    <row r="8" ht="15" spans="1:27">
      <c r="A8" s="35"/>
      <c r="B8" t="n" s="17">
        <f>70000000+F8*10000+H8*1000+I8*100+J8</f>
        <v>70015104</v>
      </c>
      <c r="C8" t="str" s="3">
        <v>万宝坊市-怪物4</v>
      </c>
      <c r="D8" s="3"/>
      <c r="E8" t="str" s="3">
        <f>F8&amp;(VLOOKUP(G8,编号表!$E$1:$G$8,2,0))&amp;H8&amp;"_"&amp;I8&amp;"_"&amp;J8</f>
        <v>1N5_1_4</v>
      </c>
      <c r="F8" t="n" s="3">
        <v>1</v>
      </c>
      <c r="G8" t="str" s="3">
        <v>怪物</v>
      </c>
      <c r="H8" t="n" s="3">
        <v>5</v>
      </c>
      <c r="I8" t="n" s="3">
        <v>1</v>
      </c>
      <c r="J8" t="n" s="3">
        <f>COUNTIFS($F$5:F8,F8,$I$5:I8,I8)</f>
        <v>4</v>
      </c>
      <c r="K8" s="3"/>
      <c r="L8" s="3"/>
      <c r="M8" s="3"/>
      <c r="N8" s="3"/>
      <c r="O8" s="3"/>
      <c r="P8" s="3"/>
      <c r="Q8" s="3"/>
      <c r="R8" s="3"/>
      <c r="S8" s="17"/>
      <c r="T8" s="18"/>
      <c r="U8"/>
      <c r="V8"/>
      <c r="W8"/>
      <c r="X8"/>
      <c r="Y8"/>
      <c r="Z8"/>
      <c r="AA8"/>
    </row>
    <row r="9" ht="15" spans="1:27">
      <c r="A9" s="35"/>
      <c r="B9" t="n" s="17">
        <f>70000000+F9*10000+H9*1000+I9*100+J9</f>
        <v>70015105</v>
      </c>
      <c r="C9" t="str" s="3">
        <v>万宝坊市-怪物5</v>
      </c>
      <c r="D9" s="3"/>
      <c r="E9" t="str" s="3">
        <f>F9&amp;(VLOOKUP(G9,编号表!$E$1:$G$8,2,0))&amp;H9&amp;"_"&amp;I9&amp;"_"&amp;J9</f>
        <v>1N5_1_5</v>
      </c>
      <c r="F9" t="n" s="3">
        <v>1</v>
      </c>
      <c r="G9" t="str" s="3">
        <v>怪物</v>
      </c>
      <c r="H9" t="n" s="3">
        <v>5</v>
      </c>
      <c r="I9" t="n" s="3">
        <v>1</v>
      </c>
      <c r="J9" t="n" s="3">
        <f>COUNTIFS($F$5:F9,F9,$I$5:I9,I9)</f>
        <v>5</v>
      </c>
      <c r="K9" s="3"/>
      <c r="L9" s="3"/>
      <c r="M9" s="3"/>
      <c r="N9" s="3"/>
      <c r="O9" s="3"/>
      <c r="P9" s="3"/>
      <c r="Q9" s="3"/>
      <c r="R9" s="3"/>
      <c r="S9" s="17"/>
      <c r="T9" s="18"/>
      <c r="U9"/>
      <c r="V9"/>
      <c r="W9"/>
      <c r="X9"/>
      <c r="Y9"/>
      <c r="Z9"/>
      <c r="AA9"/>
    </row>
    <row r="10" ht="15" spans="1:27">
      <c r="A10" s="35"/>
      <c r="B10" t="n" s="17">
        <f>70000000+F10*10000+H10*1000+I10*100+J10</f>
        <v>70015106</v>
      </c>
      <c r="C10" t="str" s="3">
        <v>万宝坊市-怪物6</v>
      </c>
      <c r="D10" s="3"/>
      <c r="E10" t="str" s="3">
        <f>F10&amp;(VLOOKUP(G10,编号表!$E$1:$G$8,2,0))&amp;H10&amp;"_"&amp;I10&amp;"_"&amp;J10</f>
        <v>1N5_1_6</v>
      </c>
      <c r="F10" t="n" s="3">
        <v>1</v>
      </c>
      <c r="G10" t="str" s="3">
        <v>怪物</v>
      </c>
      <c r="H10" t="n" s="3">
        <v>5</v>
      </c>
      <c r="I10" t="n" s="3">
        <v>1</v>
      </c>
      <c r="J10" t="n" s="3">
        <f>COUNTIFS($F$5:F10,F10,$I$5:I10,I10)</f>
        <v>6</v>
      </c>
      <c r="K10" s="3"/>
      <c r="L10" s="3"/>
      <c r="M10" s="3"/>
      <c r="N10" s="3"/>
      <c r="O10" s="3"/>
      <c r="P10" s="3"/>
      <c r="Q10" s="3"/>
      <c r="R10" s="3"/>
      <c r="S10" s="17"/>
      <c r="T10" s="18"/>
      <c r="U10"/>
      <c r="V10"/>
      <c r="W10"/>
      <c r="X10"/>
      <c r="Y10"/>
      <c r="Z10"/>
      <c r="AA10"/>
    </row>
    <row r="11" ht="15" spans="1:27">
      <c r="A11" s="35"/>
      <c r="B11" t="n" s="17">
        <f>70000000+F11*10000+H11*1000+I11*100+J11</f>
        <v>70015107</v>
      </c>
      <c r="C11" t="str" s="3">
        <v>万宝坊市-怪物7</v>
      </c>
      <c r="D11" s="3"/>
      <c r="E11" t="str" s="3">
        <f>F11&amp;(VLOOKUP(G11,编号表!$E$1:$G$8,2,0))&amp;H11&amp;"_"&amp;I11&amp;"_"&amp;J11</f>
        <v>1N5_1_7</v>
      </c>
      <c r="F11" t="n" s="3">
        <v>1</v>
      </c>
      <c r="G11" t="str" s="3">
        <v>怪物</v>
      </c>
      <c r="H11" t="n" s="3">
        <v>5</v>
      </c>
      <c r="I11" t="n" s="3">
        <v>1</v>
      </c>
      <c r="J11" t="n" s="3">
        <f>COUNTIFS($F$5:F11,F11,$I$5:I11,I11)</f>
        <v>7</v>
      </c>
      <c r="K11" s="3"/>
      <c r="L11" s="3"/>
      <c r="M11" s="3"/>
      <c r="N11" s="3"/>
      <c r="O11" s="3"/>
      <c r="P11" s="3"/>
      <c r="Q11" s="3"/>
      <c r="R11" s="3"/>
      <c r="S11" s="17"/>
      <c r="T11" s="18"/>
      <c r="U11"/>
      <c r="V11"/>
      <c r="W11"/>
      <c r="X11"/>
      <c r="Y11"/>
      <c r="Z11"/>
      <c r="AA11"/>
    </row>
    <row r="12" ht="15" spans="1:27">
      <c r="A12" s="35"/>
      <c r="B12" t="n" s="17">
        <f>70000000+F12*10000+H12*1000+I12*100+J12</f>
        <v>70015108</v>
      </c>
      <c r="C12" t="str" s="3">
        <v>万宝坊市-怪物8</v>
      </c>
      <c r="D12" s="3"/>
      <c r="E12" t="str" s="3">
        <f>F12&amp;(VLOOKUP(G12,编号表!$E$1:$G$8,2,0))&amp;H12&amp;"_"&amp;I12&amp;"_"&amp;J12</f>
        <v>1N5_1_8</v>
      </c>
      <c r="F12" t="n" s="3">
        <v>1</v>
      </c>
      <c r="G12" t="str" s="3">
        <v>怪物</v>
      </c>
      <c r="H12" t="n" s="3">
        <v>5</v>
      </c>
      <c r="I12" t="n" s="3">
        <v>1</v>
      </c>
      <c r="J12" t="n" s="3">
        <f>COUNTIFS($F$5:F12,F12,$I$5:I12,I12)</f>
        <v>8</v>
      </c>
      <c r="K12" s="3"/>
      <c r="L12" s="3"/>
      <c r="M12" s="3"/>
      <c r="N12" s="3"/>
      <c r="O12" s="3"/>
      <c r="P12" s="3"/>
      <c r="Q12" s="3"/>
      <c r="R12" s="3"/>
      <c r="S12" s="17"/>
      <c r="T12" s="18"/>
      <c r="U12"/>
      <c r="V12"/>
      <c r="W12"/>
      <c r="X12"/>
      <c r="Y12"/>
      <c r="Z12"/>
      <c r="AA12"/>
    </row>
    <row r="13" ht="15" spans="1:27">
      <c r="A13" s="35"/>
      <c r="B13" t="n" s="17">
        <f>70000000+F13*10000+H13*1000+I13*100+J13</f>
        <v>70015109</v>
      </c>
      <c r="C13" t="str" s="3">
        <v>万宝坊市-怪物9</v>
      </c>
      <c r="D13" s="3"/>
      <c r="E13" t="str" s="3">
        <f>F13&amp;(VLOOKUP(G13,编号表!$E$1:$G$8,2,0))&amp;H13&amp;"_"&amp;I13&amp;"_"&amp;J13</f>
        <v>1N5_1_9</v>
      </c>
      <c r="F13" t="n" s="3">
        <v>1</v>
      </c>
      <c r="G13" t="str" s="3">
        <v>怪物</v>
      </c>
      <c r="H13" t="n" s="3">
        <v>5</v>
      </c>
      <c r="I13" t="n" s="3">
        <v>1</v>
      </c>
      <c r="J13" t="n" s="3">
        <f>COUNTIFS($F$5:F13,F13,$I$5:I13,I13)</f>
        <v>9</v>
      </c>
      <c r="K13" s="3"/>
      <c r="L13" s="3"/>
      <c r="M13" s="3"/>
      <c r="N13" s="3"/>
      <c r="O13" s="3"/>
      <c r="P13" s="3"/>
      <c r="Q13" s="3"/>
      <c r="R13" s="3"/>
      <c r="S13" s="17"/>
      <c r="T13" s="18"/>
      <c r="U13"/>
      <c r="V13"/>
      <c r="W13"/>
      <c r="X13"/>
      <c r="Y13"/>
      <c r="Z13"/>
      <c r="AA13"/>
    </row>
    <row r="14" ht="15" spans="1:27">
      <c r="A14" s="35"/>
      <c r="B14" t="n" s="17">
        <f>70000000+F14*10000+H14*1000+I14*100+J14</f>
        <v>70015110</v>
      </c>
      <c r="C14" t="str" s="3">
        <v>万宝坊市-怪物10</v>
      </c>
      <c r="D14" s="3"/>
      <c r="E14" t="str" s="3">
        <f>F14&amp;(VLOOKUP(G14,编号表!$E$1:$G$8,2,0))&amp;H14&amp;"_"&amp;I14&amp;"_"&amp;J14</f>
        <v>1N5_1_10</v>
      </c>
      <c r="F14" t="n" s="3">
        <v>1</v>
      </c>
      <c r="G14" t="str" s="3">
        <v>怪物</v>
      </c>
      <c r="H14" t="n" s="3">
        <v>5</v>
      </c>
      <c r="I14" t="n" s="3">
        <v>1</v>
      </c>
      <c r="J14" t="n" s="3">
        <f>COUNTIFS($F$5:F14,F14,$I$5:I14,I14)</f>
        <v>10</v>
      </c>
      <c r="K14" s="3"/>
      <c r="L14" s="3"/>
      <c r="M14" s="3"/>
      <c r="N14" s="3"/>
      <c r="O14" s="3"/>
      <c r="P14" s="3"/>
      <c r="Q14" s="3"/>
      <c r="R14" s="3"/>
      <c r="S14" s="17"/>
      <c r="T14" s="18"/>
      <c r="U14"/>
      <c r="V14"/>
      <c r="W14"/>
      <c r="X14"/>
      <c r="Y14"/>
      <c r="Z14"/>
      <c r="AA14"/>
    </row>
    <row r="15" ht="15" spans="1:27">
      <c r="A15" s="35"/>
      <c r="B15" t="n" s="17">
        <f>70000000+F15*10000+H15*1000+I15*100+J15</f>
        <v>70015111</v>
      </c>
      <c r="C15" t="str" s="3">
        <v>万宝坊市-怪物11</v>
      </c>
      <c r="D15" s="3"/>
      <c r="E15" t="str" s="3">
        <f>F15&amp;(VLOOKUP(G15,编号表!$E$1:$G$8,2,0))&amp;H15&amp;"_"&amp;I15&amp;"_"&amp;J15</f>
        <v>1N5_1_11</v>
      </c>
      <c r="F15" t="n" s="3">
        <v>1</v>
      </c>
      <c r="G15" t="str" s="3">
        <v>怪物</v>
      </c>
      <c r="H15" t="n" s="3">
        <v>5</v>
      </c>
      <c r="I15" t="n" s="3">
        <v>1</v>
      </c>
      <c r="J15" t="n" s="3">
        <f>COUNTIFS($F$5:F15,F15,$I$5:I15,I15)</f>
        <v>11</v>
      </c>
      <c r="K15" s="3"/>
      <c r="L15" s="3"/>
      <c r="M15" s="3"/>
      <c r="N15" s="3"/>
      <c r="O15" s="3"/>
      <c r="P15" s="3"/>
      <c r="Q15" s="3"/>
      <c r="R15" s="3"/>
      <c r="S15" s="17"/>
      <c r="T15" s="18"/>
      <c r="U15"/>
      <c r="V15"/>
      <c r="W15"/>
      <c r="X15"/>
      <c r="Y15"/>
      <c r="Z15"/>
      <c r="AA15"/>
    </row>
    <row r="16" ht="15" spans="1:27">
      <c r="A16" s="35"/>
      <c r="B16" t="n" s="17">
        <f>70000000+F16*10000+H16*1000+I16*100+J16</f>
        <v>70015112</v>
      </c>
      <c r="C16" t="str" s="3">
        <v>万宝坊市-怪物12</v>
      </c>
      <c r="D16" s="3"/>
      <c r="E16" t="str" s="3">
        <f>F16&amp;(VLOOKUP(G16,编号表!$E$1:$G$8,2,0))&amp;H16&amp;"_"&amp;I16&amp;"_"&amp;J16</f>
        <v>1N5_1_12</v>
      </c>
      <c r="F16" t="n" s="3">
        <v>1</v>
      </c>
      <c r="G16" t="str" s="3">
        <v>怪物</v>
      </c>
      <c r="H16" t="n" s="3">
        <v>5</v>
      </c>
      <c r="I16" t="n" s="3">
        <v>1</v>
      </c>
      <c r="J16" t="n" s="3">
        <f>COUNTIFS($F$5:F16,F16,$I$5:I16,I16)</f>
        <v>12</v>
      </c>
      <c r="K16" s="3"/>
      <c r="L16" s="3"/>
      <c r="M16" s="3"/>
      <c r="N16" s="3"/>
      <c r="O16" s="3"/>
      <c r="P16" s="3"/>
      <c r="Q16" s="3"/>
      <c r="R16" s="3"/>
      <c r="S16" s="17"/>
      <c r="T16" s="18"/>
      <c r="U16"/>
      <c r="V16"/>
      <c r="W16"/>
      <c r="X16"/>
      <c r="Y16"/>
      <c r="Z16"/>
      <c r="AA16"/>
    </row>
    <row r="17" ht="15" spans="1:18">
      <c r="A17" s="35"/>
      <c r="B17" t="n" s="17">
        <f>70000000+F17*10000+H17*1000+I17*100+J17</f>
        <v>70015201</v>
      </c>
      <c r="C17" t="str" s="3">
        <v>万宝坊市-怪物13</v>
      </c>
      <c r="D17" s="3"/>
      <c r="E17" t="str" s="3">
        <f>F17&amp;(VLOOKUP(G17,编号表!$E$1:$G$8,2,0))&amp;H17&amp;"_"&amp;I17&amp;"_"&amp;J17</f>
        <v>1N5_2_1</v>
      </c>
      <c r="F17" t="n" s="3">
        <v>1</v>
      </c>
      <c r="G17" t="str" s="3">
        <v>怪物</v>
      </c>
      <c r="H17" t="n" s="3">
        <v>5</v>
      </c>
      <c r="I17" t="n" s="3">
        <v>2</v>
      </c>
      <c r="J17" t="n" s="3">
        <v>1</v>
      </c>
      <c r="K17" s="3"/>
      <c r="L17" s="3"/>
      <c r="M17" s="3"/>
      <c r="N17" s="3"/>
      <c r="O17" s="3"/>
      <c r="P17" s="3"/>
      <c r="Q17" s="3"/>
      <c r="R17" s="3"/>
      <c r="S17" s="17"/>
      <c r="T17" s="18"/>
      <c r="U17"/>
      <c r="V17"/>
      <c r="W17"/>
      <c r="X17"/>
      <c r="Y17"/>
      <c r="Z17"/>
      <c r="AA17"/>
    </row>
    <row r="18" ht="15" spans="1:18">
      <c r="A18" s="35"/>
      <c r="B18" t="n" s="17">
        <f>70000000+F18*10000+H18*1000+I18*100+J18</f>
        <v>70015202</v>
      </c>
      <c r="C18" t="str" s="3">
        <v>万宝坊市-怪物14</v>
      </c>
      <c r="D18" s="3"/>
      <c r="E18" t="str" s="3">
        <f>F18&amp;(VLOOKUP(G18,编号表!$E$1:$G$8,2,0))&amp;H18&amp;"_"&amp;I18&amp;"_"&amp;J18</f>
        <v>1N5_2_2</v>
      </c>
      <c r="F18" t="n" s="3">
        <v>1</v>
      </c>
      <c r="G18" t="str" s="3">
        <v>怪物</v>
      </c>
      <c r="H18" t="n" s="3">
        <v>5</v>
      </c>
      <c r="I18" t="n" s="3">
        <v>2</v>
      </c>
      <c r="J18" t="n" s="3">
        <v>2</v>
      </c>
      <c r="K18" s="3"/>
      <c r="L18" s="3"/>
      <c r="M18" s="3"/>
      <c r="N18" s="3"/>
      <c r="O18" s="3"/>
      <c r="P18" s="3"/>
      <c r="Q18" s="3"/>
      <c r="R18" s="3"/>
      <c r="S18" s="17"/>
      <c r="T18" s="18"/>
      <c r="U18"/>
      <c r="V18"/>
      <c r="W18"/>
      <c r="X18"/>
      <c r="Y18"/>
      <c r="Z18"/>
      <c r="AA18"/>
    </row>
    <row r="19" ht="15" spans="1:18">
      <c r="A19" s="35"/>
      <c r="B19" t="n" s="17">
        <f>70000000+F19*10000+H19*1000+I19*100+J19</f>
        <v>70015203</v>
      </c>
      <c r="C19" t="str" s="3">
        <v>万宝坊市-怪物15</v>
      </c>
      <c r="D19" s="3"/>
      <c r="E19" t="str" s="3">
        <f>F19&amp;(VLOOKUP(G19,编号表!$E$1:$G$8,2,0))&amp;H19&amp;"_"&amp;I19&amp;"_"&amp;J19</f>
        <v>1N5_2_3</v>
      </c>
      <c r="F19" t="n" s="3">
        <v>1</v>
      </c>
      <c r="G19" t="str" s="3">
        <v>怪物</v>
      </c>
      <c r="H19" t="n" s="3">
        <v>5</v>
      </c>
      <c r="I19" t="n" s="3">
        <v>2</v>
      </c>
      <c r="J19" t="n" s="3">
        <f>COUNTIFS($F$5:F19,F19,$I$5:I19,I19)</f>
        <v>3</v>
      </c>
      <c r="K19" s="3"/>
      <c r="L19" s="3"/>
      <c r="M19" s="3"/>
      <c r="N19" s="3"/>
      <c r="O19" s="3"/>
      <c r="P19" s="3"/>
      <c r="Q19" s="3"/>
      <c r="R19" s="3"/>
      <c r="S19" s="17"/>
      <c r="T19" s="18"/>
      <c r="U19"/>
      <c r="V19"/>
      <c r="W19"/>
      <c r="X19"/>
      <c r="Y19"/>
      <c r="Z19"/>
      <c r="AA19"/>
    </row>
    <row r="20" ht="15" spans="1:18">
      <c r="A20" s="35"/>
      <c r="B20" t="n" s="17">
        <f>70000000+F20*10000+H20*1000+I20*100+J20</f>
        <v>70015204</v>
      </c>
      <c r="C20" t="str" s="3">
        <v>万宝坊市-怪物16</v>
      </c>
      <c r="D20" s="3"/>
      <c r="E20" t="str" s="3">
        <f>F20&amp;(VLOOKUP(G20,编号表!$E$1:$G$8,2,0))&amp;H20&amp;"_"&amp;I20&amp;"_"&amp;J20</f>
        <v>1N5_2_4</v>
      </c>
      <c r="F20" t="n" s="3">
        <v>1</v>
      </c>
      <c r="G20" t="str" s="3">
        <v>怪物</v>
      </c>
      <c r="H20" t="n" s="3">
        <v>5</v>
      </c>
      <c r="I20" t="n" s="3">
        <v>2</v>
      </c>
      <c r="J20" t="n" s="3">
        <f>COUNTIFS($F$5:F20,F20,$I$5:I20,I20)</f>
        <v>4</v>
      </c>
      <c r="K20" s="3"/>
      <c r="L20" s="3"/>
      <c r="M20" s="3"/>
      <c r="N20" s="3"/>
      <c r="O20" s="3"/>
      <c r="P20" s="3"/>
      <c r="Q20" s="3"/>
      <c r="R20" s="3"/>
      <c r="S20" s="17"/>
      <c r="T20" s="18"/>
      <c r="U20"/>
      <c r="V20"/>
      <c r="W20"/>
      <c r="X20"/>
      <c r="Y20"/>
      <c r="Z20"/>
      <c r="AA20"/>
    </row>
    <row r="21" ht="15" spans="1:18">
      <c r="A21" s="35"/>
      <c r="B21" t="n" s="17">
        <f>70000000+F21*10000+H21*1000+I21*100+J21</f>
        <v>70015205</v>
      </c>
      <c r="C21" t="str" s="3">
        <v>万宝坊市-怪物17</v>
      </c>
      <c r="D21" s="3"/>
      <c r="E21" t="str" s="3">
        <f>F21&amp;(VLOOKUP(G21,编号表!$E$1:$G$8,2,0))&amp;H21&amp;"_"&amp;I21&amp;"_"&amp;J21</f>
        <v>1N5_2_5</v>
      </c>
      <c r="F21" t="n" s="3">
        <v>1</v>
      </c>
      <c r="G21" t="str" s="3">
        <v>怪物</v>
      </c>
      <c r="H21" t="n" s="3">
        <v>5</v>
      </c>
      <c r="I21" t="n" s="3">
        <v>2</v>
      </c>
      <c r="J21" t="n" s="3">
        <f>COUNTIFS($F$5:F21,F21,$I$5:I21,I21)</f>
        <v>5</v>
      </c>
      <c r="K21" s="3"/>
      <c r="L21" s="3"/>
      <c r="M21" s="3"/>
      <c r="N21" s="3"/>
      <c r="O21" s="3"/>
      <c r="P21" s="3"/>
      <c r="Q21" s="3"/>
      <c r="R21" s="3"/>
      <c r="S21" s="17"/>
      <c r="T21" s="18"/>
      <c r="U21"/>
      <c r="V21"/>
      <c r="W21"/>
      <c r="X21"/>
      <c r="Y21"/>
      <c r="Z21"/>
      <c r="AA21"/>
    </row>
    <row r="22" ht="15" spans="1:18">
      <c r="A22" s="35"/>
      <c r="B22" t="n" s="17">
        <f>70000000+F22*10000+H22*1000+I22*100+J22</f>
        <v>70015206</v>
      </c>
      <c r="C22" t="str" s="3">
        <v>万宝坊市-怪物18</v>
      </c>
      <c r="D22" s="3"/>
      <c r="E22" t="str" s="3">
        <f>F22&amp;(VLOOKUP(G22,编号表!$E$1:$G$8,2,0))&amp;H22&amp;"_"&amp;I22&amp;"_"&amp;J22</f>
        <v>1N5_2_6</v>
      </c>
      <c r="F22" t="n" s="3">
        <v>1</v>
      </c>
      <c r="G22" t="str" s="3">
        <v>怪物</v>
      </c>
      <c r="H22" t="n" s="3">
        <v>5</v>
      </c>
      <c r="I22" t="n" s="3">
        <v>2</v>
      </c>
      <c r="J22" t="n" s="3">
        <f>COUNTIFS($F$5:F22,F22,$I$5:I22,I22)</f>
        <v>6</v>
      </c>
      <c r="K22" s="3"/>
      <c r="L22" s="3"/>
      <c r="M22" s="3"/>
      <c r="N22" s="3"/>
      <c r="O22" s="3"/>
      <c r="P22" s="3"/>
      <c r="Q22" s="3"/>
      <c r="R22" s="3"/>
      <c r="S22" s="17"/>
      <c r="T22" s="18"/>
      <c r="U22"/>
      <c r="V22"/>
      <c r="W22"/>
      <c r="X22"/>
      <c r="Y22"/>
      <c r="Z22"/>
      <c r="AA22"/>
    </row>
    <row r="23" ht="15" spans="1:18">
      <c r="A23" s="35"/>
      <c r="B23" t="n" s="17">
        <f>70000000+F23*10000+H23*1000+I23*100+J23</f>
        <v>70015207</v>
      </c>
      <c r="C23" t="str" s="3">
        <v>万宝坊市-怪物19</v>
      </c>
      <c r="D23" s="3"/>
      <c r="E23" t="str" s="3">
        <f>F23&amp;(VLOOKUP(G23,编号表!$E$1:$G$8,2,0))&amp;H23&amp;"_"&amp;I23&amp;"_"&amp;J23</f>
        <v>1N5_2_7</v>
      </c>
      <c r="F23" t="n" s="3">
        <v>1</v>
      </c>
      <c r="G23" t="str" s="3">
        <v>怪物</v>
      </c>
      <c r="H23" t="n" s="3">
        <v>5</v>
      </c>
      <c r="I23" t="n" s="3">
        <v>2</v>
      </c>
      <c r="J23" t="n" s="3">
        <f>COUNTIFS($F$5:F23,F23,$I$5:I23,I23)</f>
        <v>7</v>
      </c>
      <c r="K23" s="3"/>
      <c r="L23" s="3"/>
      <c r="M23" s="3"/>
      <c r="N23" s="3"/>
      <c r="O23" s="3"/>
      <c r="P23" s="3"/>
      <c r="Q23" s="3"/>
      <c r="R23" s="3"/>
      <c r="S23" s="17"/>
      <c r="T23" s="18"/>
      <c r="U23"/>
      <c r="V23"/>
      <c r="W23"/>
      <c r="X23"/>
      <c r="Y23"/>
      <c r="Z23"/>
      <c r="AA23"/>
    </row>
    <row r="24" ht="15" spans="1:18">
      <c r="A24" s="35"/>
      <c r="B24" t="n" s="17">
        <f>70000000+F24*10000+H24*1000+I24*100+J24</f>
        <v>70015208</v>
      </c>
      <c r="C24" t="str" s="3">
        <v>万宝坊市-怪物20</v>
      </c>
      <c r="D24" s="3"/>
      <c r="E24" t="str" s="3">
        <f>F24&amp;(VLOOKUP(G24,编号表!$E$1:$G$8,2,0))&amp;H24&amp;"_"&amp;I24&amp;"_"&amp;J24</f>
        <v>1N5_2_8</v>
      </c>
      <c r="F24" t="n" s="3">
        <v>1</v>
      </c>
      <c r="G24" t="str" s="3">
        <v>怪物</v>
      </c>
      <c r="H24" t="n" s="3">
        <v>5</v>
      </c>
      <c r="I24" t="n" s="3">
        <v>2</v>
      </c>
      <c r="J24" t="n" s="3">
        <f>COUNTIFS($F$5:F24,F24,$I$5:I24,I24)</f>
        <v>8</v>
      </c>
      <c r="K24" s="3"/>
      <c r="L24" s="3"/>
      <c r="M24" s="3"/>
      <c r="N24" s="3"/>
      <c r="O24" s="3"/>
      <c r="P24" s="3"/>
      <c r="Q24" s="3"/>
      <c r="R24" t="n" s="3">
        <v>70031001</v>
      </c>
      <c r="S24" s="17"/>
      <c r="T24" s="18"/>
      <c r="U24"/>
      <c r="V24"/>
      <c r="W24"/>
      <c r="X24"/>
      <c r="Y24"/>
      <c r="Z24"/>
      <c r="AA24"/>
    </row>
    <row r="25" ht="15" spans="1:18">
      <c r="A25" s="35"/>
      <c r="B25" t="n" s="17">
        <f>70000000+F25*10000+H25*1000+I25*100+J25</f>
        <v>70015209</v>
      </c>
      <c r="C25" t="str" s="3">
        <v>万宝坊市-怪物21</v>
      </c>
      <c r="D25" s="3"/>
      <c r="E25" t="str" s="3">
        <f>F25&amp;(VLOOKUP(G25,编号表!$E$1:$G$8,2,0))&amp;H25&amp;"_"&amp;I25&amp;"_"&amp;J25</f>
        <v>1N5_2_9</v>
      </c>
      <c r="F25" t="n" s="3">
        <v>1</v>
      </c>
      <c r="G25" t="str" s="3">
        <v>怪物</v>
      </c>
      <c r="H25" t="n" s="3">
        <v>5</v>
      </c>
      <c r="I25" t="n" s="3">
        <v>2</v>
      </c>
      <c r="J25" t="n" s="3">
        <f>COUNTIFS($F$5:F25,F25,$I$5:I25,I25)</f>
        <v>9</v>
      </c>
      <c r="K25" s="3"/>
      <c r="L25" s="3"/>
      <c r="M25" s="3"/>
      <c r="N25" s="3"/>
      <c r="O25" s="3"/>
      <c r="P25" s="3"/>
      <c r="Q25" s="3"/>
      <c r="R25" t="n" s="3">
        <v>70111001</v>
      </c>
      <c r="S25" s="17"/>
      <c r="T25" s="18"/>
      <c r="U25"/>
      <c r="V25"/>
      <c r="W25"/>
      <c r="X25"/>
      <c r="Y25"/>
      <c r="Z25"/>
      <c r="AA25"/>
    </row>
    <row r="26" ht="15" spans="1:18">
      <c r="A26" s="35"/>
      <c r="B26" t="n" s="17">
        <f>70000000+F26*10000+H26*1000+I26*100+J26</f>
        <v>70015210</v>
      </c>
      <c r="C26" t="str" s="3">
        <v>万宝坊市-怪物22</v>
      </c>
      <c r="D26" s="3"/>
      <c r="E26" t="str" s="3">
        <f>F26&amp;(VLOOKUP(G26,编号表!$E$1:$G$8,2,0))&amp;H26&amp;"_"&amp;I26&amp;"_"&amp;J26</f>
        <v>1N5_2_10</v>
      </c>
      <c r="F26" t="n" s="3">
        <v>1</v>
      </c>
      <c r="G26" t="str" s="3">
        <v>怪物</v>
      </c>
      <c r="H26" t="n" s="3">
        <v>5</v>
      </c>
      <c r="I26" t="n" s="3">
        <v>2</v>
      </c>
      <c r="J26" t="n" s="3">
        <f>COUNTIFS($F$5:F26,F26,$I$5:I26,I26)</f>
        <v>10</v>
      </c>
      <c r="K26" s="3"/>
      <c r="L26" s="3"/>
      <c r="M26" s="3"/>
      <c r="N26" s="3"/>
      <c r="O26" s="3"/>
      <c r="P26" s="3"/>
      <c r="Q26" s="3"/>
      <c r="R26" t="n" s="3">
        <v>70201001</v>
      </c>
      <c r="S26" s="17"/>
      <c r="T26" s="18"/>
      <c r="U26"/>
      <c r="V26"/>
      <c r="W26"/>
      <c r="X26"/>
      <c r="Y26"/>
      <c r="Z26"/>
      <c r="AA26"/>
    </row>
    <row r="27" ht="15" spans="1:18">
      <c r="A27" s="35"/>
      <c r="B27" t="n" s="17">
        <f>70000000+F27*10000+H27*1000+I27*100+J27</f>
        <v>70015211</v>
      </c>
      <c r="C27" t="str" s="3">
        <v>万宝坊市-怪物23</v>
      </c>
      <c r="D27" s="3"/>
      <c r="E27" t="str" s="3">
        <f>F27&amp;(VLOOKUP(G27,编号表!$E$1:$G$8,2,0))&amp;H27&amp;"_"&amp;I27&amp;"_"&amp;J27</f>
        <v>1N5_2_11</v>
      </c>
      <c r="F27" t="n" s="3">
        <v>1</v>
      </c>
      <c r="G27" t="str" s="3">
        <v>怪物</v>
      </c>
      <c r="H27" t="n" s="3">
        <v>5</v>
      </c>
      <c r="I27" t="n" s="3">
        <v>2</v>
      </c>
      <c r="J27" t="n" s="3">
        <f>COUNTIFS($F$5:F27,F27,$I$5:I27,I27)</f>
        <v>11</v>
      </c>
      <c r="K27" s="3"/>
      <c r="L27" s="3"/>
      <c r="M27" s="3"/>
      <c r="N27" s="3"/>
      <c r="O27" s="3"/>
      <c r="P27" s="3"/>
      <c r="Q27" s="3"/>
      <c r="R27" t="n" s="3">
        <v>70291001</v>
      </c>
      <c r="S27" s="17"/>
      <c r="T27" s="18"/>
      <c r="U27"/>
      <c r="V27"/>
      <c r="W27"/>
      <c r="X27"/>
      <c r="Y27"/>
      <c r="Z27"/>
      <c r="AA27"/>
    </row>
    <row r="28" ht="15" spans="1:18">
      <c r="A28" s="35"/>
      <c r="B28" t="n" s="17">
        <f>70000000+F28*10000+H28*1000+I28*100+J28</f>
        <v>70015212</v>
      </c>
      <c r="C28" t="str" s="3">
        <v>万宝坊市-怪物24</v>
      </c>
      <c r="D28" s="3"/>
      <c r="E28" t="str" s="3">
        <f>F28&amp;(VLOOKUP(G28,编号表!$E$1:$G$8,2,0))&amp;H28&amp;"_"&amp;I28&amp;"_"&amp;J28</f>
        <v>1N5_2_12</v>
      </c>
      <c r="F28" t="n" s="3">
        <v>1</v>
      </c>
      <c r="G28" t="str" s="3">
        <v>怪物</v>
      </c>
      <c r="H28" t="n" s="3">
        <v>5</v>
      </c>
      <c r="I28" t="n" s="3">
        <v>2</v>
      </c>
      <c r="J28" t="n" s="3">
        <f>COUNTIFS($F$5:F28,F28,$I$5:I28,I28)</f>
        <v>12</v>
      </c>
      <c r="K28" s="3"/>
      <c r="L28" s="3"/>
      <c r="M28" s="3"/>
      <c r="N28" s="3"/>
      <c r="O28" s="3"/>
      <c r="P28" s="3"/>
      <c r="Q28" s="3"/>
      <c r="R28" t="n" s="3">
        <v>70381001</v>
      </c>
      <c r="S28" s="17"/>
      <c r="T28" s="18"/>
      <c r="U28"/>
      <c r="V28"/>
      <c r="W28"/>
      <c r="X28"/>
      <c r="Y28"/>
      <c r="Z28"/>
      <c r="AA28"/>
    </row>
    <row r="29" ht="15" spans="1:18">
      <c r="A29" s="35"/>
      <c r="B29" t="n" s="17">
        <f>70000000+F29*10000+H29*1000+I29*100+J29</f>
        <v>70015213</v>
      </c>
      <c r="C29" t="str" s="3">
        <v>万宝坊市-怪物25</v>
      </c>
      <c r="D29" s="3"/>
      <c r="E29" t="str" s="3">
        <f>F29&amp;(VLOOKUP(G29,编号表!$E$1:$G$8,2,0))&amp;H29&amp;"_"&amp;I29&amp;"_"&amp;J29</f>
        <v>1N5_2_13</v>
      </c>
      <c r="F29" t="n" s="3">
        <v>1</v>
      </c>
      <c r="G29" t="str" s="3">
        <v>怪物</v>
      </c>
      <c r="H29" t="n" s="3">
        <v>5</v>
      </c>
      <c r="I29" t="n" s="3">
        <v>2</v>
      </c>
      <c r="J29" t="n" s="3">
        <f>COUNTIFS($F$5:F29,F29,$I$5:I29,I29)</f>
        <v>13</v>
      </c>
      <c r="K29" s="3"/>
      <c r="L29" s="3"/>
      <c r="M29" s="3"/>
      <c r="N29" s="3"/>
      <c r="O29" s="3"/>
      <c r="P29" s="3"/>
      <c r="Q29" s="3"/>
      <c r="R29" t="n" s="3">
        <v>70471001</v>
      </c>
      <c r="S29" s="17"/>
      <c r="T29" s="18"/>
      <c r="U29"/>
      <c r="V29"/>
      <c r="W29"/>
      <c r="X29"/>
      <c r="Y29"/>
      <c r="Z29"/>
      <c r="AA29"/>
    </row>
    <row r="30" ht="15" spans="1:18">
      <c r="A30" s="35"/>
      <c r="B30" t="n" s="17">
        <f>70000000+F30*10000+H30*1000+I30*100+J30</f>
        <v>70015301</v>
      </c>
      <c r="C30" t="str" s="3">
        <v>万宝坊市-怪物26</v>
      </c>
      <c r="D30" s="3"/>
      <c r="E30" t="str" s="3">
        <f>F30&amp;(VLOOKUP(G30,编号表!$E$1:$G$8,2,0))&amp;H30&amp;"_"&amp;I30&amp;"_"&amp;J30</f>
        <v>1N5_3_1</v>
      </c>
      <c r="F30" t="n" s="3">
        <v>1</v>
      </c>
      <c r="G30" t="str" s="3">
        <v>怪物</v>
      </c>
      <c r="H30" t="n" s="3">
        <v>5</v>
      </c>
      <c r="I30" t="n" s="3">
        <v>3</v>
      </c>
      <c r="J30" t="n" s="3">
        <v>1</v>
      </c>
      <c r="K30" s="3"/>
      <c r="L30" s="3"/>
      <c r="M30" s="3"/>
      <c r="N30" s="3"/>
      <c r="O30" s="3"/>
      <c r="P30" s="3"/>
      <c r="Q30" s="3"/>
      <c r="R30" s="3"/>
      <c r="S30" s="17"/>
      <c r="T30" s="18"/>
      <c r="U30"/>
      <c r="V30"/>
      <c r="W30"/>
      <c r="X30"/>
      <c r="Y30"/>
      <c r="Z30"/>
      <c r="AA30"/>
    </row>
    <row r="31" ht="15" spans="1:18">
      <c r="A31" s="35"/>
      <c r="B31" t="n" s="17">
        <f>70000000+F31*10000+H31*1000+I31*100+J31</f>
        <v>70015302</v>
      </c>
      <c r="C31" t="str" s="3">
        <v>万宝坊市-怪物27</v>
      </c>
      <c r="D31" s="3"/>
      <c r="E31" t="str" s="3">
        <f>F31&amp;(VLOOKUP(G31,编号表!$E$1:$G$8,2,0))&amp;H31&amp;"_"&amp;I31&amp;"_"&amp;J31</f>
        <v>1N5_3_2</v>
      </c>
      <c r="F31" t="n" s="3">
        <v>1</v>
      </c>
      <c r="G31" t="str" s="3">
        <v>怪物</v>
      </c>
      <c r="H31" t="n" s="3">
        <v>5</v>
      </c>
      <c r="I31" t="n" s="3">
        <v>3</v>
      </c>
      <c r="J31" t="n" s="3">
        <v>2</v>
      </c>
      <c r="K31" s="3"/>
      <c r="L31" s="3"/>
      <c r="M31" s="3"/>
      <c r="N31" s="3"/>
      <c r="O31" s="3"/>
      <c r="P31" s="3"/>
      <c r="Q31" s="3"/>
      <c r="R31" s="3"/>
      <c r="S31" s="17"/>
      <c r="T31" s="18"/>
      <c r="U31"/>
      <c r="V31"/>
      <c r="W31"/>
      <c r="X31"/>
      <c r="Y31"/>
      <c r="Z31"/>
      <c r="AA31"/>
    </row>
    <row r="32" ht="15" spans="1:18">
      <c r="A32" s="35"/>
      <c r="B32" t="n" s="17">
        <f>70000000+F32*10000+H32*1000+I32*100+J32</f>
        <v>70015303</v>
      </c>
      <c r="C32" t="str" s="3">
        <v>万宝坊市-怪物28</v>
      </c>
      <c r="D32" s="3"/>
      <c r="E32" t="str" s="3">
        <f>F32&amp;(VLOOKUP(G32,编号表!$E$1:$G$8,2,0))&amp;H32&amp;"_"&amp;I32&amp;"_"&amp;J32</f>
        <v>1N5_3_3</v>
      </c>
      <c r="F32" t="n" s="3">
        <v>1</v>
      </c>
      <c r="G32" t="str" s="3">
        <v>怪物</v>
      </c>
      <c r="H32" t="n" s="3">
        <v>5</v>
      </c>
      <c r="I32" t="n" s="3">
        <v>3</v>
      </c>
      <c r="J32" t="n" s="3">
        <v>3</v>
      </c>
      <c r="K32" s="3"/>
      <c r="L32" s="3"/>
      <c r="M32" s="3"/>
      <c r="N32" s="3"/>
      <c r="O32" s="3"/>
      <c r="P32" s="3"/>
      <c r="Q32" s="3"/>
      <c r="R32" s="3"/>
      <c r="S32" s="17"/>
      <c r="T32" s="18"/>
      <c r="U32"/>
      <c r="V32"/>
      <c r="W32"/>
      <c r="X32"/>
      <c r="Y32"/>
      <c r="Z32"/>
      <c r="AA32"/>
    </row>
    <row r="33" ht="15" spans="1:10">
      <c r="A33" s="35"/>
      <c r="B33" t="n" s="17">
        <f>70000000+F33*10000+H33*1000+I33*100+J33</f>
        <v>70015304</v>
      </c>
      <c r="C33" t="str" s="3">
        <v>万宝坊市-怪物29</v>
      </c>
      <c r="D33" s="3"/>
      <c r="E33" t="str" s="3">
        <f>F33&amp;(VLOOKUP(G33,编号表!$E$1:$G$8,2,0))&amp;H33&amp;"_"&amp;I33&amp;"_"&amp;J33</f>
        <v>1N5_3_4</v>
      </c>
      <c r="F33" t="n" s="3">
        <v>1</v>
      </c>
      <c r="G33" t="str" s="3">
        <v>怪物</v>
      </c>
      <c r="H33" t="n" s="3">
        <v>5</v>
      </c>
      <c r="I33" t="n" s="3">
        <v>3</v>
      </c>
      <c r="J33" t="n" s="3">
        <v>4</v>
      </c>
      <c r="K33" s="3"/>
      <c r="L33" s="3"/>
      <c r="M33" s="3"/>
      <c r="N33" s="3"/>
      <c r="O33" s="3"/>
      <c r="P33" s="3"/>
      <c r="Q33" s="3"/>
      <c r="R33" s="3"/>
      <c r="S33" s="17"/>
      <c r="T33" s="18"/>
      <c r="U33"/>
      <c r="V33"/>
      <c r="W33"/>
      <c r="X33"/>
      <c r="Y33"/>
      <c r="Z33"/>
      <c r="AA33"/>
    </row>
    <row r="34" ht="15" spans="1:10">
      <c r="A34" s="35"/>
      <c r="B34" t="n" s="17">
        <f>70000000+F34*10000+H34*1000+I34*100+J34</f>
        <v>70015401</v>
      </c>
      <c r="C34" t="str" s="3">
        <v>万宝坊市-怪物30</v>
      </c>
      <c r="D34" s="3"/>
      <c r="E34" t="str" s="3">
        <f>F34&amp;(VLOOKUP(G34,编号表!$E$1:$G$8,2,0))&amp;H34&amp;"_"&amp;I34&amp;"_"&amp;J34</f>
        <v>1N5_4_1</v>
      </c>
      <c r="F34" t="n" s="3">
        <v>1</v>
      </c>
      <c r="G34" t="str" s="3">
        <v>怪物</v>
      </c>
      <c r="H34" t="n" s="3">
        <v>5</v>
      </c>
      <c r="I34" t="n" s="3">
        <v>4</v>
      </c>
      <c r="J34" t="n" s="3">
        <v>1</v>
      </c>
      <c r="K34" s="3"/>
      <c r="L34" s="3"/>
      <c r="M34" s="3"/>
      <c r="N34" s="3"/>
      <c r="O34" s="3"/>
      <c r="P34" s="3"/>
      <c r="Q34" s="3"/>
      <c r="R34" s="3"/>
      <c r="S34" s="17"/>
      <c r="T34" s="18"/>
      <c r="U34"/>
      <c r="V34"/>
      <c r="W34"/>
      <c r="X34"/>
      <c r="Y34"/>
      <c r="Z34"/>
      <c r="AA34"/>
    </row>
    <row r="35" ht="15" spans="1:10">
      <c r="A35" s="35"/>
      <c r="B35" t="n" s="17">
        <f>70000000+F35*10000+H35*1000+I35*100+J35</f>
        <v>70015402</v>
      </c>
      <c r="C35" t="str" s="3">
        <v>万宝坊市-怪物31</v>
      </c>
      <c r="D35" s="3"/>
      <c r="E35" t="str" s="3">
        <f>F35&amp;(VLOOKUP(G35,编号表!$E$1:$G$8,2,0))&amp;H35&amp;"_"&amp;I35&amp;"_"&amp;J35</f>
        <v>1N5_4_2</v>
      </c>
      <c r="F35" t="n" s="3">
        <v>1</v>
      </c>
      <c r="G35" t="str" s="3">
        <v>怪物</v>
      </c>
      <c r="H35" t="n" s="3">
        <v>5</v>
      </c>
      <c r="I35" t="n" s="3">
        <v>4</v>
      </c>
      <c r="J35" t="n" s="3">
        <v>2</v>
      </c>
      <c r="K35" s="3"/>
      <c r="L35" s="3"/>
      <c r="M35" s="3"/>
      <c r="N35" s="3"/>
      <c r="O35" s="3"/>
      <c r="P35" s="3"/>
      <c r="Q35" s="3"/>
      <c r="R35" s="3"/>
      <c r="S35" s="17"/>
      <c r="T35" s="18"/>
      <c r="U35"/>
      <c r="V35"/>
      <c r="W35"/>
      <c r="X35"/>
      <c r="Y35"/>
      <c r="Z35"/>
      <c r="AA35"/>
    </row>
    <row r="36" ht="15" spans="1:10">
      <c r="A36" s="35"/>
      <c r="B36" t="n" s="17">
        <f>70000000+F36*10000+H36*1000+I36*100+J36</f>
        <v>70015403</v>
      </c>
      <c r="C36" t="str" s="3">
        <v>万宝坊市-怪物32</v>
      </c>
      <c r="D36" s="3"/>
      <c r="E36" t="str" s="3">
        <f>F36&amp;(VLOOKUP(G36,编号表!$E$1:$G$8,2,0))&amp;H36&amp;"_"&amp;I36&amp;"_"&amp;J36</f>
        <v>1N5_4_3</v>
      </c>
      <c r="F36" t="n" s="3">
        <v>1</v>
      </c>
      <c r="G36" t="str" s="3">
        <v>怪物</v>
      </c>
      <c r="H36" t="n" s="3">
        <v>5</v>
      </c>
      <c r="I36" t="n" s="3">
        <v>4</v>
      </c>
      <c r="J36" t="n" s="3">
        <v>3</v>
      </c>
      <c r="K36" s="3"/>
      <c r="L36" s="3"/>
      <c r="M36" s="3"/>
      <c r="N36" s="3"/>
      <c r="O36" s="3"/>
      <c r="P36" s="3"/>
      <c r="Q36" s="3"/>
      <c r="R36" s="3"/>
      <c r="S36" s="17"/>
      <c r="T36" s="18"/>
      <c r="U36"/>
      <c r="V36"/>
      <c r="W36"/>
      <c r="X36"/>
      <c r="Y36"/>
      <c r="Z36"/>
      <c r="AA36"/>
    </row>
    <row r="37" ht="15" spans="1:10">
      <c r="A37" s="35"/>
      <c r="B37" t="n" s="17">
        <f>70000000+F37*10000+H37*1000+I37*100+J37</f>
        <v>70015404</v>
      </c>
      <c r="C37" t="str" s="3">
        <v>万宝坊市-怪物33</v>
      </c>
      <c r="D37" s="3"/>
      <c r="E37" t="str" s="3">
        <f>F37&amp;(VLOOKUP(G37,编号表!$E$1:$G$8,2,0))&amp;H37&amp;"_"&amp;I37&amp;"_"&amp;J37</f>
        <v>1N5_4_4</v>
      </c>
      <c r="F37" t="n" s="3">
        <v>1</v>
      </c>
      <c r="G37" t="str" s="3">
        <v>怪物</v>
      </c>
      <c r="H37" t="n" s="3">
        <v>5</v>
      </c>
      <c r="I37" t="n" s="3">
        <v>4</v>
      </c>
      <c r="J37" t="n" s="3">
        <v>4</v>
      </c>
      <c r="K37" s="3"/>
      <c r="L37" s="3"/>
      <c r="M37" s="3"/>
      <c r="N37" s="3"/>
      <c r="O37" s="3"/>
      <c r="P37" s="3"/>
      <c r="Q37" s="3"/>
      <c r="R37" s="3"/>
      <c r="S37" s="17"/>
      <c r="T37" s="18"/>
      <c r="U37"/>
      <c r="V37"/>
      <c r="W37"/>
      <c r="X37"/>
      <c r="Y37"/>
      <c r="Z37"/>
      <c r="AA37"/>
    </row>
    <row r="38" ht="15" spans="1:10">
      <c r="A38" s="35"/>
      <c r="B38" t="n" s="17">
        <f>70000000+F38*10000+H38*1000+I38*100+J38</f>
        <v>70015405</v>
      </c>
      <c r="C38" t="str" s="3">
        <v>万宝坊市-怪物34</v>
      </c>
      <c r="D38" s="3"/>
      <c r="E38" t="str" s="3">
        <f>F38&amp;(VLOOKUP(G38,编号表!$E$1:$G$8,2,0))&amp;H38&amp;"_"&amp;I38&amp;"_"&amp;J38</f>
        <v>1N5_4_5</v>
      </c>
      <c r="F38" t="n" s="3">
        <v>1</v>
      </c>
      <c r="G38" t="str" s="3">
        <v>怪物</v>
      </c>
      <c r="H38" t="n" s="3">
        <v>5</v>
      </c>
      <c r="I38" t="n" s="3">
        <v>4</v>
      </c>
      <c r="J38" t="n" s="3">
        <v>5</v>
      </c>
      <c r="K38" s="3"/>
      <c r="L38" s="3"/>
      <c r="M38" s="3"/>
      <c r="N38" s="3"/>
      <c r="O38" s="3"/>
      <c r="P38" s="3"/>
      <c r="Q38" s="3"/>
      <c r="R38" s="3"/>
      <c r="S38" s="17"/>
      <c r="T38" s="18"/>
      <c r="U38"/>
      <c r="V38"/>
      <c r="W38"/>
      <c r="X38"/>
      <c r="Y38"/>
      <c r="Z38"/>
      <c r="AA38"/>
    </row>
    <row r="39" ht="15" spans="1:10">
      <c r="A39" s="35"/>
      <c r="B39" t="n" s="17">
        <f>70000000+F39*10000+H39*1000+I39*100+J39</f>
        <v>70015406</v>
      </c>
      <c r="C39" t="str" s="3">
        <v>万宝坊市-怪物35</v>
      </c>
      <c r="D39" s="3"/>
      <c r="E39" t="str" s="3">
        <f>F39&amp;(VLOOKUP(G39,编号表!$E$1:$G$8,2,0))&amp;H39&amp;"_"&amp;I39&amp;"_"&amp;J39</f>
        <v>1N5_4_6</v>
      </c>
      <c r="F39" t="n" s="3">
        <v>1</v>
      </c>
      <c r="G39" t="str" s="3">
        <v>怪物</v>
      </c>
      <c r="H39" t="n" s="3">
        <v>5</v>
      </c>
      <c r="I39" t="n" s="3">
        <v>4</v>
      </c>
      <c r="J39" t="n" s="3">
        <v>6</v>
      </c>
      <c r="K39" s="3"/>
      <c r="L39" s="3"/>
      <c r="M39" s="3"/>
      <c r="N39" s="3"/>
      <c r="O39" s="3"/>
      <c r="P39" s="3"/>
      <c r="Q39" s="3"/>
      <c r="R39" s="3"/>
      <c r="S39" s="17"/>
      <c r="T39" s="18"/>
      <c r="U39"/>
      <c r="V39"/>
      <c r="W39"/>
      <c r="X39"/>
      <c r="Y39"/>
      <c r="Z39"/>
      <c r="AA39"/>
    </row>
    <row r="40" ht="15" spans="1:10">
      <c r="A40" s="35"/>
      <c r="B40" t="n" s="17">
        <f>70000000+F40*10000+H40*1000+I40*100+J40</f>
        <v>70015407</v>
      </c>
      <c r="C40" t="str" s="3">
        <v>万宝坊市-怪物36</v>
      </c>
      <c r="D40" s="3"/>
      <c r="E40" t="str" s="3">
        <f>F40&amp;(VLOOKUP(G40,编号表!$E$1:$G$8,2,0))&amp;H40&amp;"_"&amp;I40&amp;"_"&amp;J40</f>
        <v>1N5_4_7</v>
      </c>
      <c r="F40" t="n" s="3">
        <v>1</v>
      </c>
      <c r="G40" t="str" s="3">
        <v>怪物</v>
      </c>
      <c r="H40" t="n" s="3">
        <v>5</v>
      </c>
      <c r="I40" t="n" s="3">
        <v>4</v>
      </c>
      <c r="J40" t="n" s="3">
        <v>7</v>
      </c>
      <c r="K40" s="3"/>
      <c r="L40" s="3"/>
      <c r="M40" s="3"/>
      <c r="N40" s="3"/>
      <c r="O40" s="3"/>
      <c r="P40" s="3"/>
      <c r="Q40" s="3"/>
      <c r="R40" s="3"/>
      <c r="S40" s="17"/>
      <c r="T40" s="18"/>
      <c r="U40"/>
      <c r="V40"/>
      <c r="W40"/>
      <c r="X40"/>
      <c r="Y40"/>
      <c r="Z40"/>
      <c r="AA40"/>
    </row>
    <row r="41" ht="15" spans="1:10">
      <c r="A41" s="35"/>
      <c r="B41" t="n" s="17">
        <f>70000000+F41*10000+H41*1000+I41*100+J41</f>
        <v>70015408</v>
      </c>
      <c r="C41" t="str" s="3">
        <v>万宝坊市-怪物37</v>
      </c>
      <c r="D41" s="3"/>
      <c r="E41" t="str" s="3">
        <f>F41&amp;(VLOOKUP(G41,编号表!$E$1:$G$8,2,0))&amp;H41&amp;"_"&amp;I41&amp;"_"&amp;J41</f>
        <v>1N5_4_8</v>
      </c>
      <c r="F41" t="n" s="3">
        <v>1</v>
      </c>
      <c r="G41" t="str" s="3">
        <v>怪物</v>
      </c>
      <c r="H41" t="n" s="3">
        <v>5</v>
      </c>
      <c r="I41" t="n" s="3">
        <v>4</v>
      </c>
      <c r="J41" t="n" s="3">
        <v>8</v>
      </c>
      <c r="K41" s="3"/>
      <c r="L41" s="3"/>
      <c r="M41" s="3"/>
      <c r="N41" s="3"/>
      <c r="O41" s="3"/>
      <c r="P41" s="3"/>
      <c r="Q41" s="3"/>
      <c r="R41" s="3"/>
      <c r="S41" s="17"/>
      <c r="T41" s="18"/>
      <c r="U41"/>
      <c r="V41"/>
      <c r="W41"/>
      <c r="X41"/>
      <c r="Y41"/>
      <c r="Z41"/>
      <c r="AA41"/>
    </row>
    <row r="42" ht="15" spans="1:10">
      <c r="A42" s="35"/>
      <c r="B42" t="n" s="17">
        <f>70000000+F42*10000+H42*1000+I42*100+J42</f>
        <v>70015501</v>
      </c>
      <c r="C42" t="str" s="3">
        <v>万宝坊市-怪物38</v>
      </c>
      <c r="D42" s="3"/>
      <c r="E42" t="str" s="3">
        <f>F42&amp;(VLOOKUP(G42,编号表!$E$1:$G$8,2,0))&amp;H42&amp;"_"&amp;I42&amp;"_"&amp;J42</f>
        <v>1N5_5_1</v>
      </c>
      <c r="F42" t="n" s="3">
        <v>1</v>
      </c>
      <c r="G42" t="str" s="3">
        <v>怪物</v>
      </c>
      <c r="H42" t="n" s="3">
        <v>5</v>
      </c>
      <c r="I42" t="n" s="3">
        <v>5</v>
      </c>
      <c r="J42" t="n" s="3">
        <v>1</v>
      </c>
      <c r="K42" s="3"/>
      <c r="L42" s="3"/>
      <c r="M42" s="3"/>
      <c r="N42" s="3"/>
      <c r="O42" s="3"/>
      <c r="P42" s="3"/>
      <c r="Q42" s="3"/>
      <c r="R42" s="3"/>
      <c r="S42" s="17"/>
      <c r="T42" s="18"/>
      <c r="U42"/>
      <c r="V42"/>
      <c r="W42"/>
      <c r="X42"/>
      <c r="Y42"/>
      <c r="Z42"/>
      <c r="AA42"/>
    </row>
    <row r="43" ht="15" spans="1:10">
      <c r="A43" s="35"/>
      <c r="B43" t="n" s="17">
        <f>70000000+F43*10000+H43*1000+I43*100+J43</f>
        <v>70015502</v>
      </c>
      <c r="C43" t="str" s="3">
        <v>万宝坊市-怪物39</v>
      </c>
      <c r="D43" s="3"/>
      <c r="E43" t="str" s="3">
        <f>F43&amp;(VLOOKUP(G43,编号表!$E$1:$G$8,2,0))&amp;H43&amp;"_"&amp;I43&amp;"_"&amp;J43</f>
        <v>1N5_5_2</v>
      </c>
      <c r="F43" t="n" s="3">
        <v>1</v>
      </c>
      <c r="G43" t="str" s="3">
        <v>怪物</v>
      </c>
      <c r="H43" t="n" s="3">
        <v>5</v>
      </c>
      <c r="I43" t="n" s="3">
        <v>5</v>
      </c>
      <c r="J43" t="n" s="3">
        <v>2</v>
      </c>
      <c r="K43" s="3"/>
      <c r="L43" s="3"/>
      <c r="M43" s="3"/>
      <c r="N43" s="3"/>
      <c r="O43" s="3"/>
      <c r="P43" s="3"/>
      <c r="Q43" s="3"/>
      <c r="R43" s="3"/>
      <c r="S43" s="17"/>
      <c r="T43" s="18"/>
      <c r="U43"/>
      <c r="V43"/>
      <c r="W43"/>
      <c r="X43"/>
      <c r="Y43"/>
      <c r="Z43"/>
      <c r="AA43"/>
    </row>
    <row r="44" ht="15" spans="1:10">
      <c r="A44" s="35"/>
      <c r="B44" t="n" s="17">
        <f>70000000+F44*10000+H44*1000+I44*100+J44</f>
        <v>70015503</v>
      </c>
      <c r="C44" t="str" s="3">
        <v>万宝坊市-怪物40</v>
      </c>
      <c r="D44" s="3"/>
      <c r="E44" t="str" s="3">
        <f>F44&amp;(VLOOKUP(G44,编号表!$E$1:$G$8,2,0))&amp;H44&amp;"_"&amp;I44&amp;"_"&amp;J44</f>
        <v>1N5_5_3</v>
      </c>
      <c r="F44" t="n" s="3">
        <v>1</v>
      </c>
      <c r="G44" t="str" s="3">
        <v>怪物</v>
      </c>
      <c r="H44" t="n" s="3">
        <v>5</v>
      </c>
      <c r="I44" t="n" s="3">
        <v>5</v>
      </c>
      <c r="J44" t="n" s="3">
        <v>3</v>
      </c>
      <c r="K44" s="3"/>
      <c r="L44" s="3"/>
      <c r="M44" s="3"/>
      <c r="N44" s="3"/>
      <c r="O44" s="3"/>
      <c r="P44" s="3"/>
      <c r="Q44" s="3"/>
      <c r="R44" s="3"/>
      <c r="S44" s="17"/>
      <c r="T44" s="18"/>
      <c r="U44"/>
      <c r="V44"/>
      <c r="W44"/>
      <c r="X44"/>
      <c r="Y44"/>
      <c r="Z44"/>
      <c r="AA44"/>
    </row>
    <row r="45" ht="15" spans="1:10">
      <c r="A45" s="35"/>
      <c r="B45" t="n" s="17">
        <f>70000000+F45*10000+H45*1000+I45*100+J45</f>
        <v>70015504</v>
      </c>
      <c r="C45" t="str" s="3">
        <v>万宝坊市-怪物41</v>
      </c>
      <c r="D45" s="3"/>
      <c r="E45" t="str" s="3">
        <f>F45&amp;(VLOOKUP(G45,编号表!$E$1:$G$8,2,0))&amp;H45&amp;"_"&amp;I45&amp;"_"&amp;J45</f>
        <v>1N5_5_4</v>
      </c>
      <c r="F45" t="n" s="3">
        <v>1</v>
      </c>
      <c r="G45" t="str" s="3">
        <v>怪物</v>
      </c>
      <c r="H45" t="n" s="3">
        <v>5</v>
      </c>
      <c r="I45" t="n" s="3">
        <v>5</v>
      </c>
      <c r="J45" t="n" s="3">
        <v>4</v>
      </c>
      <c r="K45" s="3"/>
      <c r="L45" s="3"/>
      <c r="M45" s="3"/>
      <c r="N45" s="3"/>
      <c r="O45" s="3"/>
      <c r="P45" s="3"/>
      <c r="Q45" s="3"/>
      <c r="R45" s="3"/>
      <c r="S45" s="17"/>
      <c r="T45" s="18"/>
      <c r="U45"/>
      <c r="V45"/>
      <c r="W45"/>
      <c r="X45"/>
      <c r="Y45"/>
      <c r="Z45"/>
      <c r="AA45"/>
    </row>
    <row r="46" ht="15" spans="1:10">
      <c r="A46" s="35"/>
      <c r="B46" t="n" s="17">
        <f>70000000+F46*10000+H46*1000+I46*100+J46</f>
        <v>70015505</v>
      </c>
      <c r="C46" t="str" s="3">
        <v>万宝坊市-怪物42</v>
      </c>
      <c r="D46" s="3"/>
      <c r="E46" t="str" s="3">
        <f>F46&amp;(VLOOKUP(G46,编号表!$E$1:$G$8,2,0))&amp;H46&amp;"_"&amp;I46&amp;"_"&amp;J46</f>
        <v>1N5_5_5</v>
      </c>
      <c r="F46" t="n" s="3">
        <v>1</v>
      </c>
      <c r="G46" t="str" s="3">
        <v>怪物</v>
      </c>
      <c r="H46" t="n" s="3">
        <v>5</v>
      </c>
      <c r="I46" t="n" s="3">
        <v>5</v>
      </c>
      <c r="J46" t="n" s="3">
        <v>5</v>
      </c>
      <c r="K46" s="3"/>
      <c r="L46" s="3"/>
      <c r="M46" s="3"/>
      <c r="N46" s="3"/>
      <c r="O46" s="3"/>
      <c r="P46" s="3"/>
      <c r="Q46" s="3"/>
      <c r="R46" s="3"/>
      <c r="S46" s="17"/>
      <c r="T46" s="18"/>
      <c r="U46"/>
      <c r="V46"/>
      <c r="W46"/>
      <c r="X46"/>
      <c r="Y46"/>
      <c r="Z46"/>
      <c r="AA46"/>
    </row>
    <row r="47" ht="15" spans="1:10">
      <c r="A47" s="35"/>
      <c r="B47" t="n" s="17">
        <f>70000000+F47*10000+H47*1000+I47*100+J47</f>
        <v>70015506</v>
      </c>
      <c r="C47" t="str" s="3">
        <v>万宝坊市-怪物43</v>
      </c>
      <c r="D47" s="3"/>
      <c r="E47" t="str" s="3">
        <f>F47&amp;(VLOOKUP(G47,编号表!$E$1:$G$8,2,0))&amp;H47&amp;"_"&amp;I47&amp;"_"&amp;J47</f>
        <v>1N5_5_6</v>
      </c>
      <c r="F47" t="n" s="3">
        <v>1</v>
      </c>
      <c r="G47" t="str" s="3">
        <v>怪物</v>
      </c>
      <c r="H47" t="n" s="3">
        <v>5</v>
      </c>
      <c r="I47" t="n" s="3">
        <v>5</v>
      </c>
      <c r="J47" t="n" s="3">
        <v>6</v>
      </c>
      <c r="K47" s="3"/>
      <c r="L47" s="3"/>
      <c r="M47" s="3"/>
      <c r="N47" s="3"/>
      <c r="O47" s="3"/>
      <c r="P47" s="3"/>
      <c r="Q47" s="3"/>
      <c r="R47" s="3"/>
      <c r="S47" s="17"/>
      <c r="T47" s="18"/>
      <c r="U47"/>
      <c r="V47"/>
      <c r="W47"/>
      <c r="X47"/>
      <c r="Y47"/>
      <c r="Z47"/>
      <c r="AA47"/>
    </row>
    <row r="48" ht="13" customHeight="1" spans="1:10">
      <c r="A48" s="35"/>
      <c r="B48" t="n" s="17">
        <f>70000000+F48*10000+H48*1000+I48*100+J48</f>
        <v>70015601</v>
      </c>
      <c r="C48" t="str" s="3">
        <v>万宝坊市-怪物44</v>
      </c>
      <c r="D48" s="3"/>
      <c r="E48" t="str" s="3">
        <f>F48&amp;(VLOOKUP(G48,编号表!$E$1:$G$8,2,0))&amp;H48&amp;"_"&amp;I48&amp;"_"&amp;J48</f>
        <v>1N5_6_1</v>
      </c>
      <c r="F48" t="n" s="3">
        <v>1</v>
      </c>
      <c r="G48" t="str" s="3">
        <v>怪物</v>
      </c>
      <c r="H48" t="n" s="3">
        <v>5</v>
      </c>
      <c r="I48" t="n" s="3">
        <v>6</v>
      </c>
      <c r="J48" t="n" s="3">
        <v>1</v>
      </c>
      <c r="K48" s="3"/>
      <c r="L48" s="3"/>
      <c r="M48" s="3"/>
      <c r="N48" s="3"/>
      <c r="O48" s="3"/>
      <c r="P48" s="3"/>
      <c r="Q48" s="3"/>
      <c r="R48" s="3"/>
      <c r="S48" s="17"/>
      <c r="T48" s="18"/>
      <c r="U48"/>
      <c r="V48"/>
      <c r="W48"/>
      <c r="X48"/>
      <c r="Y48"/>
      <c r="Z48"/>
      <c r="AA48"/>
    </row>
    <row r="49" ht="13" customHeight="1" spans="1:10">
      <c r="A49" s="35"/>
      <c r="B49" t="n" s="17">
        <f>70000000+F49*10000+H49*1000+I49*100+J49</f>
        <v>70015602</v>
      </c>
      <c r="C49" t="str" s="3">
        <v>万宝坊市-怪物45</v>
      </c>
      <c r="D49" s="3"/>
      <c r="E49" t="str" s="3">
        <f>F49&amp;(VLOOKUP(G49,编号表!$E$1:$G$8,2,0))&amp;H49&amp;"_"&amp;I49&amp;"_"&amp;J49</f>
        <v>1N5_6_2</v>
      </c>
      <c r="F49" t="n" s="3">
        <v>1</v>
      </c>
      <c r="G49" t="str" s="3">
        <v>怪物</v>
      </c>
      <c r="H49" t="n" s="3">
        <v>5</v>
      </c>
      <c r="I49" t="n" s="3">
        <v>6</v>
      </c>
      <c r="J49" t="n" s="3">
        <v>2</v>
      </c>
      <c r="K49" s="3"/>
      <c r="L49" s="3"/>
      <c r="M49" s="3"/>
      <c r="N49" s="3"/>
      <c r="O49" s="3"/>
      <c r="P49" s="3"/>
      <c r="Q49" s="3"/>
      <c r="R49" s="3"/>
      <c r="S49" s="17"/>
      <c r="T49" s="18"/>
      <c r="U49"/>
      <c r="V49"/>
      <c r="W49"/>
      <c r="X49"/>
      <c r="Y49"/>
      <c r="Z49"/>
      <c r="AA49"/>
    </row>
    <row r="50" ht="13" customHeight="1" spans="1:10">
      <c r="A50" s="35"/>
      <c r="B50" t="n" s="17">
        <f>70000000+F50*10000+H50*1000+I50*100+J50</f>
        <v>70015603</v>
      </c>
      <c r="C50" t="str" s="3">
        <v>万宝坊市-怪物46</v>
      </c>
      <c r="D50" s="3"/>
      <c r="E50" t="str" s="3">
        <f>F50&amp;(VLOOKUP(G50,编号表!$E$1:$G$8,2,0))&amp;H50&amp;"_"&amp;I50&amp;"_"&amp;J50</f>
        <v>1N5_6_3</v>
      </c>
      <c r="F50" t="n" s="3">
        <v>1</v>
      </c>
      <c r="G50" t="str" s="3">
        <v>怪物</v>
      </c>
      <c r="H50" t="n" s="3">
        <v>5</v>
      </c>
      <c r="I50" t="n" s="3">
        <v>6</v>
      </c>
      <c r="J50" t="n" s="3">
        <v>3</v>
      </c>
      <c r="K50" s="3"/>
      <c r="L50" s="3"/>
      <c r="M50" s="3"/>
      <c r="N50" s="3"/>
      <c r="O50" s="3"/>
      <c r="P50" s="3"/>
      <c r="Q50" s="3"/>
      <c r="R50" s="3"/>
      <c r="S50" s="17"/>
      <c r="T50" s="18"/>
      <c r="U50"/>
      <c r="V50"/>
      <c r="W50"/>
      <c r="X50"/>
      <c r="Y50"/>
      <c r="Z50"/>
      <c r="AA50"/>
    </row>
    <row r="51" ht="13" customHeight="1" spans="1:10">
      <c r="A51" s="35"/>
      <c r="B51" t="n" s="17">
        <f>70000000+F51*10000+H51*1000+I51*100+J51</f>
        <v>70015604</v>
      </c>
      <c r="C51" t="str" s="3">
        <v>万宝坊市-怪物47</v>
      </c>
      <c r="D51" s="3"/>
      <c r="E51" t="str" s="3">
        <f>F51&amp;(VLOOKUP(G51,编号表!$E$1:$G$8,2,0))&amp;H51&amp;"_"&amp;I51&amp;"_"&amp;J51</f>
        <v>1N5_6_4</v>
      </c>
      <c r="F51" t="n" s="3">
        <v>1</v>
      </c>
      <c r="G51" t="str" s="3">
        <v>怪物</v>
      </c>
      <c r="H51" t="n" s="3">
        <v>5</v>
      </c>
      <c r="I51" t="n" s="3">
        <v>6</v>
      </c>
      <c r="J51" t="n" s="3">
        <v>4</v>
      </c>
      <c r="K51" s="3"/>
      <c r="L51" s="3"/>
      <c r="M51" s="3"/>
      <c r="N51" s="3"/>
      <c r="O51" s="3"/>
      <c r="P51" s="3"/>
      <c r="Q51" s="3"/>
      <c r="R51" s="3"/>
      <c r="S51" s="17"/>
      <c r="T51" s="18"/>
      <c r="U51"/>
      <c r="V51"/>
      <c r="W51"/>
      <c r="X51"/>
      <c r="Y51"/>
      <c r="Z51"/>
      <c r="AA51"/>
    </row>
    <row r="52" ht="12" customHeight="1" spans="1:10">
      <c r="A52" s="35"/>
      <c r="B52" t="n" s="17">
        <f>70000000+F52*10000+H52*1000+I52*100+J52</f>
        <v>70015605</v>
      </c>
      <c r="C52" t="str" s="3">
        <v>万宝坊市-怪物48</v>
      </c>
      <c r="D52" s="3"/>
      <c r="E52" t="str" s="3">
        <f>F52&amp;(VLOOKUP(G52,编号表!$E$1:$G$8,2,0))&amp;H52&amp;"_"&amp;I52&amp;"_"&amp;J52</f>
        <v>1N5_6_5</v>
      </c>
      <c r="F52" t="n" s="3">
        <v>1</v>
      </c>
      <c r="G52" t="str" s="3">
        <v>怪物</v>
      </c>
      <c r="H52" t="n" s="3">
        <v>5</v>
      </c>
      <c r="I52" t="n" s="3">
        <v>6</v>
      </c>
      <c r="J52" t="n" s="3">
        <v>5</v>
      </c>
      <c r="K52" s="3"/>
      <c r="L52" s="3"/>
      <c r="M52" s="3"/>
      <c r="N52" s="3"/>
      <c r="O52" s="3"/>
      <c r="P52" s="3"/>
      <c r="Q52" s="3"/>
      <c r="R52" s="3"/>
      <c r="S52" s="17"/>
      <c r="T52" s="18"/>
      <c r="U52"/>
      <c r="V52"/>
      <c r="W52"/>
      <c r="X52"/>
      <c r="Y52"/>
      <c r="Z52"/>
      <c r="AA52"/>
    </row>
    <row r="53" ht="12" customHeight="1" spans="1:10">
      <c r="A53" s="35"/>
      <c r="B53" t="n" s="17">
        <f>70000000+F53*10000+H53*1000+I53*100+J53</f>
        <v>70015606</v>
      </c>
      <c r="C53" t="str" s="3">
        <v>万宝坊市-怪物49</v>
      </c>
      <c r="D53" s="3"/>
      <c r="E53" t="str" s="3">
        <f>F53&amp;(VLOOKUP(G53,编号表!$E$1:$G$8,2,0))&amp;H53&amp;"_"&amp;I53&amp;"_"&amp;J53</f>
        <v>1N5_6_6</v>
      </c>
      <c r="F53" t="n" s="3">
        <v>1</v>
      </c>
      <c r="G53" t="str" s="3">
        <v>怪物</v>
      </c>
      <c r="H53" t="n" s="3">
        <v>5</v>
      </c>
      <c r="I53" t="n" s="3">
        <v>6</v>
      </c>
      <c r="J53" t="n" s="3">
        <v>6</v>
      </c>
      <c r="K53" s="3"/>
      <c r="L53" s="3"/>
      <c r="M53" s="3"/>
      <c r="N53" s="3"/>
      <c r="O53" s="3"/>
      <c r="P53" s="3"/>
      <c r="Q53" s="3"/>
      <c r="R53" s="3"/>
      <c r="S53" s="17"/>
      <c r="T53" s="18"/>
      <c r="U53"/>
      <c r="V53"/>
      <c r="W53"/>
      <c r="X53"/>
      <c r="Y53"/>
      <c r="Z53"/>
      <c r="AA53"/>
    </row>
    <row r="54" ht="12" customHeight="1" spans="1:10">
      <c r="A54" t="str" s="35">
        <v> </v>
      </c>
      <c r="B54" t="n" s="17">
        <f>70000000+F54*10000+H54*1000+I54*100+J54</f>
        <v>70015701</v>
      </c>
      <c r="C54" t="str" s="3">
        <v>万宝坊市-怪物51</v>
      </c>
      <c r="D54" s="3"/>
      <c r="E54" t="str" s="3">
        <f>F54&amp;(VLOOKUP(G54,编号表!$E$1:$G$8,2,0))&amp;H54&amp;"_"&amp;I54&amp;"_"&amp;J54</f>
        <v>1N5_7_1</v>
      </c>
      <c r="F54" t="n" s="3">
        <v>1</v>
      </c>
      <c r="G54" t="str" s="3">
        <v>怪物</v>
      </c>
      <c r="H54" t="n" s="3">
        <v>5</v>
      </c>
      <c r="I54" t="n" s="3">
        <v>7</v>
      </c>
      <c r="J54" t="n" s="3">
        <v>1</v>
      </c>
      <c r="K54" s="3"/>
      <c r="L54" s="3"/>
      <c r="M54" s="3"/>
      <c r="N54" s="3"/>
      <c r="O54" s="3"/>
      <c r="P54" s="3"/>
      <c r="Q54" s="3"/>
      <c r="R54" s="3"/>
      <c r="S54" s="17"/>
      <c r="T54" s="18"/>
      <c r="U54"/>
      <c r="V54"/>
      <c r="W54"/>
      <c r="X54"/>
      <c r="Y54"/>
      <c r="Z54"/>
      <c r="AA54"/>
    </row>
    <row r="55" ht="12" customHeight="1" spans="1:10">
      <c r="A55" t="str" s="35">
        <v> </v>
      </c>
      <c r="B55" t="n" s="17">
        <f>70000000+F55*10000+H55*1000+I55*100+J55</f>
        <v>70015702</v>
      </c>
      <c r="C55" t="str" s="3">
        <v>万宝坊市-怪物52</v>
      </c>
      <c r="D55" s="3"/>
      <c r="E55" t="str" s="3">
        <f>F55&amp;(VLOOKUP(G55,编号表!$E$1:$G$8,2,0))&amp;H55&amp;"_"&amp;I55&amp;"_"&amp;J55</f>
        <v>1N5_7_2</v>
      </c>
      <c r="F55" t="n" s="3">
        <v>1</v>
      </c>
      <c r="G55" t="str" s="3">
        <v>怪物</v>
      </c>
      <c r="H55" t="n" s="3">
        <v>5</v>
      </c>
      <c r="I55" t="n" s="3">
        <v>7</v>
      </c>
      <c r="J55" t="n" s="3">
        <v>2</v>
      </c>
      <c r="K55" s="3"/>
      <c r="L55" s="3"/>
      <c r="M55" s="3"/>
      <c r="N55" s="3"/>
      <c r="O55" s="3"/>
      <c r="P55" s="3"/>
      <c r="Q55" s="3"/>
      <c r="R55" s="3"/>
      <c r="S55" s="17"/>
      <c r="T55" s="18"/>
      <c r="U55"/>
      <c r="V55"/>
      <c r="W55"/>
      <c r="X55"/>
      <c r="Y55"/>
      <c r="Z55"/>
      <c r="AA55"/>
    </row>
    <row r="56" ht="12" customHeight="1" spans="1:10">
      <c r="A56" t="str" s="35">
        <v> </v>
      </c>
      <c r="B56" t="n" s="17">
        <f>70000000+F56*10000+H56*1000+I56*100+J56</f>
        <v>70015703</v>
      </c>
      <c r="C56" t="str" s="3">
        <v>万宝坊市-怪物53</v>
      </c>
      <c r="D56" s="3"/>
      <c r="E56" t="str" s="3">
        <f>F56&amp;(VLOOKUP(G56,编号表!$E$1:$G$8,2,0))&amp;H56&amp;"_"&amp;I56&amp;"_"&amp;J56</f>
        <v>1N5_7_3</v>
      </c>
      <c r="F56" t="n" s="3">
        <v>1</v>
      </c>
      <c r="G56" t="str" s="3">
        <v>怪物</v>
      </c>
      <c r="H56" t="n" s="3">
        <v>5</v>
      </c>
      <c r="I56" t="n" s="3">
        <v>7</v>
      </c>
      <c r="J56" t="n" s="3">
        <v>3</v>
      </c>
      <c r="K56" s="3"/>
      <c r="L56" s="3"/>
      <c r="M56" s="3"/>
      <c r="N56" s="3"/>
      <c r="O56" s="3"/>
      <c r="P56" s="3"/>
      <c r="Q56" s="3"/>
      <c r="R56" s="3"/>
      <c r="S56" s="17"/>
      <c r="T56" s="18"/>
      <c r="U56"/>
      <c r="V56"/>
      <c r="W56"/>
      <c r="X56"/>
      <c r="Y56"/>
      <c r="Z56"/>
      <c r="AA56"/>
    </row>
    <row r="57" ht="12" customHeight="1" spans="1:10">
      <c r="A57" t="str" s="35">
        <v> </v>
      </c>
      <c r="B57" t="n" s="17">
        <f>70000000+F57*10000+H57*1000+I57*100+J57</f>
        <v>70015704</v>
      </c>
      <c r="C57" t="str" s="3">
        <v>万宝坊市-怪物54</v>
      </c>
      <c r="D57" s="3"/>
      <c r="E57" t="str" s="3">
        <f>F57&amp;(VLOOKUP(G57,编号表!$E$1:$G$8,2,0))&amp;H57&amp;"_"&amp;I57&amp;"_"&amp;J57</f>
        <v>1N5_7_4</v>
      </c>
      <c r="F57" t="n" s="3">
        <v>1</v>
      </c>
      <c r="G57" t="str" s="3">
        <v>怪物</v>
      </c>
      <c r="H57" t="n" s="3">
        <v>5</v>
      </c>
      <c r="I57" t="n" s="3">
        <v>7</v>
      </c>
      <c r="J57" t="n" s="3">
        <v>4</v>
      </c>
      <c r="K57" s="3"/>
      <c r="L57" s="3"/>
      <c r="M57" s="3"/>
      <c r="N57" s="3"/>
      <c r="O57" s="3"/>
      <c r="P57" s="3"/>
      <c r="Q57" s="3"/>
      <c r="R57" s="3"/>
      <c r="S57" s="17"/>
      <c r="T57" s="18"/>
      <c r="U57"/>
      <c r="V57"/>
      <c r="W57"/>
      <c r="X57"/>
      <c r="Y57"/>
      <c r="Z57"/>
      <c r="AA57"/>
    </row>
    <row r="58" ht="12" customHeight="1" spans="1:10">
      <c r="A58" t="str" s="35">
        <v> </v>
      </c>
      <c r="B58" t="n" s="17">
        <f>70000000+F58*10000+H58*1000+I58*100+J58</f>
        <v>70015705</v>
      </c>
      <c r="C58" t="str" s="3">
        <v>万宝坊市-怪物55</v>
      </c>
      <c r="D58" s="3"/>
      <c r="E58" t="str" s="3">
        <f>F58&amp;(VLOOKUP(G58,编号表!$E$1:$G$8,2,0))&amp;H58&amp;"_"&amp;I58&amp;"_"&amp;J58</f>
        <v>1N5_7_5</v>
      </c>
      <c r="F58" t="n" s="3">
        <v>1</v>
      </c>
      <c r="G58" t="str" s="3">
        <v>怪物</v>
      </c>
      <c r="H58" t="n" s="3">
        <v>5</v>
      </c>
      <c r="I58" t="n" s="3">
        <v>7</v>
      </c>
      <c r="J58" t="n" s="3">
        <v>5</v>
      </c>
      <c r="K58" s="3"/>
      <c r="L58" s="3"/>
      <c r="M58" s="3"/>
      <c r="N58" s="3"/>
      <c r="O58" s="3"/>
      <c r="P58" s="3"/>
      <c r="Q58" s="3"/>
      <c r="R58" s="3"/>
      <c r="S58" s="17"/>
      <c r="T58" s="18"/>
      <c r="U58"/>
      <c r="V58"/>
      <c r="W58"/>
      <c r="X58"/>
      <c r="Y58"/>
      <c r="Z58"/>
      <c r="AA58"/>
    </row>
    <row r="59" ht="12" customHeight="1" spans="1:10">
      <c r="A59" t="str" s="35">
        <v> </v>
      </c>
      <c r="B59" t="n" s="17">
        <f>70000000+F59*10000+H59*1000+I59*100+J59</f>
        <v>70015706</v>
      </c>
      <c r="C59" t="str" s="3">
        <v>万宝坊市-怪物56</v>
      </c>
      <c r="D59" s="3"/>
      <c r="E59" t="str" s="3">
        <f>F59&amp;(VLOOKUP(G59,编号表!$E$1:$G$8,2,0))&amp;H59&amp;"_"&amp;I59&amp;"_"&amp;J59</f>
        <v>1N5_7_6</v>
      </c>
      <c r="F59" t="n" s="3">
        <v>1</v>
      </c>
      <c r="G59" t="str" s="3">
        <v>怪物</v>
      </c>
      <c r="H59" t="n" s="3">
        <v>5</v>
      </c>
      <c r="I59" t="n" s="3">
        <v>7</v>
      </c>
      <c r="J59" t="n" s="3">
        <v>6</v>
      </c>
      <c r="K59" s="3"/>
      <c r="L59" s="3"/>
      <c r="M59" s="3"/>
      <c r="N59" s="3"/>
      <c r="O59" s="3"/>
      <c r="P59" s="3"/>
      <c r="Q59" s="3"/>
      <c r="R59" s="3"/>
      <c r="S59" s="17"/>
      <c r="T59" s="18"/>
      <c r="U59"/>
      <c r="V59"/>
      <c r="W59"/>
      <c r="X59"/>
      <c r="Y59"/>
      <c r="Z59"/>
      <c r="AA59"/>
    </row>
    <row r="60" ht="12" customHeight="1" spans="1:10">
      <c r="A60" t="str" s="35">
        <v> </v>
      </c>
      <c r="B60" t="n" s="17">
        <f>70000000+F60*10000+H60*1000+I60*100+J60</f>
        <v>70015707</v>
      </c>
      <c r="C60" t="str" s="3">
        <v>万宝坊市-怪物57</v>
      </c>
      <c r="D60" s="3"/>
      <c r="E60" t="str" s="3">
        <f>F60&amp;(VLOOKUP(G60,编号表!$E$1:$G$8,2,0))&amp;H60&amp;"_"&amp;I60&amp;"_"&amp;J60</f>
        <v>1N5_7_7</v>
      </c>
      <c r="F60" t="n" s="3">
        <v>1</v>
      </c>
      <c r="G60" t="str" s="3">
        <v>怪物</v>
      </c>
      <c r="H60" t="n" s="3">
        <v>5</v>
      </c>
      <c r="I60" t="n" s="3">
        <v>7</v>
      </c>
      <c r="J60" t="n" s="3">
        <v>7</v>
      </c>
      <c r="K60" s="3"/>
      <c r="L60" s="3"/>
      <c r="M60" s="3"/>
      <c r="N60" s="3"/>
      <c r="O60" s="3"/>
      <c r="P60" s="3"/>
      <c r="Q60" s="3"/>
      <c r="R60" s="3"/>
      <c r="S60" s="17"/>
      <c r="T60" s="18"/>
      <c r="U60"/>
      <c r="V60"/>
      <c r="W60"/>
      <c r="X60"/>
      <c r="Y60"/>
      <c r="Z60"/>
      <c r="AA60"/>
    </row>
    <row r="61" ht="12" customHeight="1" spans="1:10">
      <c r="A61" t="str" s="35">
        <v> </v>
      </c>
      <c r="B61" t="n" s="17">
        <f>70000000+F61*10000+H61*1000+I61*100+J61</f>
        <v>70015708</v>
      </c>
      <c r="C61" t="str" s="3">
        <v>万宝坊市-怪物58</v>
      </c>
      <c r="D61" s="3"/>
      <c r="E61" t="str" s="3">
        <f>F61&amp;(VLOOKUP(G61,编号表!$E$1:$G$8,2,0))&amp;H61&amp;"_"&amp;I61&amp;"_"&amp;J61</f>
        <v>1N5_7_8</v>
      </c>
      <c r="F61" t="n" s="3">
        <v>1</v>
      </c>
      <c r="G61" t="str" s="3">
        <v>怪物</v>
      </c>
      <c r="H61" t="n" s="3">
        <v>5</v>
      </c>
      <c r="I61" t="n" s="3">
        <v>7</v>
      </c>
      <c r="J61" t="n" s="3">
        <v>8</v>
      </c>
      <c r="K61" s="3"/>
      <c r="L61" s="3"/>
      <c r="M61" s="3"/>
      <c r="N61" s="3"/>
      <c r="O61" s="3"/>
      <c r="P61" s="3"/>
      <c r="Q61" s="3"/>
      <c r="R61" s="3"/>
      <c r="S61" s="17"/>
      <c r="T61" s="18"/>
      <c r="U61"/>
      <c r="V61"/>
      <c r="W61"/>
      <c r="X61"/>
      <c r="Y61"/>
      <c r="Z61"/>
      <c r="AA61"/>
    </row>
    <row r="62" ht="12" customHeight="1" spans="1:10">
      <c r="A62" t="str" s="35">
        <v> </v>
      </c>
      <c r="B62" t="n" s="17">
        <f>70000000+F62*10000+H62*1000+I62*100+J62</f>
        <v>70015709</v>
      </c>
      <c r="C62" t="str" s="3">
        <v>万宝坊市-怪物59</v>
      </c>
      <c r="D62" s="3"/>
      <c r="E62" t="str" s="3">
        <f>F62&amp;(VLOOKUP(G62,编号表!$E$1:$G$8,2,0))&amp;H62&amp;"_"&amp;I62&amp;"_"&amp;J62</f>
        <v>1N5_7_9</v>
      </c>
      <c r="F62" t="n" s="3">
        <v>1</v>
      </c>
      <c r="G62" t="str" s="3">
        <v>怪物</v>
      </c>
      <c r="H62" t="n" s="3">
        <v>5</v>
      </c>
      <c r="I62" t="n" s="3">
        <v>7</v>
      </c>
      <c r="J62" t="n" s="3">
        <v>9</v>
      </c>
      <c r="K62" s="3"/>
      <c r="L62" s="3"/>
      <c r="M62" s="3"/>
      <c r="N62" s="3"/>
      <c r="O62" s="3"/>
      <c r="P62" s="3"/>
      <c r="Q62" s="3"/>
      <c r="R62" s="3"/>
      <c r="S62" s="17"/>
      <c r="T62" s="18"/>
      <c r="U62"/>
      <c r="V62"/>
      <c r="W62"/>
      <c r="X62"/>
      <c r="Y62"/>
      <c r="Z62"/>
      <c r="AA62"/>
    </row>
    <row r="63" ht="12" customHeight="1" spans="1:10">
      <c r="A63" t="str" s="35">
        <v> </v>
      </c>
      <c r="B63" t="n" s="17">
        <f>70000000+F63*10000+H63*1000+I63*100+J63</f>
        <v>70015710</v>
      </c>
      <c r="C63" t="str" s="3">
        <v>万宝坊市-怪物60</v>
      </c>
      <c r="D63" s="3"/>
      <c r="E63" t="str" s="3">
        <f>F63&amp;(VLOOKUP(G63,编号表!$E$1:$G$8,2,0))&amp;H63&amp;"_"&amp;I63&amp;"_"&amp;J63</f>
        <v>1N5_7_10</v>
      </c>
      <c r="F63" t="n" s="3">
        <v>1</v>
      </c>
      <c r="G63" t="str" s="3">
        <v>怪物</v>
      </c>
      <c r="H63" t="n" s="3">
        <v>5</v>
      </c>
      <c r="I63" t="n" s="3">
        <v>7</v>
      </c>
      <c r="J63" t="n" s="3">
        <v>10</v>
      </c>
      <c r="K63" s="3"/>
      <c r="L63" s="3"/>
      <c r="M63" s="3"/>
      <c r="N63" s="3"/>
      <c r="O63" s="3"/>
      <c r="P63" s="3"/>
      <c r="Q63" s="3"/>
      <c r="R63" s="3"/>
      <c r="S63" s="17"/>
      <c r="T63" s="18"/>
      <c r="U63"/>
      <c r="V63"/>
      <c r="W63"/>
      <c r="X63"/>
      <c r="Y63"/>
      <c r="Z63"/>
      <c r="AA63"/>
    </row>
    <row r="64" ht="12" customHeight="1" spans="1:10">
      <c r="A64" t="str" s="35">
        <v> </v>
      </c>
      <c r="B64" t="n" s="17">
        <f>70000000+F64*10000+H64*1000+I64*100+J64</f>
        <v>70015711</v>
      </c>
      <c r="C64" t="str" s="3">
        <v>万宝坊市-怪物61</v>
      </c>
      <c r="D64" s="3"/>
      <c r="E64" t="str" s="3">
        <f>F64&amp;(VLOOKUP(G64,编号表!$E$1:$G$8,2,0))&amp;H64&amp;"_"&amp;I64&amp;"_"&amp;J64</f>
        <v>1N5_7_11</v>
      </c>
      <c r="F64" t="n" s="3">
        <v>1</v>
      </c>
      <c r="G64" t="str" s="3">
        <v>怪物</v>
      </c>
      <c r="H64" t="n" s="3">
        <v>5</v>
      </c>
      <c r="I64" t="n" s="3">
        <v>7</v>
      </c>
      <c r="J64" t="n" s="3">
        <v>11</v>
      </c>
      <c r="K64" s="3"/>
      <c r="L64" s="3"/>
      <c r="M64" s="3"/>
      <c r="N64" s="3"/>
      <c r="O64" s="3"/>
      <c r="P64" s="3"/>
      <c r="Q64" s="3"/>
      <c r="R64" s="3"/>
      <c r="S64" s="17"/>
      <c r="T64" s="18"/>
      <c r="U64"/>
      <c r="V64"/>
      <c r="W64"/>
      <c r="X64"/>
      <c r="Y64"/>
      <c r="Z64"/>
      <c r="AA64"/>
    </row>
    <row r="65" ht="12" customHeight="1" spans="1:10">
      <c r="A65" t="str" s="35">
        <v> </v>
      </c>
      <c r="B65" t="n" s="17">
        <f>70000000+F65*10000+H65*1000+I65*100+J65</f>
        <v>70015712</v>
      </c>
      <c r="C65" t="str" s="3">
        <v>万宝坊市-怪物62</v>
      </c>
      <c r="D65" s="3"/>
      <c r="E65" t="str" s="3">
        <f>F65&amp;(VLOOKUP(G65,编号表!$E$1:$G$8,2,0))&amp;H65&amp;"_"&amp;I65&amp;"_"&amp;J65</f>
        <v>1N5_7_12</v>
      </c>
      <c r="F65" t="n" s="3">
        <v>1</v>
      </c>
      <c r="G65" t="str" s="3">
        <v>怪物</v>
      </c>
      <c r="H65" t="n" s="3">
        <v>5</v>
      </c>
      <c r="I65" t="n" s="3">
        <v>7</v>
      </c>
      <c r="J65" t="n" s="3">
        <v>12</v>
      </c>
      <c r="K65" s="3"/>
      <c r="L65" s="3"/>
      <c r="M65" s="3"/>
      <c r="N65" s="3"/>
      <c r="O65" s="3"/>
      <c r="P65" s="3"/>
      <c r="Q65" s="3"/>
      <c r="R65" s="3"/>
      <c r="S65" s="17"/>
      <c r="T65" s="18"/>
      <c r="U65"/>
      <c r="V65"/>
      <c r="W65"/>
      <c r="X65"/>
      <c r="Y65"/>
      <c r="Z65"/>
      <c r="AA65"/>
    </row>
    <row r="66" ht="12" customHeight="1" spans="1:10">
      <c r="A66" t="str" s="35">
        <v> </v>
      </c>
      <c r="B66" t="n" s="17">
        <f>70000000+F66*10000+H66*1000+I66*100+J66</f>
        <v>70015713</v>
      </c>
      <c r="C66" t="str" s="3">
        <v>万宝坊市-怪物63</v>
      </c>
      <c r="D66" s="3"/>
      <c r="E66" t="str" s="3">
        <f>F66&amp;(VLOOKUP(G66,编号表!$E$1:$G$8,2,0))&amp;H66&amp;"_"&amp;I66&amp;"_"&amp;J66</f>
        <v>1N5_7_13</v>
      </c>
      <c r="F66" t="n" s="3">
        <v>1</v>
      </c>
      <c r="G66" t="str" s="3">
        <v>怪物</v>
      </c>
      <c r="H66" t="n" s="3">
        <v>5</v>
      </c>
      <c r="I66" t="n" s="3">
        <v>7</v>
      </c>
      <c r="J66" t="n" s="3">
        <v>13</v>
      </c>
      <c r="K66" s="3"/>
      <c r="L66" s="3"/>
      <c r="M66" s="3"/>
      <c r="N66" s="3"/>
      <c r="O66" s="3"/>
      <c r="P66" s="3"/>
      <c r="Q66" s="3"/>
      <c r="R66" s="3"/>
      <c r="S66" s="17"/>
      <c r="T66" s="18"/>
      <c r="U66"/>
      <c r="V66"/>
      <c r="W66"/>
      <c r="X66"/>
      <c r="Y66"/>
      <c r="Z66"/>
      <c r="AA66"/>
    </row>
    <row r="67" ht="12" customHeight="1" spans="1:10">
      <c r="A67" t="str" s="35">
        <v> </v>
      </c>
      <c r="B67" t="n" s="17">
        <f>70000000+F67*10000+H67*1000+I67*100+J67</f>
        <v>70015714</v>
      </c>
      <c r="C67" t="str" s="3">
        <v>万宝坊市-怪物64</v>
      </c>
      <c r="D67" s="3"/>
      <c r="E67" t="str" s="3">
        <f>F67&amp;(VLOOKUP(G67,编号表!$E$1:$G$8,2,0))&amp;H67&amp;"_"&amp;I67&amp;"_"&amp;J67</f>
        <v>1N5_7_14</v>
      </c>
      <c r="F67" t="n" s="3">
        <v>1</v>
      </c>
      <c r="G67" t="str" s="3">
        <v>怪物</v>
      </c>
      <c r="H67" t="n" s="3">
        <v>5</v>
      </c>
      <c r="I67" t="n" s="3">
        <v>7</v>
      </c>
      <c r="J67" t="n" s="3">
        <v>14</v>
      </c>
      <c r="K67" s="3"/>
      <c r="L67" s="3"/>
      <c r="M67" s="3"/>
      <c r="N67" s="3"/>
      <c r="O67" s="3"/>
      <c r="P67" s="3"/>
      <c r="Q67" s="3"/>
      <c r="R67" s="3"/>
      <c r="S67" s="17"/>
      <c r="T67" s="18"/>
      <c r="U67"/>
      <c r="V67"/>
      <c r="W67"/>
      <c r="X67"/>
      <c r="Y67"/>
      <c r="Z67"/>
      <c r="AA67"/>
    </row>
    <row r="68" ht="11" customHeight="1" spans="1:10">
      <c r="A68" t="str" s="35">
        <v> </v>
      </c>
      <c r="B68" t="n" s="17">
        <f>70000000+F68*10000+H68*1000+I68*100+J68</f>
        <v>70015801</v>
      </c>
      <c r="C68" t="str" s="3">
        <v>万宝坊市-怪物65</v>
      </c>
      <c r="D68" s="3"/>
      <c r="E68" t="str" s="3">
        <f>F68&amp;(VLOOKUP(G68,编号表!$E$1:$G$8,2,0))&amp;H68&amp;"_"&amp;I68&amp;"_"&amp;J68</f>
        <v>1N5_8_1</v>
      </c>
      <c r="F68" t="n" s="3">
        <v>1</v>
      </c>
      <c r="G68" t="str" s="3">
        <v>怪物</v>
      </c>
      <c r="H68" t="n" s="3">
        <v>5</v>
      </c>
      <c r="I68" t="n" s="3">
        <v>8</v>
      </c>
      <c r="J68" t="n" s="3">
        <v>1</v>
      </c>
      <c r="K68" s="3"/>
      <c r="L68" s="3"/>
      <c r="M68" s="3"/>
      <c r="N68" s="3"/>
      <c r="O68" s="3"/>
      <c r="P68" s="3"/>
      <c r="Q68" s="3"/>
      <c r="R68" s="3"/>
      <c r="S68" s="17"/>
      <c r="T68" s="18"/>
      <c r="U68"/>
      <c r="V68"/>
      <c r="W68"/>
      <c r="X68"/>
      <c r="Y68"/>
      <c r="Z68"/>
      <c r="AA68"/>
    </row>
    <row r="69" ht="11" customHeight="1" spans="1:10">
      <c r="A69" t="str" s="35">
        <v> </v>
      </c>
      <c r="B69" t="n" s="17">
        <f>70000000+F69*10000+H69*1000+I69*100+J69</f>
        <v>70015802</v>
      </c>
      <c r="C69" t="str" s="3">
        <v>万宝坊市-怪物66</v>
      </c>
      <c r="D69" s="3"/>
      <c r="E69" t="str" s="3">
        <f>F69&amp;(VLOOKUP(G69,编号表!$E$1:$G$8,2,0))&amp;H69&amp;"_"&amp;I69&amp;"_"&amp;J69</f>
        <v>1N5_8_2</v>
      </c>
      <c r="F69" t="n" s="3">
        <v>1</v>
      </c>
      <c r="G69" t="str" s="3">
        <v>怪物</v>
      </c>
      <c r="H69" t="n" s="3">
        <v>5</v>
      </c>
      <c r="I69" t="n" s="3">
        <v>8</v>
      </c>
      <c r="J69" t="n" s="3">
        <v>2</v>
      </c>
      <c r="K69" s="3"/>
      <c r="L69" s="3"/>
      <c r="M69" s="3"/>
      <c r="N69" s="3"/>
      <c r="O69" s="3"/>
      <c r="P69" s="3"/>
      <c r="Q69" s="3"/>
      <c r="R69" s="3"/>
      <c r="S69" s="17"/>
      <c r="T69" s="18"/>
      <c r="U69"/>
      <c r="V69"/>
      <c r="W69"/>
      <c r="X69"/>
      <c r="Y69"/>
      <c r="Z69"/>
      <c r="AA69"/>
    </row>
    <row r="70" ht="11" customHeight="1" spans="1:10">
      <c r="A70" t="str" s="35">
        <v> </v>
      </c>
      <c r="B70" t="n" s="17">
        <f>70000000+F70*10000+H70*1000+I70*100+J70</f>
        <v>70015803</v>
      </c>
      <c r="C70" t="str" s="3">
        <v>万宝坊市-怪物67</v>
      </c>
      <c r="D70" s="3"/>
      <c r="E70" t="str" s="3">
        <f>F70&amp;(VLOOKUP(G70,编号表!$E$1:$G$8,2,0))&amp;H70&amp;"_"&amp;I70&amp;"_"&amp;J70</f>
        <v>1N5_8_3</v>
      </c>
      <c r="F70" t="n" s="3">
        <v>1</v>
      </c>
      <c r="G70" t="str" s="3">
        <v>怪物</v>
      </c>
      <c r="H70" t="n" s="3">
        <v>5</v>
      </c>
      <c r="I70" t="n" s="3">
        <v>8</v>
      </c>
      <c r="J70" t="n" s="3">
        <v>3</v>
      </c>
      <c r="K70" s="3"/>
      <c r="L70" s="3"/>
      <c r="M70" s="3"/>
      <c r="N70" s="3"/>
      <c r="O70" s="3"/>
      <c r="P70" s="3"/>
      <c r="Q70" s="3"/>
      <c r="R70" s="3"/>
      <c r="S70" s="17"/>
      <c r="T70" s="18"/>
      <c r="U70"/>
      <c r="V70"/>
      <c r="W70"/>
      <c r="X70"/>
      <c r="Y70"/>
      <c r="Z70"/>
      <c r="AA70"/>
    </row>
    <row r="71" ht="11" customHeight="1" spans="1:10">
      <c r="A71" t="str" s="35">
        <v> </v>
      </c>
      <c r="B71" t="n" s="17">
        <f>70000000+F71*10000+H71*1000+I71*100+J71</f>
        <v>70015804</v>
      </c>
      <c r="C71" t="str" s="3">
        <v>万宝坊市-怪物68</v>
      </c>
      <c r="D71" s="3"/>
      <c r="E71" t="str" s="3">
        <f>F71&amp;(VLOOKUP(G71,编号表!$E$1:$G$8,2,0))&amp;H71&amp;"_"&amp;I71&amp;"_"&amp;J71</f>
        <v>1N5_8_4</v>
      </c>
      <c r="F71" t="n" s="3">
        <v>1</v>
      </c>
      <c r="G71" t="str" s="3">
        <v>怪物</v>
      </c>
      <c r="H71" t="n" s="3">
        <v>5</v>
      </c>
      <c r="I71" t="n" s="3">
        <v>8</v>
      </c>
      <c r="J71" t="n" s="3">
        <v>4</v>
      </c>
      <c r="K71" s="3"/>
      <c r="L71" s="3"/>
      <c r="M71" s="3"/>
      <c r="N71" s="3"/>
      <c r="O71" s="3"/>
      <c r="P71" s="3"/>
      <c r="Q71" s="3"/>
      <c r="R71" s="3"/>
      <c r="S71" s="17"/>
      <c r="T71" s="18"/>
      <c r="U71"/>
      <c r="V71"/>
      <c r="W71"/>
      <c r="X71"/>
      <c r="Y71"/>
      <c r="Z71"/>
      <c r="AA71"/>
    </row>
    <row r="72" ht="11" customHeight="1" spans="1:10">
      <c r="A72" t="str" s="35">
        <v> </v>
      </c>
      <c r="B72" t="n" s="17">
        <f>70000000+F72*10000+H72*1000+I72*100+J72</f>
        <v>70015805</v>
      </c>
      <c r="C72" t="str" s="3">
        <v>万宝坊市-怪物69</v>
      </c>
      <c r="D72" s="3"/>
      <c r="E72" t="str" s="3">
        <f>F72&amp;(VLOOKUP(G72,编号表!$E$1:$G$8,2,0))&amp;H72&amp;"_"&amp;I72&amp;"_"&amp;J72</f>
        <v>1N5_8_5</v>
      </c>
      <c r="F72" t="n" s="3">
        <v>1</v>
      </c>
      <c r="G72" t="str" s="3">
        <v>怪物</v>
      </c>
      <c r="H72" t="n" s="3">
        <v>5</v>
      </c>
      <c r="I72" t="n" s="3">
        <v>8</v>
      </c>
      <c r="J72" t="n" s="3">
        <v>5</v>
      </c>
      <c r="K72" s="3"/>
      <c r="L72" s="3"/>
      <c r="M72" s="3"/>
      <c r="N72" s="3"/>
      <c r="O72" s="3"/>
      <c r="P72" s="3"/>
      <c r="Q72" s="3"/>
      <c r="R72" s="3"/>
      <c r="S72" s="17"/>
      <c r="T72" s="18"/>
      <c r="U72"/>
      <c r="V72"/>
      <c r="W72"/>
      <c r="X72"/>
      <c r="Y72"/>
      <c r="Z72"/>
      <c r="AA72"/>
    </row>
    <row r="73" ht="11" customHeight="1" spans="1:10">
      <c r="A73" t="str" s="35">
        <v> </v>
      </c>
      <c r="B73" t="n" s="17">
        <f>70000000+F73*10000+H73*1000+I73*100+J73</f>
        <v>70015806</v>
      </c>
      <c r="C73" t="str" s="3">
        <v>万宝坊市-怪物70</v>
      </c>
      <c r="D73" s="3"/>
      <c r="E73" t="str" s="3">
        <f>F73&amp;(VLOOKUP(G73,编号表!$E$1:$G$8,2,0))&amp;H73&amp;"_"&amp;I73&amp;"_"&amp;J73</f>
        <v>1N5_8_6</v>
      </c>
      <c r="F73" t="n" s="3">
        <v>1</v>
      </c>
      <c r="G73" t="str" s="3">
        <v>怪物</v>
      </c>
      <c r="H73" t="n" s="3">
        <v>5</v>
      </c>
      <c r="I73" t="n" s="3">
        <v>8</v>
      </c>
      <c r="J73" t="n" s="3">
        <v>6</v>
      </c>
      <c r="K73" s="3"/>
      <c r="L73" s="3"/>
      <c r="M73" s="3"/>
      <c r="N73" s="3"/>
      <c r="O73" s="3"/>
      <c r="P73" s="3"/>
      <c r="Q73" s="3"/>
      <c r="R73" s="3"/>
      <c r="S73" s="17"/>
      <c r="T73" s="18"/>
      <c r="U73"/>
      <c r="V73"/>
      <c r="W73"/>
      <c r="X73"/>
      <c r="Y73"/>
      <c r="Z73"/>
      <c r="AA73"/>
    </row>
    <row r="74" ht="11" customHeight="1" spans="1:10">
      <c r="A74" t="str" s="35">
        <v> </v>
      </c>
      <c r="B74" t="n" s="17">
        <f>70000000+F74*10000+H74*1000+I74*100+J74</f>
        <v>70015807</v>
      </c>
      <c r="C74" t="str" s="3">
        <v>万宝坊市-怪物71</v>
      </c>
      <c r="D74" s="3"/>
      <c r="E74" t="str" s="3">
        <f>F74&amp;(VLOOKUP(G74,编号表!$E$1:$G$8,2,0))&amp;H74&amp;"_"&amp;I74&amp;"_"&amp;J74</f>
        <v>1N5_8_7</v>
      </c>
      <c r="F74" t="n" s="3">
        <v>1</v>
      </c>
      <c r="G74" t="str" s="3">
        <v>怪物</v>
      </c>
      <c r="H74" t="n" s="3">
        <v>5</v>
      </c>
      <c r="I74" t="n" s="3">
        <v>8</v>
      </c>
      <c r="J74" t="n" s="3">
        <v>7</v>
      </c>
      <c r="K74" s="3"/>
      <c r="L74" s="3"/>
      <c r="M74" s="3"/>
      <c r="N74" s="3"/>
      <c r="O74" s="3"/>
      <c r="P74" s="3"/>
      <c r="Q74" s="3"/>
      <c r="R74" s="3"/>
      <c r="S74" s="17"/>
      <c r="T74" s="18"/>
      <c r="U74"/>
      <c r="V74"/>
      <c r="W74"/>
      <c r="X74"/>
      <c r="Y74"/>
      <c r="Z74"/>
      <c r="AA74"/>
    </row>
    <row r="75" ht="11" customHeight="1" spans="1:10">
      <c r="A75" t="str" s="35">
        <v> </v>
      </c>
      <c r="B75" t="n" s="17">
        <f>70000000+F75*10000+H75*1000+I75*100+J75</f>
        <v>70015808</v>
      </c>
      <c r="C75" t="str" s="3">
        <v>万宝坊市-怪物72</v>
      </c>
      <c r="D75" s="3"/>
      <c r="E75" t="str" s="3">
        <f>F75&amp;(VLOOKUP(G75,编号表!$E$1:$G$8,2,0))&amp;H75&amp;"_"&amp;I75&amp;"_"&amp;J75</f>
        <v>1N5_8_8</v>
      </c>
      <c r="F75" t="n" s="3">
        <v>1</v>
      </c>
      <c r="G75" t="str" s="3">
        <v>怪物</v>
      </c>
      <c r="H75" t="n" s="3">
        <v>5</v>
      </c>
      <c r="I75" t="n" s="3">
        <v>8</v>
      </c>
      <c r="J75" t="n" s="3">
        <v>8</v>
      </c>
      <c r="K75" s="3"/>
      <c r="L75" s="3"/>
      <c r="M75" s="3"/>
      <c r="N75" s="3"/>
      <c r="O75" s="3"/>
      <c r="P75" s="3"/>
      <c r="Q75" s="3"/>
      <c r="R75" s="3"/>
      <c r="S75" s="17"/>
      <c r="T75" s="18"/>
      <c r="U75"/>
      <c r="V75"/>
      <c r="W75"/>
      <c r="X75"/>
      <c r="Y75"/>
      <c r="Z75"/>
      <c r="AA75"/>
    </row>
    <row r="76" ht="11" customHeight="1" spans="1:10">
      <c r="A76" t="str" s="35">
        <v> </v>
      </c>
      <c r="B76" t="n" s="17">
        <f>70000000+F76*10000+H76*1000+I76*100+J76</f>
        <v>70015901</v>
      </c>
      <c r="C76" t="str" s="3">
        <v>万宝坊市-怪物73</v>
      </c>
      <c r="D76" s="3"/>
      <c r="E76" t="str" s="3">
        <f>F76&amp;(VLOOKUP(G76,编号表!$E$1:$G$8,2,0))&amp;H76&amp;"_"&amp;I76&amp;"_"&amp;J76</f>
        <v>1N5_9_1</v>
      </c>
      <c r="F76" t="n" s="3">
        <v>1</v>
      </c>
      <c r="G76" t="str" s="3">
        <v>怪物</v>
      </c>
      <c r="H76" t="n" s="3">
        <v>5</v>
      </c>
      <c r="I76" t="n" s="3">
        <v>9</v>
      </c>
      <c r="J76" t="n" s="3">
        <v>1</v>
      </c>
      <c r="K76" s="3"/>
      <c r="L76" s="3"/>
      <c r="M76" s="3"/>
      <c r="N76" s="3"/>
      <c r="O76" s="3"/>
      <c r="P76" s="3"/>
      <c r="Q76" s="3"/>
      <c r="R76" s="3"/>
      <c r="S76" s="17"/>
      <c r="T76" s="18"/>
      <c r="U76"/>
      <c r="V76"/>
      <c r="W76"/>
      <c r="X76"/>
      <c r="Y76"/>
      <c r="Z76"/>
      <c r="AA76"/>
    </row>
    <row r="77" ht="11" customHeight="1" spans="1:10">
      <c r="A77" t="str" s="35">
        <v> </v>
      </c>
      <c r="B77" t="n" s="17">
        <f>70000000+F77*10000+H77*1000+I77*100+J77</f>
        <v>70015902</v>
      </c>
      <c r="C77" t="str" s="3">
        <v>万宝坊市-怪物74</v>
      </c>
      <c r="D77" s="3"/>
      <c r="E77" t="str" s="3">
        <f>F77&amp;(VLOOKUP(G77,编号表!$E$1:$G$8,2,0))&amp;H77&amp;"_"&amp;I77&amp;"_"&amp;J77</f>
        <v>1N5_9_2</v>
      </c>
      <c r="F77" t="n" s="3">
        <v>1</v>
      </c>
      <c r="G77" t="str" s="3">
        <v>怪物</v>
      </c>
      <c r="H77" t="n" s="3">
        <v>5</v>
      </c>
      <c r="I77" t="n" s="3">
        <v>9</v>
      </c>
      <c r="J77" t="n" s="3">
        <v>2</v>
      </c>
      <c r="K77" s="3"/>
      <c r="L77" s="3"/>
      <c r="M77" s="3"/>
      <c r="N77" s="3"/>
      <c r="O77" s="3"/>
      <c r="P77" s="3"/>
      <c r="Q77" s="3"/>
      <c r="R77" s="3"/>
      <c r="S77" s="17"/>
      <c r="T77" s="18"/>
      <c r="U77"/>
      <c r="V77"/>
      <c r="W77"/>
      <c r="X77"/>
      <c r="Y77"/>
      <c r="Z77"/>
      <c r="AA77"/>
    </row>
    <row r="78" ht="11" customHeight="1" spans="1:10">
      <c r="A78" t="str" s="35">
        <v> </v>
      </c>
      <c r="B78" t="n" s="17">
        <f>70000000+F78*10000+H78*1000+I78*100+J78</f>
        <v>70015903</v>
      </c>
      <c r="C78" t="str" s="3">
        <v>万宝坊市-怪物75</v>
      </c>
      <c r="D78" s="3"/>
      <c r="E78" t="str" s="3">
        <f>F78&amp;(VLOOKUP(G78,编号表!$E$1:$G$8,2,0))&amp;H78&amp;"_"&amp;I78&amp;"_"&amp;J78</f>
        <v>1N5_9_3</v>
      </c>
      <c r="F78" t="n" s="3">
        <v>1</v>
      </c>
      <c r="G78" t="str" s="3">
        <v>怪物</v>
      </c>
      <c r="H78" t="n" s="3">
        <v>5</v>
      </c>
      <c r="I78" t="n" s="3">
        <v>9</v>
      </c>
      <c r="J78" t="n" s="3">
        <v>3</v>
      </c>
      <c r="K78" s="3"/>
      <c r="L78" s="3"/>
      <c r="M78" s="3"/>
      <c r="N78" s="3"/>
      <c r="O78" s="3"/>
      <c r="P78" s="3"/>
      <c r="Q78" s="3"/>
      <c r="R78" s="3"/>
      <c r="S78" s="17"/>
      <c r="T78" s="18"/>
      <c r="U78"/>
      <c r="V78"/>
      <c r="W78"/>
      <c r="X78"/>
      <c r="Y78"/>
      <c r="Z78"/>
      <c r="AA78"/>
    </row>
    <row r="79" ht="11" customHeight="1" spans="1:10">
      <c r="A79" t="str" s="35">
        <v> </v>
      </c>
      <c r="B79" t="n" s="17">
        <f>70000000+F79*10000+H79*1000+I79*100+J79</f>
        <v>70015904</v>
      </c>
      <c r="C79" t="str" s="3">
        <v>万宝坊市-怪物76</v>
      </c>
      <c r="D79" s="3"/>
      <c r="E79" t="str" s="3">
        <f>F79&amp;(VLOOKUP(G79,编号表!$E$1:$G$8,2,0))&amp;H79&amp;"_"&amp;I79&amp;"_"&amp;J79</f>
        <v>1N5_9_4</v>
      </c>
      <c r="F79" t="n" s="3">
        <v>1</v>
      </c>
      <c r="G79" t="str" s="3">
        <v>怪物</v>
      </c>
      <c r="H79" t="n" s="3">
        <v>5</v>
      </c>
      <c r="I79" t="n" s="3">
        <v>9</v>
      </c>
      <c r="J79" t="n" s="3">
        <v>4</v>
      </c>
      <c r="K79" s="3"/>
      <c r="L79" s="3"/>
      <c r="M79" s="3"/>
      <c r="N79" s="3"/>
      <c r="O79" s="3"/>
      <c r="P79" s="3"/>
      <c r="Q79" s="3"/>
      <c r="R79" s="3"/>
      <c r="S79" s="17"/>
      <c r="T79" s="18"/>
      <c r="U79"/>
      <c r="V79"/>
      <c r="W79"/>
      <c r="X79"/>
      <c r="Y79"/>
      <c r="Z79"/>
      <c r="AA79"/>
    </row>
    <row r="80" ht="11" customHeight="1" spans="1:10">
      <c r="A80" t="str" s="35">
        <v> </v>
      </c>
      <c r="B80" t="n" s="17">
        <f>70000000+F80*10000+H80*1000+I80*100+J80</f>
        <v>70015905</v>
      </c>
      <c r="C80" t="str" s="3">
        <v>万宝坊市-怪物77</v>
      </c>
      <c r="D80" s="3"/>
      <c r="E80" t="str" s="3">
        <f>F80&amp;(VLOOKUP(G80,编号表!$E$1:$G$8,2,0))&amp;H80&amp;"_"&amp;I80&amp;"_"&amp;J80</f>
        <v>1N5_9_5</v>
      </c>
      <c r="F80" t="n" s="3">
        <v>1</v>
      </c>
      <c r="G80" t="str" s="3">
        <v>怪物</v>
      </c>
      <c r="H80" t="n" s="3">
        <v>5</v>
      </c>
      <c r="I80" t="n" s="3">
        <v>9</v>
      </c>
      <c r="J80" t="n" s="3">
        <v>5</v>
      </c>
      <c r="K80" s="3"/>
      <c r="L80" s="3"/>
      <c r="M80" s="3"/>
      <c r="N80" s="3"/>
      <c r="O80" s="3"/>
      <c r="P80" s="3"/>
      <c r="Q80" s="3"/>
      <c r="R80" s="3"/>
      <c r="S80" s="17"/>
      <c r="T80" s="18"/>
      <c r="U80"/>
      <c r="V80"/>
      <c r="W80"/>
      <c r="X80"/>
      <c r="Y80"/>
      <c r="Z80"/>
      <c r="AA80"/>
    </row>
    <row r="81" ht="11" customHeight="1" spans="1:20">
      <c r="A81" t="str" s="35">
        <v> </v>
      </c>
      <c r="B81" t="n" s="17">
        <f>70000000+F81*10000+H81*1000+I81*100+J81</f>
        <v>70015906</v>
      </c>
      <c r="C81" t="str" s="3">
        <v>万宝坊市-怪物78</v>
      </c>
      <c r="D81" s="3"/>
      <c r="E81" t="str" s="3">
        <f>F81&amp;(VLOOKUP(G81,编号表!$E$1:$G$8,2,0))&amp;H81&amp;"_"&amp;I81&amp;"_"&amp;J81</f>
        <v>1N5_9_6</v>
      </c>
      <c r="F81" t="n" s="3">
        <v>1</v>
      </c>
      <c r="G81" t="str" s="3">
        <v>怪物</v>
      </c>
      <c r="H81" t="n" s="3">
        <v>5</v>
      </c>
      <c r="I81" t="n" s="3">
        <v>9</v>
      </c>
      <c r="J81" t="n" s="3">
        <v>6</v>
      </c>
      <c r="K81" s="3"/>
      <c r="L81" s="3"/>
      <c r="M81" s="3"/>
      <c r="N81" s="3"/>
      <c r="O81" s="3"/>
      <c r="P81" s="3"/>
      <c r="Q81" s="3"/>
      <c r="R81" s="3"/>
      <c r="S81" s="17"/>
      <c r="T81" s="18"/>
      <c r="U81"/>
      <c r="V81"/>
      <c r="W81"/>
      <c r="X81"/>
      <c r="Y81"/>
      <c r="Z81"/>
      <c r="AA81"/>
    </row>
    <row r="82" ht="11" customHeight="1" spans="1:20">
      <c r="A82" t="str" s="35">
        <v> </v>
      </c>
      <c r="B82" t="n" s="17">
        <f>70000000+F82*10000+H82*1000+I82*100+J82</f>
        <v>70015907</v>
      </c>
      <c r="C82" t="str" s="3">
        <v>万宝坊市-怪物79</v>
      </c>
      <c r="D82" s="3"/>
      <c r="E82" t="str" s="3">
        <f>F82&amp;(VLOOKUP(G82,编号表!$E$1:$G$8,2,0))&amp;H82&amp;"_"&amp;I82&amp;"_"&amp;J82</f>
        <v>1N5_9_7</v>
      </c>
      <c r="F82" t="n" s="3">
        <v>1</v>
      </c>
      <c r="G82" t="str" s="3">
        <v>怪物</v>
      </c>
      <c r="H82" t="n" s="3">
        <v>5</v>
      </c>
      <c r="I82" t="n" s="3">
        <v>9</v>
      </c>
      <c r="J82" t="n" s="3">
        <v>7</v>
      </c>
      <c r="K82" s="3"/>
      <c r="L82" s="3"/>
      <c r="M82" s="3"/>
      <c r="N82" s="3"/>
      <c r="O82" s="3"/>
      <c r="P82" s="3"/>
      <c r="Q82" s="3"/>
      <c r="R82" s="3"/>
      <c r="S82" s="17"/>
      <c r="T82" s="18"/>
      <c r="U82"/>
      <c r="V82"/>
      <c r="W82"/>
      <c r="X82"/>
      <c r="Y82"/>
      <c r="Z82"/>
      <c r="AA82"/>
    </row>
    <row r="83" ht="11" customHeight="1" spans="1:20">
      <c r="A83" t="str" s="35">
        <v> </v>
      </c>
      <c r="B83" t="n" s="17">
        <f>70000000+F83*10000+H83*1000+I83*100+J83</f>
        <v>70015908</v>
      </c>
      <c r="C83" t="str" s="3">
        <v>万宝坊市-怪物80</v>
      </c>
      <c r="D83" s="3"/>
      <c r="E83" t="str" s="3">
        <f>F83&amp;(VLOOKUP(G83,编号表!$E$1:$G$8,2,0))&amp;H83&amp;"_"&amp;I83&amp;"_"&amp;J83</f>
        <v>1N5_9_8</v>
      </c>
      <c r="F83" t="n" s="3">
        <v>1</v>
      </c>
      <c r="G83" t="str" s="3">
        <v>怪物</v>
      </c>
      <c r="H83" t="n" s="3">
        <v>5</v>
      </c>
      <c r="I83" t="n" s="3">
        <v>9</v>
      </c>
      <c r="J83" t="n" s="3">
        <v>8</v>
      </c>
      <c r="K83" s="3"/>
      <c r="L83" s="3"/>
      <c r="M83" s="3"/>
      <c r="N83" s="3"/>
      <c r="O83" s="3"/>
      <c r="P83" s="3"/>
      <c r="Q83" s="3"/>
      <c r="R83" s="3"/>
      <c r="S83" s="17"/>
      <c r="T83" s="18"/>
      <c r="U83"/>
      <c r="V83"/>
      <c r="W83"/>
      <c r="X83"/>
      <c r="Y83"/>
      <c r="Z83"/>
      <c r="AA83"/>
    </row>
    <row r="84" ht="11" customHeight="1" spans="1:20">
      <c r="A84" t="str" s="35">
        <v> </v>
      </c>
      <c r="B84" t="n" s="17">
        <f>70000000+F84*10000+H84*1000+I84*100+J84</f>
        <v>70015909</v>
      </c>
      <c r="C84" t="str" s="3">
        <v>万宝坊市-怪物81</v>
      </c>
      <c r="D84" s="3"/>
      <c r="E84" t="str" s="3">
        <f>F84&amp;(VLOOKUP(G84,编号表!$E$1:$G$8,2,0))&amp;H84&amp;"_"&amp;I84&amp;"_"&amp;J84</f>
        <v>1N5_9_9</v>
      </c>
      <c r="F84" t="n" s="3">
        <v>1</v>
      </c>
      <c r="G84" t="str" s="3">
        <v>怪物</v>
      </c>
      <c r="H84" t="n" s="3">
        <v>5</v>
      </c>
      <c r="I84" t="n" s="3">
        <v>9</v>
      </c>
      <c r="J84" t="n" s="3">
        <v>9</v>
      </c>
      <c r="K84" s="3"/>
      <c r="L84" s="3"/>
      <c r="M84" s="3"/>
      <c r="N84" s="3"/>
      <c r="O84" s="3"/>
      <c r="P84" s="3"/>
      <c r="Q84" s="3"/>
      <c r="R84" s="3"/>
      <c r="S84" s="17"/>
      <c r="T84" s="18"/>
      <c r="U84"/>
      <c r="V84"/>
      <c r="W84"/>
      <c r="X84"/>
      <c r="Y84"/>
      <c r="Z84"/>
      <c r="AA84"/>
    </row>
    <row r="85" ht="11" customHeight="1" spans="1:20">
      <c r="A85" t="str" s="35">
        <v> </v>
      </c>
      <c r="B85" t="n" s="17">
        <f>70000000+F85*10000+H85*1000+I85*100+J85</f>
        <v>70015910</v>
      </c>
      <c r="C85" t="str" s="3">
        <v>万宝坊市-怪物82</v>
      </c>
      <c r="D85" s="3"/>
      <c r="E85" t="str" s="3">
        <f>F85&amp;(VLOOKUP(G85,编号表!$E$1:$G$8,2,0))&amp;H85&amp;"_"&amp;I85&amp;"_"&amp;J85</f>
        <v>1N5_9_10</v>
      </c>
      <c r="F85" t="n" s="3">
        <v>1</v>
      </c>
      <c r="G85" t="str" s="3">
        <v>怪物</v>
      </c>
      <c r="H85" t="n" s="3">
        <v>5</v>
      </c>
      <c r="I85" t="n" s="3">
        <v>9</v>
      </c>
      <c r="J85" t="n" s="3">
        <v>10</v>
      </c>
      <c r="K85" s="3"/>
      <c r="L85" s="3"/>
      <c r="M85" s="3"/>
      <c r="N85" s="3"/>
      <c r="O85" s="3"/>
      <c r="P85" s="3"/>
      <c r="Q85" s="3"/>
      <c r="R85" s="3"/>
      <c r="S85" s="17"/>
      <c r="T85" s="18"/>
      <c r="U85"/>
      <c r="V85"/>
      <c r="W85"/>
      <c r="X85"/>
      <c r="Y85"/>
      <c r="Z85"/>
      <c r="AA85"/>
    </row>
    <row r="86" ht="15" spans="1:20">
      <c r="A86" t="str" s="35">
        <v> </v>
      </c>
      <c r="B86" t="n" s="17">
        <f>70000000+F86*10000+H86*1000+I86*100+J86</f>
        <v>70015911</v>
      </c>
      <c r="C86" t="str" s="3">
        <v>万宝坊市-怪物83</v>
      </c>
      <c r="D86" s="3"/>
      <c r="E86" t="str" s="3">
        <f>F86&amp;(VLOOKUP(G86,编号表!$E$1:$G$8,2,0))&amp;H86&amp;"_"&amp;I86&amp;"_"&amp;J86</f>
        <v>1N5_9_11</v>
      </c>
      <c r="F86" t="n" s="3">
        <v>1</v>
      </c>
      <c r="G86" t="str" s="3">
        <v>怪物</v>
      </c>
      <c r="H86" t="n" s="3">
        <v>5</v>
      </c>
      <c r="I86" t="n" s="3">
        <v>9</v>
      </c>
      <c r="J86" t="n" s="3">
        <v>11</v>
      </c>
      <c r="K86" s="3"/>
      <c r="L86" s="3"/>
      <c r="M86" s="3"/>
      <c r="N86" s="3"/>
      <c r="O86" s="3"/>
      <c r="P86" s="3"/>
      <c r="Q86" s="3"/>
      <c r="R86" s="3"/>
      <c r="S86" s="17"/>
      <c r="T86" s="18"/>
      <c r="U86"/>
      <c r="V86"/>
      <c r="W86"/>
      <c r="X86"/>
      <c r="Y86"/>
      <c r="Z86"/>
      <c r="AA86"/>
    </row>
    <row r="87" ht="15" spans="1:20">
      <c r="A87" t="str" s="35">
        <v> </v>
      </c>
      <c r="B87" t="n" s="17">
        <f>70000000+F87*10000+H87*1000+I87*100+J87</f>
        <v>70015912</v>
      </c>
      <c r="C87" t="str" s="3">
        <v>万宝坊市-怪物84</v>
      </c>
      <c r="D87" s="3"/>
      <c r="E87" t="str" s="3">
        <f>F87&amp;(VLOOKUP(G87,编号表!$E$1:$G$8,2,0))&amp;H87&amp;"_"&amp;I87&amp;"_"&amp;J87</f>
        <v>1N5_9_12</v>
      </c>
      <c r="F87" t="n" s="3">
        <v>1</v>
      </c>
      <c r="G87" t="str" s="3">
        <v>怪物</v>
      </c>
      <c r="H87" t="n" s="3">
        <v>5</v>
      </c>
      <c r="I87" t="n" s="3">
        <v>9</v>
      </c>
      <c r="J87" t="n" s="3">
        <v>12</v>
      </c>
      <c r="K87" s="3"/>
      <c r="L87" s="3"/>
      <c r="M87" s="3"/>
      <c r="N87" s="3"/>
      <c r="O87" s="3"/>
      <c r="P87" s="3"/>
      <c r="Q87" s="3"/>
      <c r="R87" s="3"/>
      <c r="S87" s="17"/>
      <c r="T87" s="18"/>
      <c r="U87"/>
      <c r="V87"/>
      <c r="W87"/>
      <c r="X87"/>
      <c r="Y87"/>
      <c r="Z87"/>
      <c r="AA87"/>
    </row>
    <row r="88" ht="15" spans="1:20">
      <c r="A88" t="str" s="35">
        <v> </v>
      </c>
      <c r="B88" t="n" s="17">
        <f>70000000+F88*10000+H88*1000+I88*100+J88</f>
        <v>70015913</v>
      </c>
      <c r="C88" t="str" s="3">
        <v>万宝坊市-怪物85</v>
      </c>
      <c r="D88" s="3"/>
      <c r="E88" t="str" s="3">
        <f>F88&amp;(VLOOKUP(G88,编号表!$E$1:$G$8,2,0))&amp;H88&amp;"_"&amp;I88&amp;"_"&amp;J88</f>
        <v>1N5_9_13</v>
      </c>
      <c r="F88" t="n" s="3">
        <v>1</v>
      </c>
      <c r="G88" t="str" s="3">
        <v>怪物</v>
      </c>
      <c r="H88" t="n" s="3">
        <v>5</v>
      </c>
      <c r="I88" t="n" s="3">
        <v>9</v>
      </c>
      <c r="J88" t="n" s="3">
        <v>13</v>
      </c>
      <c r="K88" s="3"/>
      <c r="L88" s="3"/>
      <c r="M88" s="3"/>
      <c r="N88" s="3"/>
      <c r="O88" s="3"/>
      <c r="P88" s="3"/>
      <c r="Q88" s="3"/>
      <c r="R88" s="3"/>
      <c r="S88" s="17"/>
      <c r="T88" s="18"/>
      <c r="U88"/>
      <c r="V88"/>
      <c r="W88"/>
      <c r="X88"/>
      <c r="Y88"/>
      <c r="Z88"/>
      <c r="AA88"/>
    </row>
    <row r="89" ht="15" spans="1:20">
      <c r="A89" t="str" s="35">
        <v> </v>
      </c>
      <c r="B89" t="n" s="17">
        <f>70000000+F89*10000+H89*1000+I89*100+J89</f>
        <v>70015914</v>
      </c>
      <c r="C89" t="str" s="3">
        <v>万宝坊市-怪物86</v>
      </c>
      <c r="D89" s="3"/>
      <c r="E89" t="str" s="3">
        <f>F89&amp;(VLOOKUP(G89,编号表!$E$1:$G$8,2,0))&amp;H89&amp;"_"&amp;I89&amp;"_"&amp;J89</f>
        <v>1N5_9_14</v>
      </c>
      <c r="F89" t="n" s="3">
        <v>1</v>
      </c>
      <c r="G89" t="str" s="3">
        <v>怪物</v>
      </c>
      <c r="H89" t="n" s="3">
        <v>5</v>
      </c>
      <c r="I89" t="n" s="3">
        <v>9</v>
      </c>
      <c r="J89" t="n" s="3">
        <v>14</v>
      </c>
      <c r="K89" s="3"/>
      <c r="L89" s="3"/>
      <c r="M89" s="3"/>
      <c r="N89" s="3"/>
      <c r="O89" s="3"/>
      <c r="P89" s="3"/>
      <c r="Q89" s="3"/>
      <c r="R89" s="3"/>
      <c r="S89" s="17"/>
      <c r="T89" s="18"/>
      <c r="U89"/>
      <c r="V89"/>
      <c r="W89"/>
      <c r="X89"/>
      <c r="Y89"/>
      <c r="Z89"/>
      <c r="AA89"/>
    </row>
    <row r="90" ht="11" customHeight="1" spans="1:20">
      <c r="A90" t="str" s="35">
        <v> </v>
      </c>
      <c r="B90" t="n" s="17">
        <f>70000000+F90*10000+H90*1000+I90*100+J90</f>
        <v>70016001</v>
      </c>
      <c r="C90" t="str" s="3">
        <v>万宝坊市-怪物87</v>
      </c>
      <c r="D90" s="3"/>
      <c r="E90" t="str" s="3">
        <f>F90&amp;(VLOOKUP(G90,编号表!$E$1:$G$8,2,0))&amp;H90&amp;"_"&amp;I90&amp;"_"&amp;J90</f>
        <v>1N5_10_1</v>
      </c>
      <c r="F90" t="n" s="3">
        <v>1</v>
      </c>
      <c r="G90" t="str" s="3">
        <v>怪物</v>
      </c>
      <c r="H90" t="n" s="3">
        <v>5</v>
      </c>
      <c r="I90" t="n" s="3">
        <v>10</v>
      </c>
      <c r="J90" t="n" s="3">
        <v>1</v>
      </c>
      <c r="K90" s="3"/>
      <c r="L90" s="3"/>
      <c r="M90" s="3"/>
      <c r="N90" s="3"/>
      <c r="O90" s="3"/>
      <c r="P90" s="3"/>
      <c r="Q90" s="3"/>
      <c r="R90" s="3"/>
      <c r="S90" s="17"/>
      <c r="T90" s="18"/>
      <c r="U90"/>
      <c r="V90"/>
      <c r="W90"/>
      <c r="X90"/>
      <c r="Y90"/>
      <c r="Z90"/>
      <c r="AA90"/>
    </row>
    <row r="91" ht="11" customHeight="1" spans="1:20">
      <c r="A91" t="str" s="35">
        <v> </v>
      </c>
      <c r="B91" t="n" s="17">
        <f>70000000+F91*10000+H91*1000+I91*100+J91</f>
        <v>70016002</v>
      </c>
      <c r="C91" t="str" s="3">
        <v>万宝坊市-怪物88</v>
      </c>
      <c r="D91" s="3"/>
      <c r="E91" t="str" s="3">
        <f>F91&amp;(VLOOKUP(G91,编号表!$E$1:$G$8,2,0))&amp;H91&amp;"_"&amp;I91&amp;"_"&amp;J91</f>
        <v>1N5_10_2</v>
      </c>
      <c r="F91" t="n" s="3">
        <v>1</v>
      </c>
      <c r="G91" t="str" s="3">
        <v>怪物</v>
      </c>
      <c r="H91" t="n" s="3">
        <v>5</v>
      </c>
      <c r="I91" t="n" s="3">
        <v>10</v>
      </c>
      <c r="J91" t="n" s="3">
        <v>2</v>
      </c>
      <c r="K91" s="3"/>
      <c r="L91" s="3"/>
      <c r="M91" s="3"/>
      <c r="N91" s="3"/>
      <c r="O91" s="3"/>
      <c r="P91" s="3"/>
      <c r="Q91" s="3"/>
      <c r="R91" s="3"/>
      <c r="S91" s="17"/>
      <c r="T91" s="18"/>
      <c r="U91"/>
      <c r="V91"/>
      <c r="W91"/>
      <c r="X91"/>
      <c r="Y91"/>
      <c r="Z91"/>
      <c r="AA91"/>
    </row>
    <row r="92" ht="11" customHeight="1" spans="1:20">
      <c r="A92" t="str" s="35">
        <v> </v>
      </c>
      <c r="B92" t="n" s="17">
        <f>70000000+F92*10000+H92*1000+I92*100+J92</f>
        <v>70016003</v>
      </c>
      <c r="C92" t="str" s="3">
        <v>万宝坊市-怪物89</v>
      </c>
      <c r="D92" s="3"/>
      <c r="E92" t="str" s="3">
        <f>F92&amp;(VLOOKUP(G92,编号表!$E$1:$G$8,2,0))&amp;H92&amp;"_"&amp;I92&amp;"_"&amp;J92</f>
        <v>1N5_10_3</v>
      </c>
      <c r="F92" t="n" s="3">
        <v>1</v>
      </c>
      <c r="G92" t="str" s="3">
        <v>怪物</v>
      </c>
      <c r="H92" t="n" s="3">
        <v>5</v>
      </c>
      <c r="I92" t="n" s="3">
        <v>10</v>
      </c>
      <c r="J92" t="n" s="3">
        <v>3</v>
      </c>
      <c r="K92" s="3"/>
      <c r="L92" s="3"/>
      <c r="M92" s="3"/>
      <c r="N92" s="3"/>
      <c r="O92" s="3"/>
      <c r="P92" s="3"/>
      <c r="Q92" s="3"/>
      <c r="R92" s="3"/>
      <c r="S92" s="17"/>
      <c r="T92" s="18"/>
      <c r="U92"/>
      <c r="V92"/>
      <c r="W92"/>
      <c r="X92"/>
      <c r="Y92"/>
      <c r="Z92"/>
      <c r="AA92"/>
    </row>
    <row r="93" ht="11" customHeight="1" spans="1:20">
      <c r="A93" t="str" s="35">
        <v> </v>
      </c>
      <c r="B93" t="n" s="17">
        <f>70000000+F93*10000+H93*1000+I93*100+J93</f>
        <v>70016004</v>
      </c>
      <c r="C93" t="str" s="3">
        <v>万宝坊市-怪物90</v>
      </c>
      <c r="D93" s="3"/>
      <c r="E93" t="str" s="3">
        <f>F93&amp;(VLOOKUP(G93,编号表!$E$1:$G$8,2,0))&amp;H93&amp;"_"&amp;I93&amp;"_"&amp;J93</f>
        <v>1N5_10_4</v>
      </c>
      <c r="F93" t="n" s="3">
        <v>1</v>
      </c>
      <c r="G93" t="str" s="3">
        <v>怪物</v>
      </c>
      <c r="H93" t="n" s="3">
        <v>5</v>
      </c>
      <c r="I93" t="n" s="3">
        <v>10</v>
      </c>
      <c r="J93" t="n" s="3">
        <v>4</v>
      </c>
      <c r="K93" s="3"/>
      <c r="L93" s="3"/>
      <c r="M93" s="3"/>
      <c r="N93" s="3"/>
      <c r="O93" s="3"/>
      <c r="P93" s="3"/>
      <c r="Q93" s="3"/>
      <c r="R93" s="3"/>
      <c r="S93" s="17"/>
      <c r="T93" s="18"/>
      <c r="U93"/>
      <c r="V93"/>
      <c r="W93"/>
      <c r="X93"/>
      <c r="Y93"/>
      <c r="Z93"/>
      <c r="AA93"/>
    </row>
    <row r="94" ht="11" customHeight="1" spans="1:20">
      <c r="A94" t="str" s="35">
        <v> </v>
      </c>
      <c r="B94" t="n" s="17">
        <f>70000000+F94*10000+H94*1000+I94*100+J94</f>
        <v>70016005</v>
      </c>
      <c r="C94" t="str" s="3">
        <v>万宝坊市-怪物91</v>
      </c>
      <c r="D94" s="3"/>
      <c r="E94" t="str" s="3">
        <f>F94&amp;(VLOOKUP(G94,编号表!$E$1:$G$8,2,0))&amp;H94&amp;"_"&amp;I94&amp;"_"&amp;J94</f>
        <v>1N5_10_5</v>
      </c>
      <c r="F94" t="n" s="3">
        <v>1</v>
      </c>
      <c r="G94" t="str" s="3">
        <v>怪物</v>
      </c>
      <c r="H94" t="n" s="3">
        <v>5</v>
      </c>
      <c r="I94" t="n" s="3">
        <v>10</v>
      </c>
      <c r="J94" t="n" s="3">
        <v>5</v>
      </c>
      <c r="K94" s="3"/>
      <c r="L94" s="3"/>
      <c r="M94" s="3"/>
      <c r="N94" s="3"/>
      <c r="O94" s="3"/>
      <c r="P94" s="3"/>
      <c r="Q94" s="3"/>
      <c r="R94" s="3"/>
      <c r="S94" s="17"/>
      <c r="T94" s="18"/>
      <c r="U94"/>
      <c r="V94"/>
      <c r="W94"/>
      <c r="X94"/>
      <c r="Y94"/>
      <c r="Z94"/>
      <c r="AA94"/>
    </row>
    <row r="95" ht="11" customHeight="1" spans="1:20">
      <c r="A95" t="str" s="35">
        <v> </v>
      </c>
      <c r="B95" t="n" s="17">
        <f>70000000+F95*10000+H95*1000+I95*100+J95</f>
        <v>70016101</v>
      </c>
      <c r="C95" t="str" s="3">
        <v>万宝坊市-怪物92</v>
      </c>
      <c r="D95" s="3"/>
      <c r="E95" t="str" s="3">
        <f>F95&amp;(VLOOKUP(G95,编号表!$E$1:$G$8,2,0))&amp;H95&amp;"_"&amp;I95&amp;"_"&amp;J95</f>
        <v>1N5_11_1</v>
      </c>
      <c r="F95" t="n" s="3">
        <v>1</v>
      </c>
      <c r="G95" t="str" s="3">
        <v>怪物</v>
      </c>
      <c r="H95" t="n" s="3">
        <v>5</v>
      </c>
      <c r="I95" t="n" s="3">
        <v>11</v>
      </c>
      <c r="J95" t="n" s="3">
        <v>1</v>
      </c>
      <c r="K95" s="3"/>
      <c r="L95" s="3"/>
      <c r="M95" s="3"/>
      <c r="N95" s="3"/>
      <c r="O95" s="3"/>
      <c r="P95" s="3"/>
      <c r="Q95" s="3"/>
      <c r="R95" s="3"/>
      <c r="S95" s="17"/>
      <c r="T95" s="18"/>
      <c r="U95"/>
      <c r="V95"/>
      <c r="W95"/>
      <c r="X95"/>
      <c r="Y95"/>
      <c r="Z95"/>
      <c r="AA95"/>
    </row>
    <row r="96" ht="11" customHeight="1" spans="1:20">
      <c r="A96" t="str" s="35">
        <v> </v>
      </c>
      <c r="B96" t="n" s="17">
        <f>70000000+F96*10000+H96*1000+I96*100+J96</f>
        <v>70016102</v>
      </c>
      <c r="C96" t="str" s="3">
        <v>万宝坊市-怪物93</v>
      </c>
      <c r="D96" s="3"/>
      <c r="E96" t="str" s="3">
        <f>F96&amp;(VLOOKUP(G96,编号表!$E$1:$G$8,2,0))&amp;H96&amp;"_"&amp;I96&amp;"_"&amp;J96</f>
        <v>1N5_11_2</v>
      </c>
      <c r="F96" t="n" s="3">
        <v>1</v>
      </c>
      <c r="G96" t="str" s="3">
        <v>怪物</v>
      </c>
      <c r="H96" t="n" s="3">
        <v>5</v>
      </c>
      <c r="I96" t="n" s="3">
        <v>11</v>
      </c>
      <c r="J96" t="n" s="3">
        <v>2</v>
      </c>
      <c r="K96" s="3"/>
      <c r="L96" s="3"/>
      <c r="M96" s="3"/>
      <c r="N96" s="3"/>
      <c r="O96" s="3"/>
      <c r="P96" s="3"/>
      <c r="Q96" s="3"/>
      <c r="R96" s="3"/>
      <c r="S96" s="17"/>
      <c r="T96" s="18"/>
      <c r="U96"/>
      <c r="V96"/>
      <c r="W96"/>
      <c r="X96"/>
      <c r="Y96"/>
      <c r="Z96"/>
      <c r="AA96"/>
    </row>
    <row r="97" ht="11" customHeight="1" spans="1:20">
      <c r="A97" t="str" s="35">
        <v> </v>
      </c>
      <c r="B97" t="n" s="17">
        <f>70000000+F97*10000+H97*1000+I97*100+J97</f>
        <v>70016103</v>
      </c>
      <c r="C97" t="str" s="3">
        <v>万宝坊市-怪物94</v>
      </c>
      <c r="D97" s="3"/>
      <c r="E97" t="str" s="3">
        <f>F97&amp;(VLOOKUP(G97,编号表!$E$1:$G$8,2,0))&amp;H97&amp;"_"&amp;I97&amp;"_"&amp;J97</f>
        <v>1N5_11_3</v>
      </c>
      <c r="F97" t="n" s="3">
        <v>1</v>
      </c>
      <c r="G97" t="str" s="3">
        <v>怪物</v>
      </c>
      <c r="H97" t="n" s="3">
        <v>5</v>
      </c>
      <c r="I97" t="n" s="3">
        <v>11</v>
      </c>
      <c r="J97" t="n" s="3">
        <v>3</v>
      </c>
      <c r="K97" s="3"/>
      <c r="L97" s="3"/>
      <c r="M97" s="3"/>
      <c r="N97" s="3"/>
      <c r="O97" s="3"/>
      <c r="P97" s="3"/>
      <c r="Q97" s="3"/>
      <c r="R97" s="3"/>
      <c r="S97" s="17"/>
      <c r="T97" s="18"/>
      <c r="U97"/>
      <c r="V97"/>
      <c r="W97"/>
      <c r="X97"/>
      <c r="Y97"/>
      <c r="Z97"/>
      <c r="AA97"/>
    </row>
    <row r="98" ht="11" customHeight="1" spans="1:20">
      <c r="A98" t="str" s="35">
        <v> </v>
      </c>
      <c r="B98" t="n" s="17">
        <f>70000000+F98*10000+H98*1000+I98*100+J98</f>
        <v>70016104</v>
      </c>
      <c r="C98" t="str" s="3">
        <v>万宝坊市-怪物95</v>
      </c>
      <c r="D98" s="3"/>
      <c r="E98" t="str" s="3">
        <f>F98&amp;(VLOOKUP(G98,编号表!$E$1:$G$8,2,0))&amp;H98&amp;"_"&amp;I98&amp;"_"&amp;J98</f>
        <v>1N5_11_4</v>
      </c>
      <c r="F98" t="n" s="3">
        <v>1</v>
      </c>
      <c r="G98" t="str" s="3">
        <v>怪物</v>
      </c>
      <c r="H98" t="n" s="3">
        <v>5</v>
      </c>
      <c r="I98" t="n" s="3">
        <v>11</v>
      </c>
      <c r="J98" t="n" s="3">
        <v>4</v>
      </c>
      <c r="K98" s="3"/>
      <c r="L98" s="3"/>
      <c r="M98" s="3"/>
      <c r="N98" s="3"/>
      <c r="O98" s="3"/>
      <c r="P98" s="3"/>
      <c r="Q98" s="3"/>
      <c r="R98" s="3"/>
      <c r="S98" s="17"/>
      <c r="T98" s="18"/>
      <c r="U98"/>
      <c r="V98"/>
      <c r="W98"/>
      <c r="X98"/>
      <c r="Y98"/>
      <c r="Z98"/>
      <c r="AA98"/>
    </row>
    <row r="99" ht="11" customHeight="1" spans="1:20">
      <c r="A99" t="str" s="35">
        <v> </v>
      </c>
      <c r="B99" t="n" s="17">
        <f>70000000+F99*10000+H99*1000+I99*100+J99</f>
        <v>70016105</v>
      </c>
      <c r="C99" t="str" s="3">
        <v>万宝坊市-怪物96</v>
      </c>
      <c r="D99" s="3"/>
      <c r="E99" t="str" s="3">
        <f>F99&amp;(VLOOKUP(G99,编号表!$E$1:$G$8,2,0))&amp;H99&amp;"_"&amp;I99&amp;"_"&amp;J99</f>
        <v>1N5_11_5</v>
      </c>
      <c r="F99" t="n" s="3">
        <v>1</v>
      </c>
      <c r="G99" t="str" s="3">
        <v>怪物</v>
      </c>
      <c r="H99" t="n" s="3">
        <v>5</v>
      </c>
      <c r="I99" t="n" s="3">
        <v>11</v>
      </c>
      <c r="J99" t="n" s="3">
        <v>5</v>
      </c>
      <c r="K99" s="3"/>
      <c r="L99" s="3"/>
      <c r="M99" s="3"/>
      <c r="N99" s="3"/>
      <c r="O99" s="3"/>
      <c r="P99" s="3"/>
      <c r="Q99" s="3"/>
      <c r="R99" s="3"/>
      <c r="S99" s="17"/>
      <c r="T99" s="18"/>
      <c r="U99"/>
      <c r="V99"/>
      <c r="W99"/>
      <c r="X99"/>
      <c r="Y99"/>
      <c r="Z99"/>
      <c r="AA99"/>
    </row>
    <row r="100" ht="11" customHeight="1" spans="1:20">
      <c r="A100" t="str" s="35">
        <v> </v>
      </c>
      <c r="B100" t="n" s="17">
        <f>70000000+F100*10000+H100*1000+I100*100+J100</f>
        <v>70016106</v>
      </c>
      <c r="C100" t="str" s="3">
        <v>万宝坊市-怪物97</v>
      </c>
      <c r="D100" s="3"/>
      <c r="E100" t="str" s="3">
        <f>F100&amp;(VLOOKUP(G100,编号表!$E$1:$G$8,2,0))&amp;H100&amp;"_"&amp;I100&amp;"_"&amp;J100</f>
        <v>1N5_11_6</v>
      </c>
      <c r="F100" t="n" s="3">
        <v>1</v>
      </c>
      <c r="G100" t="str" s="3">
        <v>怪物</v>
      </c>
      <c r="H100" t="n" s="3">
        <v>5</v>
      </c>
      <c r="I100" t="n" s="3">
        <v>11</v>
      </c>
      <c r="J100" t="n" s="3">
        <v>6</v>
      </c>
      <c r="K100" s="3"/>
      <c r="L100" s="3"/>
      <c r="M100" s="3"/>
      <c r="N100" s="3"/>
      <c r="O100" s="3"/>
      <c r="P100" s="3"/>
      <c r="Q100" s="3"/>
      <c r="R100" s="3"/>
      <c r="S100" s="17"/>
      <c r="T100" s="18"/>
      <c r="U100"/>
      <c r="V100"/>
      <c r="W100"/>
      <c r="X100"/>
      <c r="Y100"/>
      <c r="Z100"/>
      <c r="AA100"/>
    </row>
    <row r="101" ht="11" customHeight="1" spans="1:20">
      <c r="A101" t="str" s="35">
        <v> </v>
      </c>
      <c r="B101" t="n" s="17">
        <f>70000000+F101*10000+H101*1000+I101*100+J101</f>
        <v>70016201</v>
      </c>
      <c r="C101" t="str" s="3">
        <v>万宝坊市-怪物98</v>
      </c>
      <c r="D101" s="3"/>
      <c r="E101" t="str" s="3">
        <f>F101&amp;(VLOOKUP(G101,编号表!$E$1:$G$8,2,0))&amp;H101&amp;"_"&amp;I101&amp;"_"&amp;J101</f>
        <v>1N5_12_1</v>
      </c>
      <c r="F101" t="n" s="3">
        <v>1</v>
      </c>
      <c r="G101" t="str" s="3">
        <v>怪物</v>
      </c>
      <c r="H101" t="n" s="3">
        <v>5</v>
      </c>
      <c r="I101" t="n" s="3">
        <v>12</v>
      </c>
      <c r="J101" t="n" s="3">
        <v>1</v>
      </c>
      <c r="K101" s="3"/>
      <c r="L101" s="3"/>
      <c r="M101" s="3"/>
      <c r="N101" s="3"/>
      <c r="O101" s="3"/>
      <c r="P101" s="3"/>
      <c r="Q101" s="3"/>
      <c r="R101" s="3"/>
      <c r="S101" s="17"/>
      <c r="T101" s="18"/>
      <c r="U101"/>
      <c r="V101"/>
      <c r="W101"/>
      <c r="X101"/>
      <c r="Y101"/>
      <c r="Z101"/>
      <c r="AA101"/>
    </row>
    <row r="102" ht="11" customHeight="1" spans="1:20">
      <c r="A102" t="str" s="35">
        <v> </v>
      </c>
      <c r="B102" t="n" s="17">
        <f>70000000+F102*10000+H102*1000+I102*100+J102</f>
        <v>70016202</v>
      </c>
      <c r="C102" t="str" s="3">
        <v>万宝坊市-怪物99</v>
      </c>
      <c r="D102" s="3"/>
      <c r="E102" t="str" s="3">
        <f>F102&amp;(VLOOKUP(G102,编号表!$E$1:$G$8,2,0))&amp;H102&amp;"_"&amp;I102&amp;"_"&amp;J102</f>
        <v>1N5_12_2</v>
      </c>
      <c r="F102" t="n" s="3">
        <v>1</v>
      </c>
      <c r="G102" t="str" s="3">
        <v>怪物</v>
      </c>
      <c r="H102" t="n" s="3">
        <v>5</v>
      </c>
      <c r="I102" t="n" s="3">
        <v>12</v>
      </c>
      <c r="J102" t="n" s="3">
        <v>2</v>
      </c>
      <c r="K102" s="3"/>
      <c r="L102" s="3"/>
      <c r="M102" s="3"/>
      <c r="N102" s="3"/>
      <c r="O102" s="3"/>
      <c r="P102" s="3"/>
      <c r="Q102" s="3"/>
      <c r="R102" s="3"/>
      <c r="S102" s="17"/>
      <c r="T102" s="18"/>
      <c r="U102"/>
      <c r="V102"/>
      <c r="W102"/>
      <c r="X102"/>
      <c r="Y102"/>
      <c r="Z102"/>
      <c r="AA102"/>
    </row>
    <row r="103" ht="11" customHeight="1" spans="1:20">
      <c r="A103" t="str" s="35">
        <v> </v>
      </c>
      <c r="B103" t="n" s="17">
        <f>70000000+F103*10000+H103*1000+I103*100+J103</f>
        <v>70016203</v>
      </c>
      <c r="C103" t="str" s="3">
        <v>万宝坊市-怪物100</v>
      </c>
      <c r="D103" s="3"/>
      <c r="E103" t="str" s="3">
        <f>F103&amp;(VLOOKUP(G103,编号表!$E$1:$G$8,2,0))&amp;H103&amp;"_"&amp;I103&amp;"_"&amp;J103</f>
        <v>1N5_12_3</v>
      </c>
      <c r="F103" t="n" s="3">
        <v>1</v>
      </c>
      <c r="G103" t="str" s="3">
        <v>怪物</v>
      </c>
      <c r="H103" t="n" s="3">
        <v>5</v>
      </c>
      <c r="I103" t="n" s="3">
        <v>12</v>
      </c>
      <c r="J103" t="n" s="3">
        <v>3</v>
      </c>
      <c r="K103" s="3"/>
      <c r="L103" s="3"/>
      <c r="M103" s="3"/>
      <c r="N103" s="3"/>
      <c r="O103" s="3"/>
      <c r="P103" s="3"/>
      <c r="Q103" s="3"/>
      <c r="R103" s="3"/>
      <c r="S103" s="17"/>
      <c r="T103" s="18"/>
      <c r="U103"/>
      <c r="V103"/>
      <c r="W103"/>
      <c r="X103"/>
      <c r="Y103"/>
      <c r="Z103"/>
      <c r="AA103"/>
    </row>
    <row r="104" ht="11" customHeight="1" spans="1:20">
      <c r="A104" t="str" s="35">
        <v> </v>
      </c>
      <c r="B104" t="n" s="17">
        <f>70000000+F104*10000+H104*1000+I104*100+J104</f>
        <v>70016204</v>
      </c>
      <c r="C104" t="str" s="3">
        <v>万宝坊市-怪物101</v>
      </c>
      <c r="D104" s="3"/>
      <c r="E104" t="str" s="3">
        <f>F104&amp;(VLOOKUP(G104,编号表!$E$1:$G$8,2,0))&amp;H104&amp;"_"&amp;I104&amp;"_"&amp;J104</f>
        <v>1N5_12_4</v>
      </c>
      <c r="F104" t="n" s="3">
        <v>1</v>
      </c>
      <c r="G104" t="str" s="3">
        <v>怪物</v>
      </c>
      <c r="H104" t="n" s="3">
        <v>5</v>
      </c>
      <c r="I104" t="n" s="3">
        <v>12</v>
      </c>
      <c r="J104" t="n" s="3">
        <v>4</v>
      </c>
      <c r="K104" s="3"/>
      <c r="L104" s="3"/>
      <c r="M104" s="3"/>
      <c r="N104" s="3"/>
      <c r="O104" s="3"/>
      <c r="P104" s="3"/>
      <c r="Q104" s="3"/>
      <c r="R104" s="3"/>
      <c r="S104" s="17"/>
      <c r="T104" s="18"/>
      <c r="U104"/>
      <c r="V104"/>
      <c r="W104"/>
      <c r="X104"/>
      <c r="Y104"/>
      <c r="Z104"/>
      <c r="AA104"/>
    </row>
    <row r="105" ht="11" customHeight="1" spans="1:20">
      <c r="A105" t="str" s="35">
        <v> </v>
      </c>
      <c r="B105" t="n" s="17">
        <f>70000000+F105*10000+H105*1000+I105*100+J105</f>
        <v>70016205</v>
      </c>
      <c r="C105" t="str" s="3">
        <v>万宝坊市-怪物102</v>
      </c>
      <c r="D105" s="3"/>
      <c r="E105" t="str" s="3">
        <f>F105&amp;(VLOOKUP(G105,编号表!$E$1:$G$8,2,0))&amp;H105&amp;"_"&amp;I105&amp;"_"&amp;J105</f>
        <v>1N5_12_5</v>
      </c>
      <c r="F105" t="n" s="3">
        <v>1</v>
      </c>
      <c r="G105" t="str" s="3">
        <v>怪物</v>
      </c>
      <c r="H105" t="n" s="3">
        <v>5</v>
      </c>
      <c r="I105" t="n" s="3">
        <v>12</v>
      </c>
      <c r="J105" t="n" s="3">
        <v>5</v>
      </c>
      <c r="K105" s="3"/>
      <c r="L105" s="3"/>
      <c r="M105" s="3"/>
      <c r="N105" s="3"/>
      <c r="O105" s="3"/>
      <c r="P105" s="3"/>
      <c r="Q105" s="3"/>
      <c r="R105" s="3"/>
      <c r="S105" s="17"/>
      <c r="T105" s="18"/>
      <c r="U105"/>
      <c r="V105"/>
      <c r="W105"/>
      <c r="X105"/>
      <c r="Y105"/>
      <c r="Z105"/>
      <c r="AA105"/>
    </row>
    <row r="106" ht="11" customHeight="1" spans="1:20">
      <c r="A106" t="str" s="35">
        <v> </v>
      </c>
      <c r="B106" t="n" s="17">
        <f>70000000+F106*10000+H106*1000+I106*100+J106</f>
        <v>70016206</v>
      </c>
      <c r="C106" t="str" s="3">
        <v>万宝坊市-怪物103</v>
      </c>
      <c r="D106" s="3"/>
      <c r="E106" t="str" s="3">
        <f>F106&amp;(VLOOKUP(G106,编号表!$E$1:$G$8,2,0))&amp;H106&amp;"_"&amp;I106&amp;"_"&amp;J106</f>
        <v>1N5_12_6</v>
      </c>
      <c r="F106" t="n" s="3">
        <v>1</v>
      </c>
      <c r="G106" t="str" s="3">
        <v>怪物</v>
      </c>
      <c r="H106" t="n" s="3">
        <v>5</v>
      </c>
      <c r="I106" t="n" s="3">
        <v>12</v>
      </c>
      <c r="J106" t="n" s="3">
        <v>6</v>
      </c>
      <c r="K106" s="3"/>
      <c r="L106" s="3"/>
      <c r="M106" s="3"/>
      <c r="N106" s="3"/>
      <c r="O106" s="3"/>
      <c r="P106" s="3"/>
      <c r="Q106" s="3"/>
      <c r="R106" s="3"/>
      <c r="S106" s="17"/>
      <c r="T106" s="18"/>
      <c r="U106"/>
      <c r="V106"/>
      <c r="W106"/>
      <c r="X106"/>
      <c r="Y106"/>
      <c r="Z106"/>
      <c r="AA106"/>
    </row>
    <row r="107" ht="11" customHeight="1" spans="1:20">
      <c r="A107" t="str" s="35">
        <v> </v>
      </c>
      <c r="B107" t="n" s="17">
        <f>70000000+F107*10000+H107*1000+I107*100+J107</f>
        <v>70016207</v>
      </c>
      <c r="C107" t="str" s="3">
        <v>万宝坊市-怪物104</v>
      </c>
      <c r="D107" s="3"/>
      <c r="E107" t="str" s="3">
        <f>F107&amp;(VLOOKUP(G107,编号表!$E$1:$G$8,2,0))&amp;H107&amp;"_"&amp;I107&amp;"_"&amp;J107</f>
        <v>1N5_12_7</v>
      </c>
      <c r="F107" t="n" s="3">
        <v>1</v>
      </c>
      <c r="G107" t="str" s="3">
        <v>怪物</v>
      </c>
      <c r="H107" t="n" s="3">
        <v>5</v>
      </c>
      <c r="I107" t="n" s="3">
        <v>12</v>
      </c>
      <c r="J107" t="n" s="3">
        <v>7</v>
      </c>
      <c r="K107" s="3"/>
      <c r="L107" s="3"/>
      <c r="M107" s="3"/>
      <c r="N107" s="3"/>
      <c r="O107" s="3"/>
      <c r="P107" s="3"/>
      <c r="Q107" s="3"/>
      <c r="R107" s="3"/>
      <c r="S107" s="17"/>
      <c r="T107" s="18"/>
      <c r="U107"/>
      <c r="V107"/>
      <c r="W107"/>
      <c r="X107"/>
      <c r="Y107"/>
      <c r="Z107"/>
      <c r="AA107"/>
    </row>
    <row r="108" ht="11" customHeight="1" spans="1:20">
      <c r="A108" t="str" s="35">
        <v> </v>
      </c>
      <c r="B108" t="n" s="17">
        <f>70000000+F108*10000+H108*1000+I108*100+J108</f>
        <v>70016208</v>
      </c>
      <c r="C108" t="str" s="3">
        <v>万宝坊市-怪物105</v>
      </c>
      <c r="D108" s="3"/>
      <c r="E108" t="str" s="3">
        <f>F108&amp;(VLOOKUP(G108,编号表!$E$1:$G$8,2,0))&amp;H108&amp;"_"&amp;I108&amp;"_"&amp;J108</f>
        <v>1N5_12_8</v>
      </c>
      <c r="F108" t="n" s="3">
        <v>1</v>
      </c>
      <c r="G108" t="str" s="3">
        <v>怪物</v>
      </c>
      <c r="H108" t="n" s="3">
        <v>5</v>
      </c>
      <c r="I108" t="n" s="3">
        <v>12</v>
      </c>
      <c r="J108" t="n" s="3">
        <v>8</v>
      </c>
      <c r="K108" s="3"/>
      <c r="L108" s="3"/>
      <c r="M108" s="3"/>
      <c r="N108" s="3"/>
      <c r="O108" s="3"/>
      <c r="P108" s="3"/>
      <c r="Q108" s="3"/>
      <c r="R108" s="3"/>
      <c r="S108" s="17"/>
      <c r="T108" s="18"/>
      <c r="U108"/>
      <c r="V108"/>
      <c r="W108"/>
      <c r="X108"/>
      <c r="Y108"/>
      <c r="Z108"/>
      <c r="AA108"/>
    </row>
    <row r="109" ht="11" customHeight="1" spans="1:20">
      <c r="A109" t="str" s="35">
        <v> </v>
      </c>
      <c r="B109" t="n" s="17">
        <f>70000000+F109*10000+H109*1000+I109*100+J109</f>
        <v>70016209</v>
      </c>
      <c r="C109" t="str" s="3">
        <v>万宝坊市-怪物106</v>
      </c>
      <c r="D109" s="3"/>
      <c r="E109" t="str" s="3">
        <f>F109&amp;(VLOOKUP(G109,编号表!$E$1:$G$8,2,0))&amp;H109&amp;"_"&amp;I109&amp;"_"&amp;J109</f>
        <v>1N5_12_9</v>
      </c>
      <c r="F109" t="n" s="3">
        <v>1</v>
      </c>
      <c r="G109" t="str" s="3">
        <v>怪物</v>
      </c>
      <c r="H109" t="n" s="3">
        <v>5</v>
      </c>
      <c r="I109" t="n" s="3">
        <v>12</v>
      </c>
      <c r="J109" t="n" s="3">
        <v>9</v>
      </c>
      <c r="K109" s="3"/>
      <c r="L109" s="3"/>
      <c r="M109" s="3"/>
      <c r="N109" s="3"/>
      <c r="O109" s="3"/>
      <c r="P109" s="3"/>
      <c r="Q109" s="3"/>
      <c r="R109" s="3"/>
      <c r="S109" s="17"/>
      <c r="T109" s="18"/>
      <c r="U109"/>
      <c r="V109"/>
      <c r="W109"/>
      <c r="X109"/>
      <c r="Y109"/>
      <c r="Z109"/>
      <c r="AA109"/>
    </row>
    <row r="110" ht="11" customHeight="1" spans="1:20">
      <c r="A110" t="str" s="35">
        <v> </v>
      </c>
      <c r="B110" t="n" s="17">
        <f>70000000+F110*10000+H110*1000+I110*100+J110</f>
        <v>70016210</v>
      </c>
      <c r="C110" t="str" s="3">
        <v>万宝坊市-怪物107</v>
      </c>
      <c r="D110" s="3"/>
      <c r="E110" t="str" s="3">
        <f>F110&amp;(VLOOKUP(G110,编号表!$E$1:$G$8,2,0))&amp;H110&amp;"_"&amp;I110&amp;"_"&amp;J110</f>
        <v>1N5_12_10</v>
      </c>
      <c r="F110" t="n" s="3">
        <v>1</v>
      </c>
      <c r="G110" t="str" s="3">
        <v>怪物</v>
      </c>
      <c r="H110" t="n" s="3">
        <v>5</v>
      </c>
      <c r="I110" t="n" s="3">
        <v>12</v>
      </c>
      <c r="J110" t="n" s="3">
        <v>10</v>
      </c>
      <c r="K110" s="3"/>
      <c r="L110" s="3"/>
      <c r="M110" s="3"/>
      <c r="N110" s="3"/>
      <c r="O110" s="3"/>
      <c r="P110" s="3"/>
      <c r="Q110" s="3"/>
      <c r="R110" s="3"/>
      <c r="S110" s="17"/>
      <c r="T110" s="18"/>
      <c r="U110"/>
      <c r="V110"/>
      <c r="W110"/>
      <c r="X110"/>
      <c r="Y110"/>
      <c r="Z110"/>
      <c r="AA110"/>
    </row>
    <row r="111" ht="11" customHeight="1" spans="1:20">
      <c r="A111" t="str" s="35">
        <v> </v>
      </c>
      <c r="B111" t="n" s="17">
        <f>70000000+F111*10000+H111*1000+I111*100+J111</f>
        <v>70016301</v>
      </c>
      <c r="C111" t="str" s="3">
        <v>万宝坊市-怪物108</v>
      </c>
      <c r="D111" s="3"/>
      <c r="E111" t="str" s="3">
        <f>F111&amp;(VLOOKUP(G111,编号表!$E$1:$G$8,2,0))&amp;H111&amp;"_"&amp;I111&amp;"_"&amp;J111</f>
        <v>1N5_13_1</v>
      </c>
      <c r="F111" t="n" s="3">
        <v>1</v>
      </c>
      <c r="G111" t="str" s="3">
        <v>怪物</v>
      </c>
      <c r="H111" t="n" s="3">
        <v>5</v>
      </c>
      <c r="I111" t="n" s="3">
        <v>13</v>
      </c>
      <c r="J111" t="n" s="3">
        <v>1</v>
      </c>
      <c r="K111" s="3"/>
      <c r="L111" s="3"/>
      <c r="M111" s="3"/>
      <c r="N111" s="3"/>
      <c r="O111" s="3"/>
      <c r="P111" s="3"/>
      <c r="Q111" s="3"/>
      <c r="R111" s="3"/>
      <c r="S111" s="17"/>
      <c r="T111" s="18"/>
      <c r="U111"/>
      <c r="V111"/>
      <c r="W111"/>
      <c r="X111"/>
      <c r="Y111"/>
      <c r="Z111"/>
      <c r="AA111"/>
    </row>
    <row r="112" ht="11" customHeight="1" spans="1:20">
      <c r="A112" t="str" s="35">
        <v> </v>
      </c>
      <c r="B112" t="n" s="17">
        <f>70000000+F112*10000+H112*1000+I112*100+J112</f>
        <v>70016302</v>
      </c>
      <c r="C112" t="str" s="3">
        <v>万宝坊市-怪物109</v>
      </c>
      <c r="D112" s="3"/>
      <c r="E112" t="str" s="3">
        <f>F112&amp;(VLOOKUP(G112,编号表!$E$1:$G$8,2,0))&amp;H112&amp;"_"&amp;I112&amp;"_"&amp;J112</f>
        <v>1N5_13_2</v>
      </c>
      <c r="F112" t="n" s="3">
        <v>1</v>
      </c>
      <c r="G112" t="str" s="3">
        <v>怪物</v>
      </c>
      <c r="H112" t="n" s="3">
        <v>5</v>
      </c>
      <c r="I112" t="n" s="3">
        <v>13</v>
      </c>
      <c r="J112" t="n" s="3">
        <v>2</v>
      </c>
      <c r="K112" s="3"/>
      <c r="L112" s="3"/>
      <c r="M112" s="3"/>
      <c r="N112" s="3"/>
      <c r="O112" s="3"/>
      <c r="P112" s="3"/>
      <c r="Q112" s="3"/>
      <c r="R112" s="3"/>
      <c r="S112" s="17"/>
      <c r="T112" s="18"/>
      <c r="U112"/>
      <c r="V112"/>
      <c r="W112"/>
      <c r="X112"/>
      <c r="Y112"/>
      <c r="Z112"/>
      <c r="AA112"/>
    </row>
    <row r="113" ht="11" customHeight="1" spans="1:20">
      <c r="A113" t="str" s="35">
        <v> </v>
      </c>
      <c r="B113" t="n" s="17">
        <f>70000000+F113*10000+H113*1000+I113*100+J113</f>
        <v>70016303</v>
      </c>
      <c r="C113" t="str" s="3">
        <v>万宝坊市-怪物110</v>
      </c>
      <c r="D113" s="3"/>
      <c r="E113" t="str" s="3">
        <f>F113&amp;(VLOOKUP(G113,编号表!$E$1:$G$8,2,0))&amp;H113&amp;"_"&amp;I113&amp;"_"&amp;J113</f>
        <v>1N5_13_3</v>
      </c>
      <c r="F113" t="n" s="3">
        <v>1</v>
      </c>
      <c r="G113" t="str" s="3">
        <v>怪物</v>
      </c>
      <c r="H113" t="n" s="3">
        <v>5</v>
      </c>
      <c r="I113" t="n" s="3">
        <v>13</v>
      </c>
      <c r="J113" t="n" s="3">
        <v>3</v>
      </c>
      <c r="K113" s="3"/>
      <c r="L113" s="3"/>
      <c r="M113" s="3"/>
      <c r="N113" s="3"/>
      <c r="O113" s="3"/>
      <c r="P113" s="3"/>
      <c r="Q113" s="3"/>
      <c r="R113" s="3"/>
      <c r="S113" s="17"/>
      <c r="T113" s="18"/>
      <c r="U113"/>
      <c r="V113"/>
      <c r="W113"/>
      <c r="X113"/>
      <c r="Y113"/>
      <c r="Z113"/>
      <c r="AA113"/>
    </row>
    <row r="114" ht="11" customHeight="1" spans="1:20">
      <c r="A114" t="str" s="35">
        <v> </v>
      </c>
      <c r="B114" t="n" s="17">
        <f>70000000+F114*10000+H114*1000+I114*100+J114</f>
        <v>70016304</v>
      </c>
      <c r="C114" t="str" s="3">
        <v>万宝坊市-怪物111</v>
      </c>
      <c r="D114" s="3"/>
      <c r="E114" t="str" s="3">
        <f>F114&amp;(VLOOKUP(G114,编号表!$E$1:$G$8,2,0))&amp;H114&amp;"_"&amp;I114&amp;"_"&amp;J114</f>
        <v>1N5_13_4</v>
      </c>
      <c r="F114" t="n" s="3">
        <v>1</v>
      </c>
      <c r="G114" t="str" s="3">
        <v>怪物</v>
      </c>
      <c r="H114" t="n" s="3">
        <v>5</v>
      </c>
      <c r="I114" t="n" s="3">
        <v>13</v>
      </c>
      <c r="J114" t="n" s="3">
        <v>4</v>
      </c>
      <c r="K114" s="3"/>
      <c r="L114" s="3"/>
      <c r="M114" s="3"/>
      <c r="N114" s="3"/>
      <c r="O114" s="3"/>
      <c r="P114" s="3"/>
      <c r="Q114" s="3"/>
      <c r="R114" s="3"/>
      <c r="S114" s="17"/>
      <c r="T114" s="18"/>
      <c r="U114"/>
      <c r="V114"/>
      <c r="W114"/>
      <c r="X114"/>
      <c r="Y114"/>
      <c r="Z114"/>
      <c r="AA114"/>
    </row>
    <row r="115" ht="11" customHeight="1" spans="1:20">
      <c r="A115" t="str" s="35">
        <v> </v>
      </c>
      <c r="B115" t="n" s="17">
        <f>70000000+F115*10000+H115*1000+I115*100+J115</f>
        <v>70016305</v>
      </c>
      <c r="C115" t="str" s="3">
        <v>万宝坊市-怪物112</v>
      </c>
      <c r="D115" s="3"/>
      <c r="E115" t="str" s="3">
        <f>F115&amp;(VLOOKUP(G115,编号表!$E$1:$G$8,2,0))&amp;H115&amp;"_"&amp;I115&amp;"_"&amp;J115</f>
        <v>1N5_13_5</v>
      </c>
      <c r="F115" t="n" s="3">
        <v>1</v>
      </c>
      <c r="G115" t="str" s="3">
        <v>怪物</v>
      </c>
      <c r="H115" t="n" s="3">
        <v>5</v>
      </c>
      <c r="I115" t="n" s="3">
        <v>13</v>
      </c>
      <c r="J115" t="n" s="3">
        <v>5</v>
      </c>
      <c r="K115" s="3"/>
      <c r="L115" s="3"/>
      <c r="M115" s="3"/>
      <c r="N115" s="3"/>
      <c r="O115" s="3"/>
      <c r="P115" s="3"/>
      <c r="Q115" s="3"/>
      <c r="R115" s="3"/>
      <c r="S115" s="17"/>
      <c r="T115" s="18"/>
      <c r="U115"/>
      <c r="V115"/>
      <c r="W115"/>
      <c r="X115"/>
      <c r="Y115"/>
      <c r="Z115"/>
      <c r="AA115"/>
    </row>
    <row r="116" ht="11" customHeight="1" spans="1:20">
      <c r="A116" t="str" s="35">
        <v> </v>
      </c>
      <c r="B116" t="n" s="17">
        <f>70000000+F116*10000+H116*1000+I116*100+J116</f>
        <v>70016306</v>
      </c>
      <c r="C116" t="str" s="3">
        <v>万宝坊市-怪物113</v>
      </c>
      <c r="D116" s="3"/>
      <c r="E116" t="str" s="3">
        <f>F116&amp;(VLOOKUP(G116,编号表!$E$1:$G$8,2,0))&amp;H116&amp;"_"&amp;I116&amp;"_"&amp;J116</f>
        <v>1N5_13_6</v>
      </c>
      <c r="F116" t="n" s="3">
        <v>1</v>
      </c>
      <c r="G116" t="str" s="3">
        <v>怪物</v>
      </c>
      <c r="H116" t="n" s="3">
        <v>5</v>
      </c>
      <c r="I116" t="n" s="3">
        <v>13</v>
      </c>
      <c r="J116" t="n" s="3">
        <v>6</v>
      </c>
      <c r="K116" s="3"/>
      <c r="L116" s="3"/>
      <c r="M116" s="3"/>
      <c r="N116" s="3"/>
      <c r="O116" s="3"/>
      <c r="P116" s="3"/>
      <c r="Q116" s="3"/>
      <c r="R116" s="3"/>
      <c r="S116" s="17"/>
      <c r="T116" s="18"/>
      <c r="U116"/>
      <c r="V116"/>
      <c r="W116"/>
      <c r="X116"/>
      <c r="Y116"/>
      <c r="Z116"/>
      <c r="AA116"/>
    </row>
    <row r="117" ht="11" customHeight="1" spans="1:20">
      <c r="A117" t="str" s="35">
        <v> </v>
      </c>
      <c r="B117" t="n" s="17">
        <f>70000000+F117*10000+H117*1000+I117*100+J117</f>
        <v>70016307</v>
      </c>
      <c r="C117" t="str" s="3">
        <v>万宝坊市-怪物114</v>
      </c>
      <c r="D117" s="3"/>
      <c r="E117" t="str" s="3">
        <f>F117&amp;(VLOOKUP(G117,编号表!$E$1:$G$8,2,0))&amp;H117&amp;"_"&amp;I117&amp;"_"&amp;J117</f>
        <v>1N5_13_7</v>
      </c>
      <c r="F117" t="n" s="3">
        <v>1</v>
      </c>
      <c r="G117" t="str" s="3">
        <v>怪物</v>
      </c>
      <c r="H117" t="n" s="3">
        <v>5</v>
      </c>
      <c r="I117" t="n" s="3">
        <v>13</v>
      </c>
      <c r="J117" t="n" s="3">
        <v>7</v>
      </c>
      <c r="K117" s="3"/>
      <c r="L117" s="3"/>
      <c r="M117" s="3"/>
      <c r="N117" s="3"/>
      <c r="O117" s="3"/>
      <c r="P117" s="3"/>
      <c r="Q117" s="3"/>
      <c r="R117" s="3"/>
      <c r="S117" s="17"/>
      <c r="T117" s="18"/>
      <c r="U117"/>
      <c r="V117"/>
      <c r="W117"/>
      <c r="X117"/>
      <c r="Y117"/>
      <c r="Z117"/>
      <c r="AA117"/>
    </row>
    <row r="118" ht="15" spans="1:20">
      <c r="A118" s="35"/>
      <c r="B118" t="n" s="17">
        <f>70000000+F118*10000+H118*1000+I118*100+J118</f>
        <v>70011001</v>
      </c>
      <c r="C118" t="str" s="36">
        <v>万宝坊市-镜头</v>
      </c>
      <c r="D118" s="3"/>
      <c r="E118" t="str" s="3">
        <f>F118&amp;(VLOOKUP(G118,编号表!$E$1:$G$8,2,0))&amp;H118&amp;"_"&amp;I118&amp;"_"&amp;J118</f>
        <v>1J1_0_1</v>
      </c>
      <c r="F118" t="n" s="3">
        <v>1</v>
      </c>
      <c r="G118" t="str" s="3">
        <v>镜头</v>
      </c>
      <c r="H118" t="n" s="3">
        <v>1</v>
      </c>
      <c r="I118" t="n" s="3">
        <v>0</v>
      </c>
      <c r="J118" t="n" s="3">
        <v>1</v>
      </c>
      <c r="K118" t="n" s="3">
        <v>1</v>
      </c>
      <c r="L118" s="3"/>
      <c r="M118" s="3"/>
      <c r="N118" s="3"/>
      <c r="O118" s="3"/>
      <c r="P118" s="3"/>
      <c r="Q118" s="3"/>
      <c r="R118" s="3"/>
      <c r="S118" s="17"/>
      <c r="T118" s="18"/>
      <c r="U118"/>
      <c r="V118"/>
      <c r="W118"/>
      <c r="X118"/>
      <c r="Y118"/>
      <c r="Z118"/>
      <c r="AA118"/>
    </row>
    <row r="119" ht="15" spans="1:20">
      <c r="A119" s="35"/>
      <c r="B119" t="n" s="17">
        <f>70000000+F119*10000+H119*1000+I119*100+J119</f>
        <v>70015001</v>
      </c>
      <c r="C119" t="str" s="37">
        <v>万宝坊市-传送</v>
      </c>
      <c r="D119" s="3"/>
      <c r="E119" t="str" s="3">
        <f>F119&amp;(VLOOKUP(G119,编号表!$E$1:$G$8,2,0))&amp;H119&amp;"_"&amp;I119&amp;"_"&amp;J119</f>
        <v>1T5_0_1</v>
      </c>
      <c r="F119" t="n" s="3">
        <v>1</v>
      </c>
      <c r="G119" t="str" s="3">
        <v>传送</v>
      </c>
      <c r="H119" t="n" s="3">
        <v>5</v>
      </c>
      <c r="I119" t="n" s="3">
        <v>0</v>
      </c>
      <c r="J119" t="n" s="3">
        <v>1</v>
      </c>
      <c r="K119" s="3"/>
      <c r="L119" t="n" s="3">
        <v>1</v>
      </c>
      <c r="M119" s="3"/>
      <c r="N119" s="3"/>
      <c r="O119" s="3"/>
      <c r="P119" s="3"/>
      <c r="Q119" s="3"/>
      <c r="R119" s="3"/>
      <c r="S119" s="17"/>
      <c r="T119" s="18"/>
      <c r="U119"/>
      <c r="V119"/>
      <c r="W119"/>
      <c r="X119"/>
      <c r="Y119"/>
      <c r="Z119"/>
      <c r="AA119"/>
    </row>
    <row r="120" ht="15" spans="1:20">
      <c r="A120" s="35"/>
      <c r="B120" t="n" s="17">
        <f>70000000+F120*10000+H120*1000+I120*100+J120</f>
        <v>70012001</v>
      </c>
      <c r="C120" t="str" s="37">
        <v>万宝坊市-小地图</v>
      </c>
      <c r="D120" s="3"/>
      <c r="E120" t="str" s="3">
        <f>F120&amp;(VLOOKUP(G120,编号表!$E$1:$G$8,2,0))&amp;H120&amp;"_"&amp;I120&amp;"_"&amp;J120</f>
        <v>1D2_0_1</v>
      </c>
      <c r="F120" t="n" s="3">
        <v>1</v>
      </c>
      <c r="G120" t="str" s="3">
        <v>小地图</v>
      </c>
      <c r="H120" t="n" s="3">
        <v>2</v>
      </c>
      <c r="I120" t="n" s="3">
        <v>0</v>
      </c>
      <c r="J120" t="n" s="3">
        <v>1</v>
      </c>
      <c r="K120" s="3"/>
      <c r="L120" s="3"/>
      <c r="M120" t="n" s="3">
        <v>1</v>
      </c>
      <c r="N120" s="3"/>
      <c r="O120" s="3"/>
      <c r="P120" s="3"/>
      <c r="Q120" s="3"/>
      <c r="R120" s="3"/>
      <c r="S120" s="17"/>
      <c r="T120" s="18"/>
      <c r="U120"/>
      <c r="V120"/>
      <c r="W120"/>
      <c r="X120"/>
      <c r="Y120"/>
      <c r="Z120"/>
      <c r="AA120"/>
    </row>
    <row r="121" ht="15" spans="1:20">
      <c r="A121" s="35"/>
      <c r="B121" t="n" s="17">
        <f>70000000+F121*10000+H121*1000+I121*100+J121</f>
        <v>70025101</v>
      </c>
      <c r="C121" t="str" s="3">
        <v>蚀苇沼·末流所积-怪物1</v>
      </c>
      <c r="D121" s="3"/>
      <c r="E121" t="str" s="3">
        <f>F121&amp;(VLOOKUP(G121,编号表!$E$1:$G$8,2,0))&amp;H121&amp;"_"&amp;I121&amp;"_"&amp;J121</f>
        <v>2N5_1_1</v>
      </c>
      <c r="F121" t="n" s="3">
        <v>2</v>
      </c>
      <c r="G121" t="str" s="3">
        <v>怪物</v>
      </c>
      <c r="H121" t="n" s="3">
        <v>5</v>
      </c>
      <c r="I121" t="n" s="3">
        <v>1</v>
      </c>
      <c r="J121" t="n" s="3">
        <f>COUNTIFS($F$5:F121,F121,$I$5:I121,I121)</f>
        <v>1</v>
      </c>
      <c r="K121" s="3"/>
      <c r="L121" s="3"/>
      <c r="M121" s="3"/>
      <c r="N121" s="3"/>
      <c r="O121" s="3"/>
      <c r="P121" s="3"/>
      <c r="Q121" s="3"/>
      <c r="R121" s="3"/>
      <c r="S121" t="str" s="17">
        <v>本轮完整刷新挂接；有效坐标注入后验证</v>
      </c>
      <c r="T121" t="n" s="18">
        <v>1002303</v>
      </c>
      <c r="U121"/>
      <c r="V121"/>
      <c r="W121"/>
      <c r="X121"/>
      <c r="Y121"/>
      <c r="Z121"/>
      <c r="AA121"/>
    </row>
    <row r="122" ht="15" spans="1:20">
      <c r="A122" s="35"/>
      <c r="B122" t="n" s="17">
        <f>70000000+F122*10000+H122*1000+I122*100+J122</f>
        <v>70025102</v>
      </c>
      <c r="C122" t="str" s="3">
        <v>蚀苇沼·末流所积-怪物2</v>
      </c>
      <c r="D122" s="3"/>
      <c r="E122" t="str" s="3">
        <f>F122&amp;(VLOOKUP(G122,编号表!$E$1:$G$8,2,0))&amp;H122&amp;"_"&amp;I122&amp;"_"&amp;J122</f>
        <v>2N5_1_2</v>
      </c>
      <c r="F122" t="n" s="3">
        <v>2</v>
      </c>
      <c r="G122" t="str" s="3">
        <v>怪物</v>
      </c>
      <c r="H122" t="n" s="3">
        <v>5</v>
      </c>
      <c r="I122" t="n" s="3">
        <v>1</v>
      </c>
      <c r="J122" t="n" s="3">
        <v>2</v>
      </c>
      <c r="K122" s="3"/>
      <c r="L122" s="3"/>
      <c r="M122" s="3"/>
      <c r="N122" s="3"/>
      <c r="O122" s="3"/>
      <c r="P122" s="3"/>
      <c r="Q122" s="3"/>
      <c r="R122" s="3"/>
      <c r="S122" t="str" s="17">
        <v>本轮完整刷新挂接；有效坐标注入后验证</v>
      </c>
      <c r="T122" t="n" s="18">
        <v>1002403</v>
      </c>
      <c r="U122"/>
      <c r="V122"/>
      <c r="W122"/>
      <c r="X122"/>
      <c r="Y122"/>
      <c r="Z122"/>
      <c r="AA122"/>
    </row>
    <row r="123" ht="15" spans="1:20">
      <c r="A123" s="35"/>
      <c r="B123" t="n" s="17">
        <f>70000000+F123*10000+H123*1000+I123*100+J123</f>
        <v>70025103</v>
      </c>
      <c r="C123" t="str" s="3">
        <v>蚀苇沼·末流所积-怪物3</v>
      </c>
      <c r="D123" s="3"/>
      <c r="E123" t="str" s="3">
        <f>F123&amp;(VLOOKUP(G123,编号表!$E$1:$G$8,2,0))&amp;H123&amp;"_"&amp;I123&amp;"_"&amp;J123</f>
        <v>2N5_1_3</v>
      </c>
      <c r="F123" t="n" s="3">
        <v>2</v>
      </c>
      <c r="G123" t="str" s="3">
        <v>怪物</v>
      </c>
      <c r="H123" t="n" s="3">
        <v>5</v>
      </c>
      <c r="I123" t="n" s="3">
        <v>1</v>
      </c>
      <c r="J123" t="n" s="3">
        <v>3</v>
      </c>
      <c r="K123" s="3"/>
      <c r="L123" s="3"/>
      <c r="M123" s="3"/>
      <c r="N123" s="3"/>
      <c r="O123" s="3"/>
      <c r="P123" s="3"/>
      <c r="Q123" s="3"/>
      <c r="R123" s="3"/>
      <c r="S123" t="str" s="17">
        <v>本轮完整刷新挂接；有效坐标注入后验证</v>
      </c>
      <c r="T123" t="n" s="18">
        <v>1002503</v>
      </c>
      <c r="U123"/>
      <c r="V123"/>
      <c r="W123"/>
      <c r="X123"/>
      <c r="Y123"/>
      <c r="Z123"/>
      <c r="AA123"/>
    </row>
    <row r="124" ht="15" spans="1:20">
      <c r="A124" s="35"/>
      <c r="B124" t="n" s="17">
        <f>70000000+F124*10000+H124*1000+I124*100+J124</f>
        <v>70025201</v>
      </c>
      <c r="C124" t="str" s="3">
        <v>蚀苇沼·末流所积-怪物4</v>
      </c>
      <c r="D124" s="3"/>
      <c r="E124" t="str" s="3">
        <f>F124&amp;(VLOOKUP(G124,编号表!$E$1:$G$8,2,0))&amp;H124&amp;"_"&amp;I124&amp;"_"&amp;J124</f>
        <v>2N5_2_1</v>
      </c>
      <c r="F124" t="n" s="3">
        <v>2</v>
      </c>
      <c r="G124" t="str" s="3">
        <v>怪物</v>
      </c>
      <c r="H124" t="n" s="3">
        <v>5</v>
      </c>
      <c r="I124" t="n" s="3">
        <v>2</v>
      </c>
      <c r="J124" t="n" s="3">
        <v>1</v>
      </c>
      <c r="K124" s="3"/>
      <c r="L124" s="3"/>
      <c r="M124" s="3"/>
      <c r="N124" s="3"/>
      <c r="O124" s="3"/>
      <c r="P124" s="3"/>
      <c r="Q124" s="3"/>
      <c r="R124" s="3"/>
      <c r="S124" t="str" s="17">
        <v>本轮完整刷新挂接；有效坐标注入后验证</v>
      </c>
      <c r="T124" t="n" s="18">
        <v>1002603</v>
      </c>
      <c r="U124"/>
      <c r="V124"/>
      <c r="W124"/>
      <c r="X124"/>
      <c r="Y124"/>
      <c r="Z124"/>
      <c r="AA124"/>
    </row>
    <row r="125" ht="15" spans="1:20">
      <c r="A125" s="35"/>
      <c r="B125" t="n" s="17">
        <f>70000000+F125*10000+H125*1000+I125*100+J125</f>
        <v>70025202</v>
      </c>
      <c r="C125" t="str" s="3">
        <v>蚀苇沼·末流所积-怪物5</v>
      </c>
      <c r="D125" s="3"/>
      <c r="E125" t="str" s="3">
        <f>F125&amp;(VLOOKUP(G125,编号表!$E$1:$G$8,2,0))&amp;H125&amp;"_"&amp;I125&amp;"_"&amp;J125</f>
        <v>2N5_2_2</v>
      </c>
      <c r="F125" t="n" s="3">
        <v>2</v>
      </c>
      <c r="G125" t="str" s="3">
        <v>怪物</v>
      </c>
      <c r="H125" t="n" s="3">
        <v>5</v>
      </c>
      <c r="I125" t="n" s="3">
        <v>2</v>
      </c>
      <c r="J125" t="n" s="3">
        <v>2</v>
      </c>
      <c r="K125" s="3"/>
      <c r="L125" s="3"/>
      <c r="M125" s="3"/>
      <c r="N125" s="3"/>
      <c r="O125" s="3"/>
      <c r="P125" s="3"/>
      <c r="Q125" s="3"/>
      <c r="R125" s="3"/>
      <c r="S125" t="str" s="17">
        <v>本轮完整刷新挂接；有效坐标注入后验证</v>
      </c>
      <c r="T125" t="n" s="18">
        <v>1002103</v>
      </c>
      <c r="U125"/>
      <c r="V125"/>
      <c r="W125"/>
      <c r="X125"/>
      <c r="Y125"/>
      <c r="Z125"/>
      <c r="AA125"/>
    </row>
    <row r="126" ht="15" spans="1:20">
      <c r="A126" s="35"/>
      <c r="B126" t="n" s="17">
        <f>70000000+F126*10000+H126*1000+I126*100+J126</f>
        <v>70025203</v>
      </c>
      <c r="C126" t="str" s="3">
        <v>蚀苇沼·末流所积-怪物6</v>
      </c>
      <c r="D126" s="3"/>
      <c r="E126" t="str" s="3">
        <f>F126&amp;(VLOOKUP(G126,编号表!$E$1:$G$8,2,0))&amp;H126&amp;"_"&amp;I126&amp;"_"&amp;J126</f>
        <v>2N5_2_3</v>
      </c>
      <c r="F126" t="n" s="3">
        <v>2</v>
      </c>
      <c r="G126" t="str" s="3">
        <v>怪物</v>
      </c>
      <c r="H126" t="n" s="3">
        <v>5</v>
      </c>
      <c r="I126" t="n" s="3">
        <v>2</v>
      </c>
      <c r="J126" t="n" s="3">
        <f>COUNTIFS($F$5:F126,F126,$I$5:I126,I126)</f>
        <v>3</v>
      </c>
      <c r="K126" s="3"/>
      <c r="L126" s="3"/>
      <c r="M126" s="3"/>
      <c r="N126" s="3"/>
      <c r="O126" s="3"/>
      <c r="P126" s="3"/>
      <c r="Q126" s="3"/>
      <c r="R126" s="3"/>
      <c r="S126" t="str" s="17">
        <v>精英</v>
      </c>
      <c r="T126" s="18"/>
      <c r="U126"/>
      <c r="V126"/>
      <c r="W126"/>
      <c r="X126"/>
      <c r="Y126"/>
      <c r="Z126"/>
      <c r="AA126"/>
    </row>
    <row r="127" ht="15" spans="1:20">
      <c r="A127" s="35"/>
      <c r="B127" t="n" s="17">
        <f>70000000+F127*10000+H127*1000+I127*100+J127</f>
        <v>70025001</v>
      </c>
      <c r="C127" t="str" s="36">
        <v>蚀苇沼·末流所积-镜头</v>
      </c>
      <c r="D127" s="3"/>
      <c r="E127" t="str" s="3">
        <f>F127&amp;(VLOOKUP(G127,编号表!$E$1:$G$8,2,0))&amp;H127&amp;"_"&amp;I127&amp;"_"&amp;J127</f>
        <v>2J5_0_1</v>
      </c>
      <c r="F127" t="n" s="3">
        <v>2</v>
      </c>
      <c r="G127" t="str" s="3">
        <v>镜头</v>
      </c>
      <c r="H127" t="n" s="3">
        <v>5</v>
      </c>
      <c r="I127" t="n" s="3">
        <v>0</v>
      </c>
      <c r="J127" t="n" s="3">
        <f>COUNTIFS($F$5:F127,F127,$I$5:I127,I127)</f>
        <v>1</v>
      </c>
      <c r="K127" t="n" s="3">
        <v>1</v>
      </c>
      <c r="L127" s="3"/>
      <c r="M127" s="3"/>
      <c r="N127" s="3"/>
      <c r="O127" s="3"/>
      <c r="P127" s="3"/>
      <c r="Q127" s="3"/>
      <c r="R127" s="3"/>
      <c r="S127" s="17"/>
      <c r="T127" s="18"/>
      <c r="U127"/>
      <c r="V127"/>
      <c r="W127"/>
      <c r="X127"/>
      <c r="Y127"/>
      <c r="Z127"/>
      <c r="AA127"/>
    </row>
    <row r="128" ht="15" spans="1:20">
      <c r="A128" s="35"/>
      <c r="B128" t="n" s="17">
        <f>70000000+F128*10000+H128*1000+I128*100+J128</f>
        <v>70021001</v>
      </c>
      <c r="C128" t="str" s="37">
        <v>蚀苇沼·末流所积-传送</v>
      </c>
      <c r="D128" s="3"/>
      <c r="E128" t="str" s="3">
        <f>F128&amp;(VLOOKUP(G128,编号表!$E$1:$G$8,2,0))&amp;H128&amp;"_"&amp;I128&amp;"_"&amp;J128</f>
        <v>2T1_0_1</v>
      </c>
      <c r="F128" t="n" s="3">
        <v>2</v>
      </c>
      <c r="G128" t="str" s="3">
        <v>传送</v>
      </c>
      <c r="H128" t="n" s="3">
        <v>1</v>
      </c>
      <c r="I128" t="n" s="3">
        <v>0</v>
      </c>
      <c r="J128" t="n" s="3">
        <v>1</v>
      </c>
      <c r="K128" s="3"/>
      <c r="L128" t="n" s="3">
        <v>1</v>
      </c>
      <c r="M128" s="3"/>
      <c r="N128" s="3"/>
      <c r="O128" s="3"/>
      <c r="P128" s="3"/>
      <c r="Q128" s="3"/>
      <c r="R128" t="n" s="3">
        <v>70031002</v>
      </c>
      <c r="S128" s="17"/>
      <c r="T128" s="18"/>
      <c r="U128"/>
      <c r="V128"/>
      <c r="W128"/>
      <c r="X128"/>
      <c r="Y128"/>
      <c r="Z128"/>
      <c r="AA128"/>
    </row>
    <row r="129" ht="15" spans="1:20">
      <c r="A129" s="35"/>
      <c r="B129" t="n" s="17">
        <f>70000000+F129*10000+H129*1000+I129*100+J129</f>
        <v>70021002</v>
      </c>
      <c r="C129" t="str" s="37">
        <v>蚀苇沼·末流所积-传送</v>
      </c>
      <c r="D129" s="3"/>
      <c r="E129" t="str" s="3">
        <f>F129&amp;(VLOOKUP(G129,编号表!$E$1:$G$8,2,0))&amp;H129&amp;"_"&amp;I129&amp;"_"&amp;J129</f>
        <v>2T1_0_2</v>
      </c>
      <c r="F129" t="n" s="3">
        <v>2</v>
      </c>
      <c r="G129" t="str" s="3">
        <v>传送</v>
      </c>
      <c r="H129" t="n" s="3">
        <v>1</v>
      </c>
      <c r="I129" t="n" s="3">
        <v>0</v>
      </c>
      <c r="J129" t="n" s="3">
        <v>2</v>
      </c>
      <c r="K129" s="3"/>
      <c r="L129" s="3"/>
      <c r="M129" s="3"/>
      <c r="N129" s="3"/>
      <c r="O129" s="3"/>
      <c r="P129" s="3"/>
      <c r="Q129" s="3"/>
      <c r="R129" t="n" s="3">
        <v>70041002</v>
      </c>
      <c r="S129" s="17"/>
      <c r="T129" s="18"/>
      <c r="U129"/>
      <c r="V129"/>
      <c r="W129"/>
      <c r="X129"/>
      <c r="Y129"/>
      <c r="Z129"/>
      <c r="AA129"/>
    </row>
    <row r="130" ht="15" spans="1:20">
      <c r="A130" s="35"/>
      <c r="B130" t="n" s="17">
        <f>70000000+F130*10000+H130*1000+I130*100+J130</f>
        <v>70022001</v>
      </c>
      <c r="C130" t="str" s="37">
        <v>蚀苇沼·末流所积-小地图</v>
      </c>
      <c r="D130" s="3"/>
      <c r="E130" t="str" s="3">
        <f>F130&amp;(VLOOKUP(G130,编号表!$E$1:$G$8,2,0))&amp;H130&amp;"_"&amp;I130&amp;"_"&amp;J130</f>
        <v>2D2_0_1</v>
      </c>
      <c r="F130" t="n" s="3">
        <v>2</v>
      </c>
      <c r="G130" t="str" s="3">
        <v>小地图</v>
      </c>
      <c r="H130" t="n" s="3">
        <v>2</v>
      </c>
      <c r="I130" t="n" s="3">
        <v>0</v>
      </c>
      <c r="J130" t="n" s="3">
        <v>1</v>
      </c>
      <c r="K130" s="3"/>
      <c r="L130" s="3"/>
      <c r="M130" t="n" s="3">
        <v>1</v>
      </c>
      <c r="N130" s="3"/>
      <c r="O130" s="3"/>
      <c r="P130" s="3"/>
      <c r="Q130" s="3"/>
      <c r="R130" s="3"/>
      <c r="S130" s="17"/>
      <c r="T130" s="18"/>
      <c r="U130"/>
      <c r="V130"/>
      <c r="W130"/>
      <c r="X130"/>
      <c r="Y130"/>
      <c r="Z130"/>
      <c r="AA130"/>
    </row>
    <row r="131" ht="15" spans="1:20">
      <c r="A131" s="35"/>
      <c r="B131" t="n" s="17">
        <f>70000000+F131*10000+H131*1000+I131*100+J131</f>
        <v>70035001</v>
      </c>
      <c r="C131" t="str" s="36">
        <v>望岳津-镜头</v>
      </c>
      <c r="D131" s="3"/>
      <c r="E131" t="str" s="3">
        <f>F131&amp;(VLOOKUP(G131,编号表!$E$1:$G$8,2,0))&amp;H131&amp;"_"&amp;I131&amp;"_"&amp;J131</f>
        <v>3J5_0_1</v>
      </c>
      <c r="F131" t="n" s="3">
        <v>3</v>
      </c>
      <c r="G131" t="str" s="3">
        <v>镜头</v>
      </c>
      <c r="H131" t="n" s="3">
        <v>5</v>
      </c>
      <c r="I131" t="n" s="3">
        <v>0</v>
      </c>
      <c r="J131" t="n" s="3">
        <f>COUNTIFS($F$5:F131,F131,$I$5:I131,I131)</f>
        <v>1</v>
      </c>
      <c r="K131" t="n" s="3">
        <v>1</v>
      </c>
      <c r="L131" s="3"/>
      <c r="M131" s="3"/>
      <c r="N131" s="3"/>
      <c r="O131" s="3"/>
      <c r="P131" s="3"/>
      <c r="Q131" s="3"/>
      <c r="R131" s="3"/>
      <c r="S131" s="17"/>
      <c r="T131" s="18"/>
      <c r="U131"/>
      <c r="V131"/>
      <c r="W131"/>
      <c r="X131"/>
      <c r="Y131"/>
      <c r="Z131"/>
      <c r="AA131"/>
    </row>
    <row r="132" ht="15" spans="1:20">
      <c r="A132" s="35"/>
      <c r="B132" t="n" s="17">
        <f>70000000+F132*10000+H132*1000+I132*100+J132</f>
        <v>70031001</v>
      </c>
      <c r="C132" t="str" s="37">
        <v>望岳津-传送</v>
      </c>
      <c r="D132" s="3"/>
      <c r="E132" t="str" s="3">
        <f>F132&amp;(VLOOKUP(G132,编号表!$E$1:$G$8,2,0))&amp;H132&amp;"_"&amp;I132&amp;"_"&amp;J132</f>
        <v>3T1_0_1</v>
      </c>
      <c r="F132" t="n" s="3">
        <v>3</v>
      </c>
      <c r="G132" t="str" s="3">
        <v>传送</v>
      </c>
      <c r="H132" t="n" s="3">
        <v>1</v>
      </c>
      <c r="I132" t="n" s="3">
        <v>0</v>
      </c>
      <c r="J132" t="n" s="3">
        <v>1</v>
      </c>
      <c r="K132" s="3"/>
      <c r="L132" t="n" s="3">
        <v>1</v>
      </c>
      <c r="M132" s="3"/>
      <c r="N132" s="3"/>
      <c r="O132" s="3"/>
      <c r="P132" s="3"/>
      <c r="Q132" s="3"/>
      <c r="R132" t="n" s="3">
        <v>70016204</v>
      </c>
      <c r="S132" s="17"/>
      <c r="T132" s="18"/>
      <c r="U132"/>
      <c r="V132"/>
      <c r="W132"/>
      <c r="X132"/>
      <c r="Y132"/>
      <c r="Z132"/>
      <c r="AA132"/>
    </row>
    <row r="133" ht="15" spans="1:20">
      <c r="A133" s="35"/>
      <c r="B133" t="n" s="17">
        <f>70000000+F133*10000+H133*1000+I133*100+J133</f>
        <v>70031002</v>
      </c>
      <c r="C133" t="str" s="37">
        <v>望岳津-传送</v>
      </c>
      <c r="D133" s="3"/>
      <c r="E133" t="str" s="3">
        <f>F133&amp;(VLOOKUP(G133,编号表!$E$1:$G$8,2,0))&amp;H133&amp;"_"&amp;I133&amp;"_"&amp;J133</f>
        <v>3T1_0_2</v>
      </c>
      <c r="F133" t="n" s="3">
        <v>3</v>
      </c>
      <c r="G133" t="str" s="3">
        <v>传送</v>
      </c>
      <c r="H133" t="n" s="3">
        <v>1</v>
      </c>
      <c r="I133" t="n" s="3">
        <v>0</v>
      </c>
      <c r="J133" t="n" s="3">
        <v>2</v>
      </c>
      <c r="K133" s="3"/>
      <c r="L133" t="n" s="3">
        <v>1</v>
      </c>
      <c r="M133" s="3"/>
      <c r="N133" s="3"/>
      <c r="O133" s="3"/>
      <c r="P133" s="3"/>
      <c r="Q133" s="3"/>
      <c r="R133" t="n" s="3">
        <v>70021001</v>
      </c>
      <c r="S133" s="17"/>
      <c r="T133" s="18"/>
      <c r="U133"/>
      <c r="V133"/>
      <c r="W133"/>
      <c r="X133"/>
      <c r="Y133"/>
      <c r="Z133"/>
      <c r="AA133"/>
    </row>
    <row r="134" ht="15" spans="1:20">
      <c r="A134" s="35"/>
      <c r="B134" t="n" s="17">
        <f>70000000+F134*10000+H134*1000+I134*100+J134</f>
        <v>70032001</v>
      </c>
      <c r="C134" t="str" s="37">
        <v>望岳津-小地图</v>
      </c>
      <c r="D134" s="3"/>
      <c r="E134" t="str" s="3">
        <f>F134&amp;(VLOOKUP(G134,编号表!$E$1:$G$8,2,0))&amp;H134&amp;"_"&amp;I134&amp;"_"&amp;J134</f>
        <v>3D2_0_1</v>
      </c>
      <c r="F134" t="n" s="3">
        <v>3</v>
      </c>
      <c r="G134" t="str" s="3">
        <v>小地图</v>
      </c>
      <c r="H134" t="n" s="3">
        <v>2</v>
      </c>
      <c r="I134" t="n" s="3">
        <v>0</v>
      </c>
      <c r="J134" t="n" s="3">
        <v>1</v>
      </c>
      <c r="K134" s="3"/>
      <c r="L134" s="3"/>
      <c r="M134" t="n" s="3">
        <v>1</v>
      </c>
      <c r="N134" s="3"/>
      <c r="O134" s="3"/>
      <c r="P134" s="3"/>
      <c r="Q134" s="3"/>
      <c r="R134" s="3"/>
      <c r="S134" s="17"/>
      <c r="T134" s="18"/>
      <c r="U134"/>
      <c r="V134"/>
      <c r="W134"/>
      <c r="X134"/>
      <c r="Y134"/>
      <c r="Z134"/>
      <c r="AA134"/>
    </row>
    <row r="135" ht="15" spans="1:20">
      <c r="A135" s="35"/>
      <c r="B135" t="n" s="17">
        <f>70000000+F135*10000+H135*1000+I135*100+J135</f>
        <v>70045101</v>
      </c>
      <c r="C135" t="str" s="38">
        <v>浮沉洲-怪物1</v>
      </c>
      <c r="D135" s="3"/>
      <c r="E135" t="str" s="3">
        <f>F135&amp;(VLOOKUP(G135,编号表!$E$1:$G$8,2,0))&amp;H135&amp;"_"&amp;I135&amp;"_"&amp;J135</f>
        <v>4N5_1_1</v>
      </c>
      <c r="F135" t="n" s="3">
        <v>4</v>
      </c>
      <c r="G135" t="str" s="3">
        <v>怪物</v>
      </c>
      <c r="H135" t="n" s="3">
        <v>5</v>
      </c>
      <c r="I135" t="n" s="3">
        <v>1</v>
      </c>
      <c r="J135" t="n" s="3">
        <f>COUNTIFS($F$5:F135,F135,$I$5:I135,I135)</f>
        <v>1</v>
      </c>
      <c r="K135" s="3"/>
      <c r="L135" s="3"/>
      <c r="M135" s="3"/>
      <c r="N135" s="3"/>
      <c r="O135" s="3"/>
      <c r="P135" s="3"/>
      <c r="Q135" s="3"/>
      <c r="R135" s="3"/>
      <c r="S135" t="str" s="17">
        <v>本轮完整刷新挂接；有效坐标注入后验证</v>
      </c>
      <c r="T135" t="n" s="18">
        <v>1004304</v>
      </c>
      <c r="U135"/>
      <c r="V135"/>
      <c r="W135"/>
      <c r="X135"/>
      <c r="Y135"/>
      <c r="Z135"/>
      <c r="AA135"/>
    </row>
    <row r="136" ht="15" spans="1:20">
      <c r="A136" s="35"/>
      <c r="B136" t="n" s="17">
        <f>70000000+F136*10000+H136*1000+I136*100+J136</f>
        <v>70045102</v>
      </c>
      <c r="C136" t="str" s="38">
        <v>浮沉洲-怪物2</v>
      </c>
      <c r="D136" s="3"/>
      <c r="E136" t="str" s="3">
        <f>F136&amp;(VLOOKUP(G136,编号表!$E$1:$G$8,2,0))&amp;H136&amp;"_"&amp;I136&amp;"_"&amp;J136</f>
        <v>4N5_1_2</v>
      </c>
      <c r="F136" t="n" s="3">
        <v>4</v>
      </c>
      <c r="G136" t="str" s="3">
        <v>怪物</v>
      </c>
      <c r="H136" t="n" s="3">
        <v>5</v>
      </c>
      <c r="I136" t="n" s="3">
        <v>1</v>
      </c>
      <c r="J136" t="n" s="3">
        <f>COUNTIFS($F$5:F136,F136,$I$5:I136,I136)</f>
        <v>2</v>
      </c>
      <c r="K136" s="3"/>
      <c r="L136" s="3"/>
      <c r="M136" s="3"/>
      <c r="N136" s="3"/>
      <c r="O136" s="3"/>
      <c r="P136" s="3"/>
      <c r="Q136" s="3"/>
      <c r="R136" s="3"/>
      <c r="S136" t="str" s="17">
        <v>本轮完整刷新挂接；有效坐标注入后验证</v>
      </c>
      <c r="T136" t="n" s="18">
        <v>1004403</v>
      </c>
      <c r="U136"/>
      <c r="V136"/>
      <c r="W136"/>
      <c r="X136"/>
      <c r="Y136"/>
      <c r="Z136"/>
      <c r="AA136"/>
    </row>
    <row r="137" ht="15" spans="1:20">
      <c r="A137" s="35"/>
      <c r="B137" t="n" s="17">
        <f>70000000+F137*10000+H137*1000+I137*100+J137</f>
        <v>70045103</v>
      </c>
      <c r="C137" t="str" s="38">
        <v>浮沉洲-怪物3</v>
      </c>
      <c r="D137" s="3"/>
      <c r="E137" t="str" s="3">
        <f>F137&amp;(VLOOKUP(G137,编号表!$E$1:$G$8,2,0))&amp;H137&amp;"_"&amp;I137&amp;"_"&amp;J137</f>
        <v>4N5_1_3</v>
      </c>
      <c r="F137" t="n" s="3">
        <v>4</v>
      </c>
      <c r="G137" t="str" s="3">
        <v>怪物</v>
      </c>
      <c r="H137" t="n" s="3">
        <v>5</v>
      </c>
      <c r="I137" t="n" s="3">
        <v>1</v>
      </c>
      <c r="J137" t="n" s="3">
        <f>COUNTIFS($F$5:F137,F137,$I$5:I137,I137)</f>
        <v>3</v>
      </c>
      <c r="K137" s="3"/>
      <c r="L137" s="3"/>
      <c r="M137" s="3"/>
      <c r="N137" s="3"/>
      <c r="O137" s="3"/>
      <c r="P137" s="3"/>
      <c r="Q137" s="3"/>
      <c r="R137" s="3"/>
      <c r="S137" t="str" s="17">
        <v>本轮完整刷新挂接；有效坐标注入后验证</v>
      </c>
      <c r="T137" t="n" s="18">
        <v>1004503</v>
      </c>
      <c r="U137"/>
      <c r="V137"/>
      <c r="W137"/>
      <c r="X137"/>
      <c r="Y137"/>
      <c r="Z137"/>
      <c r="AA137"/>
    </row>
    <row r="138" ht="15" spans="1:20">
      <c r="A138" s="35"/>
      <c r="B138" t="n" s="17">
        <f>70000000+F138*10000+H138*1000+I138*100+J138</f>
        <v>70045104</v>
      </c>
      <c r="C138" t="str" s="38">
        <v>浮沉洲-怪物4</v>
      </c>
      <c r="D138" s="3"/>
      <c r="E138" t="str" s="3">
        <f>F138&amp;(VLOOKUP(G138,编号表!$E$1:$G$8,2,0))&amp;H138&amp;"_"&amp;I138&amp;"_"&amp;J138</f>
        <v>4N5_1_4</v>
      </c>
      <c r="F138" t="n" s="3">
        <v>4</v>
      </c>
      <c r="G138" t="str" s="3">
        <v>怪物</v>
      </c>
      <c r="H138" t="n" s="3">
        <v>5</v>
      </c>
      <c r="I138" t="n" s="3">
        <v>1</v>
      </c>
      <c r="J138" t="n" s="3">
        <f>COUNTIFS($F$5:F138,F138,$I$5:I138,I138)</f>
        <v>4</v>
      </c>
      <c r="K138" s="3"/>
      <c r="L138" s="3"/>
      <c r="M138" s="3"/>
      <c r="N138" s="3"/>
      <c r="O138" s="3"/>
      <c r="P138" s="3"/>
      <c r="Q138" s="3"/>
      <c r="R138" s="3"/>
      <c r="S138" t="str" s="17">
        <v>本轮完整刷新挂接；有效坐标注入后验证</v>
      </c>
      <c r="T138" t="n" s="18">
        <v>1004603</v>
      </c>
      <c r="U138"/>
      <c r="V138"/>
      <c r="W138"/>
      <c r="X138"/>
      <c r="Y138"/>
      <c r="Z138"/>
      <c r="AA138"/>
    </row>
    <row r="139" ht="15" spans="1:20">
      <c r="A139" s="35"/>
      <c r="B139" t="n" s="17">
        <f>70000000+F139*10000+H139*1000+I139*100+J139</f>
        <v>70045105</v>
      </c>
      <c r="C139" t="str" s="38">
        <v>浮沉洲-怪物5</v>
      </c>
      <c r="D139" s="3"/>
      <c r="E139" t="str" s="3">
        <f>F139&amp;(VLOOKUP(G139,编号表!$E$1:$G$8,2,0))&amp;H139&amp;"_"&amp;I139&amp;"_"&amp;J139</f>
        <v>4N5_1_5</v>
      </c>
      <c r="F139" t="n" s="3">
        <v>4</v>
      </c>
      <c r="G139" t="str" s="3">
        <v>怪物</v>
      </c>
      <c r="H139" t="n" s="3">
        <v>5</v>
      </c>
      <c r="I139" t="n" s="3">
        <v>1</v>
      </c>
      <c r="J139" t="n" s="3">
        <f>COUNTIFS($F$5:F139,F139,$I$5:I139,I139)</f>
        <v>5</v>
      </c>
      <c r="K139" s="3"/>
      <c r="L139" s="3"/>
      <c r="M139" s="3"/>
      <c r="N139" s="3"/>
      <c r="O139" s="3"/>
      <c r="P139" s="3"/>
      <c r="Q139" s="3"/>
      <c r="R139" s="3"/>
      <c r="S139" t="str" s="17">
        <v>本轮完整刷新挂接；有效坐标注入后验证</v>
      </c>
      <c r="T139" t="n" s="18">
        <v>1004704</v>
      </c>
      <c r="U139"/>
      <c r="V139"/>
      <c r="W139"/>
      <c r="X139"/>
      <c r="Y139"/>
      <c r="Z139"/>
      <c r="AA139"/>
    </row>
    <row r="140" ht="15" spans="1:20">
      <c r="A140" s="35"/>
      <c r="B140" t="n" s="17">
        <f>70000000+F140*10000+H140*1000+I140*100+J140</f>
        <v>70045106</v>
      </c>
      <c r="C140" t="str" s="38">
        <v>浮沉洲-怪物6</v>
      </c>
      <c r="D140" s="3"/>
      <c r="E140" t="str" s="3">
        <f>F140&amp;(VLOOKUP(G140,编号表!$E$1:$G$8,2,0))&amp;H140&amp;"_"&amp;I140&amp;"_"&amp;J140</f>
        <v>4N5_1_6</v>
      </c>
      <c r="F140" t="n" s="3">
        <v>4</v>
      </c>
      <c r="G140" t="str" s="3">
        <v>怪物</v>
      </c>
      <c r="H140" t="n" s="3">
        <v>5</v>
      </c>
      <c r="I140" t="n" s="3">
        <v>1</v>
      </c>
      <c r="J140" t="n" s="3">
        <f>COUNTIFS($F$5:F140,F140,$I$5:I140,I140)</f>
        <v>6</v>
      </c>
      <c r="K140" s="3"/>
      <c r="L140" s="3"/>
      <c r="M140" s="3"/>
      <c r="N140" s="3"/>
      <c r="O140" s="3"/>
      <c r="P140" s="3"/>
      <c r="Q140" s="3"/>
      <c r="R140" s="3"/>
      <c r="S140" t="str" s="17">
        <v>本轮完整刷新挂接；有效坐标注入后验证</v>
      </c>
      <c r="T140" t="n" s="18">
        <v>1004103</v>
      </c>
      <c r="U140"/>
      <c r="V140"/>
      <c r="W140"/>
      <c r="X140"/>
      <c r="Y140"/>
      <c r="Z140"/>
      <c r="AA140"/>
    </row>
    <row r="141" ht="15" spans="1:20">
      <c r="A141" s="35"/>
      <c r="B141" t="n" s="17">
        <f>70000000+F141*10000+H141*1000+I141*100+J141</f>
        <v>70045201</v>
      </c>
      <c r="C141" t="str" s="38">
        <v>浮沉洲-怪物7</v>
      </c>
      <c r="D141" s="3"/>
      <c r="E141" t="str" s="3">
        <f>F141&amp;(VLOOKUP(G141,编号表!$E$1:$G$8,2,0))&amp;H141&amp;"_"&amp;I141&amp;"_"&amp;J141</f>
        <v>4N5_2_1</v>
      </c>
      <c r="F141" t="n" s="3">
        <v>4</v>
      </c>
      <c r="G141" t="str" s="3">
        <v>怪物</v>
      </c>
      <c r="H141" t="n" s="3">
        <v>5</v>
      </c>
      <c r="I141" t="n" s="3">
        <v>2</v>
      </c>
      <c r="J141" t="n" s="3">
        <f>COUNTIFS($F$5:F141,F141,$I$5:I141,I141)</f>
        <v>1</v>
      </c>
      <c r="K141" s="3"/>
      <c r="L141" s="3"/>
      <c r="M141" s="3"/>
      <c r="N141" s="3"/>
      <c r="O141" s="3"/>
      <c r="P141" s="3"/>
      <c r="Q141" s="3"/>
      <c r="R141" s="3"/>
      <c r="S141" s="17"/>
      <c r="T141" s="18"/>
      <c r="U141"/>
      <c r="V141"/>
      <c r="W141"/>
      <c r="X141"/>
      <c r="Y141"/>
      <c r="Z141"/>
      <c r="AA141"/>
    </row>
    <row r="142" ht="15" spans="1:20">
      <c r="A142" s="35"/>
      <c r="B142" t="n" s="17">
        <f>70000000+F142*10000+H142*1000+I142*100+J142</f>
        <v>70045202</v>
      </c>
      <c r="C142" t="str" s="38">
        <v>浮沉洲-怪物8</v>
      </c>
      <c r="D142" s="3"/>
      <c r="E142" t="str" s="3">
        <f>F142&amp;(VLOOKUP(G142,编号表!$E$1:$G$8,2,0))&amp;H142&amp;"_"&amp;I142&amp;"_"&amp;J142</f>
        <v>4N5_2_2</v>
      </c>
      <c r="F142" t="n" s="3">
        <v>4</v>
      </c>
      <c r="G142" t="str" s="3">
        <v>怪物</v>
      </c>
      <c r="H142" t="n" s="3">
        <v>5</v>
      </c>
      <c r="I142" t="n" s="3">
        <v>2</v>
      </c>
      <c r="J142" t="n" s="3">
        <f>COUNTIFS($F$5:F142,F142,$I$5:I142,I142)</f>
        <v>2</v>
      </c>
      <c r="K142" s="3"/>
      <c r="L142" s="3"/>
      <c r="M142" s="3"/>
      <c r="N142" s="3"/>
      <c r="O142" s="3"/>
      <c r="P142" s="3"/>
      <c r="Q142" s="3"/>
      <c r="R142" s="3"/>
      <c r="S142" s="17"/>
      <c r="T142" s="18"/>
      <c r="U142"/>
      <c r="V142"/>
      <c r="W142"/>
      <c r="X142"/>
      <c r="Y142"/>
      <c r="Z142"/>
      <c r="AA142"/>
    </row>
    <row r="143" ht="15" spans="1:20">
      <c r="A143" s="35"/>
      <c r="B143" t="n" s="17">
        <f>70000000+F143*10000+H143*1000+I143*100+J143</f>
        <v>70045203</v>
      </c>
      <c r="C143" t="str" s="38">
        <v>浮沉洲-怪物9</v>
      </c>
      <c r="D143" s="3"/>
      <c r="E143" t="str" s="3">
        <f>F143&amp;(VLOOKUP(G143,编号表!$E$1:$G$8,2,0))&amp;H143&amp;"_"&amp;I143&amp;"_"&amp;J143</f>
        <v>4N5_2_3</v>
      </c>
      <c r="F143" t="n" s="3">
        <v>4</v>
      </c>
      <c r="G143" t="str" s="3">
        <v>怪物</v>
      </c>
      <c r="H143" t="n" s="3">
        <v>5</v>
      </c>
      <c r="I143" t="n" s="3">
        <v>2</v>
      </c>
      <c r="J143" t="n" s="3">
        <f>COUNTIFS($F$5:F143,F143,$I$5:I143,I143)</f>
        <v>3</v>
      </c>
      <c r="K143" s="3"/>
      <c r="L143" s="3"/>
      <c r="M143" s="3"/>
      <c r="N143" s="3"/>
      <c r="O143" s="3"/>
      <c r="P143" s="3"/>
      <c r="Q143" s="3"/>
      <c r="R143" s="3"/>
      <c r="S143" t="str" s="17">
        <v>精英</v>
      </c>
      <c r="T143" s="18"/>
      <c r="U143"/>
      <c r="V143"/>
      <c r="W143"/>
      <c r="X143"/>
      <c r="Y143"/>
      <c r="Z143"/>
      <c r="AA143"/>
    </row>
    <row r="144" ht="15" spans="1:20">
      <c r="A144" s="35"/>
      <c r="B144" t="n" s="17">
        <f>70000000+F144*10000+H144*1000+I144*100+J144</f>
        <v>70045204</v>
      </c>
      <c r="C144" t="str" s="38">
        <v>浮沉洲-怪物10</v>
      </c>
      <c r="D144" s="3"/>
      <c r="E144" t="str" s="3">
        <f>F144&amp;(VLOOKUP(G144,编号表!$E$1:$G$8,2,0))&amp;H144&amp;"_"&amp;I144&amp;"_"&amp;J144</f>
        <v>4N5_2_4</v>
      </c>
      <c r="F144" t="n" s="3">
        <v>4</v>
      </c>
      <c r="G144" t="str" s="3">
        <v>怪物</v>
      </c>
      <c r="H144" t="n" s="3">
        <v>5</v>
      </c>
      <c r="I144" t="n" s="3">
        <v>2</v>
      </c>
      <c r="J144" t="n" s="3">
        <f>COUNTIFS($F$5:F144,F144,$I$5:I144,I144)</f>
        <v>4</v>
      </c>
      <c r="K144" s="3"/>
      <c r="L144" s="3"/>
      <c r="M144" s="3"/>
      <c r="N144" s="3"/>
      <c r="O144" s="3"/>
      <c r="P144" s="3"/>
      <c r="Q144" s="3"/>
      <c r="R144" s="3"/>
      <c r="S144" s="17"/>
      <c r="T144" s="18"/>
      <c r="U144"/>
      <c r="V144"/>
      <c r="W144"/>
      <c r="X144"/>
      <c r="Y144"/>
      <c r="Z144"/>
      <c r="AA144"/>
    </row>
    <row r="145" ht="15" spans="1:20">
      <c r="A145" s="35"/>
      <c r="B145" t="n" s="17">
        <f>70000000+F145*10000+H145*1000+I145*100+J145</f>
        <v>70045205</v>
      </c>
      <c r="C145" t="str" s="38">
        <v>浮沉洲-怪物11</v>
      </c>
      <c r="D145" s="3"/>
      <c r="E145" t="str" s="3">
        <f>F145&amp;(VLOOKUP(G145,编号表!$E$1:$G$8,2,0))&amp;H145&amp;"_"&amp;I145&amp;"_"&amp;J145</f>
        <v>4N5_2_5</v>
      </c>
      <c r="F145" t="n" s="3">
        <v>4</v>
      </c>
      <c r="G145" t="str" s="3">
        <v>怪物</v>
      </c>
      <c r="H145" t="n" s="3">
        <v>5</v>
      </c>
      <c r="I145" t="n" s="3">
        <v>2</v>
      </c>
      <c r="J145" t="n" s="3">
        <f>COUNTIFS($F$5:F145,F145,$I$5:I145,I145)</f>
        <v>5</v>
      </c>
      <c r="K145" s="3"/>
      <c r="L145" s="3"/>
      <c r="M145" s="3"/>
      <c r="N145" s="3"/>
      <c r="O145" s="3"/>
      <c r="P145" s="3"/>
      <c r="Q145" s="3"/>
      <c r="R145" s="3"/>
      <c r="S145" s="17"/>
      <c r="T145" s="18"/>
      <c r="U145"/>
      <c r="V145"/>
      <c r="W145"/>
      <c r="X145"/>
      <c r="Y145"/>
      <c r="Z145"/>
      <c r="AA145"/>
    </row>
    <row r="146" ht="15" spans="1:20">
      <c r="A146" s="35"/>
      <c r="B146" t="n" s="17">
        <f>70000000+F146*10000+H146*1000+I146*100+J146</f>
        <v>70045301</v>
      </c>
      <c r="C146" t="str" s="38">
        <v>浮沉洲-怪物12</v>
      </c>
      <c r="D146" s="3"/>
      <c r="E146" t="str" s="3">
        <f>F146&amp;(VLOOKUP(G146,编号表!$E$1:$G$8,2,0))&amp;H146&amp;"_"&amp;I146&amp;"_"&amp;J146</f>
        <v>4N5_3_1</v>
      </c>
      <c r="F146" t="n" s="3">
        <v>4</v>
      </c>
      <c r="G146" t="str" s="3">
        <v>怪物</v>
      </c>
      <c r="H146" t="n" s="3">
        <v>5</v>
      </c>
      <c r="I146" t="n" s="3">
        <v>3</v>
      </c>
      <c r="J146" t="n" s="3">
        <f>COUNTIFS($F$5:F146,F146,$I$5:I146,I146)</f>
        <v>1</v>
      </c>
      <c r="K146" s="3"/>
      <c r="L146" s="3"/>
      <c r="M146" s="3"/>
      <c r="N146" s="3"/>
      <c r="O146" s="3"/>
      <c r="P146" s="3"/>
      <c r="Q146" s="3"/>
      <c r="R146" s="3"/>
      <c r="S146" s="17"/>
      <c r="T146" s="18"/>
      <c r="U146"/>
      <c r="V146"/>
      <c r="W146"/>
      <c r="X146"/>
      <c r="Y146"/>
      <c r="Z146"/>
      <c r="AA146"/>
    </row>
    <row r="147" ht="15" spans="1:20">
      <c r="A147" s="35"/>
      <c r="B147" t="n" s="17">
        <f>70000000+F147*10000+H147*1000+I147*100+J147</f>
        <v>70045302</v>
      </c>
      <c r="C147" t="str" s="38">
        <v>浮沉洲-怪物13</v>
      </c>
      <c r="D147" s="3"/>
      <c r="E147" t="str" s="3">
        <f>F147&amp;(VLOOKUP(G147,编号表!$E$1:$G$8,2,0))&amp;H147&amp;"_"&amp;I147&amp;"_"&amp;J147</f>
        <v>4N5_3_2</v>
      </c>
      <c r="F147" t="n" s="3">
        <v>4</v>
      </c>
      <c r="G147" t="str" s="3">
        <v>怪物</v>
      </c>
      <c r="H147" t="n" s="3">
        <v>5</v>
      </c>
      <c r="I147" t="n" s="3">
        <v>3</v>
      </c>
      <c r="J147" t="n" s="3">
        <f>COUNTIFS($F$5:F147,F147,$I$5:I147,I147)</f>
        <v>2</v>
      </c>
      <c r="K147" s="3"/>
      <c r="L147" s="3"/>
      <c r="M147" s="3"/>
      <c r="N147" s="3"/>
      <c r="O147" s="3"/>
      <c r="P147" s="3"/>
      <c r="Q147" s="3"/>
      <c r="R147" s="3"/>
      <c r="S147" s="17"/>
      <c r="T147" s="18"/>
      <c r="U147"/>
      <c r="V147"/>
      <c r="W147"/>
      <c r="X147"/>
      <c r="Y147"/>
      <c r="Z147"/>
      <c r="AA147"/>
    </row>
    <row r="148" ht="15" spans="1:20">
      <c r="A148" s="35"/>
      <c r="B148" t="n" s="17">
        <f>70000000+F148*10000+H148*1000+I148*100+J148</f>
        <v>70045303</v>
      </c>
      <c r="C148" t="str" s="38">
        <v>浮沉洲-怪物14</v>
      </c>
      <c r="D148" s="3"/>
      <c r="E148" t="str" s="3">
        <f>F148&amp;(VLOOKUP(G148,编号表!$E$1:$G$8,2,0))&amp;H148&amp;"_"&amp;I148&amp;"_"&amp;J148</f>
        <v>4N5_3_3</v>
      </c>
      <c r="F148" t="n" s="3">
        <v>4</v>
      </c>
      <c r="G148" t="str" s="3">
        <v>怪物</v>
      </c>
      <c r="H148" t="n" s="3">
        <v>5</v>
      </c>
      <c r="I148" t="n" s="3">
        <v>3</v>
      </c>
      <c r="J148" t="n" s="3">
        <f>COUNTIFS($F$5:F148,F148,$I$5:I148,I148)</f>
        <v>3</v>
      </c>
      <c r="K148" s="3"/>
      <c r="L148" s="3"/>
      <c r="M148" s="3"/>
      <c r="N148" s="3"/>
      <c r="O148" s="3"/>
      <c r="P148" s="3"/>
      <c r="Q148" s="3"/>
      <c r="R148" s="3"/>
      <c r="S148" s="17"/>
      <c r="T148" s="18"/>
      <c r="U148"/>
      <c r="V148"/>
      <c r="W148"/>
      <c r="X148"/>
      <c r="Y148"/>
      <c r="Z148"/>
      <c r="AA148"/>
    </row>
    <row r="149" ht="15" spans="1:20">
      <c r="A149" s="35"/>
      <c r="B149" t="n" s="17">
        <f>70000000+F149*10000+H149*1000+I149*100+J149</f>
        <v>70045304</v>
      </c>
      <c r="C149" t="str" s="38">
        <v>浮沉洲-怪物15</v>
      </c>
      <c r="D149" s="3"/>
      <c r="E149" t="str" s="3">
        <f>F149&amp;(VLOOKUP(G149,编号表!$E$1:$G$8,2,0))&amp;H149&amp;"_"&amp;I149&amp;"_"&amp;J149</f>
        <v>4N5_3_4</v>
      </c>
      <c r="F149" t="n" s="3">
        <v>4</v>
      </c>
      <c r="G149" t="str" s="3">
        <v>怪物</v>
      </c>
      <c r="H149" t="n" s="3">
        <v>5</v>
      </c>
      <c r="I149" t="n" s="3">
        <v>3</v>
      </c>
      <c r="J149" t="n" s="3">
        <f>COUNTIFS($F$5:F149,F149,$I$5:I149,I149)</f>
        <v>4</v>
      </c>
      <c r="K149" s="3"/>
      <c r="L149" s="3"/>
      <c r="M149" s="3"/>
      <c r="N149" s="3"/>
      <c r="O149" s="3"/>
      <c r="P149" s="3"/>
      <c r="Q149" s="3"/>
      <c r="R149" s="3"/>
      <c r="S149" s="17"/>
      <c r="T149" s="18"/>
      <c r="U149"/>
      <c r="V149"/>
      <c r="W149"/>
      <c r="X149"/>
      <c r="Y149"/>
      <c r="Z149"/>
      <c r="AA149"/>
    </row>
    <row r="150" ht="15" spans="1:20">
      <c r="A150" s="35"/>
      <c r="B150" t="n" s="17">
        <f>70000000+F150*10000+H150*1000+I150*100+J150</f>
        <v>70045305</v>
      </c>
      <c r="C150" t="str" s="38">
        <v>浮沉洲-怪物16</v>
      </c>
      <c r="D150" s="3"/>
      <c r="E150" t="str" s="3">
        <f>F150&amp;(VLOOKUP(G150,编号表!$E$1:$G$8,2,0))&amp;H150&amp;"_"&amp;I150&amp;"_"&amp;J150</f>
        <v>4N5_3_5</v>
      </c>
      <c r="F150" t="n" s="3">
        <v>4</v>
      </c>
      <c r="G150" t="str" s="3">
        <v>怪物</v>
      </c>
      <c r="H150" t="n" s="3">
        <v>5</v>
      </c>
      <c r="I150" t="n" s="3">
        <v>3</v>
      </c>
      <c r="J150" t="n" s="3">
        <f>COUNTIFS($F$5:F150,F150,$I$5:I150,I150)</f>
        <v>5</v>
      </c>
      <c r="K150" s="3"/>
      <c r="L150" s="3"/>
      <c r="M150" s="3"/>
      <c r="N150" s="3"/>
      <c r="O150" s="3"/>
      <c r="P150" s="3"/>
      <c r="Q150" s="3"/>
      <c r="R150" s="3"/>
      <c r="S150" s="17"/>
      <c r="T150" s="18"/>
      <c r="U150"/>
      <c r="V150"/>
      <c r="W150"/>
      <c r="X150"/>
      <c r="Y150"/>
      <c r="Z150"/>
      <c r="AA150"/>
    </row>
    <row r="151" ht="15" spans="1:20">
      <c r="A151" s="35"/>
      <c r="B151" t="n" s="17">
        <f>70000000+F151*10000+H151*1000+I151*100+J151</f>
        <v>70045401</v>
      </c>
      <c r="C151" t="str" s="38">
        <v>浮沉洲-怪物17</v>
      </c>
      <c r="D151" s="3"/>
      <c r="E151" t="str" s="3">
        <f>F151&amp;(VLOOKUP(G151,编号表!$E$1:$G$8,2,0))&amp;H151&amp;"_"&amp;I151&amp;"_"&amp;J151</f>
        <v>4N5_4_1</v>
      </c>
      <c r="F151" t="n" s="3">
        <v>4</v>
      </c>
      <c r="G151" t="str" s="3">
        <v>怪物</v>
      </c>
      <c r="H151" t="n" s="3">
        <v>5</v>
      </c>
      <c r="I151" t="n" s="3">
        <v>4</v>
      </c>
      <c r="J151" t="n" s="3">
        <f>COUNTIFS($F$5:F151,F151,$I$5:I151,I151)</f>
        <v>1</v>
      </c>
      <c r="K151" s="3"/>
      <c r="L151" s="3"/>
      <c r="M151" s="3"/>
      <c r="N151" s="3"/>
      <c r="O151" s="3"/>
      <c r="P151" s="3"/>
      <c r="Q151" s="3"/>
      <c r="R151" s="3"/>
      <c r="S151" s="17"/>
      <c r="T151" s="18"/>
      <c r="U151"/>
      <c r="V151"/>
      <c r="W151"/>
      <c r="X151"/>
      <c r="Y151"/>
      <c r="Z151"/>
      <c r="AA151"/>
    </row>
    <row r="152" ht="15" spans="1:20">
      <c r="A152" s="35"/>
      <c r="B152" t="n" s="17">
        <f>70000000+F152*10000+H152*1000+I152*100+J152</f>
        <v>70045402</v>
      </c>
      <c r="C152" t="str" s="38">
        <v>浮沉洲-怪物18</v>
      </c>
      <c r="D152" s="3"/>
      <c r="E152" t="str" s="3">
        <f>F152&amp;(VLOOKUP(G152,编号表!$E$1:$G$8,2,0))&amp;H152&amp;"_"&amp;I152&amp;"_"&amp;J152</f>
        <v>4N5_4_2</v>
      </c>
      <c r="F152" t="n" s="3">
        <v>4</v>
      </c>
      <c r="G152" t="str" s="3">
        <v>怪物</v>
      </c>
      <c r="H152" t="n" s="3">
        <v>5</v>
      </c>
      <c r="I152" t="n" s="3">
        <v>4</v>
      </c>
      <c r="J152" t="n" s="3">
        <f>COUNTIFS($F$5:F152,F152,$I$5:I152,I152)</f>
        <v>2</v>
      </c>
      <c r="K152" s="3"/>
      <c r="L152" s="3"/>
      <c r="M152" s="3"/>
      <c r="N152" s="3"/>
      <c r="O152" s="3"/>
      <c r="P152" s="3"/>
      <c r="Q152" s="3"/>
      <c r="R152" s="3"/>
      <c r="S152" s="17"/>
      <c r="T152" s="18"/>
      <c r="U152"/>
      <c r="V152"/>
      <c r="W152"/>
      <c r="X152"/>
      <c r="Y152"/>
      <c r="Z152"/>
      <c r="AA152"/>
    </row>
    <row r="153" ht="15" spans="1:20">
      <c r="A153" s="35"/>
      <c r="B153" t="n" s="17">
        <f>70000000+F153*10000+H153*1000+I153*100+J153</f>
        <v>70045001</v>
      </c>
      <c r="C153" t="str" s="36">
        <v>浮沉洲-镜头</v>
      </c>
      <c r="D153" s="3"/>
      <c r="E153" t="str" s="3">
        <f>F153&amp;(VLOOKUP(G153,编号表!$E$1:$G$8,2,0))&amp;H153&amp;"_"&amp;I153&amp;"_"&amp;J153</f>
        <v>4J5_0_1</v>
      </c>
      <c r="F153" t="n" s="3">
        <v>4</v>
      </c>
      <c r="G153" t="str" s="3">
        <v>镜头</v>
      </c>
      <c r="H153" t="n" s="3">
        <v>5</v>
      </c>
      <c r="I153" t="n" s="3">
        <v>0</v>
      </c>
      <c r="J153" t="n" s="3">
        <v>1</v>
      </c>
      <c r="K153" t="n" s="3">
        <v>1</v>
      </c>
      <c r="L153" s="3"/>
      <c r="M153" s="3"/>
      <c r="N153" s="3"/>
      <c r="O153" s="3"/>
      <c r="P153" s="3"/>
      <c r="Q153" s="3"/>
      <c r="R153" s="3"/>
      <c r="S153" s="17"/>
      <c r="T153" s="18"/>
      <c r="U153"/>
      <c r="V153"/>
      <c r="W153"/>
      <c r="X153"/>
      <c r="Y153"/>
      <c r="Z153"/>
      <c r="AA153"/>
    </row>
    <row r="154" ht="15" spans="1:20">
      <c r="A154" s="35"/>
      <c r="B154" t="n" s="17">
        <f>70000000+F154*10000+H154*1000+I154*100+J154</f>
        <v>70041001</v>
      </c>
      <c r="C154" t="str" s="37">
        <v>浮沉洲-传送</v>
      </c>
      <c r="D154" s="3"/>
      <c r="E154" t="str" s="3">
        <f>F154&amp;(VLOOKUP(G154,编号表!$E$1:$G$8,2,0))&amp;H154&amp;"_"&amp;I154&amp;"_"&amp;J154</f>
        <v>4T1_0_1</v>
      </c>
      <c r="F154" t="n" s="3">
        <v>4</v>
      </c>
      <c r="G154" t="str" s="3">
        <v>传送</v>
      </c>
      <c r="H154" t="n" s="3">
        <v>1</v>
      </c>
      <c r="I154" t="n" s="3">
        <v>0</v>
      </c>
      <c r="J154" t="n" s="3">
        <v>1</v>
      </c>
      <c r="K154" s="3"/>
      <c r="L154" t="n" s="3">
        <v>1</v>
      </c>
      <c r="M154" s="3"/>
      <c r="N154" s="3"/>
      <c r="O154" s="3"/>
      <c r="P154" s="3"/>
      <c r="Q154" s="3"/>
      <c r="R154" t="n" s="3">
        <v>70051001</v>
      </c>
      <c r="S154" s="17"/>
      <c r="T154" s="18"/>
      <c r="U154"/>
      <c r="V154"/>
      <c r="W154"/>
      <c r="X154"/>
      <c r="Y154"/>
      <c r="Z154"/>
      <c r="AA154"/>
    </row>
    <row r="155" ht="15" spans="1:20">
      <c r="A155" s="35"/>
      <c r="B155" t="n" s="17">
        <f>70000000+F155*10000+H155*1000+I155*100+J155</f>
        <v>70041002</v>
      </c>
      <c r="C155" t="str" s="37">
        <v>浮沉洲-传送</v>
      </c>
      <c r="D155" s="3"/>
      <c r="E155" t="str" s="3">
        <f>F155&amp;(VLOOKUP(G155,编号表!$E$1:$G$8,2,0))&amp;H155&amp;"_"&amp;I155&amp;"_"&amp;J155</f>
        <v>4T1_0_2</v>
      </c>
      <c r="F155" t="n" s="3">
        <v>4</v>
      </c>
      <c r="G155" t="str" s="3">
        <v>传送</v>
      </c>
      <c r="H155" t="n" s="3">
        <v>1</v>
      </c>
      <c r="I155" t="n" s="3">
        <v>0</v>
      </c>
      <c r="J155" t="n" s="3">
        <v>2</v>
      </c>
      <c r="K155" s="3"/>
      <c r="L155" t="n" s="3">
        <v>1</v>
      </c>
      <c r="M155" s="3"/>
      <c r="N155" s="3"/>
      <c r="O155" s="3"/>
      <c r="P155" s="3"/>
      <c r="Q155" s="3"/>
      <c r="R155" t="n" s="3">
        <v>70021002</v>
      </c>
      <c r="S155" s="17"/>
      <c r="T155" s="18"/>
      <c r="U155"/>
      <c r="V155"/>
      <c r="W155"/>
      <c r="X155"/>
      <c r="Y155"/>
      <c r="Z155"/>
      <c r="AA155"/>
    </row>
    <row r="156" ht="15" spans="1:20">
      <c r="A156" s="35"/>
      <c r="B156" t="n" s="17">
        <f>70000000+F156*10000+H156*1000+I156*100+J156</f>
        <v>70042001</v>
      </c>
      <c r="C156" t="str" s="37">
        <v>浮沉洲-小地图</v>
      </c>
      <c r="D156" s="3"/>
      <c r="E156" t="str" s="3">
        <f>F156&amp;(VLOOKUP(G156,编号表!$E$1:$G$8,2,0))&amp;H156&amp;"_"&amp;I156&amp;"_"&amp;J156</f>
        <v>4D2_0_1</v>
      </c>
      <c r="F156" t="n" s="3">
        <v>4</v>
      </c>
      <c r="G156" t="str" s="3">
        <v>小地图</v>
      </c>
      <c r="H156" t="n" s="3">
        <v>2</v>
      </c>
      <c r="I156" t="n" s="3">
        <v>0</v>
      </c>
      <c r="J156" t="n" s="3">
        <v>1</v>
      </c>
      <c r="K156" s="3"/>
      <c r="L156" s="3"/>
      <c r="M156" t="n" s="3">
        <v>1</v>
      </c>
      <c r="N156" s="3"/>
      <c r="O156" s="3"/>
      <c r="P156" s="3"/>
      <c r="Q156" s="3"/>
      <c r="R156" s="3"/>
      <c r="S156" s="17"/>
      <c r="T156" s="18"/>
      <c r="U156"/>
      <c r="V156"/>
      <c r="W156"/>
      <c r="X156"/>
      <c r="Y156"/>
      <c r="Z156"/>
      <c r="AA156"/>
    </row>
    <row r="157" ht="15" spans="1:20">
      <c r="A157" s="35"/>
      <c r="B157" t="n" s="17">
        <f>70000000+F157*10000+H157*1000+I157*100+J157</f>
        <v>70055101</v>
      </c>
      <c r="C157" t="str" s="38">
        <v>蔽苇汀-怪物1</v>
      </c>
      <c r="D157" s="3"/>
      <c r="E157" t="str" s="3">
        <f>F157&amp;(VLOOKUP(G157,编号表!$E$1:$G$8,2,0))&amp;H157&amp;"_"&amp;I157&amp;"_"&amp;J157</f>
        <v>5N5_1_1</v>
      </c>
      <c r="F157" t="n" s="3">
        <v>5</v>
      </c>
      <c r="G157" t="str" s="3">
        <v>怪物</v>
      </c>
      <c r="H157" t="n" s="3">
        <v>5</v>
      </c>
      <c r="I157" t="n" s="3">
        <v>1</v>
      </c>
      <c r="J157" t="n" s="3">
        <v>1</v>
      </c>
      <c r="K157" s="3"/>
      <c r="L157" s="3"/>
      <c r="M157" s="3"/>
      <c r="N157" s="3"/>
      <c r="O157" s="3"/>
      <c r="P157" s="3"/>
      <c r="Q157" s="3"/>
      <c r="R157" s="3"/>
      <c r="S157" t="str" s="17">
        <v>本轮完整刷新挂接；有效坐标注入后验证</v>
      </c>
      <c r="T157" t="n" s="18">
        <v>1005303</v>
      </c>
      <c r="U157"/>
      <c r="V157"/>
      <c r="W157"/>
      <c r="X157"/>
      <c r="Y157"/>
      <c r="Z157"/>
      <c r="AA157"/>
    </row>
    <row r="158" ht="15" spans="1:20">
      <c r="A158" s="35"/>
      <c r="B158" t="n" s="17">
        <f>70000000+F158*10000+H158*1000+I158*100+J158</f>
        <v>70055102</v>
      </c>
      <c r="C158" t="str" s="38">
        <v>蔽苇汀-怪物2</v>
      </c>
      <c r="D158" s="3"/>
      <c r="E158" t="str" s="3">
        <f>F158&amp;(VLOOKUP(G158,编号表!$E$1:$G$8,2,0))&amp;H158&amp;"_"&amp;I158&amp;"_"&amp;J158</f>
        <v>5N5_1_2</v>
      </c>
      <c r="F158" t="n" s="3">
        <v>5</v>
      </c>
      <c r="G158" t="str" s="3">
        <v>怪物</v>
      </c>
      <c r="H158" t="n" s="3">
        <v>5</v>
      </c>
      <c r="I158" t="n" s="3">
        <v>1</v>
      </c>
      <c r="J158" t="n" s="3">
        <v>2</v>
      </c>
      <c r="K158" s="3"/>
      <c r="L158" s="3"/>
      <c r="M158" s="3"/>
      <c r="N158" s="3"/>
      <c r="O158" s="3"/>
      <c r="P158" s="3"/>
      <c r="Q158" s="3"/>
      <c r="R158" s="3"/>
      <c r="S158" t="str" s="17">
        <v>本轮完整刷新挂接；有效坐标注入后验证</v>
      </c>
      <c r="T158" t="n" s="18">
        <v>1005403</v>
      </c>
      <c r="U158"/>
      <c r="V158"/>
      <c r="W158"/>
      <c r="X158"/>
      <c r="Y158"/>
      <c r="Z158"/>
      <c r="AA158"/>
    </row>
    <row r="159" ht="15" spans="1:20">
      <c r="A159" s="35"/>
      <c r="B159" t="n" s="17">
        <f>70000000+F159*10000+H159*1000+I159*100+J159</f>
        <v>70055103</v>
      </c>
      <c r="C159" t="str" s="38">
        <v>蔽苇汀-怪物3</v>
      </c>
      <c r="D159" s="3"/>
      <c r="E159" t="str" s="3">
        <f>F159&amp;(VLOOKUP(G159,编号表!$E$1:$G$8,2,0))&amp;H159&amp;"_"&amp;I159&amp;"_"&amp;J159</f>
        <v>5N5_1_3</v>
      </c>
      <c r="F159" t="n" s="3">
        <v>5</v>
      </c>
      <c r="G159" t="str" s="3">
        <v>怪物</v>
      </c>
      <c r="H159" t="n" s="3">
        <v>5</v>
      </c>
      <c r="I159" t="n" s="3">
        <v>1</v>
      </c>
      <c r="J159" t="n" s="3">
        <v>3</v>
      </c>
      <c r="K159" s="3"/>
      <c r="L159" s="3"/>
      <c r="M159" s="3"/>
      <c r="N159" s="3"/>
      <c r="O159" s="3"/>
      <c r="P159" s="3"/>
      <c r="Q159" s="3"/>
      <c r="R159" s="3"/>
      <c r="S159" t="str" s="17">
        <v>本轮完整刷新挂接；有效坐标注入后验证</v>
      </c>
      <c r="T159" t="n" s="18">
        <v>1005503</v>
      </c>
      <c r="U159"/>
      <c r="V159"/>
      <c r="W159"/>
      <c r="X159"/>
      <c r="Y159"/>
      <c r="Z159"/>
      <c r="AA159"/>
    </row>
    <row r="160" ht="15" spans="1:20">
      <c r="A160" s="35"/>
      <c r="B160" t="n" s="17">
        <f>70000000+F160*10000+H160*1000+I160*100+J160</f>
        <v>70055201</v>
      </c>
      <c r="C160" t="str" s="38">
        <v>蔽苇汀-怪物5</v>
      </c>
      <c r="D160" s="3"/>
      <c r="E160" t="str" s="3">
        <f>F160&amp;(VLOOKUP(G160,编号表!$E$1:$G$8,2,0))&amp;H160&amp;"_"&amp;I160&amp;"_"&amp;J160</f>
        <v>5N5_2_1</v>
      </c>
      <c r="F160" t="n" s="3">
        <v>5</v>
      </c>
      <c r="G160" t="str" s="3">
        <v>怪物</v>
      </c>
      <c r="H160" t="n" s="3">
        <v>5</v>
      </c>
      <c r="I160" t="n" s="3">
        <v>2</v>
      </c>
      <c r="J160" t="n" s="3">
        <v>1</v>
      </c>
      <c r="K160" s="3"/>
      <c r="L160" s="3"/>
      <c r="M160" s="3"/>
      <c r="N160" s="3"/>
      <c r="O160" s="3"/>
      <c r="P160" s="3"/>
      <c r="Q160" s="3"/>
      <c r="R160" s="3"/>
      <c r="S160" t="str" s="17">
        <v>本轮完整刷新挂接；有效坐标注入后验证</v>
      </c>
      <c r="T160" t="n" s="18">
        <v>1005604</v>
      </c>
      <c r="U160"/>
      <c r="V160"/>
      <c r="W160"/>
      <c r="X160"/>
      <c r="Y160"/>
      <c r="Z160"/>
      <c r="AA160"/>
    </row>
    <row r="161" ht="15" spans="1:20">
      <c r="A161" s="35"/>
      <c r="B161" t="n" s="17">
        <f>70000000+F161*10000+H161*1000+I161*100+J161</f>
        <v>70055202</v>
      </c>
      <c r="C161" t="str" s="38">
        <v>蔽苇汀-怪物6</v>
      </c>
      <c r="D161" s="3"/>
      <c r="E161" t="str" s="3">
        <f>F161&amp;(VLOOKUP(G161,编号表!$E$1:$G$8,2,0))&amp;H161&amp;"_"&amp;I161&amp;"_"&amp;J161</f>
        <v>5N5_2_2</v>
      </c>
      <c r="F161" t="n" s="3">
        <v>5</v>
      </c>
      <c r="G161" t="str" s="3">
        <v>怪物</v>
      </c>
      <c r="H161" t="n" s="3">
        <v>5</v>
      </c>
      <c r="I161" t="n" s="3">
        <v>2</v>
      </c>
      <c r="J161" t="n" s="3">
        <f>COUNTIFS($F$5:F161,F161,$I$5:I161,I161)</f>
        <v>2</v>
      </c>
      <c r="K161" s="3"/>
      <c r="L161" s="3"/>
      <c r="M161" s="3"/>
      <c r="N161" s="3"/>
      <c r="O161" s="3"/>
      <c r="P161" s="3"/>
      <c r="Q161" s="3"/>
      <c r="R161" s="3"/>
      <c r="S161" t="str" s="17">
        <v>本轮完整刷新挂接；有效坐标注入后验证</v>
      </c>
      <c r="T161" t="n" s="18">
        <v>1005103</v>
      </c>
      <c r="U161"/>
      <c r="V161"/>
      <c r="W161"/>
      <c r="X161"/>
      <c r="Y161"/>
      <c r="Z161"/>
      <c r="AA161"/>
    </row>
    <row r="162" ht="15" spans="1:20">
      <c r="A162" s="35"/>
      <c r="B162" t="n" s="17">
        <f>70000000+F162*10000+H162*1000+I162*100+J162</f>
        <v>70055203</v>
      </c>
      <c r="C162" t="str" s="38">
        <v>蔽苇汀-怪物7</v>
      </c>
      <c r="D162" s="3"/>
      <c r="E162" t="str" s="3">
        <f>F162&amp;(VLOOKUP(G162,编号表!$E$1:$G$8,2,0))&amp;H162&amp;"_"&amp;I162&amp;"_"&amp;J162</f>
        <v>5N5_2_3</v>
      </c>
      <c r="F162" t="n" s="3">
        <v>5</v>
      </c>
      <c r="G162" t="str" s="3">
        <v>怪物</v>
      </c>
      <c r="H162" t="n" s="3">
        <v>5</v>
      </c>
      <c r="I162" t="n" s="3">
        <v>2</v>
      </c>
      <c r="J162" t="n" s="3">
        <f>COUNTIFS($F$5:F162,F162,$I$5:I162,I162)</f>
        <v>3</v>
      </c>
      <c r="K162" s="3"/>
      <c r="L162" s="3"/>
      <c r="M162" s="3"/>
      <c r="N162" s="3"/>
      <c r="O162" s="3"/>
      <c r="P162" s="3"/>
      <c r="Q162" s="3"/>
      <c r="R162" s="3"/>
      <c r="S162" t="str" s="17">
        <v>本轮完整刷新挂接；有效坐标注入后验证</v>
      </c>
      <c r="T162" t="n" s="18">
        <v>1900205</v>
      </c>
      <c r="U162"/>
      <c r="V162"/>
      <c r="W162"/>
      <c r="X162"/>
      <c r="Y162"/>
      <c r="Z162"/>
      <c r="AA162"/>
    </row>
    <row r="163" ht="15" spans="1:20">
      <c r="A163" s="35"/>
      <c r="B163" t="n" s="17">
        <f>70000000+F163*10000+H163*1000+I163*100+J163</f>
        <v>70055204</v>
      </c>
      <c r="C163" t="str" s="38">
        <v>蔽苇汀-怪物8</v>
      </c>
      <c r="D163" s="3"/>
      <c r="E163" t="str" s="3">
        <f>F163&amp;(VLOOKUP(G163,编号表!$E$1:$G$8,2,0))&amp;H163&amp;"_"&amp;I163&amp;"_"&amp;J163</f>
        <v>5N5_2_4</v>
      </c>
      <c r="F163" t="n" s="3">
        <v>5</v>
      </c>
      <c r="G163" t="str" s="3">
        <v>怪物</v>
      </c>
      <c r="H163" t="n" s="3">
        <v>5</v>
      </c>
      <c r="I163" t="n" s="3">
        <v>2</v>
      </c>
      <c r="J163" t="n" s="3">
        <f>COUNTIFS($F$5:F163,F163,$I$5:I163,I163)</f>
        <v>4</v>
      </c>
      <c r="K163" s="3"/>
      <c r="L163" s="3"/>
      <c r="M163" s="3"/>
      <c r="N163" s="3"/>
      <c r="O163" s="3"/>
      <c r="P163" s="3"/>
      <c r="Q163" s="3"/>
      <c r="R163" s="3"/>
      <c r="S163" s="17"/>
      <c r="T163" s="18"/>
      <c r="U163"/>
      <c r="V163"/>
      <c r="W163"/>
      <c r="X163"/>
      <c r="Y163"/>
      <c r="Z163"/>
      <c r="AA163"/>
    </row>
    <row r="164" ht="15" spans="1:20">
      <c r="A164" s="35"/>
      <c r="B164" t="n" s="17">
        <f>70000000+F164*10000+H164*1000+I164*100+J164</f>
        <v>70055205</v>
      </c>
      <c r="C164" t="str" s="38">
        <v>蔽苇汀-怪物9</v>
      </c>
      <c r="D164" s="3"/>
      <c r="E164" t="str" s="3">
        <f>F164&amp;(VLOOKUP(G164,编号表!$E$1:$G$8,2,0))&amp;H164&amp;"_"&amp;I164&amp;"_"&amp;J164</f>
        <v>5N5_2_5</v>
      </c>
      <c r="F164" t="n" s="3">
        <v>5</v>
      </c>
      <c r="G164" t="str" s="3">
        <v>怪物</v>
      </c>
      <c r="H164" t="n" s="3">
        <v>5</v>
      </c>
      <c r="I164" t="n" s="3">
        <v>2</v>
      </c>
      <c r="J164" t="n" s="3">
        <f>COUNTIFS($F$5:F164,F164,$I$5:I164,I164)</f>
        <v>5</v>
      </c>
      <c r="K164" s="3"/>
      <c r="L164" s="3"/>
      <c r="M164" s="3"/>
      <c r="N164" s="3"/>
      <c r="O164" s="3"/>
      <c r="P164" s="3"/>
      <c r="Q164" s="3"/>
      <c r="R164" s="3"/>
      <c r="S164" s="17"/>
      <c r="T164" s="18"/>
      <c r="U164"/>
      <c r="V164"/>
      <c r="W164"/>
      <c r="X164"/>
      <c r="Y164"/>
      <c r="Z164"/>
      <c r="AA164"/>
    </row>
    <row r="165" ht="15" spans="1:20">
      <c r="A165" s="35"/>
      <c r="B165" t="n" s="17">
        <f>70000000+F165*10000+H165*1000+I165*100+J165</f>
        <v>70055206</v>
      </c>
      <c r="C165" t="str" s="38">
        <v>蔽苇汀-怪物10</v>
      </c>
      <c r="D165" s="3"/>
      <c r="E165" t="str" s="3">
        <f>F165&amp;(VLOOKUP(G165,编号表!$E$1:$G$8,2,0))&amp;H165&amp;"_"&amp;I165&amp;"_"&amp;J165</f>
        <v>5N5_2_6</v>
      </c>
      <c r="F165" t="n" s="3">
        <v>5</v>
      </c>
      <c r="G165" t="str" s="3">
        <v>怪物</v>
      </c>
      <c r="H165" t="n" s="3">
        <v>5</v>
      </c>
      <c r="I165" t="n" s="3">
        <v>2</v>
      </c>
      <c r="J165" t="n" s="3">
        <f>COUNTIFS($F$5:F165,F165,$I$5:I165,I165)</f>
        <v>6</v>
      </c>
      <c r="K165" s="3"/>
      <c r="L165" s="3"/>
      <c r="M165" s="3"/>
      <c r="N165" s="3"/>
      <c r="O165" s="3"/>
      <c r="P165" s="3"/>
      <c r="Q165" s="3"/>
      <c r="R165" s="3"/>
      <c r="S165" s="17"/>
      <c r="T165" s="18"/>
      <c r="U165"/>
      <c r="V165"/>
      <c r="W165"/>
      <c r="X165"/>
      <c r="Y165"/>
      <c r="Z165"/>
      <c r="AA165"/>
    </row>
    <row r="166" ht="14.4" customHeight="1" spans="1:20">
      <c r="A166" s="35"/>
      <c r="B166" t="n" s="17">
        <f>70000000+F166*10000+H166*1000+I166*100+J166</f>
        <v>70055301</v>
      </c>
      <c r="C166" t="str" s="38">
        <v>蔽苇汀-怪物11</v>
      </c>
      <c r="D166" s="3"/>
      <c r="E166" t="str" s="3">
        <f>F166&amp;(VLOOKUP(G166,编号表!$E$1:$G$8,2,0))&amp;H166&amp;"_"&amp;I166&amp;"_"&amp;J166</f>
        <v>5N5_3_1</v>
      </c>
      <c r="F166" t="n" s="3">
        <v>5</v>
      </c>
      <c r="G166" t="str" s="3">
        <v>怪物</v>
      </c>
      <c r="H166" t="n" s="3">
        <v>5</v>
      </c>
      <c r="I166" t="n" s="3">
        <v>3</v>
      </c>
      <c r="J166" t="n" s="3">
        <f>COUNTIFS($F$5:F166,F166,$I$5:I166,I166)</f>
        <v>1</v>
      </c>
      <c r="K166" s="3"/>
      <c r="L166" s="3"/>
      <c r="M166" s="3"/>
      <c r="N166" s="3"/>
      <c r="O166" s="3"/>
      <c r="P166" s="3"/>
      <c r="Q166" s="3"/>
      <c r="R166" s="3"/>
      <c r="S166" s="17"/>
      <c r="T166" s="18"/>
      <c r="U166"/>
      <c r="V166"/>
      <c r="W166"/>
      <c r="X166"/>
      <c r="Y166"/>
      <c r="Z166"/>
      <c r="AA166"/>
    </row>
    <row r="167" ht="15" spans="1:20">
      <c r="A167" s="35"/>
      <c r="B167" t="n" s="17">
        <f>70000000+F167*10000+H167*1000+I167*100+J167</f>
        <v>70055302</v>
      </c>
      <c r="C167" t="str" s="38">
        <v>蔽苇汀-怪物12</v>
      </c>
      <c r="D167" s="3"/>
      <c r="E167" t="str" s="3">
        <f>F167&amp;(VLOOKUP(G167,编号表!$E$1:$G$8,2,0))&amp;H167&amp;"_"&amp;I167&amp;"_"&amp;J167</f>
        <v>5N5_3_2</v>
      </c>
      <c r="F167" t="n" s="3">
        <v>5</v>
      </c>
      <c r="G167" t="str" s="3">
        <v>怪物</v>
      </c>
      <c r="H167" t="n" s="3">
        <v>5</v>
      </c>
      <c r="I167" t="n" s="3">
        <v>3</v>
      </c>
      <c r="J167" t="n" s="3">
        <f>COUNTIFS($F$5:F167,F167,$I$5:I167,I167)</f>
        <v>2</v>
      </c>
      <c r="K167" s="3"/>
      <c r="L167" s="3"/>
      <c r="M167" s="3"/>
      <c r="N167" s="3"/>
      <c r="O167" s="3"/>
      <c r="P167" s="3"/>
      <c r="Q167" s="3"/>
      <c r="R167" s="3"/>
      <c r="S167" t="str" s="17">
        <v>精英</v>
      </c>
      <c r="T167" s="18"/>
      <c r="U167"/>
      <c r="V167"/>
      <c r="W167"/>
      <c r="X167"/>
      <c r="Y167"/>
      <c r="Z167"/>
      <c r="AA167"/>
    </row>
    <row r="168" ht="15" spans="1:20">
      <c r="A168" s="35"/>
      <c r="B168" t="n" s="17">
        <f>70000000+F168*10000+H168*1000+I168*100+J168</f>
        <v>70055303</v>
      </c>
      <c r="C168" t="str" s="38">
        <v>蔽苇汀-怪物13</v>
      </c>
      <c r="D168" s="3"/>
      <c r="E168" t="str" s="3">
        <f>F168&amp;(VLOOKUP(G168,编号表!$E$1:$G$8,2,0))&amp;H168&amp;"_"&amp;I168&amp;"_"&amp;J168</f>
        <v>5N5_3_3</v>
      </c>
      <c r="F168" t="n" s="3">
        <v>5</v>
      </c>
      <c r="G168" t="str" s="3">
        <v>怪物</v>
      </c>
      <c r="H168" t="n" s="3">
        <v>5</v>
      </c>
      <c r="I168" t="n" s="3">
        <v>3</v>
      </c>
      <c r="J168" t="n" s="3">
        <f>COUNTIFS($F$5:F168,F168,$I$5:I168,I168)</f>
        <v>3</v>
      </c>
      <c r="K168" s="3"/>
      <c r="L168" s="3"/>
      <c r="M168" s="3"/>
      <c r="N168" s="3"/>
      <c r="O168" s="3"/>
      <c r="P168" s="3"/>
      <c r="Q168" s="3"/>
      <c r="R168" s="3"/>
      <c r="S168" s="17"/>
      <c r="T168" s="18"/>
      <c r="U168"/>
      <c r="V168"/>
      <c r="W168"/>
      <c r="X168"/>
      <c r="Y168"/>
      <c r="Z168"/>
      <c r="AA168"/>
    </row>
    <row r="169" ht="15" spans="1:20">
      <c r="A169" s="35"/>
      <c r="B169" t="n" s="17">
        <f>70000000+F169*10000+H169*1000+I169*100+J169</f>
        <v>70055304</v>
      </c>
      <c r="C169" t="str" s="38">
        <v>蔽苇汀-怪物14</v>
      </c>
      <c r="D169" s="3"/>
      <c r="E169" t="str" s="3">
        <f>F169&amp;(VLOOKUP(G169,编号表!$E$1:$G$8,2,0))&amp;H169&amp;"_"&amp;I169&amp;"_"&amp;J169</f>
        <v>5N5_3_4</v>
      </c>
      <c r="F169" t="n" s="3">
        <v>5</v>
      </c>
      <c r="G169" t="str" s="3">
        <v>怪物</v>
      </c>
      <c r="H169" t="n" s="3">
        <v>5</v>
      </c>
      <c r="I169" t="n" s="3">
        <v>3</v>
      </c>
      <c r="J169" t="n" s="3">
        <f>COUNTIFS($F$5:F169,F169,$I$5:I169,I169)</f>
        <v>4</v>
      </c>
      <c r="K169" s="3"/>
      <c r="L169" s="3"/>
      <c r="M169" s="3"/>
      <c r="N169" s="3"/>
      <c r="O169" s="3"/>
      <c r="P169" s="3"/>
      <c r="Q169" s="3"/>
      <c r="R169" s="3"/>
      <c r="S169" s="17"/>
      <c r="T169" s="18"/>
      <c r="U169"/>
      <c r="V169"/>
      <c r="W169"/>
      <c r="X169"/>
      <c r="Y169"/>
      <c r="Z169"/>
      <c r="AA169"/>
    </row>
    <row r="170" ht="15" spans="1:20">
      <c r="A170" s="35"/>
      <c r="B170" t="n" s="17">
        <f>70000000+F170*10000+H170*1000+I170*100+J170</f>
        <v>70055305</v>
      </c>
      <c r="C170" t="str" s="38">
        <v>蔽苇汀-怪物15</v>
      </c>
      <c r="D170" s="3"/>
      <c r="E170" t="str" s="3">
        <f>F170&amp;(VLOOKUP(G170,编号表!$E$1:$G$8,2,0))&amp;H170&amp;"_"&amp;I170&amp;"_"&amp;J170</f>
        <v>5N5_3_5</v>
      </c>
      <c r="F170" t="n" s="3">
        <v>5</v>
      </c>
      <c r="G170" t="str" s="3">
        <v>怪物</v>
      </c>
      <c r="H170" t="n" s="3">
        <v>5</v>
      </c>
      <c r="I170" t="n" s="3">
        <v>3</v>
      </c>
      <c r="J170" t="n" s="3">
        <f>COUNTIFS($F$5:F170,F170,$I$5:I170,I170)</f>
        <v>5</v>
      </c>
      <c r="K170" s="3"/>
      <c r="L170" s="3"/>
      <c r="M170" s="3"/>
      <c r="N170" s="3"/>
      <c r="O170" s="3"/>
      <c r="P170" s="3"/>
      <c r="Q170" s="3"/>
      <c r="R170" s="3"/>
      <c r="S170" t="str" s="17">
        <v>精英</v>
      </c>
      <c r="T170" s="18"/>
      <c r="U170"/>
      <c r="V170"/>
      <c r="W170"/>
      <c r="X170"/>
      <c r="Y170"/>
      <c r="Z170"/>
      <c r="AA170"/>
    </row>
    <row r="171" ht="15" spans="1:20">
      <c r="A171" s="35"/>
      <c r="B171" t="n" s="17">
        <f>70000000+F171*10000+H171*1000+I171*100+J171</f>
        <v>70055306</v>
      </c>
      <c r="C171" t="str" s="38">
        <v>蔽苇汀-怪物16</v>
      </c>
      <c r="D171" s="3"/>
      <c r="E171" t="str" s="3">
        <f>F171&amp;(VLOOKUP(G171,编号表!$E$1:$G$8,2,0))&amp;H171&amp;"_"&amp;I171&amp;"_"&amp;J171</f>
        <v>5N5_3_6</v>
      </c>
      <c r="F171" t="n" s="3">
        <v>5</v>
      </c>
      <c r="G171" t="str" s="3">
        <v>怪物</v>
      </c>
      <c r="H171" t="n" s="3">
        <v>5</v>
      </c>
      <c r="I171" t="n" s="3">
        <v>3</v>
      </c>
      <c r="J171" t="n" s="3">
        <f>COUNTIFS($F$5:F171,F171,$I$5:I171,I171)</f>
        <v>6</v>
      </c>
      <c r="K171" s="3"/>
      <c r="L171" s="3"/>
      <c r="M171" s="3"/>
      <c r="N171" s="3"/>
      <c r="O171" s="3"/>
      <c r="P171" s="3"/>
      <c r="Q171" s="3"/>
      <c r="R171" s="3"/>
      <c r="S171" s="17"/>
      <c r="T171" s="18"/>
      <c r="U171"/>
      <c r="V171"/>
      <c r="W171"/>
      <c r="X171"/>
      <c r="Y171"/>
      <c r="Z171"/>
      <c r="AA171"/>
    </row>
    <row r="172" ht="15" spans="1:20">
      <c r="A172" s="35"/>
      <c r="B172" t="n" s="17">
        <f>70000000+F172*10000+H172*1000+I172*100+J172</f>
        <v>70055307</v>
      </c>
      <c r="C172" t="str" s="38">
        <v>蔽苇汀-怪物17</v>
      </c>
      <c r="D172" s="3"/>
      <c r="E172" t="str" s="3">
        <f>F172&amp;(VLOOKUP(G172,编号表!$E$1:$G$8,2,0))&amp;H172&amp;"_"&amp;I172&amp;"_"&amp;J172</f>
        <v>5N5_3_7</v>
      </c>
      <c r="F172" t="n" s="3">
        <v>5</v>
      </c>
      <c r="G172" t="str" s="3">
        <v>怪物</v>
      </c>
      <c r="H172" t="n" s="3">
        <v>5</v>
      </c>
      <c r="I172" t="n" s="3">
        <v>3</v>
      </c>
      <c r="J172" t="n" s="3">
        <f>COUNTIFS($F$5:F172,F172,$I$5:I172,I172)</f>
        <v>7</v>
      </c>
      <c r="K172" s="3"/>
      <c r="L172" s="3"/>
      <c r="M172" s="3"/>
      <c r="N172" s="3"/>
      <c r="O172" s="3"/>
      <c r="P172" s="3"/>
      <c r="Q172" s="3"/>
      <c r="R172" s="3"/>
      <c r="S172" t="str" s="17">
        <v>精英</v>
      </c>
      <c r="T172" s="18"/>
      <c r="U172"/>
      <c r="V172"/>
      <c r="W172"/>
      <c r="X172"/>
      <c r="Y172"/>
      <c r="Z172"/>
      <c r="AA172"/>
    </row>
    <row r="173" ht="15" spans="1:20">
      <c r="A173" s="35"/>
      <c r="B173" t="n" s="17">
        <f>70000000+F173*10000+H173*1000+I173*100+J173</f>
        <v>70055308</v>
      </c>
      <c r="C173" t="str" s="38">
        <v>蔽苇汀-怪物18</v>
      </c>
      <c r="D173" s="3"/>
      <c r="E173" t="str" s="3">
        <f>F173&amp;(VLOOKUP(G173,编号表!$E$1:$G$8,2,0))&amp;H173&amp;"_"&amp;I173&amp;"_"&amp;J173</f>
        <v>5N5_3_8</v>
      </c>
      <c r="F173" t="n" s="3">
        <v>5</v>
      </c>
      <c r="G173" t="str" s="3">
        <v>怪物</v>
      </c>
      <c r="H173" t="n" s="3">
        <v>5</v>
      </c>
      <c r="I173" t="n" s="3">
        <v>3</v>
      </c>
      <c r="J173" t="n" s="3">
        <f>COUNTIFS($F$5:F173,F173,$I$5:I173,I173)</f>
        <v>8</v>
      </c>
      <c r="K173" s="3"/>
      <c r="L173" s="3"/>
      <c r="M173" s="3"/>
      <c r="N173" s="3"/>
      <c r="O173" s="3"/>
      <c r="P173" s="3"/>
      <c r="Q173" s="3"/>
      <c r="R173" s="3"/>
      <c r="S173" s="17"/>
      <c r="T173" s="18"/>
      <c r="U173"/>
      <c r="V173"/>
      <c r="W173"/>
      <c r="X173"/>
      <c r="Y173"/>
      <c r="Z173"/>
      <c r="AA173"/>
    </row>
    <row r="174" ht="15" spans="1:20">
      <c r="A174" s="35"/>
      <c r="B174" t="n" s="17">
        <f>70000000+F174*10000+H174*1000+I174*100+J174</f>
        <v>70055309</v>
      </c>
      <c r="C174" t="str" s="38">
        <v>蔽苇汀-怪物19</v>
      </c>
      <c r="D174" s="3"/>
      <c r="E174" t="str" s="3">
        <f>F174&amp;(VLOOKUP(G174,编号表!$E$1:$G$8,2,0))&amp;H174&amp;"_"&amp;I174&amp;"_"&amp;J174</f>
        <v>5N5_3_9</v>
      </c>
      <c r="F174" t="n" s="3">
        <v>5</v>
      </c>
      <c r="G174" t="str" s="3">
        <v>怪物</v>
      </c>
      <c r="H174" t="n" s="3">
        <v>5</v>
      </c>
      <c r="I174" t="n" s="3">
        <v>3</v>
      </c>
      <c r="J174" t="n" s="3">
        <f>COUNTIFS($F$5:F174,F174,$I$5:I174,I174)</f>
        <v>9</v>
      </c>
      <c r="K174" s="3"/>
      <c r="L174" s="3"/>
      <c r="M174" s="3"/>
      <c r="N174" s="3"/>
      <c r="O174" s="3"/>
      <c r="P174" s="3"/>
      <c r="Q174" s="3"/>
      <c r="R174" s="3"/>
      <c r="S174" s="17"/>
      <c r="T174" s="18"/>
      <c r="U174"/>
      <c r="V174"/>
      <c r="W174"/>
      <c r="X174"/>
      <c r="Y174"/>
      <c r="Z174"/>
      <c r="AA174"/>
    </row>
    <row r="175" ht="15" spans="1:20">
      <c r="A175" s="35"/>
      <c r="B175" t="n" s="17">
        <f>70000000+F175*10000+H175*1000+I175*100+J175</f>
        <v>70055310</v>
      </c>
      <c r="C175" t="str" s="38">
        <v>蔽苇汀-怪物20</v>
      </c>
      <c r="D175" s="3"/>
      <c r="E175" t="str" s="3">
        <f>F175&amp;(VLOOKUP(G175,编号表!$E$1:$G$8,2,0))&amp;H175&amp;"_"&amp;I175&amp;"_"&amp;J175</f>
        <v>5N5_3_10</v>
      </c>
      <c r="F175" t="n" s="3">
        <v>5</v>
      </c>
      <c r="G175" t="str" s="3">
        <v>怪物</v>
      </c>
      <c r="H175" t="n" s="3">
        <v>5</v>
      </c>
      <c r="I175" t="n" s="3">
        <v>3</v>
      </c>
      <c r="J175" t="n" s="3">
        <f>COUNTIFS($F$5:F175,F175,$I$5:I175,I175)</f>
        <v>10</v>
      </c>
      <c r="K175" s="3"/>
      <c r="L175" s="3"/>
      <c r="M175" s="3"/>
      <c r="N175" s="3"/>
      <c r="O175" s="3"/>
      <c r="P175" s="3"/>
      <c r="Q175" s="3"/>
      <c r="R175" s="3"/>
      <c r="S175" s="17"/>
      <c r="T175" s="18"/>
      <c r="U175"/>
      <c r="V175"/>
      <c r="W175"/>
      <c r="X175"/>
      <c r="Y175"/>
      <c r="Z175"/>
      <c r="AA175"/>
    </row>
    <row r="176" ht="15" spans="1:20">
      <c r="A176" s="35"/>
      <c r="B176" t="n" s="17">
        <f>70000000+F176*10000+H176*1000+I176*100+J176</f>
        <v>70055401</v>
      </c>
      <c r="C176" t="str" s="38">
        <v>蔽苇汀-怪物21</v>
      </c>
      <c r="D176" s="3"/>
      <c r="E176" t="str" s="3">
        <f>F176&amp;(VLOOKUP(G176,编号表!$E$1:$G$8,2,0))&amp;H176&amp;"_"&amp;I176&amp;"_"&amp;J176</f>
        <v>5N5_4_1</v>
      </c>
      <c r="F176" t="n" s="3">
        <v>5</v>
      </c>
      <c r="G176" t="str" s="3">
        <v>怪物</v>
      </c>
      <c r="H176" t="n" s="3">
        <v>5</v>
      </c>
      <c r="I176" t="n" s="3">
        <v>4</v>
      </c>
      <c r="J176" t="n" s="3">
        <f>COUNTIFS($F$5:F176,F176,$I$5:I176,I176)</f>
        <v>1</v>
      </c>
      <c r="K176" s="3"/>
      <c r="L176" s="3"/>
      <c r="M176" s="3"/>
      <c r="N176" s="3"/>
      <c r="O176" s="3"/>
      <c r="P176" s="3"/>
      <c r="Q176" s="3"/>
      <c r="R176" s="3"/>
      <c r="S176" s="17"/>
      <c r="T176" s="18"/>
      <c r="U176"/>
      <c r="V176"/>
      <c r="W176"/>
      <c r="X176"/>
      <c r="Y176"/>
      <c r="Z176"/>
      <c r="AA176"/>
    </row>
    <row r="177" ht="14.4" customHeight="1" spans="1:20">
      <c r="A177" s="35"/>
      <c r="B177" t="n" s="17">
        <f>70000000+F177*10000+H177*1000+I177*100+J177</f>
        <v>70055402</v>
      </c>
      <c r="C177" t="str" s="38">
        <v>蔽苇汀-怪物22</v>
      </c>
      <c r="D177" s="3"/>
      <c r="E177" t="str" s="3">
        <f>F177&amp;(VLOOKUP(G177,编号表!$E$1:$G$8,2,0))&amp;H177&amp;"_"&amp;I177&amp;"_"&amp;J177</f>
        <v>5N5_4_2</v>
      </c>
      <c r="F177" t="n" s="3">
        <v>5</v>
      </c>
      <c r="G177" t="str" s="3">
        <v>怪物</v>
      </c>
      <c r="H177" t="n" s="3">
        <v>5</v>
      </c>
      <c r="I177" t="n" s="3">
        <v>4</v>
      </c>
      <c r="J177" t="n" s="3">
        <f>COUNTIFS($F$5:F177,F177,$I$5:I177,I177)</f>
        <v>2</v>
      </c>
      <c r="K177" s="3"/>
      <c r="L177" s="3"/>
      <c r="M177" s="3"/>
      <c r="N177" s="3"/>
      <c r="O177" s="3"/>
      <c r="P177" s="3"/>
      <c r="Q177" s="3"/>
      <c r="R177" s="3"/>
      <c r="S177" s="17"/>
      <c r="T177" s="18"/>
      <c r="U177"/>
      <c r="V177"/>
      <c r="W177"/>
      <c r="X177"/>
      <c r="Y177"/>
      <c r="Z177"/>
      <c r="AA177"/>
    </row>
    <row r="178" ht="15" spans="1:20">
      <c r="A178" s="35"/>
      <c r="B178" t="n" s="17">
        <f>70000000+F178*10000+H178*1000+I178*100+J178</f>
        <v>70055403</v>
      </c>
      <c r="C178" t="str" s="38">
        <v>蔽苇汀-怪物23</v>
      </c>
      <c r="D178" s="3"/>
      <c r="E178" t="str" s="3">
        <f>F178&amp;(VLOOKUP(G178,编号表!$E$1:$G$8,2,0))&amp;H178&amp;"_"&amp;I178&amp;"_"&amp;J178</f>
        <v>5N5_4_3</v>
      </c>
      <c r="F178" t="n" s="3">
        <v>5</v>
      </c>
      <c r="G178" t="str" s="3">
        <v>怪物</v>
      </c>
      <c r="H178" t="n" s="3">
        <v>5</v>
      </c>
      <c r="I178" t="n" s="3">
        <v>4</v>
      </c>
      <c r="J178" t="n" s="3">
        <f>COUNTIFS($F$5:F178,F178,$I$5:I178,I178)</f>
        <v>3</v>
      </c>
      <c r="K178" s="3"/>
      <c r="L178" s="3"/>
      <c r="M178" s="3"/>
      <c r="N178" s="3"/>
      <c r="O178" s="3"/>
      <c r="P178" s="3"/>
      <c r="Q178" s="3"/>
      <c r="R178" s="3"/>
      <c r="S178" s="17"/>
      <c r="T178" s="18"/>
      <c r="U178"/>
      <c r="V178"/>
      <c r="W178"/>
      <c r="X178"/>
      <c r="Y178"/>
      <c r="Z178"/>
      <c r="AA178"/>
    </row>
    <row r="179" ht="15" spans="1:20">
      <c r="A179" s="35"/>
      <c r="B179" t="n" s="17">
        <f>70000000+F179*10000+H179*1000+I179*100+J179</f>
        <v>70055404</v>
      </c>
      <c r="C179" t="str" s="38">
        <v>蔽苇汀-怪物24</v>
      </c>
      <c r="D179" s="3"/>
      <c r="E179" t="str" s="3">
        <f>F179&amp;(VLOOKUP(G179,编号表!$E$1:$G$8,2,0))&amp;H179&amp;"_"&amp;I179&amp;"_"&amp;J179</f>
        <v>5N5_4_4</v>
      </c>
      <c r="F179" t="n" s="3">
        <v>5</v>
      </c>
      <c r="G179" t="str" s="3">
        <v>怪物</v>
      </c>
      <c r="H179" t="n" s="3">
        <v>5</v>
      </c>
      <c r="I179" t="n" s="3">
        <v>4</v>
      </c>
      <c r="J179" t="n" s="3">
        <f>COUNTIFS($F$5:F179,F179,$I$5:I179,I179)</f>
        <v>4</v>
      </c>
      <c r="K179" s="3"/>
      <c r="L179" s="3"/>
      <c r="M179" s="3"/>
      <c r="N179" s="3"/>
      <c r="O179" s="3"/>
      <c r="P179" s="3"/>
      <c r="Q179" s="3"/>
      <c r="R179" s="3"/>
      <c r="S179" s="17"/>
      <c r="T179" s="18"/>
      <c r="U179"/>
      <c r="V179"/>
      <c r="W179"/>
      <c r="X179"/>
      <c r="Y179"/>
      <c r="Z179"/>
      <c r="AA179"/>
    </row>
    <row r="180" ht="15" spans="1:20">
      <c r="A180" s="35"/>
      <c r="B180" t="n" s="17">
        <f>70000000+F180*10000+H180*1000+I180*100+J180</f>
        <v>70055405</v>
      </c>
      <c r="C180" t="str" s="38">
        <v>蔽苇汀-怪物25</v>
      </c>
      <c r="D180" s="3"/>
      <c r="E180" t="str" s="3">
        <f>F180&amp;(VLOOKUP(G180,编号表!$E$1:$G$8,2,0))&amp;H180&amp;"_"&amp;I180&amp;"_"&amp;J180</f>
        <v>5N5_4_5</v>
      </c>
      <c r="F180" t="n" s="3">
        <v>5</v>
      </c>
      <c r="G180" t="str" s="3">
        <v>怪物</v>
      </c>
      <c r="H180" t="n" s="3">
        <v>5</v>
      </c>
      <c r="I180" t="n" s="3">
        <v>4</v>
      </c>
      <c r="J180" t="n" s="3">
        <f>COUNTIFS($F$5:F180,F180,$I$5:I180,I180)</f>
        <v>5</v>
      </c>
      <c r="K180" s="3"/>
      <c r="L180" s="3"/>
      <c r="M180" s="3"/>
      <c r="N180" s="3"/>
      <c r="O180" s="3"/>
      <c r="P180" s="3"/>
      <c r="Q180" s="3"/>
      <c r="R180" s="3"/>
      <c r="S180" s="17"/>
      <c r="T180" s="18"/>
      <c r="U180"/>
      <c r="V180"/>
      <c r="W180"/>
      <c r="X180"/>
      <c r="Y180"/>
      <c r="Z180"/>
      <c r="AA180"/>
    </row>
    <row r="181" ht="15" spans="1:20">
      <c r="A181" s="35"/>
      <c r="B181" t="n" s="17">
        <f>70000000+F181*10000+H181*1000+I181*100+J181</f>
        <v>70055501</v>
      </c>
      <c r="C181" t="str" s="38">
        <v>蔽苇汀-怪物26</v>
      </c>
      <c r="D181" s="3"/>
      <c r="E181" t="str" s="3">
        <f>F181&amp;(VLOOKUP(G181,编号表!$E$1:$G$8,2,0))&amp;H181&amp;"_"&amp;I181&amp;"_"&amp;J181</f>
        <v>5N5_5_1</v>
      </c>
      <c r="F181" t="n" s="3">
        <v>5</v>
      </c>
      <c r="G181" t="str" s="3">
        <v>怪物</v>
      </c>
      <c r="H181" t="n" s="3">
        <v>5</v>
      </c>
      <c r="I181" t="n" s="3">
        <v>5</v>
      </c>
      <c r="J181" t="n" s="3">
        <f>COUNTIFS($F$5:F181,F181,$I$5:I181,I181)</f>
        <v>1</v>
      </c>
      <c r="K181" s="3"/>
      <c r="L181" s="3"/>
      <c r="M181" s="3"/>
      <c r="N181" s="3"/>
      <c r="O181" s="3"/>
      <c r="P181" s="3"/>
      <c r="Q181" s="3"/>
      <c r="R181" s="3"/>
      <c r="S181" s="17"/>
      <c r="T181" s="18"/>
      <c r="U181"/>
      <c r="V181"/>
      <c r="W181"/>
      <c r="X181"/>
      <c r="Y181"/>
      <c r="Z181"/>
      <c r="AA181"/>
    </row>
    <row r="182" ht="14.4" customHeight="1" spans="1:20">
      <c r="A182" s="35"/>
      <c r="B182" t="n" s="17">
        <f>70000000+F182*10000+H182*1000+I182*100+J182</f>
        <v>70055502</v>
      </c>
      <c r="C182" t="str" s="38">
        <v>蔽苇汀-怪物27</v>
      </c>
      <c r="D182" s="3"/>
      <c r="E182" t="str" s="3">
        <f>F182&amp;(VLOOKUP(G182,编号表!$E$1:$G$8,2,0))&amp;H182&amp;"_"&amp;I182&amp;"_"&amp;J182</f>
        <v>5N5_5_2</v>
      </c>
      <c r="F182" t="n" s="3">
        <v>5</v>
      </c>
      <c r="G182" t="str" s="3">
        <v>怪物</v>
      </c>
      <c r="H182" t="n" s="3">
        <v>5</v>
      </c>
      <c r="I182" t="n" s="3">
        <v>5</v>
      </c>
      <c r="J182" t="n" s="3">
        <f>COUNTIFS($F$5:F182,F182,$I$5:I182,I182)</f>
        <v>2</v>
      </c>
      <c r="K182" s="3"/>
      <c r="L182" s="3"/>
      <c r="M182" s="3"/>
      <c r="N182" s="3"/>
      <c r="O182" s="3"/>
      <c r="P182" s="3"/>
      <c r="Q182" s="3"/>
      <c r="R182" s="3"/>
      <c r="S182" s="17"/>
      <c r="T182" s="18"/>
      <c r="U182"/>
      <c r="V182"/>
      <c r="W182"/>
      <c r="X182"/>
      <c r="Y182"/>
      <c r="Z182"/>
      <c r="AA182"/>
    </row>
    <row r="183" ht="15" spans="1:20">
      <c r="A183" s="35"/>
      <c r="B183" t="n" s="17">
        <f>70000000+F183*10000+H183*1000+I183*100+J183</f>
        <v>70055503</v>
      </c>
      <c r="C183" t="str" s="38">
        <v>蔽苇汀-怪物28</v>
      </c>
      <c r="D183" s="3"/>
      <c r="E183" t="str" s="3">
        <f>F183&amp;(VLOOKUP(G183,编号表!$E$1:$G$8,2,0))&amp;H183&amp;"_"&amp;I183&amp;"_"&amp;J183</f>
        <v>5N5_5_3</v>
      </c>
      <c r="F183" t="n" s="3">
        <v>5</v>
      </c>
      <c r="G183" t="str" s="3">
        <v>怪物</v>
      </c>
      <c r="H183" t="n" s="3">
        <v>5</v>
      </c>
      <c r="I183" t="n" s="3">
        <v>5</v>
      </c>
      <c r="J183" t="n" s="3">
        <f>COUNTIFS($F$5:F183,F183,$I$5:I183,I183)</f>
        <v>3</v>
      </c>
      <c r="K183" s="3"/>
      <c r="L183" s="3"/>
      <c r="M183" s="3"/>
      <c r="N183" s="3"/>
      <c r="O183" s="3"/>
      <c r="P183" s="3"/>
      <c r="Q183" s="3"/>
      <c r="R183" s="3"/>
      <c r="S183" s="17"/>
      <c r="T183" s="18"/>
      <c r="U183"/>
      <c r="V183"/>
      <c r="W183"/>
      <c r="X183"/>
      <c r="Y183"/>
      <c r="Z183"/>
      <c r="AA183"/>
    </row>
    <row r="184" ht="15" spans="1:20">
      <c r="A184" s="35"/>
      <c r="B184" t="n" s="17">
        <f>70000000+F184*10000+H184*1000+I184*100+J184</f>
        <v>70055001</v>
      </c>
      <c r="C184" t="str" s="39">
        <v>蔽苇汀-镜头</v>
      </c>
      <c r="D184" s="3"/>
      <c r="E184" t="str" s="3">
        <f>F184&amp;(VLOOKUP(G184,编号表!$E$1:$G$8,2,0))&amp;H184&amp;"_"&amp;I184&amp;"_"&amp;J184</f>
        <v>5J5_0_1</v>
      </c>
      <c r="F184" t="n" s="3">
        <v>5</v>
      </c>
      <c r="G184" t="str" s="3">
        <v>镜头</v>
      </c>
      <c r="H184" t="n" s="3">
        <v>5</v>
      </c>
      <c r="I184" t="n" s="3">
        <v>0</v>
      </c>
      <c r="J184" t="n" s="3">
        <f>COUNTIFS($F$5:F184,F184,$I$5:I184,I184)</f>
        <v>1</v>
      </c>
      <c r="K184" t="n" s="3">
        <v>1</v>
      </c>
      <c r="L184" s="3"/>
      <c r="M184" s="3"/>
      <c r="N184" s="3"/>
      <c r="O184" s="3"/>
      <c r="P184" s="3"/>
      <c r="Q184" s="3"/>
      <c r="R184" s="3"/>
      <c r="S184" s="17"/>
      <c r="T184" s="18"/>
      <c r="U184"/>
      <c r="V184"/>
      <c r="W184"/>
      <c r="X184"/>
      <c r="Y184"/>
      <c r="Z184"/>
      <c r="AA184"/>
    </row>
    <row r="185" ht="15" spans="1:20">
      <c r="A185" s="35"/>
      <c r="B185" t="n" s="17">
        <f>70000000+F185*10000+H185*1000+I185*100+J185</f>
        <v>70051001</v>
      </c>
      <c r="C185" t="str" s="37">
        <v>蔽苇汀-传送</v>
      </c>
      <c r="D185" s="3"/>
      <c r="E185" t="str" s="3">
        <f>F185&amp;(VLOOKUP(G185,编号表!$E$1:$G$8,2,0))&amp;H185&amp;"_"&amp;I185&amp;"_"&amp;J185</f>
        <v>5T1_0_1</v>
      </c>
      <c r="F185" t="n" s="3">
        <v>5</v>
      </c>
      <c r="G185" t="str" s="3">
        <v>传送</v>
      </c>
      <c r="H185" t="n" s="3">
        <v>1</v>
      </c>
      <c r="I185" t="n" s="3">
        <v>0</v>
      </c>
      <c r="J185" t="n" s="3">
        <v>1</v>
      </c>
      <c r="K185" s="3"/>
      <c r="L185" t="n" s="3">
        <v>1</v>
      </c>
      <c r="M185" s="3"/>
      <c r="N185" s="3"/>
      <c r="O185" s="3"/>
      <c r="P185" s="3"/>
      <c r="Q185" s="3"/>
      <c r="R185" t="n" s="3">
        <v>70041001</v>
      </c>
      <c r="S185" s="17"/>
      <c r="T185" s="18"/>
      <c r="U185"/>
      <c r="V185"/>
      <c r="W185"/>
      <c r="X185"/>
      <c r="Y185"/>
      <c r="Z185"/>
      <c r="AA185"/>
    </row>
    <row r="186" ht="15" spans="1:20">
      <c r="A186" s="35"/>
      <c r="B186" t="n" s="17">
        <f>70000000+F186*10000+H186*1000+I186*100+J186</f>
        <v>70051002</v>
      </c>
      <c r="C186" t="str" s="37">
        <v>蔽苇汀-传送</v>
      </c>
      <c r="D186" s="3"/>
      <c r="E186" t="str" s="3">
        <f>F186&amp;(VLOOKUP(G186,编号表!$E$1:$G$8,2,0))&amp;H186&amp;"_"&amp;I186&amp;"_"&amp;J186</f>
        <v>5T1_0_2</v>
      </c>
      <c r="F186" t="n" s="3">
        <v>5</v>
      </c>
      <c r="G186" t="str" s="3">
        <v>传送</v>
      </c>
      <c r="H186" t="n" s="3">
        <v>1</v>
      </c>
      <c r="I186" t="n" s="3">
        <v>0</v>
      </c>
      <c r="J186" t="n" s="3">
        <v>2</v>
      </c>
      <c r="K186" s="3"/>
      <c r="L186" t="n" s="3">
        <v>1</v>
      </c>
      <c r="M186" s="3"/>
      <c r="N186" s="3"/>
      <c r="O186" s="3"/>
      <c r="P186" s="3"/>
      <c r="Q186" s="3"/>
      <c r="R186" t="n" s="3">
        <v>70061002</v>
      </c>
      <c r="S186" s="17"/>
      <c r="T186" s="18"/>
      <c r="U186"/>
      <c r="V186"/>
      <c r="W186"/>
      <c r="X186"/>
      <c r="Y186"/>
      <c r="Z186"/>
      <c r="AA186"/>
    </row>
    <row r="187" ht="15" spans="1:20">
      <c r="A187" s="35"/>
      <c r="B187" t="n" s="17">
        <f>70000000+F187*10000+H187*1000+I187*100+J187</f>
        <v>70052001</v>
      </c>
      <c r="C187" t="str" s="37">
        <v>蔽苇汀-小地图</v>
      </c>
      <c r="D187" s="3"/>
      <c r="E187" t="str" s="3">
        <f>F187&amp;(VLOOKUP(G187,编号表!$E$1:$G$8,2,0))&amp;H187&amp;"_"&amp;I187&amp;"_"&amp;J187</f>
        <v>5D2_0_1</v>
      </c>
      <c r="F187" t="n" s="3">
        <v>5</v>
      </c>
      <c r="G187" t="str" s="3">
        <v>小地图</v>
      </c>
      <c r="H187" t="n" s="3">
        <v>2</v>
      </c>
      <c r="I187" t="n" s="3">
        <v>0</v>
      </c>
      <c r="J187" t="n" s="3">
        <v>1</v>
      </c>
      <c r="K187" s="3"/>
      <c r="L187" s="3"/>
      <c r="M187" t="n" s="3">
        <v>1</v>
      </c>
      <c r="N187" s="3"/>
      <c r="O187" s="3"/>
      <c r="P187" s="3"/>
      <c r="Q187" s="3"/>
      <c r="R187" s="3"/>
      <c r="S187" s="17"/>
      <c r="T187" s="18"/>
      <c r="U187"/>
      <c r="V187"/>
      <c r="W187"/>
      <c r="X187"/>
      <c r="Y187"/>
      <c r="Z187"/>
      <c r="AA187"/>
    </row>
    <row r="188" ht="15" spans="1:20">
      <c r="A188" s="35"/>
      <c r="B188" t="n" s="17">
        <f>70000000+F188*10000+H188*1000+I188*100+J188</f>
        <v>70065101</v>
      </c>
      <c r="C188" t="str" s="38">
        <v>岳骨阶-怪物1</v>
      </c>
      <c r="D188" s="3"/>
      <c r="E188" t="str" s="3">
        <f>F188&amp;(VLOOKUP(G188,编号表!$E$1:$G$8,2,0))&amp;H188&amp;"_"&amp;I188&amp;"_"&amp;J188</f>
        <v>6N5_1_1</v>
      </c>
      <c r="F188" t="n" s="3">
        <v>6</v>
      </c>
      <c r="G188" t="str" s="3">
        <v>怪物</v>
      </c>
      <c r="H188" t="n" s="3">
        <v>5</v>
      </c>
      <c r="I188" t="n" s="3">
        <v>1</v>
      </c>
      <c r="J188" t="n" s="3">
        <v>1</v>
      </c>
      <c r="K188" s="3"/>
      <c r="L188" s="3"/>
      <c r="M188" s="3"/>
      <c r="N188" s="3"/>
      <c r="O188" s="3"/>
      <c r="P188" s="3"/>
      <c r="Q188" s="3"/>
      <c r="R188" s="3"/>
      <c r="S188" t="str" s="17">
        <v>本轮完整刷新挂接；有效坐标注入后验证</v>
      </c>
      <c r="T188" t="n" s="18">
        <v>1006303</v>
      </c>
      <c r="U188"/>
      <c r="V188"/>
      <c r="W188"/>
      <c r="X188"/>
      <c r="Y188"/>
      <c r="Z188"/>
      <c r="AA188"/>
    </row>
    <row r="189" ht="15" spans="1:20">
      <c r="A189" s="35"/>
      <c r="B189" t="n" s="17">
        <f>70000000+F189*10000+H189*1000+I189*100+J189</f>
        <v>70065102</v>
      </c>
      <c r="C189" t="str" s="38">
        <v>岳骨阶-怪物2</v>
      </c>
      <c r="D189" s="3"/>
      <c r="E189" t="str" s="3">
        <f>F189&amp;(VLOOKUP(G189,编号表!$E$1:$G$8,2,0))&amp;H189&amp;"_"&amp;I189&amp;"_"&amp;J189</f>
        <v>6N5_1_2</v>
      </c>
      <c r="F189" t="n" s="3">
        <v>6</v>
      </c>
      <c r="G189" t="str" s="3">
        <v>怪物</v>
      </c>
      <c r="H189" t="n" s="3">
        <v>5</v>
      </c>
      <c r="I189" t="n" s="3">
        <v>1</v>
      </c>
      <c r="J189" t="n" s="3">
        <v>2</v>
      </c>
      <c r="K189" s="3"/>
      <c r="L189" s="3"/>
      <c r="M189" s="3"/>
      <c r="N189" s="3"/>
      <c r="O189" s="3"/>
      <c r="P189" s="3"/>
      <c r="Q189" s="3"/>
      <c r="R189" s="3"/>
      <c r="S189" t="str" s="17">
        <v>本轮完整刷新挂接；有效坐标注入后验证</v>
      </c>
      <c r="T189" t="n" s="18">
        <v>1006403</v>
      </c>
      <c r="U189"/>
      <c r="V189"/>
      <c r="W189"/>
      <c r="X189"/>
      <c r="Y189"/>
      <c r="Z189"/>
      <c r="AA189"/>
    </row>
    <row r="190" ht="15" spans="1:20">
      <c r="A190" s="35"/>
      <c r="B190" t="n" s="17">
        <f>70000000+F190*10000+H190*1000+I190*100+J190</f>
        <v>70065103</v>
      </c>
      <c r="C190" t="str" s="38">
        <v>岳骨阶-怪物3</v>
      </c>
      <c r="D190" s="3"/>
      <c r="E190" t="str" s="3">
        <f>F190&amp;(VLOOKUP(G190,编号表!$E$1:$G$8,2,0))&amp;H190&amp;"_"&amp;I190&amp;"_"&amp;J190</f>
        <v>6N5_1_3</v>
      </c>
      <c r="F190" t="n" s="3">
        <v>6</v>
      </c>
      <c r="G190" t="str" s="3">
        <v>怪物</v>
      </c>
      <c r="H190" t="n" s="3">
        <v>5</v>
      </c>
      <c r="I190" t="n" s="3">
        <v>1</v>
      </c>
      <c r="J190" t="n" s="3">
        <v>3</v>
      </c>
      <c r="K190" s="3"/>
      <c r="L190" s="3"/>
      <c r="M190" s="3"/>
      <c r="N190" s="3"/>
      <c r="O190" s="3"/>
      <c r="P190" s="3"/>
      <c r="Q190" s="3"/>
      <c r="R190" s="3"/>
      <c r="S190" t="str" s="17">
        <v>本轮完整刷新挂接；有效坐标注入后验证</v>
      </c>
      <c r="T190" t="n" s="18">
        <v>1006503</v>
      </c>
      <c r="U190"/>
      <c r="V190"/>
      <c r="W190"/>
      <c r="X190"/>
      <c r="Y190"/>
      <c r="Z190"/>
      <c r="AA190"/>
    </row>
    <row r="191" ht="15" spans="1:20">
      <c r="A191" s="35"/>
      <c r="B191" t="n" s="17">
        <f>70000000+F191*10000+H191*1000+I191*100+J191</f>
        <v>70065104</v>
      </c>
      <c r="C191" t="str" s="38">
        <v>岳骨阶-怪物4</v>
      </c>
      <c r="D191" s="3"/>
      <c r="E191" t="str" s="3">
        <f>F191&amp;(VLOOKUP(G191,编号表!$E$1:$G$8,2,0))&amp;H191&amp;"_"&amp;I191&amp;"_"&amp;J191</f>
        <v>6N5_1_4</v>
      </c>
      <c r="F191" t="n" s="3">
        <v>6</v>
      </c>
      <c r="G191" t="str" s="3">
        <v>怪物</v>
      </c>
      <c r="H191" t="n" s="3">
        <v>5</v>
      </c>
      <c r="I191" t="n" s="3">
        <v>1</v>
      </c>
      <c r="J191" t="n" s="3">
        <v>4</v>
      </c>
      <c r="K191" s="3"/>
      <c r="L191" s="3"/>
      <c r="M191" s="3"/>
      <c r="N191" s="3"/>
      <c r="O191" s="3"/>
      <c r="P191" s="3"/>
      <c r="Q191" s="3"/>
      <c r="R191" s="3"/>
      <c r="S191" t="str" s="17">
        <v>本轮完整刷新挂接；有效坐标注入后验证</v>
      </c>
      <c r="T191" t="n" s="18">
        <v>1006602</v>
      </c>
      <c r="U191"/>
      <c r="V191"/>
      <c r="W191"/>
      <c r="X191"/>
      <c r="Y191"/>
      <c r="Z191"/>
      <c r="AA191"/>
    </row>
    <row r="192" ht="15" spans="1:20">
      <c r="A192" s="35"/>
      <c r="B192" t="n" s="17">
        <f>70000000+F192*10000+H192*1000+I192*100+J192</f>
        <v>70065105</v>
      </c>
      <c r="C192" t="str" s="38">
        <v>岳骨阶-怪物5</v>
      </c>
      <c r="D192" s="3"/>
      <c r="E192" t="str" s="3">
        <f>F192&amp;(VLOOKUP(G192,编号表!$E$1:$G$8,2,0))&amp;H192&amp;"_"&amp;I192&amp;"_"&amp;J192</f>
        <v>6N5_1_5</v>
      </c>
      <c r="F192" t="n" s="3">
        <v>6</v>
      </c>
      <c r="G192" t="str" s="3">
        <v>怪物</v>
      </c>
      <c r="H192" t="n" s="3">
        <v>5</v>
      </c>
      <c r="I192" t="n" s="3">
        <v>1</v>
      </c>
      <c r="J192" t="n" s="3">
        <v>5</v>
      </c>
      <c r="K192" s="3"/>
      <c r="L192" s="3"/>
      <c r="M192" s="3"/>
      <c r="N192" s="3"/>
      <c r="O192" s="3"/>
      <c r="P192" s="3"/>
      <c r="Q192" s="3"/>
      <c r="R192" s="3"/>
      <c r="S192" t="str" s="17">
        <v>本轮完整刷新挂接；有效坐标注入后验证</v>
      </c>
      <c r="T192" t="n" s="18">
        <v>1006102</v>
      </c>
      <c r="U192"/>
      <c r="V192"/>
      <c r="W192"/>
      <c r="X192"/>
      <c r="Y192"/>
      <c r="Z192"/>
      <c r="AA192"/>
    </row>
    <row r="193" ht="15" spans="1:20">
      <c r="A193" s="35"/>
      <c r="B193" t="n" s="17">
        <f>70000000+F193*10000+H193*1000+I193*100+J193</f>
        <v>70065201</v>
      </c>
      <c r="C193" t="str" s="38">
        <v>岳骨阶-怪物6</v>
      </c>
      <c r="D193" s="3"/>
      <c r="E193" t="str" s="3">
        <f>F193&amp;(VLOOKUP(G193,编号表!$E$1:$G$8,2,0))&amp;H193&amp;"_"&amp;I193&amp;"_"&amp;J193</f>
        <v>6N5_2_1</v>
      </c>
      <c r="F193" t="n" s="3">
        <v>6</v>
      </c>
      <c r="G193" t="str" s="3">
        <v>怪物</v>
      </c>
      <c r="H193" t="n" s="3">
        <v>5</v>
      </c>
      <c r="I193" t="n" s="3">
        <v>2</v>
      </c>
      <c r="J193" t="n" s="3">
        <v>1</v>
      </c>
      <c r="K193" s="3"/>
      <c r="L193" s="3"/>
      <c r="M193" s="3"/>
      <c r="N193" s="3"/>
      <c r="O193" s="3"/>
      <c r="P193" s="3"/>
      <c r="Q193" s="3"/>
      <c r="R193" s="3"/>
      <c r="S193" t="str" s="17">
        <v>本轮完整刷新挂接；有效坐标注入后验证</v>
      </c>
      <c r="T193" t="n" s="18">
        <v>1006001</v>
      </c>
      <c r="U193"/>
      <c r="V193"/>
      <c r="W193"/>
      <c r="X193"/>
      <c r="Y193"/>
      <c r="Z193"/>
      <c r="AA193"/>
    </row>
    <row r="194" ht="15" spans="1:20">
      <c r="A194" s="35"/>
      <c r="B194" t="n" s="17">
        <f>70000000+F194*10000+H194*1000+I194*100+J194</f>
        <v>70065202</v>
      </c>
      <c r="C194" t="str" s="38">
        <v>岳骨阶-怪物7</v>
      </c>
      <c r="D194" s="3"/>
      <c r="E194" t="str" s="3">
        <f>F194&amp;(VLOOKUP(G194,编号表!$E$1:$G$8,2,0))&amp;H194&amp;"_"&amp;I194&amp;"_"&amp;J194</f>
        <v>6N5_2_2</v>
      </c>
      <c r="F194" t="n" s="3">
        <v>6</v>
      </c>
      <c r="G194" t="str" s="3">
        <v>怪物</v>
      </c>
      <c r="H194" t="n" s="3">
        <v>5</v>
      </c>
      <c r="I194" t="n" s="3">
        <v>2</v>
      </c>
      <c r="J194" t="n" s="3">
        <v>2</v>
      </c>
      <c r="K194" s="3"/>
      <c r="L194" s="3"/>
      <c r="M194" s="3"/>
      <c r="N194" s="3"/>
      <c r="O194" s="3"/>
      <c r="P194" s="3"/>
      <c r="Q194" s="3"/>
      <c r="R194" s="3"/>
      <c r="S194" s="17"/>
      <c r="T194" s="18"/>
      <c r="U194"/>
      <c r="V194"/>
      <c r="W194"/>
      <c r="X194"/>
      <c r="Y194"/>
      <c r="Z194"/>
      <c r="AA194"/>
    </row>
    <row r="195" ht="15" spans="1:20">
      <c r="A195" s="35"/>
      <c r="B195" t="n" s="17">
        <f>70000000+F195*10000+H195*1000+I195*100+J195</f>
        <v>70065203</v>
      </c>
      <c r="C195" t="str" s="38">
        <v>岳骨阶-怪物8</v>
      </c>
      <c r="D195" s="3"/>
      <c r="E195" t="str" s="3">
        <f>F195&amp;(VLOOKUP(G195,编号表!$E$1:$G$8,2,0))&amp;H195&amp;"_"&amp;I195&amp;"_"&amp;J195</f>
        <v>6N5_2_3</v>
      </c>
      <c r="F195" t="n" s="3">
        <v>6</v>
      </c>
      <c r="G195" t="str" s="3">
        <v>怪物</v>
      </c>
      <c r="H195" t="n" s="3">
        <v>5</v>
      </c>
      <c r="I195" t="n" s="3">
        <v>2</v>
      </c>
      <c r="J195" t="n" s="3">
        <v>3</v>
      </c>
      <c r="K195" s="3"/>
      <c r="L195" s="3"/>
      <c r="M195" s="3"/>
      <c r="N195" s="3"/>
      <c r="O195" s="3"/>
      <c r="P195" s="3"/>
      <c r="Q195" s="3"/>
      <c r="R195" s="3"/>
      <c r="S195" s="17"/>
      <c r="T195" s="18"/>
      <c r="U195"/>
      <c r="V195"/>
      <c r="W195"/>
      <c r="X195"/>
      <c r="Y195"/>
      <c r="Z195"/>
      <c r="AA195"/>
    </row>
    <row r="196" ht="15" spans="1:20">
      <c r="A196" s="35"/>
      <c r="B196" t="n" s="17">
        <f>70000000+F196*10000+H196*1000+I196*100+J196</f>
        <v>70065204</v>
      </c>
      <c r="C196" t="str" s="38">
        <v>岳骨阶-怪物9</v>
      </c>
      <c r="D196" s="3"/>
      <c r="E196" t="str" s="3">
        <f>F196&amp;(VLOOKUP(G196,编号表!$E$1:$G$8,2,0))&amp;H196&amp;"_"&amp;I196&amp;"_"&amp;J196</f>
        <v>6N5_2_4</v>
      </c>
      <c r="F196" t="n" s="3">
        <v>6</v>
      </c>
      <c r="G196" t="str" s="3">
        <v>怪物</v>
      </c>
      <c r="H196" t="n" s="3">
        <v>5</v>
      </c>
      <c r="I196" t="n" s="3">
        <v>2</v>
      </c>
      <c r="J196" t="n" s="3">
        <v>4</v>
      </c>
      <c r="K196" s="3"/>
      <c r="L196" s="3"/>
      <c r="M196" s="3"/>
      <c r="N196" s="3"/>
      <c r="O196" s="3"/>
      <c r="P196" s="3"/>
      <c r="Q196" s="3"/>
      <c r="R196" s="3"/>
      <c r="S196" s="17"/>
      <c r="T196" s="18"/>
      <c r="U196"/>
      <c r="V196"/>
      <c r="W196"/>
      <c r="X196"/>
      <c r="Y196"/>
      <c r="Z196"/>
      <c r="AA196"/>
    </row>
    <row r="197" ht="15" spans="1:20">
      <c r="A197" s="35"/>
      <c r="B197" t="n" s="17">
        <f>70000000+F197*10000+H197*1000+I197*100+J197</f>
        <v>70065205</v>
      </c>
      <c r="C197" t="str" s="38">
        <v>岳骨阶-怪物10</v>
      </c>
      <c r="D197" s="3"/>
      <c r="E197" t="str" s="3">
        <f>F197&amp;(VLOOKUP(G197,编号表!$E$1:$G$8,2,0))&amp;H197&amp;"_"&amp;I197&amp;"_"&amp;J197</f>
        <v>6N5_2_5</v>
      </c>
      <c r="F197" t="n" s="3">
        <v>6</v>
      </c>
      <c r="G197" t="str" s="3">
        <v>怪物</v>
      </c>
      <c r="H197" t="n" s="3">
        <v>5</v>
      </c>
      <c r="I197" t="n" s="3">
        <v>2</v>
      </c>
      <c r="J197" t="n" s="3">
        <v>5</v>
      </c>
      <c r="K197" s="3"/>
      <c r="L197" s="3"/>
      <c r="M197" s="3"/>
      <c r="N197" s="3"/>
      <c r="O197" s="3"/>
      <c r="P197" s="3"/>
      <c r="Q197" s="3"/>
      <c r="R197" s="3"/>
      <c r="S197" s="17"/>
      <c r="T197" s="18"/>
      <c r="U197"/>
      <c r="V197"/>
      <c r="W197"/>
      <c r="X197"/>
      <c r="Y197"/>
      <c r="Z197"/>
      <c r="AA197"/>
    </row>
    <row r="198" ht="15" spans="1:20">
      <c r="A198" s="35"/>
      <c r="B198" t="n" s="17">
        <f>70000000+F198*10000+H198*1000+I198*100+J198</f>
        <v>70065206</v>
      </c>
      <c r="C198" t="str" s="38">
        <v>岳骨阶-怪物11</v>
      </c>
      <c r="D198" s="3"/>
      <c r="E198" t="str" s="3">
        <f>F198&amp;(VLOOKUP(G198,编号表!$E$1:$G$8,2,0))&amp;H198&amp;"_"&amp;I198&amp;"_"&amp;J198</f>
        <v>6N5_2_6</v>
      </c>
      <c r="F198" t="n" s="3">
        <v>6</v>
      </c>
      <c r="G198" t="str" s="3">
        <v>怪物</v>
      </c>
      <c r="H198" t="n" s="3">
        <v>5</v>
      </c>
      <c r="I198" t="n" s="3">
        <v>2</v>
      </c>
      <c r="J198" t="n" s="3">
        <v>6</v>
      </c>
      <c r="K198" s="3"/>
      <c r="L198" s="3"/>
      <c r="M198" s="3"/>
      <c r="N198" s="3"/>
      <c r="O198" s="3"/>
      <c r="P198" s="3"/>
      <c r="Q198" s="3"/>
      <c r="R198" s="3"/>
      <c r="S198" s="17"/>
      <c r="T198" s="18"/>
      <c r="U198"/>
      <c r="V198"/>
      <c r="W198"/>
      <c r="X198"/>
      <c r="Y198"/>
      <c r="Z198"/>
      <c r="AA198"/>
    </row>
    <row r="199" ht="15" spans="1:20">
      <c r="A199" s="35"/>
      <c r="B199" t="n" s="17">
        <f>70000000+F199*10000+H199*1000+I199*100+J199</f>
        <v>70065207</v>
      </c>
      <c r="C199" t="str" s="38">
        <v>岳骨阶-怪物12</v>
      </c>
      <c r="D199" s="3"/>
      <c r="E199" t="str" s="3">
        <f>F199&amp;(VLOOKUP(G199,编号表!$E$1:$G$8,2,0))&amp;H199&amp;"_"&amp;I199&amp;"_"&amp;J199</f>
        <v>6N5_2_7</v>
      </c>
      <c r="F199" t="n" s="3">
        <v>6</v>
      </c>
      <c r="G199" t="str" s="3">
        <v>怪物</v>
      </c>
      <c r="H199" t="n" s="3">
        <v>5</v>
      </c>
      <c r="I199" t="n" s="3">
        <v>2</v>
      </c>
      <c r="J199" t="n" s="3">
        <v>7</v>
      </c>
      <c r="K199" s="3"/>
      <c r="L199" s="3"/>
      <c r="M199" s="3"/>
      <c r="N199" s="3"/>
      <c r="O199" s="3"/>
      <c r="P199" s="3"/>
      <c r="Q199" s="3"/>
      <c r="R199" s="3"/>
      <c r="S199" s="17"/>
      <c r="T199" s="18"/>
      <c r="U199"/>
      <c r="V199"/>
      <c r="W199"/>
      <c r="X199"/>
      <c r="Y199"/>
      <c r="Z199"/>
      <c r="AA199"/>
    </row>
    <row r="200" ht="15" spans="1:20">
      <c r="A200" s="35"/>
      <c r="B200" t="n" s="17">
        <f>70000000+F200*10000+H200*1000+I200*100+J200</f>
        <v>70065208</v>
      </c>
      <c r="C200" t="str" s="38">
        <v>岳骨阶-怪物13</v>
      </c>
      <c r="D200" s="3"/>
      <c r="E200" t="str" s="3">
        <f>F200&amp;(VLOOKUP(G200,编号表!$E$1:$G$8,2,0))&amp;H200&amp;"_"&amp;I200&amp;"_"&amp;J200</f>
        <v>6N5_2_8</v>
      </c>
      <c r="F200" t="n" s="3">
        <v>6</v>
      </c>
      <c r="G200" t="str" s="3">
        <v>怪物</v>
      </c>
      <c r="H200" t="n" s="3">
        <v>5</v>
      </c>
      <c r="I200" t="n" s="3">
        <v>2</v>
      </c>
      <c r="J200" t="n" s="3">
        <v>8</v>
      </c>
      <c r="K200" s="3"/>
      <c r="L200" s="3"/>
      <c r="M200" s="3"/>
      <c r="N200" s="3"/>
      <c r="O200" s="3"/>
      <c r="P200" s="3"/>
      <c r="Q200" s="3"/>
      <c r="R200" s="3"/>
      <c r="S200" t="str" s="17">
        <v>精英</v>
      </c>
      <c r="T200" s="18"/>
      <c r="U200"/>
      <c r="V200"/>
      <c r="W200"/>
      <c r="X200"/>
      <c r="Y200"/>
      <c r="Z200"/>
      <c r="AA200"/>
    </row>
    <row r="201" ht="15" spans="1:20">
      <c r="A201" s="35"/>
      <c r="B201" t="n" s="17">
        <f>70000000+F201*10000+H201*1000+I201*100+J201</f>
        <v>70065209</v>
      </c>
      <c r="C201" t="str" s="38">
        <v>岳骨阶-怪物14</v>
      </c>
      <c r="D201" s="3"/>
      <c r="E201" t="str" s="3">
        <f>F201&amp;(VLOOKUP(G201,编号表!$E$1:$G$8,2,0))&amp;H201&amp;"_"&amp;I201&amp;"_"&amp;J201</f>
        <v>6N5_2_9</v>
      </c>
      <c r="F201" t="n" s="3">
        <v>6</v>
      </c>
      <c r="G201" t="str" s="3">
        <v>怪物</v>
      </c>
      <c r="H201" t="n" s="3">
        <v>5</v>
      </c>
      <c r="I201" t="n" s="3">
        <v>2</v>
      </c>
      <c r="J201" t="n" s="3">
        <v>9</v>
      </c>
      <c r="K201" s="3"/>
      <c r="L201" s="3"/>
      <c r="M201" s="3"/>
      <c r="N201" s="3"/>
      <c r="O201" s="3"/>
      <c r="P201" s="3"/>
      <c r="Q201" s="3"/>
      <c r="R201" s="3"/>
      <c r="S201" t="str" s="17">
        <v>boss</v>
      </c>
      <c r="T201" s="18"/>
      <c r="U201"/>
      <c r="V201"/>
      <c r="W201"/>
      <c r="X201"/>
      <c r="Y201"/>
      <c r="Z201"/>
      <c r="AA201"/>
    </row>
    <row r="202" ht="15" spans="1:20">
      <c r="A202" s="35"/>
      <c r="B202" t="n" s="17">
        <f>70000000+F202*10000+H202*1000+I202*100+J202</f>
        <v>70065210</v>
      </c>
      <c r="C202" t="str" s="38">
        <v>岳骨阶-怪物15</v>
      </c>
      <c r="D202" s="3"/>
      <c r="E202" t="str" s="3">
        <f>F202&amp;(VLOOKUP(G202,编号表!$E$1:$G$8,2,0))&amp;H202&amp;"_"&amp;I202&amp;"_"&amp;J202</f>
        <v>6N5_2_10</v>
      </c>
      <c r="F202" t="n" s="3">
        <v>6</v>
      </c>
      <c r="G202" t="str" s="3">
        <v>怪物</v>
      </c>
      <c r="H202" t="n" s="3">
        <v>5</v>
      </c>
      <c r="I202" t="n" s="3">
        <v>2</v>
      </c>
      <c r="J202" t="n" s="3">
        <v>10</v>
      </c>
      <c r="K202" s="3"/>
      <c r="L202" s="3"/>
      <c r="M202" s="3"/>
      <c r="N202" s="3"/>
      <c r="O202" s="3"/>
      <c r="P202" s="3"/>
      <c r="Q202" s="3"/>
      <c r="R202" s="3"/>
      <c r="S202" s="17"/>
      <c r="T202" s="18"/>
      <c r="U202"/>
      <c r="V202"/>
      <c r="W202"/>
      <c r="X202"/>
      <c r="Y202"/>
      <c r="Z202"/>
      <c r="AA202"/>
    </row>
    <row r="203" ht="15" spans="1:20">
      <c r="A203" s="35"/>
      <c r="B203" t="n" s="17">
        <f>70000000+F203*10000+H203*1000+I203*100+J203</f>
        <v>70065211</v>
      </c>
      <c r="C203" t="str" s="38">
        <v>岳骨阶-怪物16</v>
      </c>
      <c r="D203" s="3"/>
      <c r="E203" t="str" s="3">
        <f>F203&amp;(VLOOKUP(G203,编号表!$E$1:$G$8,2,0))&amp;H203&amp;"_"&amp;I203&amp;"_"&amp;J203</f>
        <v>6N5_2_11</v>
      </c>
      <c r="F203" t="n" s="3">
        <v>6</v>
      </c>
      <c r="G203" t="str" s="3">
        <v>怪物</v>
      </c>
      <c r="H203" t="n" s="3">
        <v>5</v>
      </c>
      <c r="I203" t="n" s="3">
        <v>2</v>
      </c>
      <c r="J203" t="n" s="3">
        <v>11</v>
      </c>
      <c r="K203" s="3"/>
      <c r="L203" s="3"/>
      <c r="M203" s="3"/>
      <c r="N203" s="3"/>
      <c r="O203" s="3"/>
      <c r="P203" s="3"/>
      <c r="Q203" s="3"/>
      <c r="R203" s="3"/>
      <c r="S203" t="str" s="17">
        <v>精英</v>
      </c>
      <c r="T203" s="18"/>
      <c r="U203"/>
      <c r="V203"/>
      <c r="W203"/>
      <c r="X203"/>
      <c r="Y203"/>
      <c r="Z203"/>
      <c r="AA203"/>
    </row>
    <row r="204" ht="15" spans="1:20">
      <c r="A204" s="35"/>
      <c r="B204" t="n" s="17">
        <f>70000000+F204*10000+H204*1000+I204*100+J204</f>
        <v>70065212</v>
      </c>
      <c r="C204" t="str" s="38">
        <v>岳骨阶-怪物17</v>
      </c>
      <c r="D204" s="3"/>
      <c r="E204" t="str" s="3">
        <f>F204&amp;(VLOOKUP(G204,编号表!$E$1:$G$8,2,0))&amp;H204&amp;"_"&amp;I204&amp;"_"&amp;J204</f>
        <v>6N5_2_12</v>
      </c>
      <c r="F204" t="n" s="3">
        <v>6</v>
      </c>
      <c r="G204" t="str" s="3">
        <v>怪物</v>
      </c>
      <c r="H204" t="n" s="3">
        <v>5</v>
      </c>
      <c r="I204" t="n" s="3">
        <v>2</v>
      </c>
      <c r="J204" t="n" s="3">
        <v>12</v>
      </c>
      <c r="K204" s="3"/>
      <c r="L204" s="3"/>
      <c r="M204" s="3"/>
      <c r="N204" s="3"/>
      <c r="O204" s="3"/>
      <c r="P204" s="3"/>
      <c r="Q204" s="3"/>
      <c r="R204" s="3"/>
      <c r="S204" s="17"/>
      <c r="T204" s="18"/>
      <c r="U204"/>
      <c r="V204"/>
      <c r="W204"/>
      <c r="X204"/>
      <c r="Y204"/>
      <c r="Z204"/>
      <c r="AA204"/>
    </row>
    <row r="205" ht="15" spans="1:20">
      <c r="A205" s="35"/>
      <c r="B205" t="n" s="17">
        <f>70000000+F205*10000+H205*1000+I205*100+J205</f>
        <v>70065301</v>
      </c>
      <c r="C205" t="str" s="38">
        <v>岳骨阶-怪物18</v>
      </c>
      <c r="D205" s="3"/>
      <c r="E205" t="str" s="3">
        <f>F205&amp;(VLOOKUP(G205,编号表!$E$1:$G$8,2,0))&amp;H205&amp;"_"&amp;I205&amp;"_"&amp;J205</f>
        <v>6N5_3_1</v>
      </c>
      <c r="F205" t="n" s="3">
        <v>6</v>
      </c>
      <c r="G205" t="str" s="3">
        <v>怪物</v>
      </c>
      <c r="H205" t="n" s="3">
        <v>5</v>
      </c>
      <c r="I205" t="n" s="3">
        <v>3</v>
      </c>
      <c r="J205" t="n" s="3">
        <v>1</v>
      </c>
      <c r="K205" s="3"/>
      <c r="L205" s="3"/>
      <c r="M205" s="3"/>
      <c r="N205" s="3"/>
      <c r="O205" s="3"/>
      <c r="P205" s="3"/>
      <c r="Q205" s="3"/>
      <c r="R205" s="3"/>
      <c r="S205" s="17"/>
      <c r="T205" s="18"/>
      <c r="U205"/>
      <c r="V205"/>
      <c r="W205"/>
      <c r="X205"/>
      <c r="Y205"/>
      <c r="Z205"/>
      <c r="AA205"/>
    </row>
    <row r="206" ht="15" spans="1:20">
      <c r="A206" s="35"/>
      <c r="B206" t="n" s="17">
        <f>70000000+F206*10000+H206*1000+I206*100+J206</f>
        <v>70065302</v>
      </c>
      <c r="C206" t="str" s="38">
        <v>岳骨阶-怪物19</v>
      </c>
      <c r="D206" s="3"/>
      <c r="E206" t="str" s="3">
        <f>F206&amp;(VLOOKUP(G206,编号表!$E$1:$G$8,2,0))&amp;H206&amp;"_"&amp;I206&amp;"_"&amp;J206</f>
        <v>6N5_3_2</v>
      </c>
      <c r="F206" t="n" s="3">
        <v>6</v>
      </c>
      <c r="G206" t="str" s="3">
        <v>怪物</v>
      </c>
      <c r="H206" t="n" s="3">
        <v>5</v>
      </c>
      <c r="I206" t="n" s="3">
        <v>3</v>
      </c>
      <c r="J206" t="n" s="3">
        <v>2</v>
      </c>
      <c r="K206" s="3"/>
      <c r="L206" s="3"/>
      <c r="M206" s="3"/>
      <c r="N206" s="3"/>
      <c r="O206" s="3"/>
      <c r="P206" s="3"/>
      <c r="Q206" s="3"/>
      <c r="R206" s="3"/>
      <c r="S206" s="17"/>
      <c r="T206" s="18"/>
      <c r="U206"/>
      <c r="V206"/>
      <c r="W206"/>
      <c r="X206"/>
      <c r="Y206"/>
      <c r="Z206"/>
      <c r="AA206"/>
    </row>
    <row r="207" ht="15" spans="1:20">
      <c r="A207" s="35"/>
      <c r="B207" t="n" s="17">
        <f>70000000+F207*10000+H207*1000+I207*100+J207</f>
        <v>70065303</v>
      </c>
      <c r="C207" t="str" s="38">
        <v>岳骨阶-怪物20</v>
      </c>
      <c r="D207" s="3"/>
      <c r="E207" t="str" s="3">
        <f>F207&amp;(VLOOKUP(G207,编号表!$E$1:$G$8,2,0))&amp;H207&amp;"_"&amp;I207&amp;"_"&amp;J207</f>
        <v>6N5_3_3</v>
      </c>
      <c r="F207" t="n" s="3">
        <v>6</v>
      </c>
      <c r="G207" t="str" s="3">
        <v>怪物</v>
      </c>
      <c r="H207" t="n" s="3">
        <v>5</v>
      </c>
      <c r="I207" t="n" s="3">
        <v>3</v>
      </c>
      <c r="J207" t="n" s="3">
        <v>3</v>
      </c>
      <c r="K207" s="3"/>
      <c r="L207" s="3"/>
      <c r="M207" s="3"/>
      <c r="N207" s="3"/>
      <c r="O207" s="3"/>
      <c r="P207" s="3"/>
      <c r="Q207" s="3"/>
      <c r="R207" s="3"/>
      <c r="S207" s="17"/>
      <c r="T207" s="18"/>
      <c r="U207"/>
      <c r="V207"/>
      <c r="W207"/>
      <c r="X207"/>
      <c r="Y207"/>
      <c r="Z207"/>
      <c r="AA207"/>
    </row>
    <row r="208" ht="15" spans="1:20">
      <c r="A208" s="35"/>
      <c r="B208" t="n" s="17">
        <f>70000000+F208*10000+H208*1000+I208*100+J208</f>
        <v>70065304</v>
      </c>
      <c r="C208" t="str" s="38">
        <v>岳骨阶-怪物21</v>
      </c>
      <c r="D208" s="3"/>
      <c r="E208" t="str" s="3">
        <f>F208&amp;(VLOOKUP(G208,编号表!$E$1:$G$8,2,0))&amp;H208&amp;"_"&amp;I208&amp;"_"&amp;J208</f>
        <v>6N5_3_4</v>
      </c>
      <c r="F208" t="n" s="3">
        <v>6</v>
      </c>
      <c r="G208" t="str" s="3">
        <v>怪物</v>
      </c>
      <c r="H208" t="n" s="3">
        <v>5</v>
      </c>
      <c r="I208" t="n" s="3">
        <v>3</v>
      </c>
      <c r="J208" t="n" s="3">
        <v>4</v>
      </c>
      <c r="K208" s="3"/>
      <c r="L208" s="3"/>
      <c r="M208" s="3"/>
      <c r="N208" s="3"/>
      <c r="O208" s="3"/>
      <c r="P208" s="3"/>
      <c r="Q208" s="3"/>
      <c r="R208" s="3"/>
      <c r="S208" s="17"/>
      <c r="T208" s="18"/>
      <c r="U208"/>
      <c r="V208"/>
      <c r="W208"/>
      <c r="X208"/>
      <c r="Y208"/>
      <c r="Z208"/>
      <c r="AA208"/>
    </row>
    <row r="209" ht="15" spans="1:20">
      <c r="A209" s="35"/>
      <c r="B209" t="n" s="17">
        <f>70000000+F209*10000+H209*1000+I209*100+J209</f>
        <v>70065305</v>
      </c>
      <c r="C209" t="str" s="38">
        <v>岳骨阶-怪物22</v>
      </c>
      <c r="D209" s="3"/>
      <c r="E209" t="str" s="3">
        <f>F209&amp;(VLOOKUP(G209,编号表!$E$1:$G$8,2,0))&amp;H209&amp;"_"&amp;I209&amp;"_"&amp;J209</f>
        <v>6N5_3_5</v>
      </c>
      <c r="F209" t="n" s="3">
        <v>6</v>
      </c>
      <c r="G209" t="str" s="3">
        <v>怪物</v>
      </c>
      <c r="H209" t="n" s="3">
        <v>5</v>
      </c>
      <c r="I209" t="n" s="3">
        <v>3</v>
      </c>
      <c r="J209" t="n" s="3">
        <v>5</v>
      </c>
      <c r="K209" s="3"/>
      <c r="L209" s="3"/>
      <c r="M209" s="3"/>
      <c r="N209" s="3"/>
      <c r="O209" s="3"/>
      <c r="P209" s="3"/>
      <c r="Q209" s="3"/>
      <c r="R209" s="3"/>
      <c r="S209" s="17"/>
      <c r="T209" s="18"/>
      <c r="U209"/>
      <c r="V209"/>
      <c r="W209"/>
      <c r="X209"/>
      <c r="Y209"/>
      <c r="Z209"/>
      <c r="AA209"/>
    </row>
    <row r="210" ht="15" spans="1:20">
      <c r="A210" s="35"/>
      <c r="B210" t="n" s="17">
        <f>70000000+F210*10000+H210*1000+I210*100+J210</f>
        <v>70065306</v>
      </c>
      <c r="C210" t="str" s="38">
        <v>岳骨阶-怪物23</v>
      </c>
      <c r="D210" s="3"/>
      <c r="E210" t="str" s="3">
        <f>F210&amp;(VLOOKUP(G210,编号表!$E$1:$G$8,2,0))&amp;H210&amp;"_"&amp;I210&amp;"_"&amp;J210</f>
        <v>6N5_3_6</v>
      </c>
      <c r="F210" t="n" s="3">
        <v>6</v>
      </c>
      <c r="G210" t="str" s="3">
        <v>怪物</v>
      </c>
      <c r="H210" t="n" s="3">
        <v>5</v>
      </c>
      <c r="I210" t="n" s="3">
        <v>3</v>
      </c>
      <c r="J210" t="n" s="3">
        <v>6</v>
      </c>
      <c r="K210" s="3"/>
      <c r="L210" s="3"/>
      <c r="M210" s="3"/>
      <c r="N210" s="3"/>
      <c r="O210" s="3"/>
      <c r="P210" s="3"/>
      <c r="Q210" s="3"/>
      <c r="R210" s="3"/>
      <c r="S210" s="17"/>
      <c r="T210" s="18"/>
      <c r="U210"/>
      <c r="V210"/>
      <c r="W210"/>
      <c r="X210"/>
      <c r="Y210"/>
      <c r="Z210"/>
      <c r="AA210"/>
    </row>
    <row r="211" ht="15" spans="1:20">
      <c r="A211" s="35"/>
      <c r="B211" t="n" s="17">
        <f>70000000+F211*10000+H211*1000+I211*100+J211</f>
        <v>70065401</v>
      </c>
      <c r="C211" t="str" s="38">
        <v>岳骨阶-怪物24</v>
      </c>
      <c r="D211" s="3"/>
      <c r="E211" t="str" s="3">
        <f>F211&amp;(VLOOKUP(G211,编号表!$E$1:$G$8,2,0))&amp;H211&amp;"_"&amp;I211&amp;"_"&amp;J211</f>
        <v>6N5_4_1</v>
      </c>
      <c r="F211" t="n" s="3">
        <v>6</v>
      </c>
      <c r="G211" t="str" s="3">
        <v>怪物</v>
      </c>
      <c r="H211" t="n" s="3">
        <v>5</v>
      </c>
      <c r="I211" t="n" s="3">
        <v>4</v>
      </c>
      <c r="J211" t="n" s="3">
        <v>1</v>
      </c>
      <c r="K211" s="3"/>
      <c r="L211" s="3"/>
      <c r="M211" s="3"/>
      <c r="N211" s="3"/>
      <c r="O211" s="3"/>
      <c r="P211" s="3"/>
      <c r="Q211" s="3"/>
      <c r="R211" s="3"/>
      <c r="S211" t="str" s="17">
        <v>精英</v>
      </c>
      <c r="T211" s="18"/>
      <c r="U211"/>
      <c r="V211"/>
      <c r="W211"/>
      <c r="X211"/>
      <c r="Y211"/>
      <c r="Z211"/>
      <c r="AA211"/>
    </row>
    <row r="212" ht="15" spans="1:20">
      <c r="A212" s="35"/>
      <c r="B212" t="n" s="17">
        <f>70000000+F212*10000+H212*1000+I212*100+J212</f>
        <v>70065402</v>
      </c>
      <c r="C212" t="str" s="38">
        <v>岳骨阶-怪物25</v>
      </c>
      <c r="D212" s="3"/>
      <c r="E212" t="str" s="3">
        <f>F212&amp;(VLOOKUP(G212,编号表!$E$1:$G$8,2,0))&amp;H212&amp;"_"&amp;I212&amp;"_"&amp;J212</f>
        <v>6N5_4_2</v>
      </c>
      <c r="F212" t="n" s="3">
        <v>6</v>
      </c>
      <c r="G212" t="str" s="3">
        <v>怪物</v>
      </c>
      <c r="H212" t="n" s="3">
        <v>5</v>
      </c>
      <c r="I212" t="n" s="3">
        <v>4</v>
      </c>
      <c r="J212" t="n" s="3">
        <v>2</v>
      </c>
      <c r="K212" s="3"/>
      <c r="L212" s="3"/>
      <c r="M212" s="3"/>
      <c r="N212" s="3"/>
      <c r="O212" s="3"/>
      <c r="P212" s="3"/>
      <c r="Q212" s="3"/>
      <c r="R212" s="3"/>
      <c r="S212" s="17"/>
      <c r="T212" s="18"/>
      <c r="U212"/>
      <c r="V212"/>
      <c r="W212"/>
      <c r="X212"/>
      <c r="Y212"/>
      <c r="Z212"/>
      <c r="AA212"/>
    </row>
    <row r="213" ht="15" spans="1:20">
      <c r="A213" s="35"/>
      <c r="B213" t="n" s="17">
        <f>70000000+F213*10000+H213*1000+I213*100+J213</f>
        <v>70065403</v>
      </c>
      <c r="C213" t="str" s="38">
        <v>岳骨阶-怪物26</v>
      </c>
      <c r="D213" s="3"/>
      <c r="E213" t="str" s="3">
        <f>F213&amp;(VLOOKUP(G213,编号表!$E$1:$G$8,2,0))&amp;H213&amp;"_"&amp;I213&amp;"_"&amp;J213</f>
        <v>6N5_4_3</v>
      </c>
      <c r="F213" t="n" s="3">
        <v>6</v>
      </c>
      <c r="G213" t="str" s="3">
        <v>怪物</v>
      </c>
      <c r="H213" t="n" s="3">
        <v>5</v>
      </c>
      <c r="I213" t="n" s="3">
        <v>4</v>
      </c>
      <c r="J213" t="n" s="3">
        <v>3</v>
      </c>
      <c r="K213" s="3"/>
      <c r="L213" s="3"/>
      <c r="M213" s="3"/>
      <c r="N213" s="3"/>
      <c r="O213" s="3"/>
      <c r="P213" s="3"/>
      <c r="Q213" s="3"/>
      <c r="R213" s="3"/>
      <c r="S213" s="17"/>
      <c r="T213" s="18"/>
      <c r="U213"/>
      <c r="V213"/>
      <c r="W213"/>
      <c r="X213"/>
      <c r="Y213"/>
      <c r="Z213"/>
      <c r="AA213"/>
    </row>
    <row r="214" ht="15" spans="1:20">
      <c r="A214" s="35"/>
      <c r="B214" t="n" s="17">
        <f>70000000+F214*10000+H214*1000+I214*100+J214</f>
        <v>70065404</v>
      </c>
      <c r="C214" t="str" s="38">
        <v>岳骨阶-怪物27</v>
      </c>
      <c r="D214" s="3"/>
      <c r="E214" t="str" s="3">
        <f>F214&amp;(VLOOKUP(G214,编号表!$E$1:$G$8,2,0))&amp;H214&amp;"_"&amp;I214&amp;"_"&amp;J214</f>
        <v>6N5_4_4</v>
      </c>
      <c r="F214" t="n" s="3">
        <v>6</v>
      </c>
      <c r="G214" t="str" s="3">
        <v>怪物</v>
      </c>
      <c r="H214" t="n" s="3">
        <v>5</v>
      </c>
      <c r="I214" t="n" s="3">
        <v>4</v>
      </c>
      <c r="J214" t="n" s="3">
        <v>4</v>
      </c>
      <c r="K214" s="3"/>
      <c r="L214" s="3"/>
      <c r="M214" s="3"/>
      <c r="N214" s="3"/>
      <c r="O214" s="3"/>
      <c r="P214" s="3"/>
      <c r="Q214" s="3"/>
      <c r="R214" s="3"/>
      <c r="S214" s="17"/>
      <c r="T214" s="18"/>
      <c r="U214"/>
      <c r="V214"/>
      <c r="W214"/>
      <c r="X214"/>
      <c r="Y214"/>
      <c r="Z214"/>
      <c r="AA214"/>
    </row>
    <row r="215" ht="15" spans="1:20">
      <c r="A215" s="35"/>
      <c r="B215" t="n" s="17">
        <f>70000000+F215*10000+H215*1000+I215*100+J215</f>
        <v>70065001</v>
      </c>
      <c r="C215" t="str" s="39">
        <v>岳骨阶-镜头</v>
      </c>
      <c r="D215" s="3"/>
      <c r="E215" t="str" s="3">
        <f>F215&amp;(VLOOKUP(G215,编号表!$E$1:$G$8,2,0))&amp;H215&amp;"_"&amp;I215&amp;"_"&amp;J215</f>
        <v>6J5_0_1</v>
      </c>
      <c r="F215" t="n" s="3">
        <v>6</v>
      </c>
      <c r="G215" t="str" s="3">
        <v>镜头</v>
      </c>
      <c r="H215" t="n" s="3">
        <v>5</v>
      </c>
      <c r="I215" t="n" s="3">
        <v>0</v>
      </c>
      <c r="J215" t="n" s="3">
        <v>1</v>
      </c>
      <c r="K215" t="n" s="3">
        <v>1</v>
      </c>
      <c r="L215" s="3"/>
      <c r="M215" s="3"/>
      <c r="N215" s="3"/>
      <c r="O215" s="3"/>
      <c r="P215" s="3"/>
      <c r="Q215" s="3"/>
      <c r="R215" s="3"/>
      <c r="S215" s="17"/>
      <c r="T215" s="18"/>
      <c r="U215"/>
      <c r="V215"/>
      <c r="W215"/>
      <c r="X215"/>
      <c r="Y215"/>
      <c r="Z215"/>
      <c r="AA215"/>
    </row>
    <row r="216" ht="15" spans="1:20">
      <c r="A216" s="35"/>
      <c r="B216" t="n" s="17">
        <f>70000000+F216*10000+H216*1000+I216*100+J216</f>
        <v>70061001</v>
      </c>
      <c r="C216" t="str" s="37">
        <v>岳骨阶-传送</v>
      </c>
      <c r="D216" s="3"/>
      <c r="E216" t="str" s="3">
        <f>F216&amp;(VLOOKUP(G216,编号表!$E$1:$G$8,2,0))&amp;H216&amp;"_"&amp;I216&amp;"_"&amp;J216</f>
        <v>6T1_0_1</v>
      </c>
      <c r="F216" t="n" s="3">
        <v>6</v>
      </c>
      <c r="G216" t="str" s="3">
        <v>传送</v>
      </c>
      <c r="H216" t="n" s="3">
        <v>1</v>
      </c>
      <c r="I216" t="n" s="3">
        <v>0</v>
      </c>
      <c r="J216" t="n" s="3">
        <v>1</v>
      </c>
      <c r="K216" s="3"/>
      <c r="L216" t="n" s="3">
        <v>1</v>
      </c>
      <c r="M216" s="3"/>
      <c r="N216" s="3"/>
      <c r="O216" s="3"/>
      <c r="P216" s="3"/>
      <c r="Q216" s="3"/>
      <c r="R216" t="n" s="3">
        <v>70071002</v>
      </c>
      <c r="S216" s="17"/>
      <c r="T216" s="18"/>
      <c r="U216"/>
      <c r="V216"/>
      <c r="W216"/>
      <c r="X216"/>
      <c r="Y216"/>
      <c r="Z216"/>
      <c r="AA216"/>
    </row>
    <row r="217" ht="15" spans="1:20">
      <c r="A217" s="35"/>
      <c r="B217" t="n" s="17">
        <f>70000000+F217*10000+H217*1000+I217*100+J217</f>
        <v>70061002</v>
      </c>
      <c r="C217" t="str" s="37">
        <v>岳骨阶-传送</v>
      </c>
      <c r="D217" s="3"/>
      <c r="E217" t="str" s="3">
        <f>F217&amp;(VLOOKUP(G217,编号表!$E$1:$G$8,2,0))&amp;H217&amp;"_"&amp;I217&amp;"_"&amp;J217</f>
        <v>6T1_0_2</v>
      </c>
      <c r="F217" t="n" s="3">
        <v>6</v>
      </c>
      <c r="G217" t="str" s="3">
        <v>传送</v>
      </c>
      <c r="H217" t="n" s="3">
        <v>1</v>
      </c>
      <c r="I217" t="n" s="3">
        <v>0</v>
      </c>
      <c r="J217" t="n" s="3">
        <v>2</v>
      </c>
      <c r="K217" s="3"/>
      <c r="L217" t="n" s="3">
        <v>1</v>
      </c>
      <c r="M217" s="3"/>
      <c r="N217" s="3"/>
      <c r="O217" s="3"/>
      <c r="P217" s="3"/>
      <c r="Q217" s="3"/>
      <c r="R217" t="n" s="3">
        <v>70051002</v>
      </c>
      <c r="S217" s="17"/>
      <c r="T217" s="18"/>
      <c r="U217"/>
      <c r="V217"/>
      <c r="W217"/>
      <c r="X217"/>
      <c r="Y217"/>
      <c r="Z217"/>
      <c r="AA217"/>
    </row>
    <row r="218" ht="15" spans="1:20">
      <c r="A218" s="35"/>
      <c r="B218" t="n" s="17">
        <f>70000000+F218*10000+H218*1000+I218*100+J218</f>
        <v>70062001</v>
      </c>
      <c r="C218" t="str" s="37">
        <v>岳骨阶-小地图</v>
      </c>
      <c r="D218" s="3"/>
      <c r="E218" t="str" s="3">
        <f>F218&amp;(VLOOKUP(G218,编号表!$E$1:$G$8,2,0))&amp;H218&amp;"_"&amp;I218&amp;"_"&amp;J218</f>
        <v>6D2_0_1</v>
      </c>
      <c r="F218" t="n" s="3">
        <v>6</v>
      </c>
      <c r="G218" t="str" s="3">
        <v>小地图</v>
      </c>
      <c r="H218" t="n" s="3">
        <v>2</v>
      </c>
      <c r="I218" t="n" s="3">
        <v>0</v>
      </c>
      <c r="J218" t="n" s="3">
        <v>1</v>
      </c>
      <c r="K218" s="3"/>
      <c r="L218" s="3"/>
      <c r="M218" t="n" s="3">
        <v>1</v>
      </c>
      <c r="N218" s="3"/>
      <c r="O218" s="3"/>
      <c r="P218" s="3"/>
      <c r="Q218" s="3"/>
      <c r="R218" s="3"/>
      <c r="S218" s="17"/>
      <c r="T218" s="18"/>
      <c r="U218"/>
      <c r="V218"/>
      <c r="W218"/>
      <c r="X218"/>
      <c r="Y218"/>
      <c r="Z218"/>
      <c r="AA218"/>
    </row>
    <row r="219" ht="15" spans="1:20">
      <c r="A219" s="35"/>
      <c r="B219" t="n" s="17">
        <f>70000000+F219*10000+H219*1000+I219*100+J219</f>
        <v>70075101</v>
      </c>
      <c r="C219" t="str" s="38">
        <v>异霭浦-采集物1</v>
      </c>
      <c r="D219" s="3"/>
      <c r="E219" t="str" s="3">
        <f>F219&amp;(VLOOKUP(G219,编号表!$E$1:$G$8,2,0))&amp;H219&amp;"_"&amp;I219&amp;"_"&amp;J219</f>
        <v>7C5_1_1</v>
      </c>
      <c r="F219" t="n" s="3">
        <v>7</v>
      </c>
      <c r="G219" t="str" s="3">
        <v>采集物</v>
      </c>
      <c r="H219" t="n" s="3">
        <v>5</v>
      </c>
      <c r="I219" t="n" s="3">
        <v>1</v>
      </c>
      <c r="J219" t="n" s="3">
        <v>1</v>
      </c>
      <c r="K219" s="3"/>
      <c r="L219" s="3"/>
      <c r="M219" s="3"/>
      <c r="N219" s="3"/>
      <c r="O219" s="3"/>
      <c r="P219" s="3"/>
      <c r="Q219" s="3"/>
      <c r="R219" s="3"/>
      <c r="S219" s="17"/>
      <c r="T219" s="18"/>
      <c r="U219"/>
      <c r="V219"/>
      <c r="W219"/>
      <c r="X219"/>
      <c r="Y219"/>
      <c r="Z219"/>
      <c r="AA219"/>
    </row>
    <row r="220" ht="15" spans="1:20">
      <c r="A220" s="35"/>
      <c r="B220" t="n" s="17">
        <f>70000000+F220*10000+H220*1000+I220*100+J220</f>
        <v>70075102</v>
      </c>
      <c r="C220" t="str" s="38">
        <v>异霭浦-采集物2</v>
      </c>
      <c r="D220" s="3"/>
      <c r="E220" t="str" s="3">
        <f>F220&amp;(VLOOKUP(G220,编号表!$E$1:$G$8,2,0))&amp;H220&amp;"_"&amp;I220&amp;"_"&amp;J220</f>
        <v>7C5_1_2</v>
      </c>
      <c r="F220" t="n" s="3">
        <v>7</v>
      </c>
      <c r="G220" t="str" s="3">
        <v>采集物</v>
      </c>
      <c r="H220" t="n" s="3">
        <v>5</v>
      </c>
      <c r="I220" t="n" s="3">
        <v>1</v>
      </c>
      <c r="J220" t="n" s="3">
        <v>2</v>
      </c>
      <c r="K220" s="3"/>
      <c r="L220" s="3"/>
      <c r="M220" s="3"/>
      <c r="N220" s="3"/>
      <c r="O220" s="3"/>
      <c r="P220" s="3"/>
      <c r="Q220" s="3"/>
      <c r="R220" s="3"/>
      <c r="S220" s="17"/>
      <c r="T220" s="18"/>
      <c r="U220"/>
      <c r="V220"/>
      <c r="W220"/>
      <c r="X220"/>
      <c r="Y220"/>
      <c r="Z220"/>
      <c r="AA220"/>
    </row>
    <row r="221" ht="15" spans="1:20">
      <c r="A221" s="35"/>
      <c r="B221" t="n" s="17">
        <f>70000000+F221*10000+H221*1000+I221*100+J221</f>
        <v>70075103</v>
      </c>
      <c r="C221" t="str" s="38">
        <v>异霭浦-采集物3</v>
      </c>
      <c r="D221" s="3"/>
      <c r="E221" t="str" s="3">
        <f>F221&amp;(VLOOKUP(G221,编号表!$E$1:$G$8,2,0))&amp;H221&amp;"_"&amp;I221&amp;"_"&amp;J221</f>
        <v>7C5_1_3</v>
      </c>
      <c r="F221" t="n" s="3">
        <v>7</v>
      </c>
      <c r="G221" t="str" s="3">
        <v>采集物</v>
      </c>
      <c r="H221" t="n" s="3">
        <v>5</v>
      </c>
      <c r="I221" t="n" s="3">
        <v>1</v>
      </c>
      <c r="J221" t="n" s="3">
        <v>3</v>
      </c>
      <c r="K221" s="3"/>
      <c r="L221" s="3"/>
      <c r="M221" s="3"/>
      <c r="N221" s="3"/>
      <c r="O221" s="3"/>
      <c r="P221" s="3"/>
      <c r="Q221" s="3"/>
      <c r="R221" s="3"/>
      <c r="S221" s="17"/>
      <c r="T221" s="18"/>
      <c r="U221"/>
      <c r="V221"/>
      <c r="W221"/>
      <c r="X221"/>
      <c r="Y221"/>
      <c r="Z221"/>
      <c r="AA221"/>
    </row>
    <row r="222" ht="15" spans="1:20">
      <c r="A222" s="35"/>
      <c r="B222" t="n" s="17">
        <f>70000000+F222*10000+H222*1000+I222*100+J222</f>
        <v>70075104</v>
      </c>
      <c r="C222" t="str" s="38">
        <v>异霭浦-采集物4</v>
      </c>
      <c r="D222" s="3"/>
      <c r="E222" t="str" s="3">
        <f>F222&amp;(VLOOKUP(G222,编号表!$E$1:$G$8,2,0))&amp;H222&amp;"_"&amp;I222&amp;"_"&amp;J222</f>
        <v>7C5_1_4</v>
      </c>
      <c r="F222" t="n" s="3">
        <v>7</v>
      </c>
      <c r="G222" t="str" s="3">
        <v>采集物</v>
      </c>
      <c r="H222" t="n" s="3">
        <v>5</v>
      </c>
      <c r="I222" t="n" s="3">
        <v>1</v>
      </c>
      <c r="J222" t="n" s="3">
        <v>4</v>
      </c>
      <c r="K222" s="3"/>
      <c r="L222" s="3"/>
      <c r="M222" s="3"/>
      <c r="N222" s="3"/>
      <c r="O222" s="3"/>
      <c r="P222" s="3"/>
      <c r="Q222" s="3"/>
      <c r="R222" s="3"/>
      <c r="S222" s="17"/>
      <c r="T222" s="18"/>
      <c r="U222"/>
      <c r="V222"/>
      <c r="W222"/>
      <c r="X222"/>
      <c r="Y222"/>
      <c r="Z222"/>
      <c r="AA222"/>
    </row>
    <row r="223" ht="15" spans="1:20">
      <c r="A223" s="35"/>
      <c r="B223" t="n" s="17">
        <f>70000000+F223*10000+H223*1000+I223*100+J223</f>
        <v>70075105</v>
      </c>
      <c r="C223" t="str" s="38">
        <v>异霭浦-采集物5</v>
      </c>
      <c r="D223" s="3"/>
      <c r="E223" t="str" s="3">
        <f>F223&amp;(VLOOKUP(G223,编号表!$E$1:$G$8,2,0))&amp;H223&amp;"_"&amp;I223&amp;"_"&amp;J223</f>
        <v>7C5_1_5</v>
      </c>
      <c r="F223" t="n" s="3">
        <v>7</v>
      </c>
      <c r="G223" t="str" s="3">
        <v>采集物</v>
      </c>
      <c r="H223" t="n" s="3">
        <v>5</v>
      </c>
      <c r="I223" t="n" s="3">
        <v>1</v>
      </c>
      <c r="J223" t="n" s="3">
        <v>5</v>
      </c>
      <c r="K223" s="3"/>
      <c r="L223" s="3"/>
      <c r="M223" s="3"/>
      <c r="N223" s="3"/>
      <c r="O223" s="3"/>
      <c r="P223" s="3"/>
      <c r="Q223" s="3"/>
      <c r="R223" s="3"/>
      <c r="S223" s="17"/>
      <c r="T223" s="18"/>
      <c r="U223"/>
      <c r="V223"/>
      <c r="W223"/>
      <c r="X223"/>
      <c r="Y223"/>
      <c r="Z223"/>
      <c r="AA223"/>
    </row>
    <row r="224" ht="15" spans="1:20">
      <c r="A224" s="35"/>
      <c r="B224" t="n" s="17">
        <f>70000000+F224*10000+H224*1000+I224*100+J224</f>
        <v>70075201</v>
      </c>
      <c r="C224" t="str" s="38">
        <v>异霭浦-采集物6</v>
      </c>
      <c r="D224" s="3"/>
      <c r="E224" t="str" s="3">
        <f>F224&amp;(VLOOKUP(G224,编号表!$E$1:$G$8,2,0))&amp;H224&amp;"_"&amp;I224&amp;"_"&amp;J224</f>
        <v>7C5_2_1</v>
      </c>
      <c r="F224" t="n" s="3">
        <v>7</v>
      </c>
      <c r="G224" t="str" s="3">
        <v>采集物</v>
      </c>
      <c r="H224" t="n" s="3">
        <v>5</v>
      </c>
      <c r="I224" t="n" s="3">
        <v>2</v>
      </c>
      <c r="J224" t="n" s="3">
        <v>1</v>
      </c>
      <c r="K224" s="3"/>
      <c r="L224" s="3"/>
      <c r="M224" s="3"/>
      <c r="N224" s="3"/>
      <c r="O224" s="3"/>
      <c r="P224" s="3"/>
      <c r="Q224" s="3"/>
      <c r="R224" s="3"/>
      <c r="S224" s="17"/>
      <c r="T224" s="18"/>
      <c r="U224"/>
      <c r="V224"/>
      <c r="W224"/>
      <c r="X224"/>
      <c r="Y224"/>
      <c r="Z224"/>
      <c r="AA224"/>
    </row>
    <row r="225" ht="15" spans="1:20">
      <c r="A225" s="35"/>
      <c r="B225" t="n" s="17">
        <f>70000000+F225*10000+H225*1000+I225*100+J225</f>
        <v>70075202</v>
      </c>
      <c r="C225" t="str" s="38">
        <v>异霭浦-采集物7</v>
      </c>
      <c r="D225" s="3"/>
      <c r="E225" t="str" s="3">
        <f>F225&amp;(VLOOKUP(G225,编号表!$E$1:$G$8,2,0))&amp;H225&amp;"_"&amp;I225&amp;"_"&amp;J225</f>
        <v>7C5_2_2</v>
      </c>
      <c r="F225" t="n" s="3">
        <v>7</v>
      </c>
      <c r="G225" t="str" s="3">
        <v>采集物</v>
      </c>
      <c r="H225" t="n" s="3">
        <v>5</v>
      </c>
      <c r="I225" t="n" s="3">
        <v>2</v>
      </c>
      <c r="J225" t="n" s="3">
        <v>2</v>
      </c>
      <c r="K225" s="3"/>
      <c r="L225" s="3"/>
      <c r="M225" s="3"/>
      <c r="N225" s="3"/>
      <c r="O225" s="3"/>
      <c r="P225" s="3"/>
      <c r="Q225" s="3"/>
      <c r="R225" s="3"/>
      <c r="S225" s="17"/>
      <c r="T225" s="18"/>
      <c r="U225"/>
      <c r="V225"/>
      <c r="W225"/>
      <c r="X225"/>
      <c r="Y225"/>
      <c r="Z225"/>
      <c r="AA225"/>
    </row>
    <row r="226" ht="15" spans="1:20">
      <c r="A226" s="35"/>
      <c r="B226" t="n" s="17">
        <f>70000000+F226*10000+H226*1000+I226*100+J226</f>
        <v>70075203</v>
      </c>
      <c r="C226" t="str" s="38">
        <v>异霭浦-采集物8</v>
      </c>
      <c r="D226" s="3"/>
      <c r="E226" t="str" s="3">
        <f>F226&amp;(VLOOKUP(G226,编号表!$E$1:$G$8,2,0))&amp;H226&amp;"_"&amp;I226&amp;"_"&amp;J226</f>
        <v>7C5_2_3</v>
      </c>
      <c r="F226" t="n" s="3">
        <v>7</v>
      </c>
      <c r="G226" t="str" s="3">
        <v>采集物</v>
      </c>
      <c r="H226" t="n" s="3">
        <v>5</v>
      </c>
      <c r="I226" t="n" s="3">
        <v>2</v>
      </c>
      <c r="J226" t="n" s="3">
        <v>3</v>
      </c>
      <c r="K226" s="3"/>
      <c r="L226" s="3"/>
      <c r="M226" s="3"/>
      <c r="N226" s="3"/>
      <c r="O226" s="3"/>
      <c r="P226" s="3"/>
      <c r="Q226" s="3"/>
      <c r="R226" s="3"/>
      <c r="S226" s="17"/>
      <c r="T226" s="18"/>
      <c r="U226"/>
      <c r="V226"/>
      <c r="W226"/>
      <c r="X226"/>
      <c r="Y226"/>
      <c r="Z226"/>
      <c r="AA226"/>
    </row>
    <row r="227" ht="15" spans="1:20">
      <c r="A227" s="35"/>
      <c r="B227" t="n" s="17">
        <f>70000000+F227*10000+H227*1000+I227*100+J227</f>
        <v>70075204</v>
      </c>
      <c r="C227" t="str" s="38">
        <v>异霭浦-采集物9</v>
      </c>
      <c r="D227" s="3"/>
      <c r="E227" t="str" s="3">
        <f>F227&amp;(VLOOKUP(G227,编号表!$E$1:$G$8,2,0))&amp;H227&amp;"_"&amp;I227&amp;"_"&amp;J227</f>
        <v>7C5_2_4</v>
      </c>
      <c r="F227" t="n" s="3">
        <v>7</v>
      </c>
      <c r="G227" t="str" s="3">
        <v>采集物</v>
      </c>
      <c r="H227" t="n" s="3">
        <v>5</v>
      </c>
      <c r="I227" t="n" s="3">
        <v>2</v>
      </c>
      <c r="J227" t="n" s="3">
        <v>4</v>
      </c>
      <c r="K227" s="3"/>
      <c r="L227" s="3"/>
      <c r="M227" s="3"/>
      <c r="N227" s="3"/>
      <c r="O227" s="3"/>
      <c r="P227" s="3"/>
      <c r="Q227" s="3"/>
      <c r="R227" s="3"/>
      <c r="S227" s="17"/>
      <c r="T227" s="18"/>
      <c r="U227"/>
      <c r="V227"/>
      <c r="W227"/>
      <c r="X227"/>
      <c r="Y227"/>
      <c r="Z227"/>
      <c r="AA227"/>
    </row>
    <row r="228" ht="15" spans="1:20">
      <c r="A228" s="35"/>
      <c r="B228" t="n" s="17">
        <f>70000000+F228*10000+H228*1000+I228*100+J228</f>
        <v>70075205</v>
      </c>
      <c r="C228" t="str" s="38">
        <v>异霭浦-采集物10</v>
      </c>
      <c r="D228" s="3"/>
      <c r="E228" t="str" s="3">
        <f>F228&amp;(VLOOKUP(G228,编号表!$E$1:$G$8,2,0))&amp;H228&amp;"_"&amp;I228&amp;"_"&amp;J228</f>
        <v>7C5_2_5</v>
      </c>
      <c r="F228" t="n" s="3">
        <v>7</v>
      </c>
      <c r="G228" t="str" s="3">
        <v>采集物</v>
      </c>
      <c r="H228" t="n" s="3">
        <v>5</v>
      </c>
      <c r="I228" t="n" s="3">
        <v>2</v>
      </c>
      <c r="J228" t="n" s="3">
        <v>5</v>
      </c>
      <c r="K228" s="3"/>
      <c r="L228" s="3"/>
      <c r="M228" s="3"/>
      <c r="N228" s="3"/>
      <c r="O228" s="3"/>
      <c r="P228" s="3"/>
      <c r="Q228" s="3"/>
      <c r="R228" s="3"/>
      <c r="S228" s="17"/>
      <c r="T228" s="18"/>
      <c r="U228"/>
      <c r="V228"/>
      <c r="W228"/>
      <c r="X228"/>
      <c r="Y228"/>
      <c r="Z228"/>
      <c r="AA228"/>
    </row>
    <row r="229" ht="15" spans="1:20">
      <c r="A229" s="35"/>
      <c r="B229" t="n" s="17">
        <f>70000000+F229*10000+H229*1000+I229*100+J229</f>
        <v>70075206</v>
      </c>
      <c r="C229" t="str" s="38">
        <v>异霭浦-采集物11</v>
      </c>
      <c r="D229" s="3"/>
      <c r="E229" t="str" s="3">
        <f>F229&amp;(VLOOKUP(G229,编号表!$E$1:$G$8,2,0))&amp;H229&amp;"_"&amp;I229&amp;"_"&amp;J229</f>
        <v>7C5_2_6</v>
      </c>
      <c r="F229" t="n" s="3">
        <v>7</v>
      </c>
      <c r="G229" t="str" s="3">
        <v>采集物</v>
      </c>
      <c r="H229" t="n" s="3">
        <v>5</v>
      </c>
      <c r="I229" t="n" s="3">
        <v>2</v>
      </c>
      <c r="J229" t="n" s="3">
        <v>6</v>
      </c>
      <c r="K229" s="3"/>
      <c r="L229" s="3"/>
      <c r="M229" s="3"/>
      <c r="N229" s="3"/>
      <c r="O229" s="3"/>
      <c r="P229" s="3"/>
      <c r="Q229" s="3"/>
      <c r="R229" s="3"/>
      <c r="S229" s="17"/>
      <c r="T229" s="18"/>
      <c r="U229"/>
      <c r="V229"/>
      <c r="W229"/>
      <c r="X229"/>
      <c r="Y229"/>
      <c r="Z229"/>
      <c r="AA229"/>
    </row>
    <row r="230" ht="15" spans="1:20">
      <c r="A230" s="35"/>
      <c r="B230" t="n" s="17">
        <f>70000000+F230*10000+H230*1000+I230*100+J230</f>
        <v>70075207</v>
      </c>
      <c r="C230" t="str" s="38">
        <v>异霭浦-采集物12</v>
      </c>
      <c r="D230" s="3"/>
      <c r="E230" t="str" s="3">
        <f>F230&amp;(VLOOKUP(G230,编号表!$E$1:$G$8,2,0))&amp;H230&amp;"_"&amp;I230&amp;"_"&amp;J230</f>
        <v>7C5_2_7</v>
      </c>
      <c r="F230" t="n" s="3">
        <v>7</v>
      </c>
      <c r="G230" t="str" s="3">
        <v>采集物</v>
      </c>
      <c r="H230" t="n" s="3">
        <v>5</v>
      </c>
      <c r="I230" t="n" s="3">
        <v>2</v>
      </c>
      <c r="J230" t="n" s="3">
        <v>7</v>
      </c>
      <c r="K230" s="3"/>
      <c r="L230" s="3"/>
      <c r="M230" s="3"/>
      <c r="N230" s="3"/>
      <c r="O230" s="3"/>
      <c r="P230" s="3"/>
      <c r="Q230" s="3"/>
      <c r="R230" s="3"/>
      <c r="S230" s="17"/>
      <c r="T230" s="18"/>
      <c r="U230"/>
      <c r="V230"/>
      <c r="W230"/>
      <c r="X230"/>
      <c r="Y230"/>
      <c r="Z230"/>
      <c r="AA230"/>
    </row>
    <row r="231" ht="15" spans="1:20">
      <c r="A231" s="35"/>
      <c r="B231" t="n" s="17">
        <f>70000000+F231*10000+H231*1000+I231*100+J231</f>
        <v>70075001</v>
      </c>
      <c r="C231" t="str" s="39">
        <v>异霭浦-镜头</v>
      </c>
      <c r="D231" s="3"/>
      <c r="E231" t="str" s="3">
        <f>F231&amp;(VLOOKUP(G231,编号表!$E$1:$G$8,2,0))&amp;H231&amp;"_"&amp;I231&amp;"_"&amp;J231</f>
        <v>7J5_0_1</v>
      </c>
      <c r="F231" t="n" s="3">
        <v>7</v>
      </c>
      <c r="G231" t="str" s="3">
        <v>镜头</v>
      </c>
      <c r="H231" t="n" s="3">
        <v>5</v>
      </c>
      <c r="I231" t="n" s="3">
        <v>0</v>
      </c>
      <c r="J231" t="n" s="3">
        <v>1</v>
      </c>
      <c r="K231" t="n" s="3">
        <v>1</v>
      </c>
      <c r="L231" s="3"/>
      <c r="M231" s="3"/>
      <c r="N231" s="3"/>
      <c r="O231" s="3"/>
      <c r="P231" s="3"/>
      <c r="Q231" s="3"/>
      <c r="R231" s="3"/>
      <c r="S231" s="17"/>
      <c r="T231" s="18"/>
      <c r="U231"/>
      <c r="V231"/>
      <c r="W231"/>
      <c r="X231"/>
      <c r="Y231"/>
      <c r="Z231"/>
      <c r="AA231"/>
    </row>
    <row r="232" ht="15" spans="1:20">
      <c r="A232" s="35"/>
      <c r="B232" t="n" s="17">
        <f>70000000+F232*10000+H232*1000+I232*100+J232</f>
        <v>70071001</v>
      </c>
      <c r="C232" t="str" s="37">
        <v>异霭浦-传送</v>
      </c>
      <c r="D232" s="3"/>
      <c r="E232" t="str" s="3">
        <f>F232&amp;(VLOOKUP(G232,编号表!$E$1:$G$8,2,0))&amp;H232&amp;"_"&amp;I232&amp;"_"&amp;J232</f>
        <v>7T1_0_1</v>
      </c>
      <c r="F232" t="n" s="3">
        <v>7</v>
      </c>
      <c r="G232" t="str" s="3">
        <v>传送</v>
      </c>
      <c r="H232" t="n" s="3">
        <v>1</v>
      </c>
      <c r="I232" t="n" s="3">
        <v>0</v>
      </c>
      <c r="J232" t="n" s="3">
        <v>1</v>
      </c>
      <c r="K232" s="3"/>
      <c r="L232" t="n" s="3">
        <v>1</v>
      </c>
      <c r="M232" s="3"/>
      <c r="N232" s="3"/>
      <c r="O232" s="3"/>
      <c r="P232" s="3"/>
      <c r="Q232" s="3"/>
      <c r="R232" t="n" s="3">
        <v>70081001</v>
      </c>
      <c r="S232" s="17"/>
      <c r="T232" s="18"/>
      <c r="U232"/>
      <c r="V232"/>
      <c r="W232"/>
      <c r="X232"/>
      <c r="Y232"/>
      <c r="Z232"/>
      <c r="AA232"/>
    </row>
    <row r="233" ht="15" spans="1:20">
      <c r="A233" s="35"/>
      <c r="B233" t="n" s="17">
        <f>70000000+F233*10000+H233*1000+I233*100+J233</f>
        <v>70071002</v>
      </c>
      <c r="C233" t="str" s="37">
        <v>异霭浦-传送</v>
      </c>
      <c r="D233" s="3"/>
      <c r="E233" t="str" s="3">
        <f>F233&amp;(VLOOKUP(G233,编号表!$E$1:$G$8,2,0))&amp;H233&amp;"_"&amp;I233&amp;"_"&amp;J233</f>
        <v>7T1_0_2</v>
      </c>
      <c r="F233" t="n" s="3">
        <v>7</v>
      </c>
      <c r="G233" t="str" s="3">
        <v>传送</v>
      </c>
      <c r="H233" t="n" s="3">
        <v>1</v>
      </c>
      <c r="I233" t="n" s="3">
        <v>0</v>
      </c>
      <c r="J233" t="n" s="3">
        <v>2</v>
      </c>
      <c r="K233" s="3"/>
      <c r="L233" t="n" s="3">
        <v>1</v>
      </c>
      <c r="M233" s="3"/>
      <c r="N233" s="3"/>
      <c r="O233" s="3"/>
      <c r="P233" s="3"/>
      <c r="Q233" s="3"/>
      <c r="R233" t="n" s="3">
        <v>70061001</v>
      </c>
      <c r="S233" s="17"/>
      <c r="T233" s="18"/>
      <c r="U233"/>
      <c r="V233"/>
      <c r="W233"/>
      <c r="X233"/>
      <c r="Y233"/>
      <c r="Z233"/>
      <c r="AA233"/>
    </row>
    <row r="234" ht="15" spans="1:20">
      <c r="A234" s="35"/>
      <c r="B234" t="n" s="17">
        <f>70000000+F234*10000+H234*1000+I234*100+J234</f>
        <v>70072001</v>
      </c>
      <c r="C234" t="str" s="37">
        <v>异霭浦-小地图</v>
      </c>
      <c r="D234" s="3"/>
      <c r="E234" t="str" s="3">
        <f>F234&amp;(VLOOKUP(G234,编号表!$E$1:$G$8,2,0))&amp;H234&amp;"_"&amp;I234&amp;"_"&amp;J234</f>
        <v>7D2_0_1</v>
      </c>
      <c r="F234" t="n" s="3">
        <v>7</v>
      </c>
      <c r="G234" t="str" s="3">
        <v>小地图</v>
      </c>
      <c r="H234" t="n" s="3">
        <v>2</v>
      </c>
      <c r="I234" t="n" s="3">
        <v>0</v>
      </c>
      <c r="J234" t="n" s="3">
        <v>1</v>
      </c>
      <c r="K234" s="3"/>
      <c r="L234" s="3"/>
      <c r="M234" t="n" s="3">
        <v>1</v>
      </c>
      <c r="N234" s="3"/>
      <c r="O234" s="3"/>
      <c r="P234" s="3"/>
      <c r="Q234" s="3"/>
      <c r="R234" s="3"/>
      <c r="S234" s="17"/>
      <c r="T234" s="18"/>
      <c r="U234"/>
      <c r="V234"/>
      <c r="W234"/>
      <c r="X234"/>
      <c r="Y234"/>
      <c r="Z234"/>
      <c r="AA234"/>
    </row>
    <row r="235" ht="15" spans="1:20">
      <c r="A235" s="35"/>
      <c r="B235" t="n" s="17">
        <f>70000000+F235*10000+H235*1000+I235*100+J235</f>
        <v>70085101</v>
      </c>
      <c r="C235" t="str" s="38">
        <v>砾台-采集物1</v>
      </c>
      <c r="D235" s="3"/>
      <c r="E235" t="str" s="3">
        <f>F235&amp;(VLOOKUP(G235,编号表!$E$1:$G$8,2,0))&amp;H235&amp;"_"&amp;I235&amp;"_"&amp;J235</f>
        <v>8C5_1_1</v>
      </c>
      <c r="F235" t="n" s="3">
        <v>8</v>
      </c>
      <c r="G235" t="str" s="3">
        <v>采集物</v>
      </c>
      <c r="H235" t="n" s="3">
        <v>5</v>
      </c>
      <c r="I235" t="n" s="3">
        <v>1</v>
      </c>
      <c r="J235" t="n" s="3">
        <v>1</v>
      </c>
      <c r="K235" s="3"/>
      <c r="L235" s="3"/>
      <c r="M235" s="3"/>
      <c r="N235" s="3"/>
      <c r="O235" s="3"/>
      <c r="P235" s="3"/>
      <c r="Q235" s="3"/>
      <c r="R235" s="3"/>
      <c r="S235" s="17"/>
      <c r="T235" s="18"/>
      <c r="U235"/>
      <c r="V235"/>
      <c r="W235"/>
      <c r="X235"/>
      <c r="Y235"/>
      <c r="Z235"/>
      <c r="AA235"/>
    </row>
    <row r="236" ht="15" spans="1:20">
      <c r="A236" s="35"/>
      <c r="B236" t="n" s="17">
        <f>70000000+F236*10000+H236*1000+I236*100+J236</f>
        <v>70085102</v>
      </c>
      <c r="C236" t="str" s="38">
        <v>砾台-采集物2</v>
      </c>
      <c r="D236" s="3"/>
      <c r="E236" t="str" s="3">
        <f>F236&amp;(VLOOKUP(G236,编号表!$E$1:$G$8,2,0))&amp;H236&amp;"_"&amp;I236&amp;"_"&amp;J236</f>
        <v>8C5_1_2</v>
      </c>
      <c r="F236" t="n" s="3">
        <v>8</v>
      </c>
      <c r="G236" t="str" s="3">
        <v>采集物</v>
      </c>
      <c r="H236" t="n" s="3">
        <v>5</v>
      </c>
      <c r="I236" t="n" s="3">
        <v>1</v>
      </c>
      <c r="J236" t="n" s="3">
        <v>2</v>
      </c>
      <c r="K236" s="3"/>
      <c r="L236" s="3"/>
      <c r="M236" s="3"/>
      <c r="N236" s="3"/>
      <c r="O236" s="3"/>
      <c r="P236" s="3"/>
      <c r="Q236" s="3"/>
      <c r="R236" s="3"/>
      <c r="S236" s="17"/>
      <c r="T236" s="18"/>
      <c r="U236"/>
      <c r="V236"/>
      <c r="W236"/>
      <c r="X236"/>
      <c r="Y236"/>
      <c r="Z236"/>
      <c r="AA236"/>
    </row>
    <row r="237" ht="15" spans="1:20">
      <c r="A237" s="35"/>
      <c r="B237" t="n" s="17">
        <f>70000000+F237*10000+H237*1000+I237*100+J237</f>
        <v>70085103</v>
      </c>
      <c r="C237" t="str" s="38">
        <v>砾台-采集物3</v>
      </c>
      <c r="D237" s="3"/>
      <c r="E237" t="str" s="3">
        <f>F237&amp;(VLOOKUP(G237,编号表!$E$1:$G$8,2,0))&amp;H237&amp;"_"&amp;I237&amp;"_"&amp;J237</f>
        <v>8C5_1_3</v>
      </c>
      <c r="F237" t="n" s="3">
        <v>8</v>
      </c>
      <c r="G237" t="str" s="3">
        <v>采集物</v>
      </c>
      <c r="H237" t="n" s="3">
        <v>5</v>
      </c>
      <c r="I237" t="n" s="3">
        <v>1</v>
      </c>
      <c r="J237" t="n" s="3">
        <v>3</v>
      </c>
      <c r="K237" s="3"/>
      <c r="L237" s="3"/>
      <c r="M237" s="3"/>
      <c r="N237" s="3"/>
      <c r="O237" s="3"/>
      <c r="P237" s="3"/>
      <c r="Q237" s="3"/>
      <c r="R237" s="3"/>
      <c r="S237" s="17"/>
      <c r="T237" s="18"/>
      <c r="U237"/>
      <c r="V237"/>
      <c r="W237"/>
      <c r="X237"/>
      <c r="Y237"/>
      <c r="Z237"/>
      <c r="AA237"/>
    </row>
    <row r="238" ht="15" spans="1:20">
      <c r="A238" s="35"/>
      <c r="B238" t="n" s="17">
        <f>70000000+F238*10000+H238*1000+I238*100+J238</f>
        <v>70085104</v>
      </c>
      <c r="C238" t="str" s="38">
        <v>砾台-采集物4</v>
      </c>
      <c r="D238" s="3"/>
      <c r="E238" t="str" s="3">
        <f>F238&amp;(VLOOKUP(G238,编号表!$E$1:$G$8,2,0))&amp;H238&amp;"_"&amp;I238&amp;"_"&amp;J238</f>
        <v>8C5_1_4</v>
      </c>
      <c r="F238" t="n" s="3">
        <v>8</v>
      </c>
      <c r="G238" t="str" s="3">
        <v>采集物</v>
      </c>
      <c r="H238" t="n" s="3">
        <v>5</v>
      </c>
      <c r="I238" t="n" s="3">
        <v>1</v>
      </c>
      <c r="J238" t="n" s="3">
        <v>4</v>
      </c>
      <c r="K238" s="3"/>
      <c r="L238" s="3"/>
      <c r="M238" s="3"/>
      <c r="N238" s="3"/>
      <c r="O238" s="3"/>
      <c r="P238" s="3"/>
      <c r="Q238" s="3"/>
      <c r="R238" s="3"/>
      <c r="S238" s="17"/>
      <c r="T238" s="18"/>
      <c r="U238"/>
      <c r="V238"/>
      <c r="W238"/>
      <c r="X238"/>
      <c r="Y238"/>
      <c r="Z238"/>
      <c r="AA238"/>
    </row>
    <row r="239" ht="15" spans="1:20">
      <c r="A239" s="35"/>
      <c r="B239" t="n" s="17">
        <f>70000000+F239*10000+H239*1000+I239*100+J239</f>
        <v>70085105</v>
      </c>
      <c r="C239" t="str" s="38">
        <v>砾台-采集物5</v>
      </c>
      <c r="D239" s="3"/>
      <c r="E239" t="str" s="3">
        <f>F239&amp;(VLOOKUP(G239,编号表!$E$1:$G$8,2,0))&amp;H239&amp;"_"&amp;I239&amp;"_"&amp;J239</f>
        <v>8C5_1_5</v>
      </c>
      <c r="F239" t="n" s="3">
        <v>8</v>
      </c>
      <c r="G239" t="str" s="3">
        <v>采集物</v>
      </c>
      <c r="H239" t="n" s="3">
        <v>5</v>
      </c>
      <c r="I239" t="n" s="3">
        <v>1</v>
      </c>
      <c r="J239" t="n" s="3">
        <v>5</v>
      </c>
      <c r="K239" s="3"/>
      <c r="L239" s="3"/>
      <c r="M239" s="3"/>
      <c r="N239" s="3"/>
      <c r="O239" s="3"/>
      <c r="P239" s="3"/>
      <c r="Q239" s="3"/>
      <c r="R239" s="3"/>
      <c r="S239" s="17"/>
      <c r="T239" s="18"/>
      <c r="U239"/>
      <c r="V239"/>
      <c r="W239"/>
      <c r="X239"/>
      <c r="Y239"/>
      <c r="Z239"/>
      <c r="AA239"/>
    </row>
    <row r="240" ht="15" spans="1:20">
      <c r="A240" s="35"/>
      <c r="B240" t="n" s="17">
        <f>70000000+F240*10000+H240*1000+I240*100+J240</f>
        <v>70085201</v>
      </c>
      <c r="C240" t="str" s="38">
        <v>砾台-采集物6</v>
      </c>
      <c r="D240" s="3"/>
      <c r="E240" t="str" s="3">
        <f>F240&amp;(VLOOKUP(G240,编号表!$E$1:$G$8,2,0))&amp;H240&amp;"_"&amp;I240&amp;"_"&amp;J240</f>
        <v>8C5_2_1</v>
      </c>
      <c r="F240" t="n" s="3">
        <v>8</v>
      </c>
      <c r="G240" t="str" s="3">
        <v>采集物</v>
      </c>
      <c r="H240" t="n" s="3">
        <v>5</v>
      </c>
      <c r="I240" t="n" s="3">
        <v>2</v>
      </c>
      <c r="J240" t="n" s="3">
        <v>1</v>
      </c>
      <c r="K240" s="3"/>
      <c r="L240" s="3"/>
      <c r="M240" s="3"/>
      <c r="N240" s="3"/>
      <c r="O240" s="3"/>
      <c r="P240" s="3"/>
      <c r="Q240" s="3"/>
      <c r="R240" s="3"/>
      <c r="S240" s="17"/>
      <c r="T240" s="18"/>
      <c r="U240"/>
      <c r="V240"/>
      <c r="W240"/>
      <c r="X240"/>
      <c r="Y240"/>
      <c r="Z240"/>
      <c r="AA240"/>
    </row>
    <row r="241" ht="15" spans="1:20">
      <c r="A241" s="35"/>
      <c r="B241" t="n" s="17">
        <f>70000000+F241*10000+H241*1000+I241*100+J241</f>
        <v>70085202</v>
      </c>
      <c r="C241" t="str" s="38">
        <v>砾台-采集物7</v>
      </c>
      <c r="D241" s="3"/>
      <c r="E241" t="str" s="3">
        <f>F241&amp;(VLOOKUP(G241,编号表!$E$1:$G$8,2,0))&amp;H241&amp;"_"&amp;I241&amp;"_"&amp;J241</f>
        <v>8C5_2_2</v>
      </c>
      <c r="F241" t="n" s="3">
        <v>8</v>
      </c>
      <c r="G241" t="str" s="3">
        <v>采集物</v>
      </c>
      <c r="H241" t="n" s="3">
        <v>5</v>
      </c>
      <c r="I241" t="n" s="3">
        <v>2</v>
      </c>
      <c r="J241" t="n" s="3">
        <v>2</v>
      </c>
      <c r="K241" s="3"/>
      <c r="L241" s="3"/>
      <c r="M241" s="3"/>
      <c r="N241" s="3"/>
      <c r="O241" s="3"/>
      <c r="P241" s="3"/>
      <c r="Q241" s="3"/>
      <c r="R241" s="3"/>
      <c r="S241" s="17"/>
      <c r="T241" s="18"/>
      <c r="U241"/>
      <c r="V241"/>
      <c r="W241"/>
      <c r="X241"/>
      <c r="Y241"/>
      <c r="Z241"/>
      <c r="AA241"/>
    </row>
    <row r="242" ht="15" spans="1:20">
      <c r="A242" s="35"/>
      <c r="B242" t="n" s="17">
        <f>70000000+F242*10000+H242*1000+I242*100+J242</f>
        <v>70085203</v>
      </c>
      <c r="C242" t="str" s="38">
        <v>砾台-采集物8</v>
      </c>
      <c r="D242" s="3"/>
      <c r="E242" t="str" s="3">
        <f>F242&amp;(VLOOKUP(G242,编号表!$E$1:$G$8,2,0))&amp;H242&amp;"_"&amp;I242&amp;"_"&amp;J242</f>
        <v>8C5_2_3</v>
      </c>
      <c r="F242" t="n" s="3">
        <v>8</v>
      </c>
      <c r="G242" t="str" s="3">
        <v>采集物</v>
      </c>
      <c r="H242" t="n" s="3">
        <v>5</v>
      </c>
      <c r="I242" t="n" s="3">
        <v>2</v>
      </c>
      <c r="J242" t="n" s="3">
        <v>3</v>
      </c>
      <c r="K242" s="3"/>
      <c r="L242" s="3"/>
      <c r="M242" s="3"/>
      <c r="N242" s="3"/>
      <c r="O242" s="3"/>
      <c r="P242" s="3"/>
      <c r="Q242" s="3"/>
      <c r="R242" s="3"/>
      <c r="S242" s="17"/>
      <c r="T242" s="18"/>
      <c r="U242"/>
      <c r="V242"/>
      <c r="W242"/>
      <c r="X242"/>
      <c r="Y242"/>
      <c r="Z242"/>
      <c r="AA242"/>
    </row>
    <row r="243" ht="15" spans="1:20">
      <c r="A243" s="35"/>
      <c r="B243" t="n" s="17">
        <f>70000000+F243*10000+H243*1000+I243*100+J243</f>
        <v>70085204</v>
      </c>
      <c r="C243" t="str" s="38">
        <v>砾台-采集物9</v>
      </c>
      <c r="D243" s="3"/>
      <c r="E243" t="str" s="3">
        <f>F243&amp;(VLOOKUP(G243,编号表!$E$1:$G$8,2,0))&amp;H243&amp;"_"&amp;I243&amp;"_"&amp;J243</f>
        <v>8C5_2_4</v>
      </c>
      <c r="F243" t="n" s="3">
        <v>8</v>
      </c>
      <c r="G243" t="str" s="3">
        <v>采集物</v>
      </c>
      <c r="H243" t="n" s="3">
        <v>5</v>
      </c>
      <c r="I243" t="n" s="3">
        <v>2</v>
      </c>
      <c r="J243" t="n" s="3">
        <v>4</v>
      </c>
      <c r="K243" s="3"/>
      <c r="L243" s="3"/>
      <c r="M243" s="3"/>
      <c r="N243" s="3"/>
      <c r="O243" s="3"/>
      <c r="P243" s="3"/>
      <c r="Q243" s="3"/>
      <c r="R243" s="3"/>
      <c r="S243" s="17"/>
      <c r="T243" s="18"/>
      <c r="U243"/>
      <c r="V243"/>
      <c r="W243"/>
      <c r="X243"/>
      <c r="Y243"/>
      <c r="Z243"/>
      <c r="AA243"/>
    </row>
    <row r="244" ht="15" spans="1:20">
      <c r="A244" s="35"/>
      <c r="B244" t="n" s="17">
        <f>70000000+F244*10000+H244*1000+I244*100+J244</f>
        <v>70085205</v>
      </c>
      <c r="C244" t="str" s="38">
        <v>砾台-采集物10</v>
      </c>
      <c r="D244" s="3"/>
      <c r="E244" t="str" s="3">
        <f>F244&amp;(VLOOKUP(G244,编号表!$E$1:$G$8,2,0))&amp;H244&amp;"_"&amp;I244&amp;"_"&amp;J244</f>
        <v>8C5_2_5</v>
      </c>
      <c r="F244" t="n" s="3">
        <v>8</v>
      </c>
      <c r="G244" t="str" s="3">
        <v>采集物</v>
      </c>
      <c r="H244" t="n" s="3">
        <v>5</v>
      </c>
      <c r="I244" t="n" s="3">
        <v>2</v>
      </c>
      <c r="J244" t="n" s="3">
        <v>5</v>
      </c>
      <c r="K244" s="3"/>
      <c r="L244" s="3"/>
      <c r="M244" s="3"/>
      <c r="N244" s="3"/>
      <c r="O244" s="3"/>
      <c r="P244" s="3"/>
      <c r="Q244" s="3"/>
      <c r="R244" s="3"/>
      <c r="S244" s="17"/>
      <c r="T244" s="18"/>
      <c r="U244"/>
      <c r="V244"/>
      <c r="W244"/>
      <c r="X244"/>
      <c r="Y244"/>
      <c r="Z244"/>
      <c r="AA244"/>
    </row>
    <row r="245" ht="15" spans="1:20">
      <c r="A245" s="35"/>
      <c r="B245" t="n" s="17">
        <f>70000000+F245*10000+H245*1000+I245*100+J245</f>
        <v>70085206</v>
      </c>
      <c r="C245" t="str" s="38">
        <v>砾台-采集物11</v>
      </c>
      <c r="D245" s="3"/>
      <c r="E245" t="str" s="3">
        <f>F245&amp;(VLOOKUP(G245,编号表!$E$1:$G$8,2,0))&amp;H245&amp;"_"&amp;I245&amp;"_"&amp;J245</f>
        <v>8C5_2_6</v>
      </c>
      <c r="F245" t="n" s="3">
        <v>8</v>
      </c>
      <c r="G245" t="str" s="3">
        <v>采集物</v>
      </c>
      <c r="H245" t="n" s="3">
        <v>5</v>
      </c>
      <c r="I245" t="n" s="3">
        <v>2</v>
      </c>
      <c r="J245" t="n" s="3">
        <v>6</v>
      </c>
      <c r="K245" s="3"/>
      <c r="L245" s="3"/>
      <c r="M245" s="3"/>
      <c r="N245" s="3"/>
      <c r="O245" s="3"/>
      <c r="P245" s="3"/>
      <c r="Q245" s="3"/>
      <c r="R245" s="3"/>
      <c r="S245" s="17"/>
      <c r="T245" s="18"/>
      <c r="U245"/>
      <c r="V245"/>
      <c r="W245"/>
      <c r="X245"/>
      <c r="Y245"/>
      <c r="Z245"/>
      <c r="AA245"/>
    </row>
    <row r="246" ht="15" spans="1:20">
      <c r="A246" s="35"/>
      <c r="B246" t="n" s="17">
        <f>70000000+F246*10000+H246*1000+I246*100+J246</f>
        <v>70085001</v>
      </c>
      <c r="C246" t="str" s="39">
        <v>砾台-镜头</v>
      </c>
      <c r="D246" s="3"/>
      <c r="E246" t="str" s="3">
        <f>F246&amp;(VLOOKUP(G246,编号表!$E$1:$G$8,2,0))&amp;H246&amp;"_"&amp;I246&amp;"_"&amp;J246</f>
        <v>8J5_0_1</v>
      </c>
      <c r="F246" t="n" s="3">
        <v>8</v>
      </c>
      <c r="G246" t="str" s="3">
        <v>镜头</v>
      </c>
      <c r="H246" t="n" s="3">
        <v>5</v>
      </c>
      <c r="I246" t="n" s="3">
        <v>0</v>
      </c>
      <c r="J246" t="n" s="3">
        <v>1</v>
      </c>
      <c r="K246" t="n" s="3">
        <v>1</v>
      </c>
      <c r="L246" s="3"/>
      <c r="M246" s="3"/>
      <c r="N246" s="3"/>
      <c r="O246" s="3"/>
      <c r="P246" s="3"/>
      <c r="Q246" s="3"/>
      <c r="R246" s="3"/>
      <c r="S246" s="17"/>
      <c r="T246" s="18"/>
      <c r="U246"/>
      <c r="V246"/>
      <c r="W246"/>
      <c r="X246"/>
      <c r="Y246"/>
      <c r="Z246"/>
      <c r="AA246"/>
    </row>
    <row r="247" ht="15" spans="1:20">
      <c r="A247" s="35"/>
      <c r="B247" t="n" s="17">
        <f>70000000+F247*10000+H247*1000+I247*100+J247</f>
        <v>70081001</v>
      </c>
      <c r="C247" t="str" s="37">
        <v>砾台-传送</v>
      </c>
      <c r="D247" s="3"/>
      <c r="E247" t="str" s="3">
        <f>F247&amp;(VLOOKUP(G247,编号表!$E$1:$G$8,2,0))&amp;H247&amp;"_"&amp;I247&amp;"_"&amp;J247</f>
        <v>8T1_0_1</v>
      </c>
      <c r="F247" t="n" s="3">
        <v>8</v>
      </c>
      <c r="G247" t="str" s="3">
        <v>传送</v>
      </c>
      <c r="H247" t="n" s="3">
        <v>1</v>
      </c>
      <c r="I247" t="n" s="3">
        <v>0</v>
      </c>
      <c r="J247" t="n" s="3">
        <v>1</v>
      </c>
      <c r="K247" s="3"/>
      <c r="L247" t="n" s="3">
        <v>1</v>
      </c>
      <c r="M247" s="3"/>
      <c r="N247" s="3"/>
      <c r="O247" s="3"/>
      <c r="P247" s="3"/>
      <c r="Q247" s="3"/>
      <c r="R247" t="n" s="3">
        <v>70071001</v>
      </c>
      <c r="S247" s="17"/>
      <c r="T247" s="18"/>
      <c r="U247"/>
      <c r="V247"/>
      <c r="W247"/>
      <c r="X247"/>
      <c r="Y247"/>
      <c r="Z247"/>
      <c r="AA247"/>
    </row>
    <row r="248" ht="15" spans="1:20">
      <c r="A248" s="35"/>
      <c r="B248" t="n" s="17">
        <f>70000000+F248*10000+H248*1000+I248*100+J248</f>
        <v>70081002</v>
      </c>
      <c r="C248" t="str" s="37">
        <v>砾台-传送</v>
      </c>
      <c r="D248" s="3"/>
      <c r="E248" t="str" s="3">
        <f>F248&amp;(VLOOKUP(G248,编号表!$E$1:$G$8,2,0))&amp;H248&amp;"_"&amp;I248&amp;"_"&amp;J248</f>
        <v>8T1_0_2</v>
      </c>
      <c r="F248" t="n" s="3">
        <v>8</v>
      </c>
      <c r="G248" t="str" s="3">
        <v>传送</v>
      </c>
      <c r="H248" t="n" s="3">
        <v>1</v>
      </c>
      <c r="I248" t="n" s="3">
        <v>0</v>
      </c>
      <c r="J248" t="n" s="3">
        <v>2</v>
      </c>
      <c r="K248" s="3"/>
      <c r="L248" t="n" s="3">
        <v>1</v>
      </c>
      <c r="M248" s="3"/>
      <c r="N248" s="3"/>
      <c r="O248" s="3"/>
      <c r="P248" s="3"/>
      <c r="Q248" s="3"/>
      <c r="R248" t="n" s="3">
        <v>70091001</v>
      </c>
      <c r="S248" s="17"/>
      <c r="T248" s="18"/>
      <c r="U248"/>
      <c r="V248"/>
      <c r="W248"/>
      <c r="X248"/>
      <c r="Y248"/>
      <c r="Z248"/>
      <c r="AA248"/>
    </row>
    <row r="249" ht="15" spans="1:20">
      <c r="A249" s="35"/>
      <c r="B249" t="n" s="17">
        <f>70000000+F249*10000+H249*1000+I249*100+J249</f>
        <v>70082001</v>
      </c>
      <c r="C249" t="str" s="37">
        <v>砾台-小地图</v>
      </c>
      <c r="D249" s="3"/>
      <c r="E249" t="str" s="3">
        <f>F249&amp;(VLOOKUP(G249,编号表!$E$1:$G$8,2,0))&amp;H249&amp;"_"&amp;I249&amp;"_"&amp;J249</f>
        <v>8D2_0_1</v>
      </c>
      <c r="F249" t="n" s="3">
        <v>8</v>
      </c>
      <c r="G249" t="str" s="3">
        <v>小地图</v>
      </c>
      <c r="H249" t="n" s="3">
        <v>2</v>
      </c>
      <c r="I249" t="n" s="3">
        <v>0</v>
      </c>
      <c r="J249" t="n" s="3">
        <v>1</v>
      </c>
      <c r="K249" s="3"/>
      <c r="L249" s="3"/>
      <c r="M249" t="n" s="3">
        <v>1</v>
      </c>
      <c r="N249" s="3"/>
      <c r="O249" s="3"/>
      <c r="P249" s="3"/>
      <c r="Q249" s="3"/>
      <c r="R249" s="3"/>
      <c r="S249" s="17"/>
      <c r="T249" s="18"/>
      <c r="U249"/>
      <c r="V249"/>
      <c r="W249"/>
      <c r="X249"/>
      <c r="Y249"/>
      <c r="Z249"/>
      <c r="AA249"/>
    </row>
    <row r="250" ht="15" spans="1:20">
      <c r="A250" s="35"/>
      <c r="B250" t="n" s="17">
        <f>70000000+F250*10000+H250*1000+I250*100+J250</f>
        <v>70095101</v>
      </c>
      <c r="C250" t="str" s="38">
        <v>垂练岩·覆而偶开-怪物1</v>
      </c>
      <c r="D250" s="3"/>
      <c r="E250" t="str" s="3">
        <f>F250&amp;(VLOOKUP(G250,编号表!$E$1:$G$8,2,0))&amp;H250&amp;"_"&amp;I250&amp;"_"&amp;J250</f>
        <v>9N5_1_1</v>
      </c>
      <c r="F250" t="n" s="3">
        <v>9</v>
      </c>
      <c r="G250" t="str" s="3">
        <v>怪物</v>
      </c>
      <c r="H250" t="n" s="3">
        <v>5</v>
      </c>
      <c r="I250" t="n" s="3">
        <v>1</v>
      </c>
      <c r="J250" t="n" s="3">
        <v>1</v>
      </c>
      <c r="K250" s="3"/>
      <c r="L250" s="3"/>
      <c r="M250" s="3"/>
      <c r="N250" s="3"/>
      <c r="O250" s="3"/>
      <c r="P250" s="3"/>
      <c r="Q250" s="3"/>
      <c r="R250" s="3"/>
      <c r="S250" t="str" s="17">
        <v>本轮完整刷新挂接；有效坐标注入后验证</v>
      </c>
      <c r="T250" t="n" s="18">
        <v>1009303</v>
      </c>
      <c r="U250"/>
      <c r="V250"/>
      <c r="W250"/>
      <c r="X250"/>
      <c r="Y250"/>
      <c r="Z250"/>
      <c r="AA250"/>
    </row>
    <row r="251" ht="15" spans="1:20">
      <c r="A251" s="35"/>
      <c r="B251" t="n" s="17">
        <f>70000000+F251*10000+H251*1000+I251*100+J251</f>
        <v>70095102</v>
      </c>
      <c r="C251" t="str" s="38">
        <v>垂练岩·覆而偶开-怪物2</v>
      </c>
      <c r="D251" s="3"/>
      <c r="E251" t="str" s="3">
        <f>F251&amp;(VLOOKUP(G251,编号表!$E$1:$G$8,2,0))&amp;H251&amp;"_"&amp;I251&amp;"_"&amp;J251</f>
        <v>9N5_1_2</v>
      </c>
      <c r="F251" t="n" s="3">
        <v>9</v>
      </c>
      <c r="G251" t="str" s="3">
        <v>怪物</v>
      </c>
      <c r="H251" t="n" s="3">
        <v>5</v>
      </c>
      <c r="I251" t="n" s="3">
        <v>1</v>
      </c>
      <c r="J251" t="n" s="3">
        <v>2</v>
      </c>
      <c r="K251" s="3"/>
      <c r="L251" s="3"/>
      <c r="M251" s="3"/>
      <c r="N251" s="3"/>
      <c r="O251" s="3"/>
      <c r="P251" s="3"/>
      <c r="Q251" s="3"/>
      <c r="R251" s="3"/>
      <c r="S251" t="str" s="17">
        <v>本轮完整刷新挂接；有效坐标注入后验证</v>
      </c>
      <c r="T251" t="n" s="18">
        <v>1009403</v>
      </c>
      <c r="U251"/>
      <c r="V251"/>
      <c r="W251"/>
      <c r="X251"/>
      <c r="Y251"/>
      <c r="Z251"/>
      <c r="AA251"/>
    </row>
    <row r="252" ht="15" spans="1:20">
      <c r="A252" s="35"/>
      <c r="B252" t="n" s="17">
        <f>70000000+F252*10000+H252*1000+I252*100+J252</f>
        <v>70095103</v>
      </c>
      <c r="C252" t="str" s="38">
        <v>垂练岩·覆而偶开-怪物3</v>
      </c>
      <c r="D252" s="3"/>
      <c r="E252" t="str" s="3">
        <f>F252&amp;(VLOOKUP(G252,编号表!$E$1:$G$8,2,0))&amp;H252&amp;"_"&amp;I252&amp;"_"&amp;J252</f>
        <v>9N5_1_3</v>
      </c>
      <c r="F252" t="n" s="3">
        <v>9</v>
      </c>
      <c r="G252" t="str" s="3">
        <v>怪物</v>
      </c>
      <c r="H252" t="n" s="3">
        <v>5</v>
      </c>
      <c r="I252" t="n" s="3">
        <v>1</v>
      </c>
      <c r="J252" t="n" s="3">
        <v>3</v>
      </c>
      <c r="K252" s="3"/>
      <c r="L252" s="3"/>
      <c r="M252" s="3"/>
      <c r="N252" s="3"/>
      <c r="O252" s="3"/>
      <c r="P252" s="3"/>
      <c r="Q252" s="3"/>
      <c r="R252" s="3"/>
      <c r="S252" t="str" s="17">
        <v>本轮完整刷新挂接；有效坐标注入后验证</v>
      </c>
      <c r="T252" t="n" s="18">
        <v>1009503</v>
      </c>
      <c r="U252"/>
      <c r="V252"/>
      <c r="W252"/>
      <c r="X252"/>
      <c r="Y252"/>
      <c r="Z252"/>
      <c r="AA252"/>
    </row>
    <row r="253" ht="15" spans="1:20">
      <c r="A253" s="35"/>
      <c r="B253" t="n" s="17">
        <f>70000000+F253*10000+H253*1000+I253*100+J253</f>
        <v>70095104</v>
      </c>
      <c r="C253" t="str" s="38">
        <v>垂练岩·覆而偶开-怪物4</v>
      </c>
      <c r="D253" s="3"/>
      <c r="E253" t="str" s="3">
        <f>F253&amp;(VLOOKUP(G253,编号表!$E$1:$G$8,2,0))&amp;H253&amp;"_"&amp;I253&amp;"_"&amp;J253</f>
        <v>9N5_1_4</v>
      </c>
      <c r="F253" t="n" s="3">
        <v>9</v>
      </c>
      <c r="G253" t="str" s="3">
        <v>怪物</v>
      </c>
      <c r="H253" t="n" s="3">
        <v>5</v>
      </c>
      <c r="I253" t="n" s="3">
        <v>1</v>
      </c>
      <c r="J253" t="n" s="3">
        <v>4</v>
      </c>
      <c r="K253" s="3"/>
      <c r="L253" s="3"/>
      <c r="M253" s="3"/>
      <c r="N253" s="3"/>
      <c r="O253" s="3"/>
      <c r="P253" s="3"/>
      <c r="Q253" s="3"/>
      <c r="R253" s="3"/>
      <c r="S253" t="str" s="17">
        <v>本轮完整刷新挂接；有效坐标注入后验证</v>
      </c>
      <c r="T253" t="n" s="18">
        <v>1009103</v>
      </c>
      <c r="U253"/>
      <c r="V253"/>
      <c r="W253"/>
      <c r="X253"/>
      <c r="Y253"/>
      <c r="Z253"/>
      <c r="AA253"/>
    </row>
    <row r="254" ht="15" spans="1:20">
      <c r="A254" s="35"/>
      <c r="B254" t="n" s="17">
        <f>70000000+F254*10000+H254*1000+I254*100+J254</f>
        <v>70095201</v>
      </c>
      <c r="C254" t="str" s="38">
        <v>垂练岩·覆而偶开-怪物5</v>
      </c>
      <c r="D254" s="3"/>
      <c r="E254" t="str" s="3">
        <f>F254&amp;(VLOOKUP(G254,编号表!$E$1:$G$8,2,0))&amp;H254&amp;"_"&amp;I254&amp;"_"&amp;J254</f>
        <v>9N5_2_1</v>
      </c>
      <c r="F254" t="n" s="3">
        <v>9</v>
      </c>
      <c r="G254" t="str" s="3">
        <v>怪物</v>
      </c>
      <c r="H254" t="n" s="3">
        <v>5</v>
      </c>
      <c r="I254" t="n" s="3">
        <v>2</v>
      </c>
      <c r="J254" t="n" s="3">
        <v>1</v>
      </c>
      <c r="K254" s="3"/>
      <c r="L254" s="3"/>
      <c r="M254" s="3"/>
      <c r="N254" s="3"/>
      <c r="O254" s="3"/>
      <c r="P254" s="3"/>
      <c r="Q254" s="3"/>
      <c r="R254" s="3"/>
      <c r="S254" t="str" s="17">
        <v>本轮完整刷新挂接；有效坐标注入后验证</v>
      </c>
      <c r="T254" t="n" s="18">
        <v>1009001</v>
      </c>
      <c r="U254"/>
      <c r="V254"/>
      <c r="W254"/>
      <c r="X254"/>
      <c r="Y254"/>
      <c r="Z254"/>
      <c r="AA254"/>
    </row>
    <row r="255" ht="15" spans="1:20">
      <c r="A255" s="35"/>
      <c r="B255" t="n" s="17">
        <f>70000000+F255*10000+H255*1000+I255*100+J255</f>
        <v>70095202</v>
      </c>
      <c r="C255" t="str" s="38">
        <v>垂练岩·覆而偶开-怪物6</v>
      </c>
      <c r="D255" s="3"/>
      <c r="E255" t="str" s="3">
        <f>F255&amp;(VLOOKUP(G255,编号表!$E$1:$G$8,2,0))&amp;H255&amp;"_"&amp;I255&amp;"_"&amp;J255</f>
        <v>9N5_2_2</v>
      </c>
      <c r="F255" t="n" s="3">
        <v>9</v>
      </c>
      <c r="G255" t="str" s="3">
        <v>怪物</v>
      </c>
      <c r="H255" t="n" s="3">
        <v>5</v>
      </c>
      <c r="I255" t="n" s="3">
        <v>2</v>
      </c>
      <c r="J255" t="n" s="3">
        <v>2</v>
      </c>
      <c r="K255" s="3"/>
      <c r="L255" s="3"/>
      <c r="M255" s="3"/>
      <c r="N255" s="3"/>
      <c r="O255" s="3"/>
      <c r="P255" s="3"/>
      <c r="Q255" s="3"/>
      <c r="R255" s="3"/>
      <c r="S255" s="17"/>
      <c r="T255" s="18"/>
      <c r="U255"/>
      <c r="V255"/>
      <c r="W255"/>
      <c r="X255"/>
      <c r="Y255"/>
      <c r="Z255"/>
      <c r="AA255"/>
    </row>
    <row r="256" ht="15" spans="1:20">
      <c r="A256" s="35"/>
      <c r="B256" t="n" s="17">
        <f>70000000+F256*10000+H256*1000+I256*100+J256</f>
        <v>70095203</v>
      </c>
      <c r="C256" t="str" s="38">
        <v>垂练岩·覆而偶开-怪物7</v>
      </c>
      <c r="D256" s="3"/>
      <c r="E256" t="str" s="3">
        <f>F256&amp;(VLOOKUP(G256,编号表!$E$1:$G$8,2,0))&amp;H256&amp;"_"&amp;I256&amp;"_"&amp;J256</f>
        <v>9N5_2_3</v>
      </c>
      <c r="F256" t="n" s="3">
        <v>9</v>
      </c>
      <c r="G256" t="str" s="3">
        <v>怪物</v>
      </c>
      <c r="H256" t="n" s="3">
        <v>5</v>
      </c>
      <c r="I256" t="n" s="3">
        <v>2</v>
      </c>
      <c r="J256" t="n" s="3">
        <v>3</v>
      </c>
      <c r="K256" s="3"/>
      <c r="L256" s="3"/>
      <c r="M256" s="3"/>
      <c r="N256" s="3"/>
      <c r="O256" s="3"/>
      <c r="P256" s="3"/>
      <c r="Q256" s="3"/>
      <c r="R256" s="3"/>
      <c r="S256" t="str" s="17">
        <v>精英</v>
      </c>
      <c r="T256" s="18"/>
      <c r="U256"/>
      <c r="V256"/>
      <c r="W256"/>
      <c r="X256"/>
      <c r="Y256"/>
      <c r="Z256"/>
      <c r="AA256"/>
    </row>
    <row r="257" ht="15" spans="1:20">
      <c r="A257" s="35"/>
      <c r="B257" t="n" s="17">
        <f>70000000+F257*10000+H257*1000+I257*100+J257</f>
        <v>70095204</v>
      </c>
      <c r="C257" t="str" s="38">
        <v>垂练岩·覆而偶开-怪物8</v>
      </c>
      <c r="D257" s="3"/>
      <c r="E257" t="str" s="3">
        <f>F257&amp;(VLOOKUP(G257,编号表!$E$1:$G$8,2,0))&amp;H257&amp;"_"&amp;I257&amp;"_"&amp;J257</f>
        <v>9N5_2_4</v>
      </c>
      <c r="F257" t="n" s="3">
        <v>9</v>
      </c>
      <c r="G257" t="str" s="3">
        <v>怪物</v>
      </c>
      <c r="H257" t="n" s="3">
        <v>5</v>
      </c>
      <c r="I257" t="n" s="3">
        <v>2</v>
      </c>
      <c r="J257" t="n" s="3">
        <v>4</v>
      </c>
      <c r="K257" s="3"/>
      <c r="L257" s="3"/>
      <c r="M257" s="3"/>
      <c r="N257" s="3"/>
      <c r="O257" s="3"/>
      <c r="P257" s="3"/>
      <c r="Q257" s="3"/>
      <c r="R257" s="3"/>
      <c r="S257" t="str" s="17">
        <v>boss</v>
      </c>
      <c r="T257" s="18"/>
      <c r="U257"/>
      <c r="V257"/>
      <c r="W257"/>
      <c r="X257"/>
      <c r="Y257"/>
      <c r="Z257"/>
      <c r="AA257"/>
    </row>
    <row r="258" ht="15" spans="1:20">
      <c r="A258" s="35"/>
      <c r="B258" t="n" s="17">
        <f>70000000+F258*10000+H258*1000+I258*100+J258</f>
        <v>70095301</v>
      </c>
      <c r="C258" t="str" s="38">
        <v>垂练岩·覆而偶开-怪物9</v>
      </c>
      <c r="D258" s="3"/>
      <c r="E258" t="str" s="3">
        <f>F258&amp;(VLOOKUP(G258,编号表!$E$1:$G$8,2,0))&amp;H258&amp;"_"&amp;I258&amp;"_"&amp;J258</f>
        <v>9N5_3_1</v>
      </c>
      <c r="F258" t="n" s="3">
        <v>9</v>
      </c>
      <c r="G258" t="str" s="3">
        <v>怪物</v>
      </c>
      <c r="H258" t="n" s="3">
        <v>5</v>
      </c>
      <c r="I258" t="n" s="3">
        <v>3</v>
      </c>
      <c r="J258" t="n" s="3">
        <v>1</v>
      </c>
      <c r="K258" s="3"/>
      <c r="L258" s="3"/>
      <c r="M258" s="3"/>
      <c r="N258" s="3"/>
      <c r="O258" s="3"/>
      <c r="P258" s="3"/>
      <c r="Q258" s="3"/>
      <c r="R258" s="3"/>
      <c r="S258" s="17"/>
      <c r="T258" s="18"/>
      <c r="U258"/>
      <c r="V258"/>
      <c r="W258"/>
      <c r="X258"/>
      <c r="Y258"/>
      <c r="Z258"/>
      <c r="AA258"/>
    </row>
    <row r="259" ht="15" spans="1:20">
      <c r="A259" s="35"/>
      <c r="B259" t="n" s="17">
        <f>70000000+F259*10000+H259*1000+I259*100+J259</f>
        <v>70095302</v>
      </c>
      <c r="C259" t="str" s="38">
        <v>垂练岩·覆而偶开-怪物10</v>
      </c>
      <c r="D259" s="3"/>
      <c r="E259" t="str" s="3">
        <f>F259&amp;(VLOOKUP(G259,编号表!$E$1:$G$8,2,0))&amp;H259&amp;"_"&amp;I259&amp;"_"&amp;J259</f>
        <v>9N5_3_2</v>
      </c>
      <c r="F259" t="n" s="3">
        <v>9</v>
      </c>
      <c r="G259" t="str" s="3">
        <v>怪物</v>
      </c>
      <c r="H259" t="n" s="3">
        <v>5</v>
      </c>
      <c r="I259" t="n" s="3">
        <v>3</v>
      </c>
      <c r="J259" t="n" s="3">
        <v>2</v>
      </c>
      <c r="K259" s="3"/>
      <c r="L259" s="3"/>
      <c r="M259" s="3"/>
      <c r="N259" s="3"/>
      <c r="O259" s="3"/>
      <c r="P259" s="3"/>
      <c r="Q259" s="3"/>
      <c r="R259" s="3"/>
      <c r="S259" s="17"/>
      <c r="T259" s="18"/>
      <c r="U259"/>
      <c r="V259"/>
      <c r="W259"/>
      <c r="X259"/>
      <c r="Y259"/>
      <c r="Z259"/>
      <c r="AA259"/>
    </row>
    <row r="260" ht="15" spans="1:20">
      <c r="A260" s="35"/>
      <c r="B260" t="n" s="17">
        <f>70000000+F260*10000+H260*1000+I260*100+J260</f>
        <v>70095303</v>
      </c>
      <c r="C260" t="str" s="38">
        <v>垂练岩·覆而偶开-怪物11</v>
      </c>
      <c r="D260" s="3"/>
      <c r="E260" t="str" s="3">
        <f>F260&amp;(VLOOKUP(G260,编号表!$E$1:$G$8,2,0))&amp;H260&amp;"_"&amp;I260&amp;"_"&amp;J260</f>
        <v>9N5_3_3</v>
      </c>
      <c r="F260" t="n" s="3">
        <v>9</v>
      </c>
      <c r="G260" t="str" s="3">
        <v>怪物</v>
      </c>
      <c r="H260" t="n" s="3">
        <v>5</v>
      </c>
      <c r="I260" t="n" s="3">
        <v>3</v>
      </c>
      <c r="J260" t="n" s="3">
        <v>3</v>
      </c>
      <c r="K260" s="3"/>
      <c r="L260" s="3"/>
      <c r="M260" s="3"/>
      <c r="N260" s="3"/>
      <c r="O260" s="3"/>
      <c r="P260" s="3"/>
      <c r="Q260" s="3"/>
      <c r="R260" s="3"/>
      <c r="S260" s="17"/>
      <c r="T260" s="18"/>
      <c r="U260"/>
      <c r="V260"/>
      <c r="W260"/>
      <c r="X260"/>
      <c r="Y260"/>
      <c r="Z260"/>
      <c r="AA260"/>
    </row>
    <row r="261" ht="15" spans="1:20">
      <c r="A261" s="35"/>
      <c r="B261" t="n" s="17">
        <f>70000000+F261*10000+H261*1000+I261*100+J261</f>
        <v>70095304</v>
      </c>
      <c r="C261" t="str" s="38">
        <v>垂练岩·覆而偶开-怪物12</v>
      </c>
      <c r="D261" s="3"/>
      <c r="E261" t="str" s="3">
        <f>F261&amp;(VLOOKUP(G261,编号表!$E$1:$G$8,2,0))&amp;H261&amp;"_"&amp;I261&amp;"_"&amp;J261</f>
        <v>9N5_3_4</v>
      </c>
      <c r="F261" t="n" s="3">
        <v>9</v>
      </c>
      <c r="G261" t="str" s="3">
        <v>怪物</v>
      </c>
      <c r="H261" t="n" s="3">
        <v>5</v>
      </c>
      <c r="I261" t="n" s="3">
        <v>3</v>
      </c>
      <c r="J261" t="n" s="3">
        <v>4</v>
      </c>
      <c r="K261" s="3"/>
      <c r="L261" s="3"/>
      <c r="M261" s="3"/>
      <c r="N261" s="3"/>
      <c r="O261" s="3"/>
      <c r="P261" s="3"/>
      <c r="Q261" s="3"/>
      <c r="R261" s="3"/>
      <c r="S261" t="str" s="17">
        <v>精英</v>
      </c>
      <c r="T261" s="18"/>
      <c r="U261"/>
      <c r="V261"/>
      <c r="W261"/>
      <c r="X261"/>
      <c r="Y261"/>
      <c r="Z261"/>
      <c r="AA261"/>
    </row>
    <row r="262" ht="15" spans="1:20">
      <c r="A262" s="35"/>
      <c r="B262" t="n" s="17">
        <f>70000000+F262*10000+H262*1000+I262*100+J262</f>
        <v>70095001</v>
      </c>
      <c r="C262" t="str" s="39">
        <v>垂练岩·覆而偶开-镜头</v>
      </c>
      <c r="D262" s="3"/>
      <c r="E262" t="str" s="3">
        <f>F262&amp;(VLOOKUP(G262,编号表!$E$1:$G$8,2,0))&amp;H262&amp;"_"&amp;I262&amp;"_"&amp;J262</f>
        <v>9J5_0_1</v>
      </c>
      <c r="F262" t="n" s="3">
        <v>9</v>
      </c>
      <c r="G262" t="str" s="3">
        <v>镜头</v>
      </c>
      <c r="H262" t="n" s="3">
        <v>5</v>
      </c>
      <c r="I262" t="n" s="3">
        <v>0</v>
      </c>
      <c r="J262" t="n" s="3">
        <v>1</v>
      </c>
      <c r="K262" t="n" s="3">
        <v>1</v>
      </c>
      <c r="L262" s="3"/>
      <c r="M262" s="3"/>
      <c r="N262" s="3"/>
      <c r="O262" s="3"/>
      <c r="P262" s="3"/>
      <c r="Q262" s="3"/>
      <c r="R262" s="3"/>
      <c r="S262" s="17"/>
      <c r="T262" s="18"/>
      <c r="U262"/>
      <c r="V262"/>
      <c r="W262"/>
      <c r="X262"/>
      <c r="Y262"/>
      <c r="Z262"/>
      <c r="AA262"/>
    </row>
    <row r="263" ht="15" spans="1:20">
      <c r="A263" s="35"/>
      <c r="B263" t="n" s="17">
        <f>70000000+F263*10000+H263*1000+I263*100+J263</f>
        <v>70091001</v>
      </c>
      <c r="C263" t="str" s="37">
        <v>垂练岩·覆而偶开-传送</v>
      </c>
      <c r="D263" s="3"/>
      <c r="E263" t="str" s="3">
        <f>F263&amp;(VLOOKUP(G263,编号表!$E$1:$G$8,2,0))&amp;H263&amp;"_"&amp;I263&amp;"_"&amp;J263</f>
        <v>9T1_0_1</v>
      </c>
      <c r="F263" t="n" s="3">
        <v>9</v>
      </c>
      <c r="G263" t="str" s="3">
        <v>传送</v>
      </c>
      <c r="H263" t="n" s="3">
        <v>1</v>
      </c>
      <c r="I263" t="n" s="3">
        <v>0</v>
      </c>
      <c r="J263" t="n" s="3">
        <v>1</v>
      </c>
      <c r="K263" s="3"/>
      <c r="L263" t="n" s="3">
        <v>1</v>
      </c>
      <c r="M263" s="3"/>
      <c r="N263" s="3"/>
      <c r="O263" s="3"/>
      <c r="P263" s="3"/>
      <c r="Q263" s="3"/>
      <c r="R263" t="n" s="3">
        <v>70081002</v>
      </c>
      <c r="S263" s="17"/>
      <c r="T263" s="18"/>
      <c r="U263"/>
      <c r="V263"/>
      <c r="W263"/>
      <c r="X263"/>
      <c r="Y263"/>
      <c r="Z263"/>
      <c r="AA263"/>
    </row>
    <row r="264" ht="15" spans="1:20">
      <c r="A264" s="35"/>
      <c r="B264" t="n" s="17">
        <f>70000000+F264*10000+H264*1000+I264*100+J264</f>
        <v>70091002</v>
      </c>
      <c r="C264" t="str" s="37">
        <v>垂练岩·覆而偶开-传送</v>
      </c>
      <c r="D264" s="3"/>
      <c r="E264" t="str" s="3">
        <f>F264&amp;(VLOOKUP(G264,编号表!$E$1:$G$8,2,0))&amp;H264&amp;"_"&amp;I264&amp;"_"&amp;J264</f>
        <v>9T1_0_2</v>
      </c>
      <c r="F264" t="n" s="3">
        <v>9</v>
      </c>
      <c r="G264" t="str" s="3">
        <v>传送</v>
      </c>
      <c r="H264" t="n" s="3">
        <v>1</v>
      </c>
      <c r="I264" t="n" s="3">
        <v>0</v>
      </c>
      <c r="J264" t="n" s="3">
        <v>2</v>
      </c>
      <c r="K264" s="3"/>
      <c r="L264" t="n" s="3">
        <v>1</v>
      </c>
      <c r="M264" s="3"/>
      <c r="N264" s="3"/>
      <c r="O264" s="3"/>
      <c r="P264" s="3"/>
      <c r="Q264" s="3"/>
      <c r="R264" t="n" s="3">
        <v>70101001</v>
      </c>
      <c r="S264" s="17"/>
      <c r="T264" s="18"/>
      <c r="U264"/>
      <c r="V264"/>
      <c r="W264"/>
      <c r="X264"/>
      <c r="Y264"/>
      <c r="Z264"/>
      <c r="AA264"/>
    </row>
    <row r="265" ht="15" spans="1:20">
      <c r="A265" s="35"/>
      <c r="B265" t="n" s="17">
        <f>70000000+F265*10000+H265*1000+I265*100+J265</f>
        <v>70092001</v>
      </c>
      <c r="C265" t="str" s="37">
        <v>垂练岩·覆而偶开-小地图</v>
      </c>
      <c r="D265" s="3"/>
      <c r="E265" t="str" s="3">
        <f>F265&amp;(VLOOKUP(G265,编号表!$E$1:$G$8,2,0))&amp;H265&amp;"_"&amp;I265&amp;"_"&amp;J265</f>
        <v>9D2_0_1</v>
      </c>
      <c r="F265" t="n" s="3">
        <v>9</v>
      </c>
      <c r="G265" t="str" s="3">
        <v>小地图</v>
      </c>
      <c r="H265" t="n" s="3">
        <v>2</v>
      </c>
      <c r="I265" t="n" s="3">
        <v>0</v>
      </c>
      <c r="J265" t="n" s="3">
        <v>1</v>
      </c>
      <c r="K265" s="3"/>
      <c r="L265" s="3"/>
      <c r="M265" t="n" s="3">
        <v>1</v>
      </c>
      <c r="N265" s="3"/>
      <c r="O265" s="3"/>
      <c r="P265" s="3"/>
      <c r="Q265" s="3"/>
      <c r="R265" s="3"/>
      <c r="S265" s="17"/>
      <c r="T265" s="18"/>
      <c r="U265"/>
      <c r="V265"/>
      <c r="W265"/>
      <c r="X265"/>
      <c r="Y265"/>
      <c r="Z265"/>
      <c r="AA265"/>
    </row>
    <row r="266" ht="15" spans="1:20">
      <c r="A266" s="35"/>
      <c r="B266" t="n" s="17">
        <f>70000000+F266*10000+H266*1000+I266*100+J266</f>
        <v>70105101</v>
      </c>
      <c r="C266" t="str" s="38">
        <v>水镜滩·水退方见-怪物1</v>
      </c>
      <c r="D266" s="3"/>
      <c r="E266" t="str" s="3">
        <f>F266&amp;(VLOOKUP(G266,编号表!$E$1:$G$8,2,0))&amp;H266&amp;"_"&amp;I266&amp;"_"&amp;J266</f>
        <v>10N5_1_1</v>
      </c>
      <c r="F266" t="n" s="3">
        <v>10</v>
      </c>
      <c r="G266" t="str" s="3">
        <v>怪物</v>
      </c>
      <c r="H266" t="n" s="3">
        <v>5</v>
      </c>
      <c r="I266" t="n" s="3">
        <v>1</v>
      </c>
      <c r="J266" t="n" s="3">
        <v>1</v>
      </c>
      <c r="K266" s="3"/>
      <c r="L266" s="3"/>
      <c r="M266" s="3"/>
      <c r="N266" s="3"/>
      <c r="O266" s="3"/>
      <c r="P266" s="3"/>
      <c r="Q266" s="3"/>
      <c r="R266" s="3"/>
      <c r="S266" t="str" s="17">
        <v>本轮完整刷新挂接；有效坐标注入后验证</v>
      </c>
      <c r="T266" t="n" s="18">
        <v>1010303</v>
      </c>
      <c r="U266"/>
      <c r="V266"/>
      <c r="W266"/>
      <c r="X266"/>
      <c r="Y266"/>
      <c r="Z266"/>
      <c r="AA266"/>
    </row>
    <row r="267" ht="15" spans="1:20">
      <c r="A267" s="35"/>
      <c r="B267" t="n" s="17">
        <f>70000000+F267*10000+H267*1000+I267*100+J267</f>
        <v>70105102</v>
      </c>
      <c r="C267" t="str" s="38">
        <v>水镜滩·水退方见-怪物2</v>
      </c>
      <c r="D267" s="3"/>
      <c r="E267" t="str" s="3">
        <f>F267&amp;(VLOOKUP(G267,编号表!$E$1:$G$8,2,0))&amp;H267&amp;"_"&amp;I267&amp;"_"&amp;J267</f>
        <v>10N5_1_2</v>
      </c>
      <c r="F267" t="n" s="3">
        <v>10</v>
      </c>
      <c r="G267" t="str" s="3">
        <v>怪物</v>
      </c>
      <c r="H267" t="n" s="3">
        <v>5</v>
      </c>
      <c r="I267" t="n" s="3">
        <v>1</v>
      </c>
      <c r="J267" t="n" s="3">
        <v>2</v>
      </c>
      <c r="K267" s="3"/>
      <c r="L267" s="3"/>
      <c r="M267" s="3"/>
      <c r="N267" s="3"/>
      <c r="O267" s="3"/>
      <c r="P267" s="3"/>
      <c r="Q267" s="3"/>
      <c r="R267" s="3"/>
      <c r="S267" t="str" s="17">
        <v>本轮完整刷新挂接；有效坐标注入后验证</v>
      </c>
      <c r="T267" t="n" s="18">
        <v>1010403</v>
      </c>
      <c r="U267"/>
      <c r="V267"/>
      <c r="W267"/>
      <c r="X267"/>
      <c r="Y267"/>
      <c r="Z267"/>
      <c r="AA267"/>
    </row>
    <row r="268" ht="15" spans="1:20">
      <c r="A268" s="35"/>
      <c r="B268" t="n" s="17">
        <f>70000000+F268*10000+H268*1000+I268*100+J268</f>
        <v>70105103</v>
      </c>
      <c r="C268" t="str" s="38">
        <v>水镜滩·水退方见-怪物3</v>
      </c>
      <c r="D268" s="3"/>
      <c r="E268" t="str" s="3">
        <f>F268&amp;(VLOOKUP(G268,编号表!$E$1:$G$8,2,0))&amp;H268&amp;"_"&amp;I268&amp;"_"&amp;J268</f>
        <v>10N5_1_3</v>
      </c>
      <c r="F268" t="n" s="3">
        <v>10</v>
      </c>
      <c r="G268" t="str" s="3">
        <v>怪物</v>
      </c>
      <c r="H268" t="n" s="3">
        <v>5</v>
      </c>
      <c r="I268" t="n" s="3">
        <v>1</v>
      </c>
      <c r="J268" t="n" s="3">
        <v>3</v>
      </c>
      <c r="K268" s="3"/>
      <c r="L268" s="3"/>
      <c r="M268" s="3"/>
      <c r="N268" s="3"/>
      <c r="O268" s="3"/>
      <c r="P268" s="3"/>
      <c r="Q268" s="3"/>
      <c r="R268" s="3"/>
      <c r="S268" t="str" s="17">
        <v>本轮完整刷新挂接；有效坐标注入后验证</v>
      </c>
      <c r="T268" t="n" s="18">
        <v>1010503</v>
      </c>
      <c r="U268"/>
      <c r="V268"/>
      <c r="W268"/>
      <c r="X268"/>
      <c r="Y268"/>
      <c r="Z268"/>
      <c r="AA268"/>
    </row>
    <row r="269" ht="15" spans="1:20">
      <c r="A269" s="35"/>
      <c r="B269" t="n" s="17">
        <f>70000000+F269*10000+H269*1000+I269*100+J269</f>
        <v>70105104</v>
      </c>
      <c r="C269" t="str" s="38">
        <v>水镜滩·水退方见-怪物4</v>
      </c>
      <c r="D269" s="3"/>
      <c r="E269" t="str" s="3">
        <f>F269&amp;(VLOOKUP(G269,编号表!$E$1:$G$8,2,0))&amp;H269&amp;"_"&amp;I269&amp;"_"&amp;J269</f>
        <v>10N5_1_4</v>
      </c>
      <c r="F269" t="n" s="3">
        <v>10</v>
      </c>
      <c r="G269" t="str" s="3">
        <v>怪物</v>
      </c>
      <c r="H269" t="n" s="3">
        <v>5</v>
      </c>
      <c r="I269" t="n" s="3">
        <v>1</v>
      </c>
      <c r="J269" t="n" s="3">
        <v>4</v>
      </c>
      <c r="K269" s="3"/>
      <c r="L269" s="3"/>
      <c r="M269" s="3"/>
      <c r="N269" s="3"/>
      <c r="O269" s="3"/>
      <c r="P269" s="3"/>
      <c r="Q269" s="3"/>
      <c r="R269" s="3"/>
      <c r="S269" t="str" s="17">
        <v>本轮完整刷新挂接；有效坐标注入后验证</v>
      </c>
      <c r="T269" t="n" s="18">
        <v>1010603</v>
      </c>
      <c r="U269"/>
      <c r="V269"/>
      <c r="W269"/>
      <c r="X269"/>
      <c r="Y269"/>
      <c r="Z269"/>
      <c r="AA269"/>
    </row>
    <row r="270" ht="15" spans="1:20">
      <c r="A270" s="35"/>
      <c r="B270" t="n" s="17">
        <f>70000000+F270*10000+H270*1000+I270*100+J270</f>
        <v>70105201</v>
      </c>
      <c r="C270" t="str" s="38">
        <v>水镜滩·水退方见-怪物5</v>
      </c>
      <c r="D270" s="3"/>
      <c r="E270" t="str" s="3">
        <f>F270&amp;(VLOOKUP(G270,编号表!$E$1:$G$8,2,0))&amp;H270&amp;"_"&amp;I270&amp;"_"&amp;J270</f>
        <v>10N5_2_1</v>
      </c>
      <c r="F270" t="n" s="3">
        <v>10</v>
      </c>
      <c r="G270" t="str" s="3">
        <v>怪物</v>
      </c>
      <c r="H270" t="n" s="3">
        <v>5</v>
      </c>
      <c r="I270" t="n" s="3">
        <v>2</v>
      </c>
      <c r="J270" t="n" s="3">
        <v>1</v>
      </c>
      <c r="K270" s="3"/>
      <c r="L270" s="3"/>
      <c r="M270" s="3"/>
      <c r="N270" s="3"/>
      <c r="O270" s="3"/>
      <c r="P270" s="3"/>
      <c r="Q270" s="3"/>
      <c r="R270" s="3"/>
      <c r="S270" t="str" s="17">
        <v>本轮完整刷新挂接；有效坐标注入后验证</v>
      </c>
      <c r="T270" t="n" s="18">
        <v>1010103</v>
      </c>
      <c r="U270"/>
      <c r="V270"/>
      <c r="W270"/>
      <c r="X270"/>
      <c r="Y270"/>
      <c r="Z270"/>
      <c r="AA270"/>
    </row>
    <row r="271" ht="15" spans="1:20">
      <c r="A271" s="35"/>
      <c r="B271" t="n" s="17">
        <f>70000000+F271*10000+H271*1000+I271*100+J271</f>
        <v>70105202</v>
      </c>
      <c r="C271" t="str" s="38">
        <v>水镜滩·水退方见-怪物6</v>
      </c>
      <c r="D271" s="3"/>
      <c r="E271" t="str" s="3">
        <f>F271&amp;(VLOOKUP(G271,编号表!$E$1:$G$8,2,0))&amp;H271&amp;"_"&amp;I271&amp;"_"&amp;J271</f>
        <v>10N5_2_2</v>
      </c>
      <c r="F271" t="n" s="3">
        <v>10</v>
      </c>
      <c r="G271" t="str" s="3">
        <v>怪物</v>
      </c>
      <c r="H271" t="n" s="3">
        <v>5</v>
      </c>
      <c r="I271" t="n" s="3">
        <v>2</v>
      </c>
      <c r="J271" t="n" s="3">
        <v>2</v>
      </c>
      <c r="K271" s="3"/>
      <c r="L271" s="3"/>
      <c r="M271" s="3"/>
      <c r="N271" s="3"/>
      <c r="O271" s="3"/>
      <c r="P271" s="3"/>
      <c r="Q271" s="3"/>
      <c r="R271" s="3"/>
      <c r="S271" t="str" s="17">
        <v>本轮完整刷新挂接；有效坐标注入后验证</v>
      </c>
      <c r="T271" t="n" s="18">
        <v>1900236</v>
      </c>
      <c r="U271"/>
      <c r="V271"/>
      <c r="W271"/>
      <c r="X271"/>
      <c r="Y271"/>
      <c r="Z271"/>
      <c r="AA271"/>
    </row>
    <row r="272" ht="15" spans="1:20">
      <c r="A272" s="35"/>
      <c r="B272" t="n" s="17">
        <f>70000000+F272*10000+H272*1000+I272*100+J272</f>
        <v>70105203</v>
      </c>
      <c r="C272" t="str" s="38">
        <v>水镜滩·水退方见-怪物7</v>
      </c>
      <c r="D272" s="3"/>
      <c r="E272" t="str" s="3">
        <f>F272&amp;(VLOOKUP(G272,编号表!$E$1:$G$8,2,0))&amp;H272&amp;"_"&amp;I272&amp;"_"&amp;J272</f>
        <v>10N5_2_3</v>
      </c>
      <c r="F272" t="n" s="3">
        <v>10</v>
      </c>
      <c r="G272" t="str" s="3">
        <v>怪物</v>
      </c>
      <c r="H272" t="n" s="3">
        <v>5</v>
      </c>
      <c r="I272" t="n" s="3">
        <v>2</v>
      </c>
      <c r="J272" t="n" s="3">
        <v>3</v>
      </c>
      <c r="K272" s="3"/>
      <c r="L272" s="3"/>
      <c r="M272" s="3"/>
      <c r="N272" s="3"/>
      <c r="O272" s="3"/>
      <c r="P272" s="3"/>
      <c r="Q272" s="3"/>
      <c r="R272" s="3"/>
      <c r="S272" s="17"/>
      <c r="T272" s="18"/>
      <c r="U272"/>
      <c r="V272"/>
      <c r="W272"/>
      <c r="X272"/>
      <c r="Y272"/>
      <c r="Z272"/>
      <c r="AA272"/>
    </row>
    <row r="273" ht="15" spans="1:20">
      <c r="A273" s="35"/>
      <c r="B273" t="n" s="17">
        <f>70000000+F273*10000+H273*1000+I273*100+J273</f>
        <v>70105301</v>
      </c>
      <c r="C273" t="str" s="38">
        <v>水镜滩·水退方见-怪物8</v>
      </c>
      <c r="D273" s="3"/>
      <c r="E273" t="str" s="3">
        <f>F273&amp;(VLOOKUP(G273,编号表!$E$1:$G$8,2,0))&amp;H273&amp;"_"&amp;I273&amp;"_"&amp;J273</f>
        <v>10N5_3_1</v>
      </c>
      <c r="F273" t="n" s="3">
        <v>10</v>
      </c>
      <c r="G273" t="str" s="3">
        <v>怪物</v>
      </c>
      <c r="H273" t="n" s="3">
        <v>5</v>
      </c>
      <c r="I273" t="n" s="3">
        <v>3</v>
      </c>
      <c r="J273" t="n" s="3">
        <v>1</v>
      </c>
      <c r="K273" s="3"/>
      <c r="L273" s="3"/>
      <c r="M273" s="3"/>
      <c r="N273" s="3"/>
      <c r="O273" s="3"/>
      <c r="P273" s="3"/>
      <c r="Q273" s="3"/>
      <c r="R273" s="3"/>
      <c r="S273" s="17"/>
      <c r="T273" s="18"/>
      <c r="U273"/>
      <c r="V273"/>
      <c r="W273"/>
      <c r="X273"/>
      <c r="Y273"/>
      <c r="Z273"/>
      <c r="AA273"/>
    </row>
    <row r="274" ht="15" spans="1:20">
      <c r="A274" s="35"/>
      <c r="B274" t="n" s="17">
        <f>70000000+F274*10000+H274*1000+I274*100+J274</f>
        <v>70105302</v>
      </c>
      <c r="C274" t="str" s="38">
        <v>水镜滩·水退方见-怪物9</v>
      </c>
      <c r="D274" s="3"/>
      <c r="E274" t="str" s="3">
        <f>F274&amp;(VLOOKUP(G274,编号表!$E$1:$G$8,2,0))&amp;H274&amp;"_"&amp;I274&amp;"_"&amp;J274</f>
        <v>10N5_3_2</v>
      </c>
      <c r="F274" t="n" s="3">
        <v>10</v>
      </c>
      <c r="G274" t="str" s="3">
        <v>怪物</v>
      </c>
      <c r="H274" t="n" s="3">
        <v>5</v>
      </c>
      <c r="I274" t="n" s="3">
        <v>3</v>
      </c>
      <c r="J274" t="n" s="3">
        <v>2</v>
      </c>
      <c r="K274" s="3"/>
      <c r="L274" s="3"/>
      <c r="M274" s="3"/>
      <c r="N274" s="3"/>
      <c r="O274" s="3"/>
      <c r="P274" s="3"/>
      <c r="Q274" s="3"/>
      <c r="R274" s="3"/>
      <c r="S274" s="17"/>
      <c r="T274" s="18"/>
      <c r="U274"/>
      <c r="V274"/>
      <c r="W274"/>
      <c r="X274"/>
      <c r="Y274"/>
      <c r="Z274"/>
      <c r="AA274"/>
    </row>
    <row r="275" ht="15" spans="1:20">
      <c r="A275" s="35"/>
      <c r="B275" t="n" s="17">
        <f>70000000+F275*10000+H275*1000+I275*100+J275</f>
        <v>70105303</v>
      </c>
      <c r="C275" t="str" s="38">
        <v>水镜滩·水退方见-怪物10</v>
      </c>
      <c r="D275" s="3"/>
      <c r="E275" t="str" s="3">
        <f>F275&amp;(VLOOKUP(G275,编号表!$E$1:$G$8,2,0))&amp;H275&amp;"_"&amp;I275&amp;"_"&amp;J275</f>
        <v>10N5_3_3</v>
      </c>
      <c r="F275" t="n" s="3">
        <v>10</v>
      </c>
      <c r="G275" t="str" s="3">
        <v>怪物</v>
      </c>
      <c r="H275" t="n" s="3">
        <v>5</v>
      </c>
      <c r="I275" t="n" s="3">
        <v>3</v>
      </c>
      <c r="J275" t="n" s="3">
        <v>3</v>
      </c>
      <c r="K275" s="3"/>
      <c r="L275" s="3"/>
      <c r="M275" s="3"/>
      <c r="N275" s="3"/>
      <c r="O275" s="3"/>
      <c r="P275" s="3"/>
      <c r="Q275" s="3"/>
      <c r="R275" s="3"/>
      <c r="S275" s="17"/>
      <c r="T275" s="18"/>
      <c r="U275"/>
      <c r="V275"/>
      <c r="W275"/>
      <c r="X275"/>
      <c r="Y275"/>
      <c r="Z275"/>
      <c r="AA275"/>
    </row>
    <row r="276" ht="15" spans="1:20">
      <c r="A276" s="35"/>
      <c r="B276" t="n" s="17">
        <f>70000000+F276*10000+H276*1000+I276*100+J276</f>
        <v>70105304</v>
      </c>
      <c r="C276" t="str" s="38">
        <v>水镜滩·水退方见-怪物11</v>
      </c>
      <c r="D276" s="3"/>
      <c r="E276" t="str" s="3">
        <f>F276&amp;(VLOOKUP(G276,编号表!$E$1:$G$8,2,0))&amp;H276&amp;"_"&amp;I276&amp;"_"&amp;J276</f>
        <v>10N5_3_4</v>
      </c>
      <c r="F276" t="n" s="3">
        <v>10</v>
      </c>
      <c r="G276" t="str" s="3">
        <v>怪物</v>
      </c>
      <c r="H276" t="n" s="3">
        <v>5</v>
      </c>
      <c r="I276" t="n" s="3">
        <v>3</v>
      </c>
      <c r="J276" t="n" s="3">
        <v>4</v>
      </c>
      <c r="K276" s="3"/>
      <c r="L276" s="3"/>
      <c r="M276" s="3"/>
      <c r="N276" s="3"/>
      <c r="O276" s="3"/>
      <c r="P276" s="3"/>
      <c r="Q276" s="3"/>
      <c r="R276" s="3"/>
      <c r="S276" t="str" s="17">
        <v>精英</v>
      </c>
      <c r="T276" s="18"/>
      <c r="U276"/>
      <c r="V276"/>
      <c r="W276"/>
      <c r="X276"/>
      <c r="Y276"/>
      <c r="Z276"/>
      <c r="AA276"/>
    </row>
    <row r="277" ht="15" spans="1:20">
      <c r="A277" s="35"/>
      <c r="B277" t="n" s="17">
        <f>70000000+F277*10000+H277*1000+I277*100+J277</f>
        <v>70105001</v>
      </c>
      <c r="C277" t="str" s="39">
        <v>水镜滩·水退方见-镜头</v>
      </c>
      <c r="D277" s="3"/>
      <c r="E277" t="str" s="3">
        <f>F277&amp;(VLOOKUP(G277,编号表!$E$1:$G$8,2,0))&amp;H277&amp;"_"&amp;I277&amp;"_"&amp;J277</f>
        <v>10J5_0_1</v>
      </c>
      <c r="F277" t="n" s="3">
        <v>10</v>
      </c>
      <c r="G277" t="str" s="3">
        <v>镜头</v>
      </c>
      <c r="H277" t="n" s="3">
        <v>5</v>
      </c>
      <c r="I277" t="n" s="3">
        <v>0</v>
      </c>
      <c r="J277" t="n" s="3">
        <v>1</v>
      </c>
      <c r="K277" t="n" s="3">
        <v>1</v>
      </c>
      <c r="L277" s="3"/>
      <c r="M277" s="3"/>
      <c r="N277" s="3"/>
      <c r="O277" s="3"/>
      <c r="P277" s="3"/>
      <c r="Q277" s="3"/>
      <c r="R277" s="3"/>
      <c r="S277" s="17"/>
      <c r="T277" s="18"/>
      <c r="U277"/>
      <c r="V277"/>
      <c r="W277"/>
      <c r="X277"/>
      <c r="Y277"/>
      <c r="Z277"/>
      <c r="AA277"/>
    </row>
    <row r="278" ht="15" spans="1:20">
      <c r="A278" s="35"/>
      <c r="B278" t="n" s="17">
        <f>70000000+F278*10000+H278*1000+I278*100+J278</f>
        <v>70101001</v>
      </c>
      <c r="C278" t="str" s="37">
        <v>水镜滩·水退方见-传送</v>
      </c>
      <c r="D278" s="3"/>
      <c r="E278" t="str" s="3">
        <f>F278&amp;(VLOOKUP(G278,编号表!$E$1:$G$8,2,0))&amp;H278&amp;"_"&amp;I278&amp;"_"&amp;J278</f>
        <v>10T1_0_1</v>
      </c>
      <c r="F278" t="n" s="3">
        <v>10</v>
      </c>
      <c r="G278" t="str" s="3">
        <v>传送</v>
      </c>
      <c r="H278" t="n" s="3">
        <v>1</v>
      </c>
      <c r="I278" t="n" s="3">
        <v>0</v>
      </c>
      <c r="J278" t="n" s="3">
        <v>1</v>
      </c>
      <c r="K278" s="3"/>
      <c r="L278" t="n" s="3">
        <v>1</v>
      </c>
      <c r="M278" s="3"/>
      <c r="N278" s="3"/>
      <c r="O278" s="3"/>
      <c r="P278" s="3"/>
      <c r="Q278" s="3"/>
      <c r="R278" t="n" s="3">
        <v>70091002</v>
      </c>
      <c r="S278" s="17"/>
      <c r="T278" s="18"/>
      <c r="U278"/>
      <c r="V278"/>
      <c r="W278"/>
      <c r="X278"/>
      <c r="Y278"/>
      <c r="Z278"/>
      <c r="AA278"/>
    </row>
    <row r="279" ht="15" spans="1:20">
      <c r="A279" s="35"/>
      <c r="B279" t="n" s="17">
        <f>70000000+F279*10000+H279*1000+I279*100+J279</f>
        <v>70101002</v>
      </c>
      <c r="C279" t="str" s="37">
        <v>水镜滩·水退方见-传送</v>
      </c>
      <c r="D279" s="3"/>
      <c r="E279" t="str" s="3">
        <f>F279&amp;(VLOOKUP(G279,编号表!$E$1:$G$8,2,0))&amp;H279&amp;"_"&amp;I279&amp;"_"&amp;J279</f>
        <v>10T1_0_2</v>
      </c>
      <c r="F279" t="n" s="3">
        <v>10</v>
      </c>
      <c r="G279" t="str" s="3">
        <v>传送</v>
      </c>
      <c r="H279" t="n" s="3">
        <v>1</v>
      </c>
      <c r="I279" t="n" s="3">
        <v>0</v>
      </c>
      <c r="J279" t="n" s="3">
        <v>2</v>
      </c>
      <c r="K279" s="3"/>
      <c r="L279" t="n" s="3">
        <v>1</v>
      </c>
      <c r="M279" s="3"/>
      <c r="N279" s="3"/>
      <c r="O279" s="3"/>
      <c r="P279" s="3"/>
      <c r="Q279" s="3"/>
      <c r="R279" t="n" s="3">
        <v>70016204</v>
      </c>
      <c r="S279" s="17"/>
      <c r="T279" s="18"/>
      <c r="U279"/>
      <c r="V279"/>
      <c r="W279"/>
      <c r="X279"/>
      <c r="Y279"/>
      <c r="Z279"/>
      <c r="AA279"/>
    </row>
    <row r="280" ht="15" spans="1:20">
      <c r="A280" s="35"/>
      <c r="B280" t="n" s="17">
        <f>70000000+F280*10000+H280*1000+I280*100+J280</f>
        <v>70102001</v>
      </c>
      <c r="C280" t="str" s="37">
        <v>水镜滩·水退方见-小地图</v>
      </c>
      <c r="D280" s="3"/>
      <c r="E280" t="str" s="3">
        <f>F280&amp;(VLOOKUP(G280,编号表!$E$1:$G$8,2,0))&amp;H280&amp;"_"&amp;I280&amp;"_"&amp;J280</f>
        <v>10D2_0_1</v>
      </c>
      <c r="F280" t="n" s="3">
        <v>10</v>
      </c>
      <c r="G280" t="str" s="3">
        <v>小地图</v>
      </c>
      <c r="H280" t="n" s="3">
        <v>2</v>
      </c>
      <c r="I280" t="n" s="3">
        <v>0</v>
      </c>
      <c r="J280" t="n" s="3">
        <v>1</v>
      </c>
      <c r="K280" s="3"/>
      <c r="L280" s="3"/>
      <c r="M280" t="n" s="3">
        <v>1</v>
      </c>
      <c r="N280" s="3"/>
      <c r="O280" s="3"/>
      <c r="P280" s="3"/>
      <c r="Q280" s="3"/>
      <c r="R280" s="3"/>
      <c r="S280" s="17"/>
      <c r="T280" s="18"/>
      <c r="U280"/>
      <c r="V280"/>
      <c r="W280"/>
      <c r="X280"/>
      <c r="Y280"/>
      <c r="Z280"/>
      <c r="AA280"/>
    </row>
    <row r="281" ht="15" spans="1:20">
      <c r="A281" s="35"/>
      <c r="B281" t="n" s="17">
        <f>70000000+F281*10000+H281*1000+I281*100+J281</f>
        <v>70115001</v>
      </c>
      <c r="C281" t="str" s="39">
        <v>汇歧渚-镜头</v>
      </c>
      <c r="D281" s="3"/>
      <c r="E281" t="str" s="3">
        <f>F281&amp;(VLOOKUP(G281,编号表!$E$1:$G$8,2,0))&amp;H281&amp;"_"&amp;I281&amp;"_"&amp;J281</f>
        <v>11J5_0_1</v>
      </c>
      <c r="F281" t="n" s="3">
        <v>11</v>
      </c>
      <c r="G281" t="str" s="3">
        <v>镜头</v>
      </c>
      <c r="H281" t="n" s="3">
        <v>5</v>
      </c>
      <c r="I281" t="n" s="3">
        <v>0</v>
      </c>
      <c r="J281" t="n" s="3">
        <v>1</v>
      </c>
      <c r="K281" t="n" s="3">
        <v>1</v>
      </c>
      <c r="L281" s="3"/>
      <c r="M281" s="3"/>
      <c r="N281" s="3"/>
      <c r="O281" s="3"/>
      <c r="P281" s="3"/>
      <c r="Q281" s="3"/>
      <c r="R281" s="3"/>
      <c r="S281" s="17"/>
      <c r="T281" s="18"/>
      <c r="U281"/>
      <c r="V281"/>
      <c r="W281"/>
      <c r="X281"/>
      <c r="Y281"/>
      <c r="Z281"/>
      <c r="AA281"/>
    </row>
    <row r="282" ht="15" spans="1:20">
      <c r="A282" s="35"/>
      <c r="B282" t="n" s="17">
        <f>70000000+F282*10000+H282*1000+I282*100+J282</f>
        <v>70111001</v>
      </c>
      <c r="C282" t="str" s="37">
        <v>汇歧渚-传送</v>
      </c>
      <c r="D282" s="3"/>
      <c r="E282" t="str" s="3">
        <f>F282&amp;(VLOOKUP(G282,编号表!$E$1:$G$8,2,0))&amp;H282&amp;"_"&amp;I282&amp;"_"&amp;J282</f>
        <v>11T1_0_1</v>
      </c>
      <c r="F282" t="n" s="3">
        <v>11</v>
      </c>
      <c r="G282" t="str" s="3">
        <v>传送</v>
      </c>
      <c r="H282" t="n" s="3">
        <v>1</v>
      </c>
      <c r="I282" t="n" s="3">
        <v>0</v>
      </c>
      <c r="J282" t="n" s="3">
        <v>1</v>
      </c>
      <c r="K282" s="3"/>
      <c r="L282" t="n" s="3">
        <v>1</v>
      </c>
      <c r="M282" s="3"/>
      <c r="N282" s="3"/>
      <c r="O282" s="3"/>
      <c r="P282" s="3"/>
      <c r="Q282" s="3"/>
      <c r="R282" t="n" s="3">
        <v>70016204</v>
      </c>
      <c r="S282" s="17"/>
      <c r="T282" s="18"/>
      <c r="U282"/>
      <c r="V282"/>
      <c r="W282"/>
      <c r="X282"/>
      <c r="Y282"/>
      <c r="Z282"/>
      <c r="AA282"/>
    </row>
    <row r="283" ht="15" spans="1:20">
      <c r="A283" s="35"/>
      <c r="B283" t="n" s="17">
        <f>70000000+F283*10000+H283*1000+I283*100+J283</f>
        <v>70111002</v>
      </c>
      <c r="C283" t="str" s="37">
        <v>汇歧渚-传送</v>
      </c>
      <c r="D283" s="3"/>
      <c r="E283" t="str" s="3">
        <f>F283&amp;(VLOOKUP(G283,编号表!$E$1:$G$8,2,0))&amp;H283&amp;"_"&amp;I283&amp;"_"&amp;J283</f>
        <v>11T1_0_2</v>
      </c>
      <c r="F283" t="n" s="3">
        <v>11</v>
      </c>
      <c r="G283" t="str" s="3">
        <v>传送</v>
      </c>
      <c r="H283" t="n" s="3">
        <v>1</v>
      </c>
      <c r="I283" t="n" s="3">
        <v>0</v>
      </c>
      <c r="J283" t="n" s="3">
        <v>2</v>
      </c>
      <c r="K283" s="3"/>
      <c r="L283" t="n" s="3">
        <v>1</v>
      </c>
      <c r="M283" s="3"/>
      <c r="N283" s="3"/>
      <c r="O283" s="3"/>
      <c r="P283" s="3"/>
      <c r="Q283" s="3"/>
      <c r="R283" t="n" s="3">
        <v>70121001</v>
      </c>
      <c r="S283" s="17"/>
      <c r="T283" s="18"/>
      <c r="U283"/>
      <c r="V283"/>
      <c r="W283"/>
      <c r="X283"/>
      <c r="Y283"/>
      <c r="Z283"/>
      <c r="AA283"/>
    </row>
    <row r="284" ht="15" spans="1:20">
      <c r="A284" s="35"/>
      <c r="B284" t="n" s="17">
        <f>70000000+F284*10000+H284*1000+I284*100+J284</f>
        <v>70112001</v>
      </c>
      <c r="C284" t="str" s="37">
        <v>汇歧渚-小地图</v>
      </c>
      <c r="D284" s="3"/>
      <c r="E284" t="str" s="3">
        <f>F284&amp;(VLOOKUP(G284,编号表!$E$1:$G$8,2,0))&amp;H284&amp;"_"&amp;I284&amp;"_"&amp;J284</f>
        <v>11D2_0_1</v>
      </c>
      <c r="F284" t="n" s="3">
        <v>11</v>
      </c>
      <c r="G284" t="str" s="3">
        <v>小地图</v>
      </c>
      <c r="H284" t="n" s="3">
        <v>2</v>
      </c>
      <c r="I284" t="n" s="3">
        <v>0</v>
      </c>
      <c r="J284" t="n" s="3">
        <v>1</v>
      </c>
      <c r="K284" s="3"/>
      <c r="L284" s="3"/>
      <c r="M284" t="n" s="3">
        <v>1</v>
      </c>
      <c r="N284" s="3"/>
      <c r="O284" s="3"/>
      <c r="P284" s="3"/>
      <c r="Q284" s="3"/>
      <c r="R284" s="3"/>
      <c r="S284" s="17"/>
      <c r="T284" s="18"/>
      <c r="U284"/>
      <c r="V284"/>
      <c r="W284"/>
      <c r="X284"/>
      <c r="Y284"/>
      <c r="Z284"/>
      <c r="AA284"/>
    </row>
    <row r="285" ht="15" spans="1:20">
      <c r="A285" s="35"/>
      <c r="B285" t="n" s="17">
        <f>70000000+F285*10000+H285*1000+I285*100+J285</f>
        <v>70125101</v>
      </c>
      <c r="C285" t="str" s="38">
        <v>沉浊坡-怪物1</v>
      </c>
      <c r="D285" s="3"/>
      <c r="E285" t="str" s="3">
        <f>F285&amp;(VLOOKUP(G285,编号表!$E$1:$G$8,2,0))&amp;H285&amp;"_"&amp;I285&amp;"_"&amp;J285</f>
        <v>12N5_1_1</v>
      </c>
      <c r="F285" t="n" s="3">
        <v>12</v>
      </c>
      <c r="G285" t="str" s="3">
        <v>怪物</v>
      </c>
      <c r="H285" t="n" s="3">
        <v>5</v>
      </c>
      <c r="I285" t="n" s="3">
        <v>1</v>
      </c>
      <c r="J285" t="n" s="3">
        <v>1</v>
      </c>
      <c r="K285" s="3"/>
      <c r="L285" s="3"/>
      <c r="M285" s="3"/>
      <c r="N285" s="3"/>
      <c r="O285" s="3"/>
      <c r="P285" s="3"/>
      <c r="Q285" s="3"/>
      <c r="R285" s="3"/>
      <c r="S285" t="str" s="17">
        <v>本轮完整刷新挂接；有效坐标注入后验证</v>
      </c>
      <c r="T285" t="n" s="18">
        <v>1011303</v>
      </c>
      <c r="U285"/>
      <c r="V285"/>
      <c r="W285"/>
      <c r="X285"/>
      <c r="Y285"/>
      <c r="Z285"/>
      <c r="AA285"/>
    </row>
    <row r="286" ht="15" spans="1:20">
      <c r="A286" s="35"/>
      <c r="B286" t="n" s="17">
        <f>70000000+F286*10000+H286*1000+I286*100+J286</f>
        <v>70125102</v>
      </c>
      <c r="C286" t="str" s="38">
        <v>沉浊坡-怪物2</v>
      </c>
      <c r="D286" s="3"/>
      <c r="E286" t="str" s="3">
        <f>F286&amp;(VLOOKUP(G286,编号表!$E$1:$G$8,2,0))&amp;H286&amp;"_"&amp;I286&amp;"_"&amp;J286</f>
        <v>12N5_1_2</v>
      </c>
      <c r="F286" t="n" s="3">
        <v>12</v>
      </c>
      <c r="G286" t="str" s="3">
        <v>怪物</v>
      </c>
      <c r="H286" t="n" s="3">
        <v>5</v>
      </c>
      <c r="I286" t="n" s="3">
        <v>1</v>
      </c>
      <c r="J286" t="n" s="3">
        <v>2</v>
      </c>
      <c r="K286" s="3"/>
      <c r="L286" s="3"/>
      <c r="M286" s="3"/>
      <c r="N286" s="3"/>
      <c r="O286" s="3"/>
      <c r="P286" s="3"/>
      <c r="Q286" s="3"/>
      <c r="R286" s="3"/>
      <c r="S286" t="str" s="17">
        <v>本轮完整刷新挂接；有效坐标注入后验证</v>
      </c>
      <c r="T286" t="n" s="18">
        <v>1011403</v>
      </c>
      <c r="U286"/>
      <c r="V286"/>
      <c r="W286"/>
      <c r="X286"/>
      <c r="Y286"/>
      <c r="Z286"/>
      <c r="AA286"/>
    </row>
    <row r="287" ht="15" spans="1:20">
      <c r="A287" s="35"/>
      <c r="B287" t="n" s="17">
        <f>70000000+F287*10000+H287*1000+I287*100+J287</f>
        <v>70125103</v>
      </c>
      <c r="C287" t="str" s="38">
        <v>沉浊坡-怪物3</v>
      </c>
      <c r="D287" s="3"/>
      <c r="E287" t="str" s="3">
        <f>F287&amp;(VLOOKUP(G287,编号表!$E$1:$G$8,2,0))&amp;H287&amp;"_"&amp;I287&amp;"_"&amp;J287</f>
        <v>12N5_1_3</v>
      </c>
      <c r="F287" t="n" s="3">
        <v>12</v>
      </c>
      <c r="G287" t="str" s="3">
        <v>怪物</v>
      </c>
      <c r="H287" t="n" s="3">
        <v>5</v>
      </c>
      <c r="I287" t="n" s="3">
        <v>1</v>
      </c>
      <c r="J287" t="n" s="3">
        <v>3</v>
      </c>
      <c r="K287" s="3"/>
      <c r="L287" s="3"/>
      <c r="M287" s="3"/>
      <c r="N287" s="3"/>
      <c r="O287" s="3"/>
      <c r="P287" s="3"/>
      <c r="Q287" s="3"/>
      <c r="R287" s="3"/>
      <c r="S287" t="str" s="17">
        <v>本轮完整刷新挂接；有效坐标注入后验证</v>
      </c>
      <c r="T287" t="n" s="18">
        <v>1011003</v>
      </c>
      <c r="U287"/>
      <c r="V287"/>
      <c r="W287"/>
      <c r="X287"/>
      <c r="Y287"/>
      <c r="Z287"/>
      <c r="AA287"/>
    </row>
    <row r="288" ht="15" spans="1:20">
      <c r="A288" s="35"/>
      <c r="B288" t="n" s="17">
        <f>70000000+F288*10000+H288*1000+I288*100+J288</f>
        <v>70125201</v>
      </c>
      <c r="C288" t="str" s="38">
        <v>沉浊坡-怪物4</v>
      </c>
      <c r="D288" s="3"/>
      <c r="E288" t="str" s="3">
        <f>F288&amp;(VLOOKUP(G288,编号表!$E$1:$G$8,2,0))&amp;H288&amp;"_"&amp;I288&amp;"_"&amp;J288</f>
        <v>12N5_2_1</v>
      </c>
      <c r="F288" t="n" s="3">
        <v>12</v>
      </c>
      <c r="G288" t="str" s="3">
        <v>怪物</v>
      </c>
      <c r="H288" t="n" s="3">
        <v>5</v>
      </c>
      <c r="I288" t="n" s="3">
        <v>2</v>
      </c>
      <c r="J288" t="n" s="3">
        <v>1</v>
      </c>
      <c r="K288" s="3"/>
      <c r="L288" s="3"/>
      <c r="M288" s="3"/>
      <c r="N288" s="3"/>
      <c r="O288" s="3"/>
      <c r="P288" s="3"/>
      <c r="Q288" s="3"/>
      <c r="R288" s="3"/>
      <c r="S288" s="17"/>
      <c r="T288" s="18"/>
      <c r="U288"/>
      <c r="V288"/>
      <c r="W288"/>
      <c r="X288"/>
      <c r="Y288"/>
      <c r="Z288"/>
      <c r="AA288"/>
    </row>
    <row r="289" ht="15" spans="1:20">
      <c r="A289" s="35"/>
      <c r="B289" t="n" s="17">
        <f>70000000+F289*10000+H289*1000+I289*100+J289</f>
        <v>70125202</v>
      </c>
      <c r="C289" t="str" s="38">
        <v>沉浊坡-怪物5</v>
      </c>
      <c r="D289" s="3"/>
      <c r="E289" t="str" s="3">
        <f>F289&amp;(VLOOKUP(G289,编号表!$E$1:$G$8,2,0))&amp;H289&amp;"_"&amp;I289&amp;"_"&amp;J289</f>
        <v>12N5_2_2</v>
      </c>
      <c r="F289" t="n" s="3">
        <v>12</v>
      </c>
      <c r="G289" t="str" s="3">
        <v>怪物</v>
      </c>
      <c r="H289" t="n" s="3">
        <v>5</v>
      </c>
      <c r="I289" t="n" s="3">
        <v>2</v>
      </c>
      <c r="J289" t="n" s="3">
        <v>2</v>
      </c>
      <c r="K289" s="3"/>
      <c r="L289" s="3"/>
      <c r="M289" s="3"/>
      <c r="N289" s="3"/>
      <c r="O289" s="3"/>
      <c r="P289" s="3"/>
      <c r="Q289" s="3"/>
      <c r="R289" s="3"/>
      <c r="S289" s="17"/>
      <c r="T289" s="18"/>
      <c r="U289"/>
      <c r="V289"/>
      <c r="W289"/>
      <c r="X289"/>
      <c r="Y289"/>
      <c r="Z289"/>
      <c r="AA289"/>
    </row>
    <row r="290" ht="15" spans="1:20">
      <c r="A290" s="35"/>
      <c r="B290" t="n" s="17">
        <f>70000000+F290*10000+H290*1000+I290*100+J290</f>
        <v>70125203</v>
      </c>
      <c r="C290" t="str" s="38">
        <v>沉浊坡-怪物6</v>
      </c>
      <c r="D290" s="3"/>
      <c r="E290" t="str" s="3">
        <f>F290&amp;(VLOOKUP(G290,编号表!$E$1:$G$8,2,0))&amp;H290&amp;"_"&amp;I290&amp;"_"&amp;J290</f>
        <v>12N5_2_3</v>
      </c>
      <c r="F290" t="n" s="3">
        <v>12</v>
      </c>
      <c r="G290" t="str" s="3">
        <v>怪物</v>
      </c>
      <c r="H290" t="n" s="3">
        <v>5</v>
      </c>
      <c r="I290" t="n" s="3">
        <v>2</v>
      </c>
      <c r="J290" t="n" s="3">
        <v>3</v>
      </c>
      <c r="K290" s="3"/>
      <c r="L290" s="3"/>
      <c r="M290" s="3"/>
      <c r="N290" s="3"/>
      <c r="O290" s="3"/>
      <c r="P290" s="3"/>
      <c r="Q290" s="3"/>
      <c r="R290" s="3"/>
      <c r="S290" s="17"/>
      <c r="T290" s="18"/>
      <c r="U290"/>
      <c r="V290"/>
      <c r="W290"/>
      <c r="X290"/>
      <c r="Y290"/>
      <c r="Z290"/>
      <c r="AA290"/>
    </row>
    <row r="291" ht="15" spans="1:20">
      <c r="A291" s="35"/>
      <c r="B291" t="n" s="17">
        <f>70000000+F291*10000+H291*1000+I291*100+J291</f>
        <v>70125301</v>
      </c>
      <c r="C291" t="str" s="38">
        <v>沉浊坡-怪物7</v>
      </c>
      <c r="D291" s="3"/>
      <c r="E291" t="str" s="3">
        <f>F291&amp;(VLOOKUP(G291,编号表!$E$1:$G$8,2,0))&amp;H291&amp;"_"&amp;I291&amp;"_"&amp;J291</f>
        <v>12N5_3_1</v>
      </c>
      <c r="F291" t="n" s="3">
        <v>12</v>
      </c>
      <c r="G291" t="str" s="3">
        <v>怪物</v>
      </c>
      <c r="H291" t="n" s="3">
        <v>5</v>
      </c>
      <c r="I291" t="n" s="3">
        <v>3</v>
      </c>
      <c r="J291" t="n" s="3">
        <v>1</v>
      </c>
      <c r="K291" s="3"/>
      <c r="L291" s="3"/>
      <c r="M291" s="3"/>
      <c r="N291" s="3"/>
      <c r="O291" s="3"/>
      <c r="P291" s="3"/>
      <c r="Q291" s="3"/>
      <c r="R291" s="3"/>
      <c r="S291" s="17"/>
      <c r="T291" s="18"/>
      <c r="U291"/>
      <c r="V291"/>
      <c r="W291"/>
      <c r="X291"/>
      <c r="Y291"/>
      <c r="Z291"/>
      <c r="AA291"/>
    </row>
    <row r="292" ht="15" spans="1:20">
      <c r="A292" s="35"/>
      <c r="B292" t="n" s="17">
        <f>70000000+F292*10000+H292*1000+I292*100+J292</f>
        <v>70125302</v>
      </c>
      <c r="C292" t="str" s="38">
        <v>沉浊坡-怪物8</v>
      </c>
      <c r="D292" s="3"/>
      <c r="E292" t="str" s="3">
        <f>F292&amp;(VLOOKUP(G292,编号表!$E$1:$G$8,2,0))&amp;H292&amp;"_"&amp;I292&amp;"_"&amp;J292</f>
        <v>12N5_3_2</v>
      </c>
      <c r="F292" t="n" s="3">
        <v>12</v>
      </c>
      <c r="G292" t="str" s="3">
        <v>怪物</v>
      </c>
      <c r="H292" t="n" s="3">
        <v>5</v>
      </c>
      <c r="I292" t="n" s="3">
        <v>3</v>
      </c>
      <c r="J292" t="n" s="3">
        <v>2</v>
      </c>
      <c r="K292" s="3"/>
      <c r="L292" s="3"/>
      <c r="M292" s="3"/>
      <c r="N292" s="3"/>
      <c r="O292" s="3"/>
      <c r="P292" s="3"/>
      <c r="Q292" s="3"/>
      <c r="R292" s="3"/>
      <c r="S292" s="17"/>
      <c r="T292" s="18"/>
      <c r="U292"/>
      <c r="V292"/>
      <c r="W292"/>
      <c r="X292"/>
      <c r="Y292"/>
      <c r="Z292"/>
      <c r="AA292"/>
    </row>
    <row r="293" ht="15" spans="1:20">
      <c r="A293" s="35"/>
      <c r="B293" t="n" s="17">
        <f>70000000+F293*10000+H293*1000+I293*100+J293</f>
        <v>70125303</v>
      </c>
      <c r="C293" t="str" s="38">
        <v>沉浊坡-怪物9</v>
      </c>
      <c r="D293" s="3"/>
      <c r="E293" t="str" s="3">
        <f>F293&amp;(VLOOKUP(G293,编号表!$E$1:$G$8,2,0))&amp;H293&amp;"_"&amp;I293&amp;"_"&amp;J293</f>
        <v>12N5_3_3</v>
      </c>
      <c r="F293" t="n" s="3">
        <v>12</v>
      </c>
      <c r="G293" t="str" s="3">
        <v>怪物</v>
      </c>
      <c r="H293" t="n" s="3">
        <v>5</v>
      </c>
      <c r="I293" t="n" s="3">
        <v>3</v>
      </c>
      <c r="J293" t="n" s="3">
        <v>3</v>
      </c>
      <c r="K293" s="3"/>
      <c r="L293" s="3"/>
      <c r="M293" s="3"/>
      <c r="N293" s="3"/>
      <c r="O293" s="3"/>
      <c r="P293" s="3"/>
      <c r="Q293" s="3"/>
      <c r="R293" s="3"/>
      <c r="S293" s="17"/>
      <c r="T293" s="18"/>
      <c r="U293"/>
      <c r="V293"/>
      <c r="W293"/>
      <c r="X293"/>
      <c r="Y293"/>
      <c r="Z293"/>
      <c r="AA293"/>
    </row>
    <row r="294" ht="15" spans="1:20">
      <c r="A294" s="35"/>
      <c r="B294" t="n" s="17">
        <f>70000000+F294*10000+H294*1000+I294*100+J294</f>
        <v>70125001</v>
      </c>
      <c r="C294" t="str" s="39">
        <v>沉浊坡-镜头</v>
      </c>
      <c r="D294" s="3"/>
      <c r="E294" t="str" s="3">
        <f>F294&amp;(VLOOKUP(G294,编号表!$E$1:$G$8,2,0))&amp;H294&amp;"_"&amp;I294&amp;"_"&amp;J294</f>
        <v>12J5_0_1</v>
      </c>
      <c r="F294" t="n" s="3">
        <v>12</v>
      </c>
      <c r="G294" t="str" s="3">
        <v>镜头</v>
      </c>
      <c r="H294" t="n" s="3">
        <v>5</v>
      </c>
      <c r="I294" t="n" s="3">
        <v>0</v>
      </c>
      <c r="J294" t="n" s="3">
        <v>1</v>
      </c>
      <c r="K294" t="n" s="3">
        <v>1</v>
      </c>
      <c r="L294" s="3"/>
      <c r="M294" s="3"/>
      <c r="N294" s="3"/>
      <c r="O294" s="3"/>
      <c r="P294" s="3"/>
      <c r="Q294" s="3"/>
      <c r="R294" s="3"/>
      <c r="S294" s="17"/>
      <c r="T294" s="18"/>
      <c r="U294"/>
      <c r="V294"/>
      <c r="W294"/>
      <c r="X294"/>
      <c r="Y294"/>
      <c r="Z294"/>
      <c r="AA294"/>
    </row>
    <row r="295" ht="15" spans="1:20">
      <c r="A295" s="35"/>
      <c r="B295" t="n" s="17">
        <f>70000000+F295*10000+H295*1000+I295*100+J295</f>
        <v>70121001</v>
      </c>
      <c r="C295" t="str" s="37">
        <v>沉浊坡-传送</v>
      </c>
      <c r="D295" s="3"/>
      <c r="E295" t="str" s="3">
        <f>F295&amp;(VLOOKUP(G295,编号表!$E$1:$G$8,2,0))&amp;H295&amp;"_"&amp;I295&amp;"_"&amp;J295</f>
        <v>12T1_0_1</v>
      </c>
      <c r="F295" t="n" s="3">
        <v>12</v>
      </c>
      <c r="G295" t="str" s="3">
        <v>传送</v>
      </c>
      <c r="H295" t="n" s="3">
        <v>1</v>
      </c>
      <c r="I295" t="n" s="3">
        <v>0</v>
      </c>
      <c r="J295" t="n" s="3">
        <v>1</v>
      </c>
      <c r="K295" s="3"/>
      <c r="L295" t="n" s="3">
        <v>1</v>
      </c>
      <c r="M295" s="3"/>
      <c r="N295" s="3"/>
      <c r="O295" s="3"/>
      <c r="P295" s="3"/>
      <c r="Q295" s="3"/>
      <c r="R295" t="n" s="3">
        <v>70111002</v>
      </c>
      <c r="S295" s="17"/>
      <c r="T295" s="18"/>
      <c r="U295"/>
      <c r="V295"/>
      <c r="W295"/>
      <c r="X295"/>
      <c r="Y295"/>
      <c r="Z295"/>
      <c r="AA295"/>
    </row>
    <row r="296" ht="15" spans="1:20">
      <c r="A296" s="35"/>
      <c r="B296" t="n" s="17">
        <f>70000000+F296*10000+H296*1000+I296*100+J296</f>
        <v>70121002</v>
      </c>
      <c r="C296" t="str" s="37">
        <v>沉浊坡-传送</v>
      </c>
      <c r="D296" s="3"/>
      <c r="E296" t="str" s="3">
        <f>F296&amp;(VLOOKUP(G296,编号表!$E$1:$G$8,2,0))&amp;H296&amp;"_"&amp;I296&amp;"_"&amp;J296</f>
        <v>12T1_0_2</v>
      </c>
      <c r="F296" t="n" s="3">
        <v>12</v>
      </c>
      <c r="G296" t="str" s="3">
        <v>传送</v>
      </c>
      <c r="H296" t="n" s="3">
        <v>1</v>
      </c>
      <c r="I296" t="n" s="3">
        <v>0</v>
      </c>
      <c r="J296" t="n" s="3">
        <v>2</v>
      </c>
      <c r="K296" s="3"/>
      <c r="L296" t="n" s="3">
        <v>1</v>
      </c>
      <c r="M296" s="3"/>
      <c r="N296" s="3"/>
      <c r="O296" s="3"/>
      <c r="P296" s="3"/>
      <c r="Q296" s="3"/>
      <c r="R296" t="n" s="3">
        <v>70131001</v>
      </c>
      <c r="S296" s="17"/>
      <c r="T296" s="18"/>
      <c r="U296"/>
      <c r="V296"/>
      <c r="W296"/>
      <c r="X296"/>
      <c r="Y296"/>
      <c r="Z296"/>
      <c r="AA296"/>
    </row>
    <row r="297" ht="15" spans="1:20">
      <c r="A297" s="35"/>
      <c r="B297" t="n" s="17">
        <f>70000000+F297*10000+H297*1000+I297*100+J297</f>
        <v>70122001</v>
      </c>
      <c r="C297" t="str" s="37">
        <v>沉浊坡-小地图</v>
      </c>
      <c r="D297" s="3"/>
      <c r="E297" t="str" s="3">
        <f>F297&amp;(VLOOKUP(G297,编号表!$E$1:$G$8,2,0))&amp;H297&amp;"_"&amp;I297&amp;"_"&amp;J297</f>
        <v>12D2_0_1</v>
      </c>
      <c r="F297" t="n" s="3">
        <v>12</v>
      </c>
      <c r="G297" t="str" s="3">
        <v>小地图</v>
      </c>
      <c r="H297" t="n" s="3">
        <v>2</v>
      </c>
      <c r="I297" t="n" s="3">
        <v>0</v>
      </c>
      <c r="J297" t="n" s="3">
        <v>1</v>
      </c>
      <c r="K297" s="3"/>
      <c r="L297" s="3"/>
      <c r="M297" t="n" s="3">
        <v>1</v>
      </c>
      <c r="N297" s="3"/>
      <c r="O297" s="3"/>
      <c r="P297" s="3"/>
      <c r="Q297" s="3"/>
      <c r="R297" s="3"/>
      <c r="S297" s="17"/>
      <c r="T297" s="18"/>
      <c r="U297"/>
      <c r="V297"/>
      <c r="W297"/>
      <c r="X297"/>
      <c r="Y297"/>
      <c r="Z297"/>
      <c r="AA297"/>
    </row>
    <row r="298" ht="15" spans="1:20">
      <c r="A298" s="35"/>
      <c r="B298" t="n" s="17">
        <f>70000000+F298*10000+H298*1000+I298*100+J298</f>
        <v>70135101</v>
      </c>
      <c r="C298" t="str" s="38">
        <v>豁烟水-怪物1</v>
      </c>
      <c r="D298" s="3"/>
      <c r="E298" t="str" s="3">
        <f>F298&amp;(VLOOKUP(G298,编号表!$E$1:$G$8,2,0))&amp;H298&amp;"_"&amp;I298&amp;"_"&amp;J298</f>
        <v>13N5_1_1</v>
      </c>
      <c r="F298" t="n" s="3">
        <v>13</v>
      </c>
      <c r="G298" t="str" s="3">
        <v>怪物</v>
      </c>
      <c r="H298" t="n" s="3">
        <v>5</v>
      </c>
      <c r="I298" t="n" s="3">
        <v>1</v>
      </c>
      <c r="J298" t="n" s="3">
        <v>1</v>
      </c>
      <c r="K298" s="3"/>
      <c r="L298" s="3"/>
      <c r="M298" s="3"/>
      <c r="N298" s="3"/>
      <c r="O298" s="3"/>
      <c r="P298" s="3"/>
      <c r="Q298" s="3"/>
      <c r="R298" s="3"/>
      <c r="S298" t="str" s="17">
        <v>本轮完整刷新挂接；有效坐标注入后验证</v>
      </c>
      <c r="T298" t="n" s="18">
        <v>1012303</v>
      </c>
      <c r="U298"/>
      <c r="V298"/>
      <c r="W298"/>
      <c r="X298"/>
      <c r="Y298"/>
      <c r="Z298"/>
      <c r="AA298"/>
    </row>
    <row r="299" ht="15" spans="1:20">
      <c r="A299" s="35"/>
      <c r="B299" t="n" s="17">
        <f>70000000+F299*10000+H299*1000+I299*100+J299</f>
        <v>70135102</v>
      </c>
      <c r="C299" t="str" s="38">
        <v>豁烟水-怪物2</v>
      </c>
      <c r="D299" s="3"/>
      <c r="E299" t="str" s="3">
        <f>F299&amp;(VLOOKUP(G299,编号表!$E$1:$G$8,2,0))&amp;H299&amp;"_"&amp;I299&amp;"_"&amp;J299</f>
        <v>13N5_1_2</v>
      </c>
      <c r="F299" t="n" s="3">
        <v>13</v>
      </c>
      <c r="G299" t="str" s="3">
        <v>怪物</v>
      </c>
      <c r="H299" t="n" s="3">
        <v>5</v>
      </c>
      <c r="I299" t="n" s="3">
        <v>1</v>
      </c>
      <c r="J299" t="n" s="3">
        <v>2</v>
      </c>
      <c r="K299" s="3"/>
      <c r="L299" s="3"/>
      <c r="M299" s="3"/>
      <c r="N299" s="3"/>
      <c r="O299" s="3"/>
      <c r="P299" s="3"/>
      <c r="Q299" s="3"/>
      <c r="R299" s="3"/>
      <c r="S299" t="str" s="17">
        <v>本轮完整刷新挂接；有效坐标注入后验证</v>
      </c>
      <c r="T299" t="n" s="18">
        <v>1012403</v>
      </c>
      <c r="U299"/>
      <c r="V299"/>
      <c r="W299"/>
      <c r="X299"/>
      <c r="Y299"/>
      <c r="Z299"/>
      <c r="AA299"/>
    </row>
    <row r="300" ht="15" spans="1:20">
      <c r="A300" s="35"/>
      <c r="B300" t="n" s="17">
        <f>70000000+F300*10000+H300*1000+I300*100+J300</f>
        <v>70135103</v>
      </c>
      <c r="C300" t="str" s="38">
        <v>豁烟水-怪物3</v>
      </c>
      <c r="D300" s="3"/>
      <c r="E300" t="str" s="3">
        <f>F300&amp;(VLOOKUP(G300,编号表!$E$1:$G$8,2,0))&amp;H300&amp;"_"&amp;I300&amp;"_"&amp;J300</f>
        <v>13N5_1_3</v>
      </c>
      <c r="F300" t="n" s="3">
        <v>13</v>
      </c>
      <c r="G300" t="str" s="3">
        <v>怪物</v>
      </c>
      <c r="H300" t="n" s="3">
        <v>5</v>
      </c>
      <c r="I300" t="n" s="3">
        <v>1</v>
      </c>
      <c r="J300" t="n" s="3">
        <v>3</v>
      </c>
      <c r="K300" s="3"/>
      <c r="L300" s="3"/>
      <c r="M300" s="3"/>
      <c r="N300" s="3"/>
      <c r="O300" s="3"/>
      <c r="P300" s="3"/>
      <c r="Q300" s="3"/>
      <c r="R300" s="3"/>
      <c r="S300" t="str" s="17">
        <v>本轮完整刷新挂接；有效坐标注入后验证</v>
      </c>
      <c r="T300" t="n" s="18">
        <v>1012503</v>
      </c>
      <c r="U300"/>
      <c r="V300"/>
      <c r="W300"/>
      <c r="X300"/>
      <c r="Y300"/>
      <c r="Z300"/>
      <c r="AA300"/>
    </row>
    <row r="301" ht="15" spans="1:20">
      <c r="A301" s="35"/>
      <c r="B301" t="n" s="17">
        <f>70000000+F301*10000+H301*1000+I301*100+J301</f>
        <v>70135104</v>
      </c>
      <c r="C301" t="str" s="38">
        <v>豁烟水-怪物4</v>
      </c>
      <c r="D301" s="3"/>
      <c r="E301" t="str" s="3">
        <f>F301&amp;(VLOOKUP(G301,编号表!$E$1:$G$8,2,0))&amp;H301&amp;"_"&amp;I301&amp;"_"&amp;J301</f>
        <v>13N5_1_4</v>
      </c>
      <c r="F301" t="n" s="3">
        <v>13</v>
      </c>
      <c r="G301" t="str" s="3">
        <v>怪物</v>
      </c>
      <c r="H301" t="n" s="3">
        <v>5</v>
      </c>
      <c r="I301" t="n" s="3">
        <v>1</v>
      </c>
      <c r="J301" t="n" s="3">
        <v>4</v>
      </c>
      <c r="K301" s="3"/>
      <c r="L301" s="3"/>
      <c r="M301" s="3"/>
      <c r="N301" s="3"/>
      <c r="O301" s="3"/>
      <c r="P301" s="3"/>
      <c r="Q301" s="3"/>
      <c r="R301" s="3"/>
      <c r="S301" t="str" s="17">
        <v>本轮完整刷新挂接；有效坐标注入后验证</v>
      </c>
      <c r="T301" t="n" s="18">
        <v>1012603</v>
      </c>
      <c r="U301"/>
      <c r="V301"/>
      <c r="W301"/>
      <c r="X301"/>
      <c r="Y301"/>
      <c r="Z301"/>
      <c r="AA301"/>
    </row>
    <row r="302" ht="15" spans="1:20">
      <c r="A302" s="35"/>
      <c r="B302" t="n" s="17">
        <f>70000000+F302*10000+H302*1000+I302*100+J302</f>
        <v>70135105</v>
      </c>
      <c r="C302" t="str" s="38">
        <v>豁烟水-怪物5</v>
      </c>
      <c r="D302" s="3"/>
      <c r="E302" t="str" s="3">
        <f>F302&amp;(VLOOKUP(G302,编号表!$E$1:$G$8,2,0))&amp;H302&amp;"_"&amp;I302&amp;"_"&amp;J302</f>
        <v>13N5_1_5</v>
      </c>
      <c r="F302" t="n" s="3">
        <v>13</v>
      </c>
      <c r="G302" t="str" s="3">
        <v>怪物</v>
      </c>
      <c r="H302" t="n" s="3">
        <v>5</v>
      </c>
      <c r="I302" t="n" s="3">
        <v>1</v>
      </c>
      <c r="J302" t="n" s="3">
        <v>5</v>
      </c>
      <c r="K302" s="3"/>
      <c r="L302" s="3"/>
      <c r="M302" s="3"/>
      <c r="N302" s="3"/>
      <c r="O302" s="3"/>
      <c r="P302" s="3"/>
      <c r="Q302" s="3"/>
      <c r="R302" s="3"/>
      <c r="S302" t="str" s="17">
        <v>本轮完整刷新挂接；有效坐标注入后验证</v>
      </c>
      <c r="T302" t="n" s="18">
        <v>1012703</v>
      </c>
      <c r="U302"/>
      <c r="V302"/>
      <c r="W302"/>
      <c r="X302"/>
      <c r="Y302"/>
      <c r="Z302"/>
      <c r="AA302"/>
    </row>
    <row r="303" ht="15" spans="1:20">
      <c r="A303" s="35"/>
      <c r="B303" t="n" s="17">
        <f>70000000+F303*10000+H303*1000+I303*100+J303</f>
        <v>70135201</v>
      </c>
      <c r="C303" t="str" s="38">
        <v>豁烟水-怪物6</v>
      </c>
      <c r="D303" s="3"/>
      <c r="E303" t="str" s="3">
        <f>F303&amp;(VLOOKUP(G303,编号表!$E$1:$G$8,2,0))&amp;H303&amp;"_"&amp;I303&amp;"_"&amp;J303</f>
        <v>13N5_2_1</v>
      </c>
      <c r="F303" t="n" s="3">
        <v>13</v>
      </c>
      <c r="G303" t="str" s="3">
        <v>怪物</v>
      </c>
      <c r="H303" t="n" s="3">
        <v>5</v>
      </c>
      <c r="I303" t="n" s="3">
        <v>2</v>
      </c>
      <c r="J303" t="n" s="3">
        <v>1</v>
      </c>
      <c r="K303" s="3"/>
      <c r="L303" s="3"/>
      <c r="M303" s="3"/>
      <c r="N303" s="3"/>
      <c r="O303" s="3"/>
      <c r="P303" s="3"/>
      <c r="Q303" s="3"/>
      <c r="R303" s="3"/>
      <c r="S303" t="str" s="17">
        <v>本轮完整刷新挂接；有效坐标注入后验证</v>
      </c>
      <c r="T303" t="n" s="18">
        <v>1012103</v>
      </c>
      <c r="U303"/>
      <c r="V303"/>
      <c r="W303"/>
      <c r="X303"/>
      <c r="Y303"/>
      <c r="Z303"/>
      <c r="AA303"/>
    </row>
    <row r="304" ht="15" spans="1:20">
      <c r="A304" s="35"/>
      <c r="B304" t="n" s="17">
        <f>70000000+F304*10000+H304*1000+I304*100+J304</f>
        <v>70135202</v>
      </c>
      <c r="C304" t="str" s="38">
        <v>豁烟水-怪物7</v>
      </c>
      <c r="D304" s="3"/>
      <c r="E304" t="str" s="3">
        <f>F304&amp;(VLOOKUP(G304,编号表!$E$1:$G$8,2,0))&amp;H304&amp;"_"&amp;I304&amp;"_"&amp;J304</f>
        <v>13N5_2_2</v>
      </c>
      <c r="F304" t="n" s="3">
        <v>13</v>
      </c>
      <c r="G304" t="str" s="3">
        <v>怪物</v>
      </c>
      <c r="H304" t="n" s="3">
        <v>5</v>
      </c>
      <c r="I304" t="n" s="3">
        <v>2</v>
      </c>
      <c r="J304" t="n" s="3">
        <v>2</v>
      </c>
      <c r="K304" s="3"/>
      <c r="L304" s="3"/>
      <c r="M304" s="3"/>
      <c r="N304" s="3"/>
      <c r="O304" s="3"/>
      <c r="P304" s="3"/>
      <c r="Q304" s="3"/>
      <c r="R304" s="3"/>
      <c r="S304" s="17"/>
      <c r="T304" s="18"/>
      <c r="U304"/>
      <c r="V304"/>
      <c r="W304"/>
      <c r="X304"/>
      <c r="Y304"/>
      <c r="Z304"/>
      <c r="AA304"/>
    </row>
    <row r="305" ht="15" spans="1:20">
      <c r="A305" s="35"/>
      <c r="B305" t="n" s="17">
        <f>70000000+F305*10000+H305*1000+I305*100+J305</f>
        <v>70135203</v>
      </c>
      <c r="C305" t="str" s="38">
        <v>豁烟水-怪物8</v>
      </c>
      <c r="D305" s="3"/>
      <c r="E305" t="str" s="3">
        <f>F305&amp;(VLOOKUP(G305,编号表!$E$1:$G$8,2,0))&amp;H305&amp;"_"&amp;I305&amp;"_"&amp;J305</f>
        <v>13N5_2_3</v>
      </c>
      <c r="F305" t="n" s="3">
        <v>13</v>
      </c>
      <c r="G305" t="str" s="3">
        <v>怪物</v>
      </c>
      <c r="H305" t="n" s="3">
        <v>5</v>
      </c>
      <c r="I305" t="n" s="3">
        <v>2</v>
      </c>
      <c r="J305" t="n" s="3">
        <v>3</v>
      </c>
      <c r="K305" s="3"/>
      <c r="L305" s="3"/>
      <c r="M305" s="3"/>
      <c r="N305" s="3"/>
      <c r="O305" s="3"/>
      <c r="P305" s="3"/>
      <c r="Q305" s="3"/>
      <c r="R305" s="3"/>
      <c r="S305" s="17"/>
      <c r="T305" s="18"/>
      <c r="U305"/>
      <c r="V305"/>
      <c r="W305"/>
      <c r="X305"/>
      <c r="Y305"/>
      <c r="Z305"/>
      <c r="AA305"/>
    </row>
    <row r="306" ht="15" spans="1:20">
      <c r="A306" s="35"/>
      <c r="B306" t="n" s="17">
        <f>70000000+F306*10000+H306*1000+I306*100+J306</f>
        <v>70135204</v>
      </c>
      <c r="C306" t="str" s="38">
        <v>豁烟水-怪物9</v>
      </c>
      <c r="D306" s="3"/>
      <c r="E306" t="str" s="3">
        <f>F306&amp;(VLOOKUP(G306,编号表!$E$1:$G$8,2,0))&amp;H306&amp;"_"&amp;I306&amp;"_"&amp;J306</f>
        <v>13N5_2_4</v>
      </c>
      <c r="F306" t="n" s="3">
        <v>13</v>
      </c>
      <c r="G306" t="str" s="3">
        <v>怪物</v>
      </c>
      <c r="H306" t="n" s="3">
        <v>5</v>
      </c>
      <c r="I306" t="n" s="3">
        <v>2</v>
      </c>
      <c r="J306" t="n" s="3">
        <v>4</v>
      </c>
      <c r="K306" s="3"/>
      <c r="L306" s="3"/>
      <c r="M306" s="3"/>
      <c r="N306" s="3"/>
      <c r="O306" s="3"/>
      <c r="P306" s="3"/>
      <c r="Q306" s="3"/>
      <c r="R306" s="3"/>
      <c r="S306" s="17"/>
      <c r="T306" s="18"/>
      <c r="U306"/>
      <c r="V306"/>
      <c r="W306"/>
      <c r="X306"/>
      <c r="Y306"/>
      <c r="Z306"/>
      <c r="AA306"/>
    </row>
    <row r="307" ht="13" customHeight="1" spans="1:20">
      <c r="A307" s="35"/>
      <c r="B307" t="n" s="17">
        <f>70000000+F307*10000+H307*1000+I307*100+J307</f>
        <v>70135205</v>
      </c>
      <c r="C307" t="str" s="38">
        <v>豁烟水-怪物10</v>
      </c>
      <c r="D307" s="3"/>
      <c r="E307" t="str" s="3">
        <f>F307&amp;(VLOOKUP(G307,编号表!$E$1:$G$8,2,0))&amp;H307&amp;"_"&amp;I307&amp;"_"&amp;J307</f>
        <v>13N5_2_5</v>
      </c>
      <c r="F307" t="n" s="3">
        <v>13</v>
      </c>
      <c r="G307" t="str" s="3">
        <v>怪物</v>
      </c>
      <c r="H307" t="n" s="3">
        <v>5</v>
      </c>
      <c r="I307" t="n" s="3">
        <v>2</v>
      </c>
      <c r="J307" t="n" s="3">
        <v>5</v>
      </c>
      <c r="K307" s="3"/>
      <c r="L307" s="3"/>
      <c r="M307" s="3"/>
      <c r="N307" s="3"/>
      <c r="O307" s="3"/>
      <c r="P307" s="3"/>
      <c r="Q307" s="3"/>
      <c r="R307" s="3"/>
      <c r="S307" s="17"/>
      <c r="T307" s="18"/>
      <c r="U307"/>
      <c r="V307"/>
      <c r="W307"/>
      <c r="X307"/>
      <c r="Y307"/>
      <c r="Z307"/>
      <c r="AA307"/>
    </row>
    <row r="308" ht="13" customHeight="1" spans="1:20">
      <c r="A308" s="35"/>
      <c r="B308" t="n" s="17">
        <f>70000000+F308*10000+H308*1000+I308*100+J308</f>
        <v>70135206</v>
      </c>
      <c r="C308" t="str" s="38">
        <v>豁烟水-怪物11</v>
      </c>
      <c r="D308" s="3"/>
      <c r="E308" t="str" s="3">
        <f>F308&amp;(VLOOKUP(G308,编号表!$E$1:$G$8,2,0))&amp;H308&amp;"_"&amp;I308&amp;"_"&amp;J308</f>
        <v>13N5_2_6</v>
      </c>
      <c r="F308" t="n" s="3">
        <v>13</v>
      </c>
      <c r="G308" t="str" s="3">
        <v>怪物</v>
      </c>
      <c r="H308" t="n" s="3">
        <v>5</v>
      </c>
      <c r="I308" t="n" s="3">
        <v>2</v>
      </c>
      <c r="J308" t="n" s="3">
        <v>6</v>
      </c>
      <c r="K308" s="3"/>
      <c r="L308" s="3"/>
      <c r="M308" s="3"/>
      <c r="N308" s="3"/>
      <c r="O308" s="3"/>
      <c r="P308" s="3"/>
      <c r="Q308" s="3"/>
      <c r="R308" s="3"/>
      <c r="S308" s="17"/>
      <c r="T308" s="18"/>
      <c r="U308"/>
      <c r="V308"/>
      <c r="W308"/>
      <c r="X308"/>
      <c r="Y308"/>
      <c r="Z308"/>
      <c r="AA308"/>
    </row>
    <row r="309" ht="13" customHeight="1" spans="1:20">
      <c r="A309" s="35"/>
      <c r="B309" t="n" s="17">
        <f>70000000+F309*10000+H309*1000+I309*100+J309</f>
        <v>70135301</v>
      </c>
      <c r="C309" t="str" s="38">
        <v>豁烟水-怪物12</v>
      </c>
      <c r="D309" s="3"/>
      <c r="E309" t="str" s="3">
        <f>F309&amp;(VLOOKUP(G309,编号表!$E$1:$G$8,2,0))&amp;H309&amp;"_"&amp;I309&amp;"_"&amp;J309</f>
        <v>13N5_3_1</v>
      </c>
      <c r="F309" t="n" s="3">
        <v>13</v>
      </c>
      <c r="G309" t="str" s="3">
        <v>怪物</v>
      </c>
      <c r="H309" t="n" s="3">
        <v>5</v>
      </c>
      <c r="I309" t="n" s="3">
        <v>3</v>
      </c>
      <c r="J309" t="n" s="3">
        <v>1</v>
      </c>
      <c r="K309" s="3"/>
      <c r="L309" s="3"/>
      <c r="M309" s="3"/>
      <c r="N309" s="3"/>
      <c r="O309" s="3"/>
      <c r="P309" s="3"/>
      <c r="Q309" s="3"/>
      <c r="R309" s="3"/>
      <c r="S309" s="17"/>
      <c r="T309" s="18"/>
      <c r="U309"/>
      <c r="V309"/>
      <c r="W309"/>
      <c r="X309"/>
      <c r="Y309"/>
      <c r="Z309"/>
      <c r="AA309"/>
    </row>
    <row r="310" ht="13" customHeight="1" spans="1:20">
      <c r="A310" s="35"/>
      <c r="B310" t="n" s="17">
        <f>70000000+F310*10000+H310*1000+I310*100+J310</f>
        <v>70135302</v>
      </c>
      <c r="C310" t="str" s="38">
        <v>豁烟水-怪物13</v>
      </c>
      <c r="D310" s="3"/>
      <c r="E310" t="str" s="3">
        <f>F310&amp;(VLOOKUP(G310,编号表!$E$1:$G$8,2,0))&amp;H310&amp;"_"&amp;I310&amp;"_"&amp;J310</f>
        <v>13N5_3_2</v>
      </c>
      <c r="F310" t="n" s="3">
        <v>13</v>
      </c>
      <c r="G310" t="str" s="3">
        <v>怪物</v>
      </c>
      <c r="H310" t="n" s="3">
        <v>5</v>
      </c>
      <c r="I310" t="n" s="3">
        <v>3</v>
      </c>
      <c r="J310" t="n" s="3">
        <v>2</v>
      </c>
      <c r="K310" s="3"/>
      <c r="L310" s="3"/>
      <c r="M310" s="3"/>
      <c r="N310" s="3"/>
      <c r="O310" s="3"/>
      <c r="P310" s="3"/>
      <c r="Q310" s="3"/>
      <c r="R310" s="3"/>
      <c r="S310" s="17"/>
      <c r="T310" s="18"/>
      <c r="U310"/>
      <c r="V310"/>
      <c r="W310"/>
      <c r="X310"/>
      <c r="Y310"/>
      <c r="Z310"/>
      <c r="AA310"/>
    </row>
    <row r="311" ht="13" customHeight="1" spans="1:20">
      <c r="A311" s="35"/>
      <c r="B311" t="n" s="17">
        <f>70000000+F311*10000+H311*1000+I311*100+J311</f>
        <v>70135303</v>
      </c>
      <c r="C311" t="str" s="38">
        <v>豁烟水-怪物14</v>
      </c>
      <c r="D311" s="3"/>
      <c r="E311" t="str" s="3">
        <f>F311&amp;(VLOOKUP(G311,编号表!$E$1:$G$8,2,0))&amp;H311&amp;"_"&amp;I311&amp;"_"&amp;J311</f>
        <v>13N5_3_3</v>
      </c>
      <c r="F311" t="n" s="3">
        <v>13</v>
      </c>
      <c r="G311" t="str" s="3">
        <v>怪物</v>
      </c>
      <c r="H311" t="n" s="3">
        <v>5</v>
      </c>
      <c r="I311" t="n" s="3">
        <v>3</v>
      </c>
      <c r="J311" t="n" s="3">
        <v>3</v>
      </c>
      <c r="K311" s="3"/>
      <c r="L311" s="3"/>
      <c r="M311" s="3"/>
      <c r="N311" s="3"/>
      <c r="O311" s="3"/>
      <c r="P311" s="3"/>
      <c r="Q311" s="3"/>
      <c r="R311" s="3"/>
      <c r="S311" s="17"/>
      <c r="T311" s="18"/>
      <c r="U311"/>
      <c r="V311"/>
      <c r="W311"/>
      <c r="X311"/>
      <c r="Y311"/>
      <c r="Z311"/>
      <c r="AA311"/>
    </row>
    <row r="312" ht="13" customHeight="1" spans="1:20">
      <c r="A312" s="35"/>
      <c r="B312" t="n" s="17">
        <f>70000000+F312*10000+H312*1000+I312*100+J312</f>
        <v>70135304</v>
      </c>
      <c r="C312" t="str" s="38">
        <v>豁烟水-怪物15</v>
      </c>
      <c r="D312" s="3"/>
      <c r="E312" t="str" s="3">
        <f>F312&amp;(VLOOKUP(G312,编号表!$E$1:$G$8,2,0))&amp;H312&amp;"_"&amp;I312&amp;"_"&amp;J312</f>
        <v>13N5_3_4</v>
      </c>
      <c r="F312" t="n" s="3">
        <v>13</v>
      </c>
      <c r="G312" t="str" s="3">
        <v>怪物</v>
      </c>
      <c r="H312" t="n" s="3">
        <v>5</v>
      </c>
      <c r="I312" t="n" s="3">
        <v>3</v>
      </c>
      <c r="J312" t="n" s="3">
        <v>4</v>
      </c>
      <c r="K312" s="3"/>
      <c r="L312" s="3"/>
      <c r="M312" s="3"/>
      <c r="N312" s="3"/>
      <c r="O312" s="3"/>
      <c r="P312" s="3"/>
      <c r="Q312" s="3"/>
      <c r="R312" s="3"/>
      <c r="S312" s="17"/>
      <c r="T312" s="18"/>
      <c r="U312"/>
      <c r="V312"/>
      <c r="W312"/>
      <c r="X312"/>
      <c r="Y312"/>
      <c r="Z312"/>
      <c r="AA312"/>
    </row>
    <row r="313" ht="13" customHeight="1" spans="1:20">
      <c r="A313" s="35"/>
      <c r="B313" t="n" s="17">
        <f>70000000+F313*10000+H313*1000+I313*100+J313</f>
        <v>70135305</v>
      </c>
      <c r="C313" t="str" s="38">
        <v>豁烟水-怪物16</v>
      </c>
      <c r="D313" s="3"/>
      <c r="E313" t="str" s="3">
        <f>F313&amp;(VLOOKUP(G313,编号表!$E$1:$G$8,2,0))&amp;H313&amp;"_"&amp;I313&amp;"_"&amp;J313</f>
        <v>13N5_3_5</v>
      </c>
      <c r="F313" t="n" s="3">
        <v>13</v>
      </c>
      <c r="G313" t="str" s="3">
        <v>怪物</v>
      </c>
      <c r="H313" t="n" s="3">
        <v>5</v>
      </c>
      <c r="I313" t="n" s="3">
        <v>3</v>
      </c>
      <c r="J313" t="n" s="3">
        <v>5</v>
      </c>
      <c r="K313" s="3"/>
      <c r="L313" s="3"/>
      <c r="M313" s="3"/>
      <c r="N313" s="3"/>
      <c r="O313" s="3"/>
      <c r="P313" s="3"/>
      <c r="Q313" s="3"/>
      <c r="R313" s="3"/>
      <c r="S313" s="17"/>
      <c r="T313" s="18"/>
      <c r="U313"/>
      <c r="V313"/>
      <c r="W313"/>
      <c r="X313"/>
      <c r="Y313"/>
      <c r="Z313"/>
      <c r="AA313"/>
    </row>
    <row r="314" ht="13" customHeight="1" spans="1:20">
      <c r="A314" s="35"/>
      <c r="B314" t="n" s="17">
        <f>70000000+F314*10000+H314*1000+I314*100+J314</f>
        <v>70135306</v>
      </c>
      <c r="C314" t="str" s="38">
        <v>豁烟水-怪物17</v>
      </c>
      <c r="D314" s="3"/>
      <c r="E314" t="str" s="3">
        <f>F314&amp;(VLOOKUP(G314,编号表!$E$1:$G$8,2,0))&amp;H314&amp;"_"&amp;I314&amp;"_"&amp;J314</f>
        <v>13N5_3_6</v>
      </c>
      <c r="F314" t="n" s="3">
        <v>13</v>
      </c>
      <c r="G314" t="str" s="3">
        <v>怪物</v>
      </c>
      <c r="H314" t="n" s="3">
        <v>5</v>
      </c>
      <c r="I314" t="n" s="3">
        <v>3</v>
      </c>
      <c r="J314" t="n" s="3">
        <v>6</v>
      </c>
      <c r="K314" s="3"/>
      <c r="L314" s="3"/>
      <c r="M314" s="3"/>
      <c r="N314" s="3"/>
      <c r="O314" s="3"/>
      <c r="P314" s="3"/>
      <c r="Q314" s="3"/>
      <c r="R314" s="3"/>
      <c r="S314" s="17"/>
      <c r="T314" s="18"/>
      <c r="U314"/>
      <c r="V314"/>
      <c r="W314"/>
      <c r="X314"/>
      <c r="Y314"/>
      <c r="Z314"/>
      <c r="AA314"/>
    </row>
    <row r="315" ht="13" customHeight="1" spans="1:20">
      <c r="A315" s="35"/>
      <c r="B315" t="n" s="17">
        <f>70000000+F315*10000+H315*1000+I315*100+J315</f>
        <v>70135401</v>
      </c>
      <c r="C315" t="str" s="38">
        <v>豁烟水-怪物18</v>
      </c>
      <c r="D315" s="3"/>
      <c r="E315" t="str" s="3">
        <f>F315&amp;(VLOOKUP(G315,编号表!$E$1:$G$8,2,0))&amp;H315&amp;"_"&amp;I315&amp;"_"&amp;J315</f>
        <v>13N5_4_1</v>
      </c>
      <c r="F315" t="n" s="3">
        <v>13</v>
      </c>
      <c r="G315" t="str" s="3">
        <v>怪物</v>
      </c>
      <c r="H315" t="n" s="3">
        <v>5</v>
      </c>
      <c r="I315" t="n" s="3">
        <v>4</v>
      </c>
      <c r="J315" t="n" s="3">
        <v>1</v>
      </c>
      <c r="K315" s="3"/>
      <c r="L315" s="3"/>
      <c r="M315" s="3"/>
      <c r="N315" s="3"/>
      <c r="O315" s="3"/>
      <c r="P315" s="3"/>
      <c r="Q315" s="3"/>
      <c r="R315" s="3"/>
      <c r="S315" s="17"/>
      <c r="T315" s="18"/>
      <c r="U315"/>
      <c r="V315"/>
      <c r="W315"/>
      <c r="X315"/>
      <c r="Y315"/>
      <c r="Z315"/>
      <c r="AA315"/>
    </row>
    <row r="316" ht="13" customHeight="1" spans="1:20">
      <c r="A316" s="35"/>
      <c r="B316" t="n" s="17">
        <f>70000000+F316*10000+H316*1000+I316*100+J316</f>
        <v>70135402</v>
      </c>
      <c r="C316" t="str" s="38">
        <v>豁烟水-怪物19</v>
      </c>
      <c r="D316" s="3"/>
      <c r="E316" t="str" s="3">
        <f>F316&amp;(VLOOKUP(G316,编号表!$E$1:$G$8,2,0))&amp;H316&amp;"_"&amp;I316&amp;"_"&amp;J316</f>
        <v>13N5_4_2</v>
      </c>
      <c r="F316" t="n" s="3">
        <v>13</v>
      </c>
      <c r="G316" t="str" s="3">
        <v>怪物</v>
      </c>
      <c r="H316" t="n" s="3">
        <v>5</v>
      </c>
      <c r="I316" t="n" s="3">
        <v>4</v>
      </c>
      <c r="J316" t="n" s="3">
        <v>2</v>
      </c>
      <c r="K316" s="3"/>
      <c r="L316" s="3"/>
      <c r="M316" s="3"/>
      <c r="N316" s="3"/>
      <c r="O316" s="3"/>
      <c r="P316" s="3"/>
      <c r="Q316" s="3"/>
      <c r="R316" s="3"/>
      <c r="S316" s="17"/>
      <c r="T316" s="18"/>
      <c r="U316"/>
      <c r="V316"/>
      <c r="W316"/>
      <c r="X316"/>
      <c r="Y316"/>
      <c r="Z316"/>
      <c r="AA316"/>
    </row>
    <row r="317" ht="13" customHeight="1" spans="1:20">
      <c r="A317" s="35"/>
      <c r="B317" t="n" s="17">
        <f>70000000+F317*10000+H317*1000+I317*100+J317</f>
        <v>70135403</v>
      </c>
      <c r="C317" t="str" s="38">
        <v>豁烟水-怪物20</v>
      </c>
      <c r="D317" s="3"/>
      <c r="E317" t="str" s="3">
        <f>F317&amp;(VLOOKUP(G317,编号表!$E$1:$G$8,2,0))&amp;H317&amp;"_"&amp;I317&amp;"_"&amp;J317</f>
        <v>13N5_4_3</v>
      </c>
      <c r="F317" t="n" s="3">
        <v>13</v>
      </c>
      <c r="G317" t="str" s="3">
        <v>怪物</v>
      </c>
      <c r="H317" t="n" s="3">
        <v>5</v>
      </c>
      <c r="I317" t="n" s="3">
        <v>4</v>
      </c>
      <c r="J317" t="n" s="3">
        <v>3</v>
      </c>
      <c r="K317" s="3"/>
      <c r="L317" s="3"/>
      <c r="M317" s="3"/>
      <c r="N317" s="3"/>
      <c r="O317" s="3"/>
      <c r="P317" s="3"/>
      <c r="Q317" s="3"/>
      <c r="R317" s="3"/>
      <c r="S317" s="17"/>
      <c r="T317" s="18"/>
      <c r="U317"/>
      <c r="V317"/>
      <c r="W317"/>
      <c r="X317"/>
      <c r="Y317"/>
      <c r="Z317"/>
      <c r="AA317"/>
    </row>
    <row r="318" ht="15" spans="1:20">
      <c r="A318" s="35"/>
      <c r="B318" t="n" s="17">
        <f>70000000+F318*10000+H318*1000+I318*100+J318</f>
        <v>70135001</v>
      </c>
      <c r="C318" t="str" s="39">
        <v>豁烟水-镜头</v>
      </c>
      <c r="D318" s="3"/>
      <c r="E318" t="str" s="3">
        <f>F318&amp;(VLOOKUP(G318,编号表!$E$1:$G$8,2,0))&amp;H318&amp;"_"&amp;I318&amp;"_"&amp;J318</f>
        <v>13J5_0_1</v>
      </c>
      <c r="F318" t="n" s="3">
        <v>13</v>
      </c>
      <c r="G318" t="str" s="3">
        <v>镜头</v>
      </c>
      <c r="H318" t="n" s="3">
        <v>5</v>
      </c>
      <c r="I318" t="n" s="3">
        <v>0</v>
      </c>
      <c r="J318" t="n" s="3">
        <v>1</v>
      </c>
      <c r="K318" t="n" s="3">
        <v>1</v>
      </c>
      <c r="L318" s="3"/>
      <c r="M318" s="3"/>
      <c r="N318" s="3"/>
      <c r="O318" s="3"/>
      <c r="P318" s="3"/>
      <c r="Q318" s="3"/>
      <c r="R318" s="3"/>
      <c r="S318" s="17"/>
      <c r="T318" s="18"/>
      <c r="U318"/>
      <c r="V318"/>
      <c r="W318"/>
      <c r="X318"/>
      <c r="Y318"/>
      <c r="Z318"/>
      <c r="AA318"/>
    </row>
    <row r="319" ht="15" spans="1:20">
      <c r="A319" s="35"/>
      <c r="B319" t="n" s="17">
        <f>70000000+F319*10000+H319*1000+I319*100+J319</f>
        <v>70131001</v>
      </c>
      <c r="C319" t="str" s="37">
        <v>豁烟水-传送</v>
      </c>
      <c r="D319" s="3"/>
      <c r="E319" t="str" s="3">
        <f>F319&amp;(VLOOKUP(G319,编号表!$E$1:$G$8,2,0))&amp;H319&amp;"_"&amp;I319&amp;"_"&amp;J319</f>
        <v>13T1_0_1</v>
      </c>
      <c r="F319" t="n" s="3">
        <v>13</v>
      </c>
      <c r="G319" t="str" s="3">
        <v>传送</v>
      </c>
      <c r="H319" t="n" s="3">
        <v>1</v>
      </c>
      <c r="I319" t="n" s="3">
        <v>0</v>
      </c>
      <c r="J319" t="n" s="3">
        <v>1</v>
      </c>
      <c r="K319" s="3"/>
      <c r="L319" t="n" s="3">
        <v>1</v>
      </c>
      <c r="M319" s="3"/>
      <c r="N319" s="3"/>
      <c r="O319" s="3"/>
      <c r="P319" s="3"/>
      <c r="Q319" s="3"/>
      <c r="R319" t="n" s="3">
        <v>70121002</v>
      </c>
      <c r="S319" s="17"/>
      <c r="T319" s="18"/>
      <c r="U319"/>
      <c r="V319"/>
      <c r="W319"/>
      <c r="X319"/>
      <c r="Y319"/>
      <c r="Z319"/>
      <c r="AA319"/>
    </row>
    <row r="320" ht="15" spans="1:20">
      <c r="A320" s="35"/>
      <c r="B320" t="n" s="17">
        <f>70000000+F320*10000+H320*1000+I320*100+J320</f>
        <v>70131002</v>
      </c>
      <c r="C320" t="str" s="37">
        <v>豁烟水-传送</v>
      </c>
      <c r="D320" s="3"/>
      <c r="E320" t="str" s="3">
        <f>F320&amp;(VLOOKUP(G320,编号表!$E$1:$G$8,2,0))&amp;H320&amp;"_"&amp;I320&amp;"_"&amp;J320</f>
        <v>13T1_0_2</v>
      </c>
      <c r="F320" t="n" s="3">
        <v>13</v>
      </c>
      <c r="G320" t="str" s="3">
        <v>传送</v>
      </c>
      <c r="H320" t="n" s="3">
        <v>1</v>
      </c>
      <c r="I320" t="n" s="3">
        <v>0</v>
      </c>
      <c r="J320" t="n" s="3">
        <v>2</v>
      </c>
      <c r="K320" s="3"/>
      <c r="L320" t="n" s="3">
        <v>1</v>
      </c>
      <c r="M320" s="3"/>
      <c r="N320" s="3"/>
      <c r="O320" s="3"/>
      <c r="P320" s="3"/>
      <c r="Q320" s="3"/>
      <c r="R320" t="n" s="3">
        <v>70141001</v>
      </c>
      <c r="S320" s="17"/>
      <c r="T320" s="18"/>
      <c r="U320"/>
      <c r="V320"/>
      <c r="W320"/>
      <c r="X320"/>
      <c r="Y320"/>
      <c r="Z320"/>
      <c r="AA320"/>
    </row>
    <row r="321" ht="15" spans="1:20">
      <c r="A321" s="35"/>
      <c r="B321" t="n" s="17">
        <f>70000000+F321*10000+H321*1000+I321*100+J321</f>
        <v>70132001</v>
      </c>
      <c r="C321" t="str" s="37">
        <v>豁烟水-小地图</v>
      </c>
      <c r="D321" s="3"/>
      <c r="E321" t="str" s="3">
        <f>F321&amp;(VLOOKUP(G321,编号表!$E$1:$G$8,2,0))&amp;H321&amp;"_"&amp;I321&amp;"_"&amp;J321</f>
        <v>13D2_0_1</v>
      </c>
      <c r="F321" t="n" s="3">
        <v>13</v>
      </c>
      <c r="G321" t="str" s="3">
        <v>小地图</v>
      </c>
      <c r="H321" t="n" s="3">
        <v>2</v>
      </c>
      <c r="I321" t="n" s="3">
        <v>0</v>
      </c>
      <c r="J321" t="n" s="3">
        <v>1</v>
      </c>
      <c r="K321" s="3"/>
      <c r="L321" s="3"/>
      <c r="M321" t="n" s="3">
        <v>1</v>
      </c>
      <c r="N321" s="3"/>
      <c r="O321" s="3"/>
      <c r="P321" s="3"/>
      <c r="Q321" s="3"/>
      <c r="R321" s="3"/>
      <c r="S321" s="17"/>
      <c r="T321" s="18"/>
      <c r="U321"/>
      <c r="V321"/>
      <c r="W321"/>
      <c r="X321"/>
      <c r="Y321"/>
      <c r="Z321"/>
      <c r="AA321"/>
    </row>
    <row r="322" ht="15" spans="1:20">
      <c r="A322" s="35"/>
      <c r="B322" t="n" s="17">
        <f>70000000+F322*10000+H322*1000+I322*100+J322</f>
        <v>70145101</v>
      </c>
      <c r="C322" t="str" s="38">
        <v>密荷影-怪物1</v>
      </c>
      <c r="D322" s="3"/>
      <c r="E322" t="str" s="3">
        <f>F322&amp;(VLOOKUP(G322,编号表!$E$1:$G$8,2,0))&amp;H322&amp;"_"&amp;I322&amp;"_"&amp;J322</f>
        <v>14N5_1_1</v>
      </c>
      <c r="F322" t="n" s="3">
        <v>14</v>
      </c>
      <c r="G322" t="str" s="3">
        <v>怪物</v>
      </c>
      <c r="H322" t="n" s="3">
        <v>5</v>
      </c>
      <c r="I322" t="n" s="3">
        <v>1</v>
      </c>
      <c r="J322" t="n" s="3">
        <v>1</v>
      </c>
      <c r="K322" s="3"/>
      <c r="L322" s="3"/>
      <c r="M322" s="3"/>
      <c r="N322" s="3"/>
      <c r="O322" s="3"/>
      <c r="P322" s="3"/>
      <c r="Q322" s="3"/>
      <c r="R322" s="3"/>
      <c r="S322" t="str" s="17">
        <v>本轮完整刷新挂接；有效坐标注入后验证</v>
      </c>
      <c r="T322" t="n" s="18">
        <v>1013303</v>
      </c>
      <c r="U322"/>
      <c r="V322"/>
      <c r="W322"/>
      <c r="X322"/>
      <c r="Y322"/>
      <c r="Z322"/>
      <c r="AA322"/>
    </row>
    <row r="323" ht="15" spans="1:20">
      <c r="A323" s="35"/>
      <c r="B323" t="n" s="17">
        <f>70000000+F323*10000+H323*1000+I323*100+J323</f>
        <v>70145102</v>
      </c>
      <c r="C323" t="str" s="38">
        <v>密荷影-怪物2</v>
      </c>
      <c r="D323" s="3"/>
      <c r="E323" t="str" s="3">
        <f>F323&amp;(VLOOKUP(G323,编号表!$E$1:$G$8,2,0))&amp;H323&amp;"_"&amp;I323&amp;"_"&amp;J323</f>
        <v>14N5_1_2</v>
      </c>
      <c r="F323" t="n" s="3">
        <v>14</v>
      </c>
      <c r="G323" t="str" s="3">
        <v>怪物</v>
      </c>
      <c r="H323" t="n" s="3">
        <v>5</v>
      </c>
      <c r="I323" t="n" s="3">
        <v>1</v>
      </c>
      <c r="J323" t="n" s="3">
        <v>2</v>
      </c>
      <c r="K323" s="3"/>
      <c r="L323" s="3"/>
      <c r="M323" s="3"/>
      <c r="N323" s="3"/>
      <c r="O323" s="3"/>
      <c r="P323" s="3"/>
      <c r="Q323" s="3"/>
      <c r="R323" s="3"/>
      <c r="S323" t="str" s="17">
        <v>本轮完整刷新挂接；有效坐标注入后验证</v>
      </c>
      <c r="T323" t="n" s="18">
        <v>1013403</v>
      </c>
      <c r="U323"/>
      <c r="V323"/>
      <c r="W323"/>
      <c r="X323"/>
      <c r="Y323"/>
      <c r="Z323"/>
      <c r="AA323"/>
    </row>
    <row r="324" ht="15" spans="1:20">
      <c r="A324" s="35"/>
      <c r="B324" t="n" s="17">
        <f>70000000+F324*10000+H324*1000+I324*100+J324</f>
        <v>70145103</v>
      </c>
      <c r="C324" t="str" s="38">
        <v>密荷影-怪物3</v>
      </c>
      <c r="D324" s="3"/>
      <c r="E324" t="str" s="3">
        <f>F324&amp;(VLOOKUP(G324,编号表!$E$1:$G$8,2,0))&amp;H324&amp;"_"&amp;I324&amp;"_"&amp;J324</f>
        <v>14N5_1_3</v>
      </c>
      <c r="F324" t="n" s="3">
        <v>14</v>
      </c>
      <c r="G324" t="str" s="3">
        <v>怪物</v>
      </c>
      <c r="H324" t="n" s="3">
        <v>5</v>
      </c>
      <c r="I324" t="n" s="3">
        <v>1</v>
      </c>
      <c r="J324" t="n" s="3">
        <v>3</v>
      </c>
      <c r="K324" s="3"/>
      <c r="L324" s="3"/>
      <c r="M324" s="3"/>
      <c r="N324" s="3"/>
      <c r="O324" s="3"/>
      <c r="P324" s="3"/>
      <c r="Q324" s="3"/>
      <c r="R324" s="3"/>
      <c r="S324" t="str" s="17">
        <v>本轮完整刷新挂接；有效坐标注入后验证</v>
      </c>
      <c r="T324" t="n" s="18">
        <v>1013503</v>
      </c>
      <c r="U324"/>
      <c r="V324"/>
      <c r="W324"/>
      <c r="X324"/>
      <c r="Y324"/>
      <c r="Z324"/>
      <c r="AA324"/>
    </row>
    <row r="325" ht="15" spans="1:20">
      <c r="A325" s="35"/>
      <c r="B325" t="n" s="17">
        <f>70000000+F325*10000+H325*1000+I325*100+J325</f>
        <v>70145104</v>
      </c>
      <c r="C325" t="str" s="38">
        <v>密荷影-怪物4</v>
      </c>
      <c r="D325" s="3"/>
      <c r="E325" t="str" s="3">
        <f>F325&amp;(VLOOKUP(G325,编号表!$E$1:$G$8,2,0))&amp;H325&amp;"_"&amp;I325&amp;"_"&amp;J325</f>
        <v>14N5_1_4</v>
      </c>
      <c r="F325" t="n" s="3">
        <v>14</v>
      </c>
      <c r="G325" t="str" s="3">
        <v>怪物</v>
      </c>
      <c r="H325" t="n" s="3">
        <v>5</v>
      </c>
      <c r="I325" t="n" s="3">
        <v>1</v>
      </c>
      <c r="J325" t="n" s="3">
        <v>4</v>
      </c>
      <c r="K325" s="3"/>
      <c r="L325" s="3"/>
      <c r="M325" s="3"/>
      <c r="N325" s="3"/>
      <c r="O325" s="3"/>
      <c r="P325" s="3"/>
      <c r="Q325" s="3"/>
      <c r="R325" s="3"/>
      <c r="S325" t="str" s="17">
        <v>本轮完整刷新挂接；有效坐标注入后验证</v>
      </c>
      <c r="T325" t="n" s="18">
        <v>1013603</v>
      </c>
      <c r="U325"/>
      <c r="V325"/>
      <c r="W325"/>
      <c r="X325"/>
      <c r="Y325"/>
      <c r="Z325"/>
      <c r="AA325"/>
    </row>
    <row r="326" ht="15" spans="1:20">
      <c r="A326" s="35"/>
      <c r="B326" t="n" s="17">
        <f>70000000+F326*10000+H326*1000+I326*100+J326</f>
        <v>70145105</v>
      </c>
      <c r="C326" t="str" s="38">
        <v>密荷影-怪物5</v>
      </c>
      <c r="D326" s="3"/>
      <c r="E326" t="str" s="3">
        <f>F326&amp;(VLOOKUP(G326,编号表!$E$1:$G$8,2,0))&amp;H326&amp;"_"&amp;I326&amp;"_"&amp;J326</f>
        <v>14N5_1_5</v>
      </c>
      <c r="F326" t="n" s="3">
        <v>14</v>
      </c>
      <c r="G326" t="str" s="3">
        <v>怪物</v>
      </c>
      <c r="H326" t="n" s="3">
        <v>5</v>
      </c>
      <c r="I326" t="n" s="3">
        <v>1</v>
      </c>
      <c r="J326" t="n" s="3">
        <v>5</v>
      </c>
      <c r="K326" s="3"/>
      <c r="L326" s="3"/>
      <c r="M326" s="3"/>
      <c r="N326" s="3"/>
      <c r="O326" s="3"/>
      <c r="P326" s="3"/>
      <c r="Q326" s="3"/>
      <c r="R326" s="3"/>
      <c r="S326" t="str" s="17">
        <v>本轮完整刷新挂接；有效坐标注入后验证</v>
      </c>
      <c r="T326" t="n" s="18">
        <v>1013103</v>
      </c>
      <c r="U326"/>
      <c r="V326"/>
      <c r="W326"/>
      <c r="X326"/>
      <c r="Y326"/>
      <c r="Z326"/>
      <c r="AA326"/>
    </row>
    <row r="327" ht="15" spans="1:20">
      <c r="A327" s="35"/>
      <c r="B327" t="n" s="17">
        <f>70000000+F327*10000+H327*1000+I327*100+J327</f>
        <v>70145106</v>
      </c>
      <c r="C327" t="str" s="38">
        <v>密荷影-怪物6</v>
      </c>
      <c r="D327" s="3"/>
      <c r="E327" t="str" s="3">
        <f>F327&amp;(VLOOKUP(G327,编号表!$E$1:$G$8,2,0))&amp;H327&amp;"_"&amp;I327&amp;"_"&amp;J327</f>
        <v>14N5_1_6</v>
      </c>
      <c r="F327" t="n" s="3">
        <v>14</v>
      </c>
      <c r="G327" t="str" s="3">
        <v>怪物</v>
      </c>
      <c r="H327" t="n" s="3">
        <v>5</v>
      </c>
      <c r="I327" t="n" s="3">
        <v>1</v>
      </c>
      <c r="J327" t="n" s="3">
        <v>6</v>
      </c>
      <c r="K327" s="3"/>
      <c r="L327" s="3"/>
      <c r="M327" s="3"/>
      <c r="N327" s="3"/>
      <c r="O327" s="3"/>
      <c r="P327" s="3"/>
      <c r="Q327" s="3"/>
      <c r="R327" s="3"/>
      <c r="S327" s="17"/>
      <c r="T327" s="18"/>
      <c r="U327"/>
      <c r="V327"/>
      <c r="W327"/>
      <c r="X327"/>
      <c r="Y327"/>
      <c r="Z327"/>
      <c r="AA327"/>
    </row>
    <row r="328" ht="15" spans="1:20">
      <c r="A328" s="35"/>
      <c r="B328" t="n" s="17">
        <f>70000000+F328*10000+H328*1000+I328*100+J328</f>
        <v>70145107</v>
      </c>
      <c r="C328" t="str" s="38">
        <v>密荷影-怪物7</v>
      </c>
      <c r="D328" s="3"/>
      <c r="E328" t="str" s="3">
        <f>F328&amp;(VLOOKUP(G328,编号表!$E$1:$G$8,2,0))&amp;H328&amp;"_"&amp;I328&amp;"_"&amp;J328</f>
        <v>14N5_1_7</v>
      </c>
      <c r="F328" t="n" s="3">
        <v>14</v>
      </c>
      <c r="G328" t="str" s="3">
        <v>怪物</v>
      </c>
      <c r="H328" t="n" s="3">
        <v>5</v>
      </c>
      <c r="I328" t="n" s="3">
        <v>1</v>
      </c>
      <c r="J328" t="n" s="3">
        <v>7</v>
      </c>
      <c r="K328" s="3"/>
      <c r="L328" s="3"/>
      <c r="M328" s="3"/>
      <c r="N328" s="3"/>
      <c r="O328" s="3"/>
      <c r="P328" s="3"/>
      <c r="Q328" s="3"/>
      <c r="R328" s="3"/>
      <c r="S328" s="17"/>
      <c r="T328" s="18"/>
      <c r="U328"/>
      <c r="V328"/>
      <c r="W328"/>
      <c r="X328"/>
      <c r="Y328"/>
      <c r="Z328"/>
      <c r="AA328"/>
    </row>
    <row r="329" ht="15" spans="1:20">
      <c r="A329" s="35"/>
      <c r="B329" t="n" s="17">
        <f>70000000+F329*10000+H329*1000+I329*100+J329</f>
        <v>70145201</v>
      </c>
      <c r="C329" t="str" s="38">
        <v>密荷影-怪物8</v>
      </c>
      <c r="D329" s="3"/>
      <c r="E329" t="str" s="3">
        <f>F329&amp;(VLOOKUP(G329,编号表!$E$1:$G$8,2,0))&amp;H329&amp;"_"&amp;I329&amp;"_"&amp;J329</f>
        <v>14N5_2_1</v>
      </c>
      <c r="F329" t="n" s="3">
        <v>14</v>
      </c>
      <c r="G329" t="str" s="3">
        <v>怪物</v>
      </c>
      <c r="H329" t="n" s="3">
        <v>5</v>
      </c>
      <c r="I329" t="n" s="3">
        <v>2</v>
      </c>
      <c r="J329" t="n" s="3">
        <v>1</v>
      </c>
      <c r="K329" s="3"/>
      <c r="L329" s="3"/>
      <c r="M329" s="3"/>
      <c r="N329" s="3"/>
      <c r="O329" s="3"/>
      <c r="P329" s="3"/>
      <c r="Q329" s="3"/>
      <c r="R329" s="3"/>
      <c r="S329" s="17"/>
      <c r="T329" s="18"/>
      <c r="U329"/>
      <c r="V329"/>
      <c r="W329"/>
      <c r="X329"/>
      <c r="Y329"/>
      <c r="Z329"/>
      <c r="AA329"/>
    </row>
    <row r="330" ht="15" spans="1:20">
      <c r="A330" s="35"/>
      <c r="B330" t="n" s="17">
        <f>70000000+F330*10000+H330*1000+I330*100+J330</f>
        <v>70145202</v>
      </c>
      <c r="C330" t="str" s="38">
        <v>密荷影-怪物9</v>
      </c>
      <c r="D330" s="3"/>
      <c r="E330" t="str" s="3">
        <f>F330&amp;(VLOOKUP(G330,编号表!$E$1:$G$8,2,0))&amp;H330&amp;"_"&amp;I330&amp;"_"&amp;J330</f>
        <v>14N5_2_2</v>
      </c>
      <c r="F330" t="n" s="3">
        <v>14</v>
      </c>
      <c r="G330" t="str" s="3">
        <v>怪物</v>
      </c>
      <c r="H330" t="n" s="3">
        <v>5</v>
      </c>
      <c r="I330" t="n" s="3">
        <v>2</v>
      </c>
      <c r="J330" t="n" s="3">
        <v>2</v>
      </c>
      <c r="K330" s="3"/>
      <c r="L330" s="3"/>
      <c r="M330" s="3"/>
      <c r="N330" s="3"/>
      <c r="O330" s="3"/>
      <c r="P330" s="3"/>
      <c r="Q330" s="3"/>
      <c r="R330" s="3"/>
      <c r="S330" s="17"/>
      <c r="T330" s="18"/>
      <c r="U330"/>
      <c r="V330"/>
      <c r="W330"/>
      <c r="X330"/>
      <c r="Y330"/>
      <c r="Z330"/>
      <c r="AA330"/>
    </row>
    <row r="331" ht="15" spans="1:20">
      <c r="A331" s="35"/>
      <c r="B331" t="n" s="17">
        <f>70000000+F331*10000+H331*1000+I331*100+J331</f>
        <v>70145203</v>
      </c>
      <c r="C331" t="str" s="38">
        <v>密荷影-怪物10</v>
      </c>
      <c r="D331" s="3"/>
      <c r="E331" t="str" s="3">
        <f>F331&amp;(VLOOKUP(G331,编号表!$E$1:$G$8,2,0))&amp;H331&amp;"_"&amp;I331&amp;"_"&amp;J331</f>
        <v>14N5_2_3</v>
      </c>
      <c r="F331" t="n" s="3">
        <v>14</v>
      </c>
      <c r="G331" t="str" s="3">
        <v>怪物</v>
      </c>
      <c r="H331" t="n" s="3">
        <v>5</v>
      </c>
      <c r="I331" t="n" s="3">
        <v>2</v>
      </c>
      <c r="J331" t="n" s="3">
        <v>3</v>
      </c>
      <c r="K331" s="3"/>
      <c r="L331" s="3"/>
      <c r="M331" s="3"/>
      <c r="N331" s="3"/>
      <c r="O331" s="3"/>
      <c r="P331" s="3"/>
      <c r="Q331" s="3"/>
      <c r="R331" s="3"/>
      <c r="S331" s="17"/>
      <c r="T331" s="18"/>
      <c r="U331"/>
      <c r="V331"/>
      <c r="W331"/>
      <c r="X331"/>
      <c r="Y331"/>
      <c r="Z331"/>
      <c r="AA331"/>
    </row>
    <row r="332" ht="15" spans="1:20">
      <c r="A332" s="35"/>
      <c r="B332" t="n" s="17">
        <f>70000000+F332*10000+H332*1000+I332*100+J332</f>
        <v>70145204</v>
      </c>
      <c r="C332" t="str" s="38">
        <v>密荷影-怪物11</v>
      </c>
      <c r="D332" s="3"/>
      <c r="E332" t="str" s="3">
        <f>F332&amp;(VLOOKUP(G332,编号表!$E$1:$G$8,2,0))&amp;H332&amp;"_"&amp;I332&amp;"_"&amp;J332</f>
        <v>14N5_2_4</v>
      </c>
      <c r="F332" t="n" s="3">
        <v>14</v>
      </c>
      <c r="G332" t="str" s="3">
        <v>怪物</v>
      </c>
      <c r="H332" t="n" s="3">
        <v>5</v>
      </c>
      <c r="I332" t="n" s="3">
        <v>2</v>
      </c>
      <c r="J332" t="n" s="3">
        <v>4</v>
      </c>
      <c r="K332" s="3"/>
      <c r="L332" s="3"/>
      <c r="M332" s="3"/>
      <c r="N332" s="3"/>
      <c r="O332" s="3"/>
      <c r="P332" s="3"/>
      <c r="Q332" s="3"/>
      <c r="R332" s="3"/>
      <c r="S332" s="17"/>
      <c r="T332" s="18"/>
      <c r="U332"/>
      <c r="V332"/>
      <c r="W332"/>
      <c r="X332"/>
      <c r="Y332"/>
      <c r="Z332"/>
      <c r="AA332"/>
    </row>
    <row r="333" ht="15" spans="1:20">
      <c r="A333" s="35"/>
      <c r="B333" t="n" s="17">
        <f>70000000+F333*10000+H333*1000+I333*100+J333</f>
        <v>70145205</v>
      </c>
      <c r="C333" t="str" s="38">
        <v>密荷影-怪物12</v>
      </c>
      <c r="D333" s="3"/>
      <c r="E333" t="str" s="3">
        <f>F333&amp;(VLOOKUP(G333,编号表!$E$1:$G$8,2,0))&amp;H333&amp;"_"&amp;I333&amp;"_"&amp;J333</f>
        <v>14N5_2_5</v>
      </c>
      <c r="F333" t="n" s="3">
        <v>14</v>
      </c>
      <c r="G333" t="str" s="3">
        <v>怪物</v>
      </c>
      <c r="H333" t="n" s="3">
        <v>5</v>
      </c>
      <c r="I333" t="n" s="3">
        <v>2</v>
      </c>
      <c r="J333" t="n" s="3">
        <v>5</v>
      </c>
      <c r="K333" s="3"/>
      <c r="L333" s="3"/>
      <c r="M333" s="3"/>
      <c r="N333" s="3"/>
      <c r="O333" s="3"/>
      <c r="P333" s="3"/>
      <c r="Q333" s="3"/>
      <c r="R333" s="3"/>
      <c r="S333" s="17"/>
      <c r="T333" s="18"/>
      <c r="U333"/>
      <c r="V333"/>
      <c r="W333"/>
      <c r="X333"/>
      <c r="Y333"/>
      <c r="Z333"/>
      <c r="AA333"/>
    </row>
    <row r="334" ht="15" spans="1:20">
      <c r="A334" s="35"/>
      <c r="B334" t="n" s="17">
        <f>70000000+F334*10000+H334*1000+I334*100+J334</f>
        <v>70145301</v>
      </c>
      <c r="C334" t="str" s="38">
        <v>密荷影-怪物13</v>
      </c>
      <c r="D334" s="3"/>
      <c r="E334" t="str" s="3">
        <f>F334&amp;(VLOOKUP(G334,编号表!$E$1:$G$8,2,0))&amp;H334&amp;"_"&amp;I334&amp;"_"&amp;J334</f>
        <v>14N5_3_1</v>
      </c>
      <c r="F334" t="n" s="3">
        <v>14</v>
      </c>
      <c r="G334" t="str" s="3">
        <v>怪物</v>
      </c>
      <c r="H334" t="n" s="3">
        <v>5</v>
      </c>
      <c r="I334" t="n" s="3">
        <v>3</v>
      </c>
      <c r="J334" t="n" s="3">
        <v>1</v>
      </c>
      <c r="K334" s="3"/>
      <c r="L334" s="3"/>
      <c r="M334" s="3"/>
      <c r="N334" s="3"/>
      <c r="O334" s="3"/>
      <c r="P334" s="3"/>
      <c r="Q334" s="3"/>
      <c r="R334" s="3"/>
      <c r="S334" s="17"/>
      <c r="T334" s="18"/>
      <c r="U334"/>
      <c r="V334"/>
      <c r="W334"/>
      <c r="X334"/>
      <c r="Y334"/>
      <c r="Z334"/>
      <c r="AA334"/>
    </row>
    <row r="335" ht="15" spans="1:20">
      <c r="A335" s="35"/>
      <c r="B335" t="n" s="17">
        <f>70000000+F335*10000+H335*1000+I335*100+J335</f>
        <v>70145302</v>
      </c>
      <c r="C335" t="str" s="38">
        <v>密荷影-怪物14</v>
      </c>
      <c r="D335" s="3"/>
      <c r="E335" t="str" s="3">
        <f>F335&amp;(VLOOKUP(G335,编号表!$E$1:$G$8,2,0))&amp;H335&amp;"_"&amp;I335&amp;"_"&amp;J335</f>
        <v>14N5_3_2</v>
      </c>
      <c r="F335" t="n" s="3">
        <v>14</v>
      </c>
      <c r="G335" t="str" s="3">
        <v>怪物</v>
      </c>
      <c r="H335" t="n" s="3">
        <v>5</v>
      </c>
      <c r="I335" t="n" s="3">
        <v>3</v>
      </c>
      <c r="J335" t="n" s="3">
        <v>2</v>
      </c>
      <c r="K335" s="3"/>
      <c r="L335" s="3"/>
      <c r="M335" s="3"/>
      <c r="N335" s="3"/>
      <c r="O335" s="3"/>
      <c r="P335" s="3"/>
      <c r="Q335" s="3"/>
      <c r="R335" s="3"/>
      <c r="S335" s="17"/>
      <c r="T335" s="18"/>
      <c r="U335"/>
      <c r="V335"/>
      <c r="W335"/>
      <c r="X335"/>
      <c r="Y335"/>
      <c r="Z335"/>
      <c r="AA335"/>
    </row>
    <row r="336" ht="15" spans="1:20">
      <c r="A336" s="35"/>
      <c r="B336" t="n" s="17">
        <f>70000000+F336*10000+H336*1000+I336*100+J336</f>
        <v>70145303</v>
      </c>
      <c r="C336" t="str" s="38">
        <v>密荷影-怪物15</v>
      </c>
      <c r="D336" s="3"/>
      <c r="E336" t="str" s="3">
        <f>F336&amp;(VLOOKUP(G336,编号表!$E$1:$G$8,2,0))&amp;H336&amp;"_"&amp;I336&amp;"_"&amp;J336</f>
        <v>14N5_3_3</v>
      </c>
      <c r="F336" t="n" s="3">
        <v>14</v>
      </c>
      <c r="G336" t="str" s="3">
        <v>怪物</v>
      </c>
      <c r="H336" t="n" s="3">
        <v>5</v>
      </c>
      <c r="I336" t="n" s="3">
        <v>3</v>
      </c>
      <c r="J336" t="n" s="3">
        <v>3</v>
      </c>
      <c r="K336" s="3"/>
      <c r="L336" s="3"/>
      <c r="M336" s="3"/>
      <c r="N336" s="3"/>
      <c r="O336" s="3"/>
      <c r="P336" s="3"/>
      <c r="Q336" s="3"/>
      <c r="R336" s="3"/>
      <c r="S336" s="17"/>
      <c r="T336" s="18"/>
      <c r="U336"/>
      <c r="V336"/>
      <c r="W336"/>
      <c r="X336"/>
      <c r="Y336"/>
      <c r="Z336"/>
      <c r="AA336"/>
    </row>
    <row r="337" ht="15" spans="1:20">
      <c r="A337" s="35"/>
      <c r="B337" t="n" s="17">
        <f>70000000+F337*10000+H337*1000+I337*100+J337</f>
        <v>70145304</v>
      </c>
      <c r="C337" t="str" s="38">
        <v>密荷影-怪物16</v>
      </c>
      <c r="D337" s="3"/>
      <c r="E337" t="str" s="3">
        <f>F337&amp;(VLOOKUP(G337,编号表!$E$1:$G$8,2,0))&amp;H337&amp;"_"&amp;I337&amp;"_"&amp;J337</f>
        <v>14N5_3_4</v>
      </c>
      <c r="F337" t="n" s="3">
        <v>14</v>
      </c>
      <c r="G337" t="str" s="3">
        <v>怪物</v>
      </c>
      <c r="H337" t="n" s="3">
        <v>5</v>
      </c>
      <c r="I337" t="n" s="3">
        <v>3</v>
      </c>
      <c r="J337" t="n" s="3">
        <v>4</v>
      </c>
      <c r="K337" s="3"/>
      <c r="L337" s="3"/>
      <c r="M337" s="3"/>
      <c r="N337" s="3"/>
      <c r="O337" s="3"/>
      <c r="P337" s="3"/>
      <c r="Q337" s="3"/>
      <c r="R337" s="3"/>
      <c r="S337" s="17"/>
      <c r="T337" s="18"/>
      <c r="U337"/>
      <c r="V337"/>
      <c r="W337"/>
      <c r="X337"/>
      <c r="Y337"/>
      <c r="Z337"/>
      <c r="AA337"/>
    </row>
    <row r="338" ht="15" spans="1:20">
      <c r="A338" s="35"/>
      <c r="B338" t="n" s="17">
        <f>70000000+F338*10000+H338*1000+I338*100+J338</f>
        <v>70145305</v>
      </c>
      <c r="C338" t="str" s="38">
        <v>密荷影-怪物17</v>
      </c>
      <c r="D338" s="3"/>
      <c r="E338" t="str" s="3">
        <f>F338&amp;(VLOOKUP(G338,编号表!$E$1:$G$8,2,0))&amp;H338&amp;"_"&amp;I338&amp;"_"&amp;J338</f>
        <v>14N5_3_5</v>
      </c>
      <c r="F338" t="n" s="3">
        <v>14</v>
      </c>
      <c r="G338" t="str" s="3">
        <v>怪物</v>
      </c>
      <c r="H338" t="n" s="3">
        <v>5</v>
      </c>
      <c r="I338" t="n" s="3">
        <v>3</v>
      </c>
      <c r="J338" t="n" s="3">
        <v>5</v>
      </c>
      <c r="K338" s="3"/>
      <c r="L338" s="3"/>
      <c r="M338" s="3"/>
      <c r="N338" s="3"/>
      <c r="O338" s="3"/>
      <c r="P338" s="3"/>
      <c r="Q338" s="3"/>
      <c r="R338" s="3"/>
      <c r="S338" s="17"/>
      <c r="T338" s="18"/>
      <c r="U338"/>
      <c r="V338"/>
      <c r="W338"/>
      <c r="X338"/>
      <c r="Y338"/>
      <c r="Z338"/>
      <c r="AA338"/>
    </row>
    <row r="339" ht="15" spans="1:20">
      <c r="A339" s="35"/>
      <c r="B339" t="n" s="17">
        <f>70000000+F339*10000+H339*1000+I339*100+J339</f>
        <v>70145001</v>
      </c>
      <c r="C339" t="str" s="39">
        <v>密荷影-镜头</v>
      </c>
      <c r="D339" s="3"/>
      <c r="E339" t="str" s="3">
        <f>F339&amp;(VLOOKUP(G339,编号表!$E$1:$G$8,2,0))&amp;H339&amp;"_"&amp;I339&amp;"_"&amp;J339</f>
        <v>14J5_0_1</v>
      </c>
      <c r="F339" t="n" s="3">
        <v>14</v>
      </c>
      <c r="G339" t="str" s="3">
        <v>镜头</v>
      </c>
      <c r="H339" t="n" s="3">
        <v>5</v>
      </c>
      <c r="I339" t="n" s="3">
        <v>0</v>
      </c>
      <c r="J339" t="n" s="3">
        <v>1</v>
      </c>
      <c r="K339" t="n" s="3">
        <v>1</v>
      </c>
      <c r="L339" s="3"/>
      <c r="M339" s="3"/>
      <c r="N339" s="3"/>
      <c r="O339" s="3"/>
      <c r="P339" s="3"/>
      <c r="Q339" s="3"/>
      <c r="R339" s="3"/>
      <c r="S339" s="17"/>
      <c r="T339" s="18"/>
      <c r="U339"/>
      <c r="V339"/>
      <c r="W339"/>
      <c r="X339"/>
      <c r="Y339"/>
      <c r="Z339"/>
      <c r="AA339"/>
    </row>
    <row r="340" ht="15" spans="1:20">
      <c r="A340" s="35"/>
      <c r="B340" t="n" s="17">
        <f>70000000+F340*10000+H340*1000+I340*100+J340</f>
        <v>70141001</v>
      </c>
      <c r="C340" t="str" s="37">
        <v>密荷影-传送</v>
      </c>
      <c r="D340" s="3"/>
      <c r="E340" t="str" s="3">
        <f>F340&amp;(VLOOKUP(G340,编号表!$E$1:$G$8,2,0))&amp;H340&amp;"_"&amp;I340&amp;"_"&amp;J340</f>
        <v>14T1_0_1</v>
      </c>
      <c r="F340" t="n" s="3">
        <v>14</v>
      </c>
      <c r="G340" t="str" s="3">
        <v>传送</v>
      </c>
      <c r="H340" t="n" s="3">
        <v>1</v>
      </c>
      <c r="I340" t="n" s="3">
        <v>0</v>
      </c>
      <c r="J340" t="n" s="3">
        <v>1</v>
      </c>
      <c r="K340" s="3"/>
      <c r="L340" t="n" s="3">
        <v>1</v>
      </c>
      <c r="M340" s="3"/>
      <c r="N340" s="3"/>
      <c r="O340" s="3"/>
      <c r="P340" s="3"/>
      <c r="Q340" s="3"/>
      <c r="R340" t="n" s="3">
        <v>70131002</v>
      </c>
      <c r="S340" s="17"/>
      <c r="T340" s="18"/>
      <c r="U340"/>
      <c r="V340"/>
      <c r="W340"/>
      <c r="X340"/>
      <c r="Y340"/>
      <c r="Z340"/>
      <c r="AA340"/>
    </row>
    <row r="341" ht="15" spans="1:20">
      <c r="A341" s="35"/>
      <c r="B341" t="n" s="17">
        <f>70000000+F341*10000+H341*1000+I341*100+J341</f>
        <v>70141002</v>
      </c>
      <c r="C341" t="str" s="37">
        <v>密荷影-传送</v>
      </c>
      <c r="D341" s="3"/>
      <c r="E341" t="str" s="3">
        <f>F341&amp;(VLOOKUP(G341,编号表!$E$1:$G$8,2,0))&amp;H341&amp;"_"&amp;I341&amp;"_"&amp;J341</f>
        <v>14T1_0_2</v>
      </c>
      <c r="F341" t="n" s="3">
        <v>14</v>
      </c>
      <c r="G341" t="str" s="3">
        <v>传送</v>
      </c>
      <c r="H341" t="n" s="3">
        <v>1</v>
      </c>
      <c r="I341" t="n" s="3">
        <v>0</v>
      </c>
      <c r="J341" t="n" s="3">
        <v>2</v>
      </c>
      <c r="K341" s="3"/>
      <c r="L341" t="n" s="3">
        <v>1</v>
      </c>
      <c r="M341" s="3"/>
      <c r="N341" s="3"/>
      <c r="O341" s="3"/>
      <c r="P341" s="3"/>
      <c r="Q341" s="3"/>
      <c r="R341" t="n" s="3">
        <v>70151001</v>
      </c>
      <c r="S341" s="17"/>
      <c r="T341" s="18"/>
      <c r="U341"/>
      <c r="V341"/>
      <c r="W341"/>
      <c r="X341"/>
      <c r="Y341"/>
      <c r="Z341"/>
      <c r="AA341"/>
    </row>
    <row r="342" ht="15" spans="1:20">
      <c r="A342" s="35"/>
      <c r="B342" t="n" s="17">
        <f>70000000+F342*10000+H342*1000+I342*100+J342</f>
        <v>70142001</v>
      </c>
      <c r="C342" t="str" s="37">
        <v>密荷影-小地图</v>
      </c>
      <c r="D342" s="3"/>
      <c r="E342" t="str" s="3">
        <f>F342&amp;(VLOOKUP(G342,编号表!$E$1:$G$8,2,0))&amp;H342&amp;"_"&amp;I342&amp;"_"&amp;J342</f>
        <v>14D2_0_1</v>
      </c>
      <c r="F342" t="n" s="3">
        <v>14</v>
      </c>
      <c r="G342" t="str" s="3">
        <v>小地图</v>
      </c>
      <c r="H342" t="n" s="3">
        <v>2</v>
      </c>
      <c r="I342" t="n" s="3">
        <v>0</v>
      </c>
      <c r="J342" t="n" s="3">
        <v>1</v>
      </c>
      <c r="K342" s="3"/>
      <c r="L342" s="3"/>
      <c r="M342" t="n" s="3">
        <v>1</v>
      </c>
      <c r="N342" s="3"/>
      <c r="O342" s="3"/>
      <c r="P342" s="3"/>
      <c r="Q342" s="3"/>
      <c r="R342" s="3"/>
      <c r="S342" s="17"/>
      <c r="T342" s="18"/>
      <c r="U342"/>
      <c r="V342"/>
      <c r="W342"/>
      <c r="X342"/>
      <c r="Y342"/>
      <c r="Z342"/>
      <c r="AA342"/>
    </row>
    <row r="343" ht="15" spans="1:20">
      <c r="A343" s="35"/>
      <c r="B343" t="n" s="17">
        <f>70000000+F343*10000+H343*1000+I343*100+J343</f>
        <v>70155101</v>
      </c>
      <c r="C343" t="str" s="38">
        <v>末分石-怪物1</v>
      </c>
      <c r="D343" s="3"/>
      <c r="E343" t="str" s="3">
        <f>F343&amp;(VLOOKUP(G343,编号表!$E$1:$G$8,2,0))&amp;H343&amp;"_"&amp;I343&amp;"_"&amp;J343</f>
        <v>15N5_1_1</v>
      </c>
      <c r="F343" t="n" s="3">
        <v>15</v>
      </c>
      <c r="G343" t="str" s="3">
        <v>怪物</v>
      </c>
      <c r="H343" t="n" s="3">
        <v>5</v>
      </c>
      <c r="I343" t="n" s="3">
        <v>1</v>
      </c>
      <c r="J343" t="n" s="3">
        <v>1</v>
      </c>
      <c r="K343" s="3"/>
      <c r="L343" s="3"/>
      <c r="M343" s="3"/>
      <c r="N343" s="3"/>
      <c r="O343" s="3"/>
      <c r="P343" s="3"/>
      <c r="Q343" s="3"/>
      <c r="R343" s="3"/>
      <c r="S343" t="str" s="17">
        <v>本轮完整刷新挂接；有效坐标注入后验证</v>
      </c>
      <c r="T343" t="n" s="18">
        <v>1014303</v>
      </c>
      <c r="U343"/>
      <c r="V343"/>
      <c r="W343"/>
      <c r="X343"/>
      <c r="Y343"/>
      <c r="Z343"/>
      <c r="AA343"/>
    </row>
    <row r="344" ht="15" spans="1:20">
      <c r="A344" s="35"/>
      <c r="B344" t="n" s="17">
        <f>70000000+F344*10000+H344*1000+I344*100+J344</f>
        <v>70155102</v>
      </c>
      <c r="C344" t="str" s="38">
        <v>末分石-怪物2</v>
      </c>
      <c r="D344" s="3"/>
      <c r="E344" t="str" s="3">
        <f>F344&amp;(VLOOKUP(G344,编号表!$E$1:$G$8,2,0))&amp;H344&amp;"_"&amp;I344&amp;"_"&amp;J344</f>
        <v>15N5_1_2</v>
      </c>
      <c r="F344" t="n" s="3">
        <v>15</v>
      </c>
      <c r="G344" t="str" s="3">
        <v>怪物</v>
      </c>
      <c r="H344" t="n" s="3">
        <v>5</v>
      </c>
      <c r="I344" t="n" s="3">
        <v>1</v>
      </c>
      <c r="J344" t="n" s="3">
        <v>2</v>
      </c>
      <c r="K344" s="3"/>
      <c r="L344" s="3"/>
      <c r="M344" s="3"/>
      <c r="N344" s="3"/>
      <c r="O344" s="3"/>
      <c r="P344" s="3"/>
      <c r="Q344" s="3"/>
      <c r="R344" s="3"/>
      <c r="S344" t="str" s="17">
        <v>本轮完整刷新挂接；有效坐标注入后验证</v>
      </c>
      <c r="T344" t="n" s="18">
        <v>1014403</v>
      </c>
      <c r="U344"/>
      <c r="V344"/>
      <c r="W344"/>
      <c r="X344"/>
      <c r="Y344"/>
      <c r="Z344"/>
      <c r="AA344"/>
    </row>
    <row r="345" ht="15" spans="1:20">
      <c r="A345" s="35"/>
      <c r="B345" t="n" s="17">
        <f>70000000+F345*10000+H345*1000+I345*100+J345</f>
        <v>70155103</v>
      </c>
      <c r="C345" t="str" s="38">
        <v>末分石-怪物3</v>
      </c>
      <c r="D345" s="3"/>
      <c r="E345" t="str" s="3">
        <f>F345&amp;(VLOOKUP(G345,编号表!$E$1:$G$8,2,0))&amp;H345&amp;"_"&amp;I345&amp;"_"&amp;J345</f>
        <v>15N5_1_3</v>
      </c>
      <c r="F345" t="n" s="3">
        <v>15</v>
      </c>
      <c r="G345" t="str" s="3">
        <v>怪物</v>
      </c>
      <c r="H345" t="n" s="3">
        <v>5</v>
      </c>
      <c r="I345" t="n" s="3">
        <v>1</v>
      </c>
      <c r="J345" t="n" s="3">
        <v>3</v>
      </c>
      <c r="K345" s="3"/>
      <c r="L345" s="3"/>
      <c r="M345" s="3"/>
      <c r="N345" s="3"/>
      <c r="O345" s="3"/>
      <c r="P345" s="3"/>
      <c r="Q345" s="3"/>
      <c r="R345" s="3"/>
      <c r="S345" t="str" s="17">
        <v>本轮完整刷新挂接；有效坐标注入后验证</v>
      </c>
      <c r="T345" t="n" s="18">
        <v>1014503</v>
      </c>
      <c r="U345"/>
      <c r="V345"/>
      <c r="W345"/>
      <c r="X345"/>
      <c r="Y345"/>
      <c r="Z345"/>
      <c r="AA345"/>
    </row>
    <row r="346" ht="15" spans="1:20">
      <c r="A346" s="35"/>
      <c r="B346" t="n" s="17">
        <f>70000000+F346*10000+H346*1000+I346*100+J346</f>
        <v>70155201</v>
      </c>
      <c r="C346" t="str" s="38">
        <v>末分石-怪物4</v>
      </c>
      <c r="D346" s="3"/>
      <c r="E346" t="str" s="3">
        <f>F346&amp;(VLOOKUP(G346,编号表!$E$1:$G$8,2,0))&amp;H346&amp;"_"&amp;I346&amp;"_"&amp;J346</f>
        <v>15N5_2_1</v>
      </c>
      <c r="F346" t="n" s="3">
        <v>15</v>
      </c>
      <c r="G346" t="str" s="3">
        <v>怪物</v>
      </c>
      <c r="H346" t="n" s="3">
        <v>5</v>
      </c>
      <c r="I346" t="n" s="3">
        <v>2</v>
      </c>
      <c r="J346" t="n" s="3">
        <v>1</v>
      </c>
      <c r="K346" s="3"/>
      <c r="L346" s="3"/>
      <c r="M346" s="3"/>
      <c r="N346" s="3"/>
      <c r="O346" s="3"/>
      <c r="P346" s="3"/>
      <c r="Q346" s="3"/>
      <c r="R346" s="3"/>
      <c r="S346" t="str" s="17">
        <v>本轮完整刷新挂接；有效坐标注入后验证</v>
      </c>
      <c r="T346" t="n" s="18">
        <v>1014103</v>
      </c>
      <c r="U346"/>
      <c r="V346"/>
      <c r="W346"/>
      <c r="X346"/>
      <c r="Y346"/>
      <c r="Z346"/>
      <c r="AA346"/>
    </row>
    <row r="347" ht="15" spans="1:20">
      <c r="A347" s="35"/>
      <c r="B347" t="n" s="17">
        <f>70000000+F347*10000+H347*1000+I347*100+J347</f>
        <v>70155202</v>
      </c>
      <c r="C347" t="str" s="38">
        <v>末分石-怪物5</v>
      </c>
      <c r="D347" s="3"/>
      <c r="E347" t="str" s="3">
        <f>F347&amp;(VLOOKUP(G347,编号表!$E$1:$G$8,2,0))&amp;H347&amp;"_"&amp;I347&amp;"_"&amp;J347</f>
        <v>15N5_2_2</v>
      </c>
      <c r="F347" t="n" s="3">
        <v>15</v>
      </c>
      <c r="G347" t="str" s="3">
        <v>怪物</v>
      </c>
      <c r="H347" t="n" s="3">
        <v>5</v>
      </c>
      <c r="I347" t="n" s="3">
        <v>2</v>
      </c>
      <c r="J347" t="n" s="3">
        <v>2</v>
      </c>
      <c r="K347" s="3"/>
      <c r="L347" s="3"/>
      <c r="M347" s="3"/>
      <c r="N347" s="3"/>
      <c r="O347" s="3"/>
      <c r="P347" s="3"/>
      <c r="Q347" s="3"/>
      <c r="R347" s="3"/>
      <c r="S347" t="str" s="17">
        <v>本轮完整刷新挂接；有效坐标注入后验证</v>
      </c>
      <c r="T347" t="n" s="18">
        <v>1014003</v>
      </c>
      <c r="U347"/>
      <c r="V347"/>
      <c r="W347"/>
      <c r="X347"/>
      <c r="Y347"/>
      <c r="Z347"/>
      <c r="AA347"/>
    </row>
    <row r="348" ht="15" spans="1:20">
      <c r="A348" s="35"/>
      <c r="B348" t="n" s="17">
        <f>70000000+F348*10000+H348*1000+I348*100+J348</f>
        <v>70155203</v>
      </c>
      <c r="C348" t="str" s="38">
        <v>末分石-怪物6</v>
      </c>
      <c r="D348" s="3"/>
      <c r="E348" t="str" s="3">
        <f>F348&amp;(VLOOKUP(G348,编号表!$E$1:$G$8,2,0))&amp;H348&amp;"_"&amp;I348&amp;"_"&amp;J348</f>
        <v>15N5_2_3</v>
      </c>
      <c r="F348" t="n" s="3">
        <v>15</v>
      </c>
      <c r="G348" t="str" s="3">
        <v>怪物</v>
      </c>
      <c r="H348" t="n" s="3">
        <v>5</v>
      </c>
      <c r="I348" t="n" s="3">
        <v>2</v>
      </c>
      <c r="J348" t="n" s="3">
        <v>3</v>
      </c>
      <c r="K348" s="3"/>
      <c r="L348" s="3"/>
      <c r="M348" s="3"/>
      <c r="N348" s="3"/>
      <c r="O348" s="3"/>
      <c r="P348" s="3"/>
      <c r="Q348" s="3"/>
      <c r="R348" s="3"/>
      <c r="S348" s="17"/>
      <c r="T348" s="18"/>
      <c r="U348"/>
      <c r="V348"/>
      <c r="W348"/>
      <c r="X348"/>
      <c r="Y348"/>
      <c r="Z348"/>
      <c r="AA348"/>
    </row>
    <row r="349" ht="15" spans="1:20">
      <c r="A349" s="35"/>
      <c r="B349" t="n" s="17">
        <f>70000000+F349*10000+H349*1000+I349*100+J349</f>
        <v>70155301</v>
      </c>
      <c r="C349" t="str" s="38">
        <v>末分石-怪物7</v>
      </c>
      <c r="D349" s="3"/>
      <c r="E349" t="str" s="3">
        <f>F349&amp;(VLOOKUP(G349,编号表!$E$1:$G$8,2,0))&amp;H349&amp;"_"&amp;I349&amp;"_"&amp;J349</f>
        <v>15N5_3_1</v>
      </c>
      <c r="F349" t="n" s="3">
        <v>15</v>
      </c>
      <c r="G349" t="str" s="3">
        <v>怪物</v>
      </c>
      <c r="H349" t="n" s="3">
        <v>5</v>
      </c>
      <c r="I349" t="n" s="3">
        <v>3</v>
      </c>
      <c r="J349" t="n" s="3">
        <v>1</v>
      </c>
      <c r="K349" s="3"/>
      <c r="L349" s="3"/>
      <c r="M349" s="3"/>
      <c r="N349" s="3"/>
      <c r="O349" s="3"/>
      <c r="P349" s="3"/>
      <c r="Q349" s="3"/>
      <c r="R349" s="3"/>
      <c r="S349" s="17"/>
      <c r="T349" s="18"/>
      <c r="U349"/>
      <c r="V349"/>
      <c r="W349"/>
      <c r="X349"/>
      <c r="Y349"/>
      <c r="Z349"/>
      <c r="AA349"/>
    </row>
    <row r="350" ht="15" spans="1:20">
      <c r="A350" s="35"/>
      <c r="B350" t="n" s="17">
        <f>70000000+F350*10000+H350*1000+I350*100+J350</f>
        <v>70155302</v>
      </c>
      <c r="C350" t="str" s="38">
        <v>末分石-怪物8</v>
      </c>
      <c r="D350" s="3"/>
      <c r="E350" t="str" s="3">
        <f>F350&amp;(VLOOKUP(G350,编号表!$E$1:$G$8,2,0))&amp;H350&amp;"_"&amp;I350&amp;"_"&amp;J350</f>
        <v>15N5_3_2</v>
      </c>
      <c r="F350" t="n" s="3">
        <v>15</v>
      </c>
      <c r="G350" t="str" s="3">
        <v>怪物</v>
      </c>
      <c r="H350" t="n" s="3">
        <v>5</v>
      </c>
      <c r="I350" t="n" s="3">
        <v>3</v>
      </c>
      <c r="J350" t="n" s="3">
        <v>2</v>
      </c>
      <c r="K350" s="3"/>
      <c r="L350" s="3"/>
      <c r="M350" s="3"/>
      <c r="N350" s="3"/>
      <c r="O350" s="3"/>
      <c r="P350" s="3"/>
      <c r="Q350" s="3"/>
      <c r="R350" s="3"/>
      <c r="S350" s="17"/>
      <c r="T350" s="18"/>
      <c r="U350"/>
      <c r="V350"/>
      <c r="W350"/>
      <c r="X350"/>
      <c r="Y350"/>
      <c r="Z350"/>
      <c r="AA350"/>
    </row>
    <row r="351" ht="15" spans="1:20">
      <c r="A351" s="35"/>
      <c r="B351" t="n" s="17">
        <f>70000000+F351*10000+H351*1000+I351*100+J351</f>
        <v>70155303</v>
      </c>
      <c r="C351" t="str" s="38">
        <v>末分石-怪物9</v>
      </c>
      <c r="D351" s="3"/>
      <c r="E351" t="str" s="3">
        <f>F351&amp;(VLOOKUP(G351,编号表!$E$1:$G$8,2,0))&amp;H351&amp;"_"&amp;I351&amp;"_"&amp;J351</f>
        <v>15N5_3_3</v>
      </c>
      <c r="F351" t="n" s="3">
        <v>15</v>
      </c>
      <c r="G351" t="str" s="3">
        <v>怪物</v>
      </c>
      <c r="H351" t="n" s="3">
        <v>5</v>
      </c>
      <c r="I351" t="n" s="3">
        <v>3</v>
      </c>
      <c r="J351" t="n" s="3">
        <v>3</v>
      </c>
      <c r="K351" s="3"/>
      <c r="L351" s="3"/>
      <c r="M351" s="3"/>
      <c r="N351" s="3"/>
      <c r="O351" s="3"/>
      <c r="P351" s="3"/>
      <c r="Q351" s="3"/>
      <c r="R351" s="3"/>
      <c r="S351" s="17"/>
      <c r="T351" s="18"/>
      <c r="U351"/>
      <c r="V351"/>
      <c r="W351"/>
      <c r="X351"/>
      <c r="Y351"/>
      <c r="Z351"/>
      <c r="AA351"/>
    </row>
    <row r="352" ht="15" spans="1:20">
      <c r="A352" s="35"/>
      <c r="B352" t="n" s="17">
        <f>70000000+F352*10000+H352*1000+I352*100+J352</f>
        <v>70155401</v>
      </c>
      <c r="C352" t="str" s="38">
        <v>末分石-怪物10</v>
      </c>
      <c r="D352" s="3"/>
      <c r="E352" t="str" s="3">
        <f>F352&amp;(VLOOKUP(G352,编号表!$E$1:$G$8,2,0))&amp;H352&amp;"_"&amp;I352&amp;"_"&amp;J352</f>
        <v>15N5_4_1</v>
      </c>
      <c r="F352" t="n" s="3">
        <v>15</v>
      </c>
      <c r="G352" t="str" s="3">
        <v>怪物</v>
      </c>
      <c r="H352" t="n" s="3">
        <v>5</v>
      </c>
      <c r="I352" t="n" s="3">
        <v>4</v>
      </c>
      <c r="J352" t="n" s="3">
        <v>1</v>
      </c>
      <c r="K352" s="3"/>
      <c r="L352" s="3"/>
      <c r="M352" s="3"/>
      <c r="N352" s="3"/>
      <c r="O352" s="3"/>
      <c r="P352" s="3"/>
      <c r="Q352" s="3"/>
      <c r="R352" s="3"/>
      <c r="S352" s="17"/>
      <c r="T352" s="18"/>
      <c r="U352"/>
      <c r="V352"/>
      <c r="W352"/>
      <c r="X352"/>
      <c r="Y352"/>
      <c r="Z352"/>
      <c r="AA352"/>
    </row>
    <row r="353" ht="15" spans="1:20">
      <c r="A353" s="35"/>
      <c r="B353" t="n" s="17">
        <f>70000000+F353*10000+H353*1000+I353*100+J353</f>
        <v>70155402</v>
      </c>
      <c r="C353" t="str" s="38">
        <v>末分石-怪物11</v>
      </c>
      <c r="D353" s="3"/>
      <c r="E353" t="str" s="3">
        <f>F353&amp;(VLOOKUP(G353,编号表!$E$1:$G$8,2,0))&amp;H353&amp;"_"&amp;I353&amp;"_"&amp;J353</f>
        <v>15N5_4_2</v>
      </c>
      <c r="F353" t="n" s="3">
        <v>15</v>
      </c>
      <c r="G353" t="str" s="3">
        <v>怪物</v>
      </c>
      <c r="H353" t="n" s="3">
        <v>5</v>
      </c>
      <c r="I353" t="n" s="3">
        <v>4</v>
      </c>
      <c r="J353" t="n" s="3">
        <v>2</v>
      </c>
      <c r="K353" s="3"/>
      <c r="L353" s="3"/>
      <c r="M353" s="3"/>
      <c r="N353" s="3"/>
      <c r="O353" s="3"/>
      <c r="P353" s="3"/>
      <c r="Q353" s="3"/>
      <c r="R353" s="3"/>
      <c r="S353" s="17"/>
      <c r="T353" s="18"/>
      <c r="U353"/>
      <c r="V353"/>
      <c r="W353"/>
      <c r="X353"/>
      <c r="Y353"/>
      <c r="Z353"/>
      <c r="AA353"/>
    </row>
    <row r="354" ht="15" spans="1:20">
      <c r="A354" s="35"/>
      <c r="B354" t="n" s="17">
        <f>70000000+F354*10000+H354*1000+I354*100+J354</f>
        <v>70155403</v>
      </c>
      <c r="C354" t="str" s="38">
        <v>末分石-怪物12</v>
      </c>
      <c r="D354" s="3"/>
      <c r="E354" t="str" s="3">
        <f>F354&amp;(VLOOKUP(G354,编号表!$E$1:$G$8,2,0))&amp;H354&amp;"_"&amp;I354&amp;"_"&amp;J354</f>
        <v>15N5_4_3</v>
      </c>
      <c r="F354" t="n" s="3">
        <v>15</v>
      </c>
      <c r="G354" t="str" s="3">
        <v>怪物</v>
      </c>
      <c r="H354" t="n" s="3">
        <v>5</v>
      </c>
      <c r="I354" t="n" s="3">
        <v>4</v>
      </c>
      <c r="J354" t="n" s="3">
        <v>3</v>
      </c>
      <c r="K354" s="3"/>
      <c r="L354" s="3"/>
      <c r="M354" s="3"/>
      <c r="N354" s="3"/>
      <c r="O354" s="3"/>
      <c r="P354" s="3"/>
      <c r="Q354" s="3"/>
      <c r="R354" s="3"/>
      <c r="S354" s="17"/>
      <c r="T354" s="18"/>
      <c r="U354"/>
      <c r="V354"/>
      <c r="W354"/>
      <c r="X354"/>
      <c r="Y354"/>
      <c r="Z354"/>
      <c r="AA354"/>
    </row>
    <row r="355" ht="15" spans="1:20">
      <c r="A355" s="35"/>
      <c r="B355" t="n" s="17">
        <f>70000000+F355*10000+H355*1000+I355*100+J355</f>
        <v>70155404</v>
      </c>
      <c r="C355" t="str" s="38">
        <v>末分石-怪物13</v>
      </c>
      <c r="D355" s="3"/>
      <c r="E355" t="str" s="3">
        <f>F355&amp;(VLOOKUP(G355,编号表!$E$1:$G$8,2,0))&amp;H355&amp;"_"&amp;I355&amp;"_"&amp;J355</f>
        <v>15N5_4_4</v>
      </c>
      <c r="F355" t="n" s="3">
        <v>15</v>
      </c>
      <c r="G355" t="str" s="3">
        <v>怪物</v>
      </c>
      <c r="H355" t="n" s="3">
        <v>5</v>
      </c>
      <c r="I355" t="n" s="3">
        <v>4</v>
      </c>
      <c r="J355" t="n" s="3">
        <v>4</v>
      </c>
      <c r="K355" s="3"/>
      <c r="L355" s="3"/>
      <c r="M355" s="3"/>
      <c r="N355" s="3"/>
      <c r="O355" s="3"/>
      <c r="P355" s="3"/>
      <c r="Q355" s="3"/>
      <c r="R355" s="3"/>
      <c r="S355" s="17"/>
      <c r="T355" s="18"/>
      <c r="U355"/>
      <c r="V355"/>
      <c r="W355"/>
      <c r="X355"/>
      <c r="Y355"/>
      <c r="Z355"/>
      <c r="AA355"/>
    </row>
    <row r="356" ht="15" spans="1:20">
      <c r="A356" s="35"/>
      <c r="B356" t="n" s="17">
        <f>70000000+F356*10000+H356*1000+I356*100+J356</f>
        <v>70155001</v>
      </c>
      <c r="C356" t="str" s="39">
        <v>末分石-镜头</v>
      </c>
      <c r="D356" s="3"/>
      <c r="E356" t="str" s="3">
        <f>F356&amp;(VLOOKUP(G356,编号表!$E$1:$G$8,2,0))&amp;H356&amp;"_"&amp;I356&amp;"_"&amp;J356</f>
        <v>15J5_0_1</v>
      </c>
      <c r="F356" t="n" s="3">
        <v>15</v>
      </c>
      <c r="G356" t="str" s="3">
        <v>镜头</v>
      </c>
      <c r="H356" t="n" s="3">
        <v>5</v>
      </c>
      <c r="I356" t="n" s="3">
        <v>0</v>
      </c>
      <c r="J356" t="n" s="3">
        <v>1</v>
      </c>
      <c r="K356" t="n" s="3">
        <v>1</v>
      </c>
      <c r="L356" s="3"/>
      <c r="M356" s="3"/>
      <c r="N356" s="3"/>
      <c r="O356" s="3"/>
      <c r="P356" s="3"/>
      <c r="Q356" s="3"/>
      <c r="R356" s="3"/>
      <c r="S356" s="17"/>
      <c r="T356" s="18"/>
      <c r="U356"/>
      <c r="V356"/>
      <c r="W356"/>
      <c r="X356"/>
      <c r="Y356"/>
      <c r="Z356"/>
      <c r="AA356"/>
    </row>
    <row r="357" ht="15" spans="1:20">
      <c r="A357" s="35"/>
      <c r="B357" t="n" s="17">
        <f>70000000+F357*10000+H357*1000+I357*100+J357</f>
        <v>70151001</v>
      </c>
      <c r="C357" t="str" s="37">
        <v>末分石-传送</v>
      </c>
      <c r="D357" s="3"/>
      <c r="E357" t="str" s="3">
        <f>F357&amp;(VLOOKUP(G357,编号表!$E$1:$G$8,2,0))&amp;H357&amp;"_"&amp;I357&amp;"_"&amp;J357</f>
        <v>15T1_0_1</v>
      </c>
      <c r="F357" t="n" s="3">
        <v>15</v>
      </c>
      <c r="G357" t="str" s="3">
        <v>传送</v>
      </c>
      <c r="H357" t="n" s="3">
        <v>1</v>
      </c>
      <c r="I357" t="n" s="3">
        <v>0</v>
      </c>
      <c r="J357" t="n" s="3">
        <v>1</v>
      </c>
      <c r="K357" s="3"/>
      <c r="L357" t="n" s="3">
        <v>1</v>
      </c>
      <c r="M357" s="3"/>
      <c r="N357" s="3"/>
      <c r="O357" s="3"/>
      <c r="P357" s="3"/>
      <c r="Q357" s="3"/>
      <c r="R357" t="n" s="3">
        <v>70141002</v>
      </c>
      <c r="S357" s="17"/>
      <c r="T357" s="18"/>
      <c r="U357"/>
      <c r="V357"/>
      <c r="W357"/>
      <c r="X357"/>
      <c r="Y357"/>
      <c r="Z357"/>
      <c r="AA357"/>
    </row>
    <row r="358" ht="15" spans="1:20">
      <c r="A358" s="35"/>
      <c r="B358" t="n" s="17">
        <f>70000000+F358*10000+H358*1000+I358*100+J358</f>
        <v>70151002</v>
      </c>
      <c r="C358" t="str" s="37">
        <v>末分石-传送</v>
      </c>
      <c r="D358" s="3"/>
      <c r="E358" t="str" s="3">
        <f>F358&amp;(VLOOKUP(G358,编号表!$E$1:$G$8,2,0))&amp;H358&amp;"_"&amp;I358&amp;"_"&amp;J358</f>
        <v>15T1_0_2</v>
      </c>
      <c r="F358" t="n" s="3">
        <v>15</v>
      </c>
      <c r="G358" t="str" s="3">
        <v>传送</v>
      </c>
      <c r="H358" t="n" s="3">
        <v>1</v>
      </c>
      <c r="I358" t="n" s="3">
        <v>0</v>
      </c>
      <c r="J358" t="n" s="3">
        <v>2</v>
      </c>
      <c r="K358" s="3"/>
      <c r="L358" t="n" s="3">
        <v>1</v>
      </c>
      <c r="M358" s="3"/>
      <c r="N358" s="3"/>
      <c r="O358" s="3"/>
      <c r="P358" s="3"/>
      <c r="Q358" s="3"/>
      <c r="R358" t="n" s="3">
        <v>70161001</v>
      </c>
      <c r="S358" s="17"/>
      <c r="T358" s="18"/>
      <c r="U358"/>
      <c r="V358"/>
      <c r="W358"/>
      <c r="X358"/>
      <c r="Y358"/>
      <c r="Z358"/>
      <c r="AA358"/>
    </row>
    <row r="359" ht="15" spans="1:20">
      <c r="A359" s="35"/>
      <c r="B359" t="n" s="17">
        <f>70000000+F359*10000+H359*1000+I359*100+J359</f>
        <v>70152001</v>
      </c>
      <c r="C359" t="str" s="37">
        <v>末分石-小地图</v>
      </c>
      <c r="D359" s="3"/>
      <c r="E359" t="str" s="3">
        <f>F359&amp;(VLOOKUP(G359,编号表!$E$1:$G$8,2,0))&amp;H359&amp;"_"&amp;I359&amp;"_"&amp;J359</f>
        <v>15D2_0_1</v>
      </c>
      <c r="F359" t="n" s="3">
        <v>15</v>
      </c>
      <c r="G359" t="str" s="3">
        <v>小地图</v>
      </c>
      <c r="H359" t="n" s="3">
        <v>2</v>
      </c>
      <c r="I359" t="n" s="3">
        <v>0</v>
      </c>
      <c r="J359" t="n" s="3">
        <v>1</v>
      </c>
      <c r="K359" s="3"/>
      <c r="L359" s="3"/>
      <c r="M359" t="n" s="3">
        <v>1</v>
      </c>
      <c r="N359" s="3"/>
      <c r="O359" s="3"/>
      <c r="P359" s="3"/>
      <c r="Q359" s="3"/>
      <c r="R359" s="3"/>
      <c r="S359" s="17"/>
      <c r="T359" s="18"/>
      <c r="U359"/>
      <c r="V359"/>
      <c r="W359"/>
      <c r="X359"/>
      <c r="Y359"/>
      <c r="Z359"/>
      <c r="AA359"/>
    </row>
    <row r="360" ht="15" spans="1:20">
      <c r="A360" s="35"/>
      <c r="B360" t="n" s="17">
        <f>70000000+F360*10000+H360*1000+I360*100+J360</f>
        <v>70165101</v>
      </c>
      <c r="C360" t="str" s="38">
        <v>粉浪风-采集物1</v>
      </c>
      <c r="D360" s="3"/>
      <c r="E360" t="str" s="3">
        <f>F360&amp;(VLOOKUP(G360,编号表!$E$1:$G$8,2,0))&amp;H360&amp;"_"&amp;I360&amp;"_"&amp;J360</f>
        <v>16C5_1_1</v>
      </c>
      <c r="F360" t="n" s="3">
        <v>16</v>
      </c>
      <c r="G360" t="str" s="3">
        <v>采集物</v>
      </c>
      <c r="H360" t="n" s="3">
        <v>5</v>
      </c>
      <c r="I360" t="n" s="3">
        <v>1</v>
      </c>
      <c r="J360" t="n" s="3">
        <v>1</v>
      </c>
      <c r="K360" s="3"/>
      <c r="L360" s="3"/>
      <c r="M360" s="3"/>
      <c r="N360" s="3"/>
      <c r="O360" s="3"/>
      <c r="P360" s="3"/>
      <c r="Q360" s="3"/>
      <c r="R360" s="3"/>
      <c r="S360" s="17"/>
      <c r="T360" s="18"/>
      <c r="U360"/>
      <c r="V360"/>
      <c r="W360"/>
      <c r="X360"/>
      <c r="Y360"/>
      <c r="Z360"/>
      <c r="AA360"/>
    </row>
    <row r="361" ht="15" spans="1:20">
      <c r="A361" s="35"/>
      <c r="B361" t="n" s="17">
        <f>70000000+F361*10000+H361*1000+I361*100+J361</f>
        <v>70165201</v>
      </c>
      <c r="C361" t="str" s="38">
        <v>粉浪风-采集物2</v>
      </c>
      <c r="D361" s="3"/>
      <c r="E361" t="str" s="3">
        <f>F361&amp;(VLOOKUP(G361,编号表!$E$1:$G$8,2,0))&amp;H361&amp;"_"&amp;I361&amp;"_"&amp;J361</f>
        <v>16C5_2_1</v>
      </c>
      <c r="F361" t="n" s="3">
        <v>16</v>
      </c>
      <c r="G361" t="str" s="3">
        <v>采集物</v>
      </c>
      <c r="H361" t="n" s="3">
        <v>5</v>
      </c>
      <c r="I361" t="n" s="3">
        <v>2</v>
      </c>
      <c r="J361" t="n" s="3">
        <v>1</v>
      </c>
      <c r="K361" s="3"/>
      <c r="L361" s="3"/>
      <c r="M361" s="3"/>
      <c r="N361" s="3"/>
      <c r="O361" s="3"/>
      <c r="P361" s="3"/>
      <c r="Q361" s="3"/>
      <c r="R361" s="3"/>
      <c r="S361" s="17"/>
      <c r="T361" s="18"/>
      <c r="U361"/>
      <c r="V361"/>
      <c r="W361"/>
      <c r="X361"/>
      <c r="Y361"/>
      <c r="Z361"/>
      <c r="AA361"/>
    </row>
    <row r="362" ht="15" spans="1:20">
      <c r="A362" s="35"/>
      <c r="B362" t="n" s="17">
        <f>70000000+F362*10000+H362*1000+I362*100+J362</f>
        <v>70165202</v>
      </c>
      <c r="C362" t="str" s="38">
        <v>粉浪风-采集物3</v>
      </c>
      <c r="D362" s="3"/>
      <c r="E362" t="str" s="3">
        <f>F362&amp;(VLOOKUP(G362,编号表!$E$1:$G$8,2,0))&amp;H362&amp;"_"&amp;I362&amp;"_"&amp;J362</f>
        <v>16C5_2_2</v>
      </c>
      <c r="F362" t="n" s="3">
        <v>16</v>
      </c>
      <c r="G362" t="str" s="3">
        <v>采集物</v>
      </c>
      <c r="H362" t="n" s="3">
        <v>5</v>
      </c>
      <c r="I362" t="n" s="3">
        <v>2</v>
      </c>
      <c r="J362" t="n" s="3">
        <v>2</v>
      </c>
      <c r="K362" s="3"/>
      <c r="L362" s="3"/>
      <c r="M362" s="3"/>
      <c r="N362" s="3"/>
      <c r="O362" s="3"/>
      <c r="P362" s="3"/>
      <c r="Q362" s="3"/>
      <c r="R362" s="3"/>
      <c r="S362" s="17"/>
      <c r="T362" s="18"/>
      <c r="U362"/>
      <c r="V362"/>
      <c r="W362"/>
      <c r="X362"/>
      <c r="Y362"/>
      <c r="Z362"/>
      <c r="AA362"/>
    </row>
    <row r="363" ht="15" spans="1:20">
      <c r="A363" s="35"/>
      <c r="B363" t="n" s="17">
        <f>70000000+F363*10000+H363*1000+I363*100+J363</f>
        <v>70165301</v>
      </c>
      <c r="C363" t="str" s="38">
        <v>粉浪风-采集物4</v>
      </c>
      <c r="D363" s="3"/>
      <c r="E363" t="str" s="3">
        <f>F363&amp;(VLOOKUP(G363,编号表!$E$1:$G$8,2,0))&amp;H363&amp;"_"&amp;I363&amp;"_"&amp;J363</f>
        <v>16C5_3_1</v>
      </c>
      <c r="F363" t="n" s="3">
        <v>16</v>
      </c>
      <c r="G363" t="str" s="3">
        <v>采集物</v>
      </c>
      <c r="H363" t="n" s="3">
        <v>5</v>
      </c>
      <c r="I363" t="n" s="3">
        <v>3</v>
      </c>
      <c r="J363" t="n" s="3">
        <v>1</v>
      </c>
      <c r="K363" s="3"/>
      <c r="L363" s="3"/>
      <c r="M363" s="3"/>
      <c r="N363" s="3"/>
      <c r="O363" s="3"/>
      <c r="P363" s="3"/>
      <c r="Q363" s="3"/>
      <c r="R363" s="3"/>
      <c r="S363" s="17"/>
      <c r="T363" s="18"/>
      <c r="U363"/>
      <c r="V363"/>
      <c r="W363"/>
      <c r="X363"/>
      <c r="Y363"/>
      <c r="Z363"/>
      <c r="AA363"/>
    </row>
    <row r="364" ht="15" spans="1:20">
      <c r="A364" s="35"/>
      <c r="B364" t="n" s="17">
        <f>70000000+F364*10000+H364*1000+I364*100+J364</f>
        <v>70165302</v>
      </c>
      <c r="C364" t="str" s="38">
        <v>粉浪风-采集物5</v>
      </c>
      <c r="D364" s="3"/>
      <c r="E364" t="str" s="3">
        <f>F364&amp;(VLOOKUP(G364,编号表!$E$1:$G$8,2,0))&amp;H364&amp;"_"&amp;I364&amp;"_"&amp;J364</f>
        <v>16C5_3_2</v>
      </c>
      <c r="F364" t="n" s="3">
        <v>16</v>
      </c>
      <c r="G364" t="str" s="3">
        <v>采集物</v>
      </c>
      <c r="H364" t="n" s="3">
        <v>5</v>
      </c>
      <c r="I364" t="n" s="3">
        <v>3</v>
      </c>
      <c r="J364" t="n" s="3">
        <v>2</v>
      </c>
      <c r="K364" s="3"/>
      <c r="L364" s="3"/>
      <c r="M364" s="3"/>
      <c r="N364" s="3"/>
      <c r="O364" s="3"/>
      <c r="P364" s="3"/>
      <c r="Q364" s="3"/>
      <c r="R364" s="3"/>
      <c r="S364" s="17"/>
      <c r="T364" s="18"/>
      <c r="U364"/>
      <c r="V364"/>
      <c r="W364"/>
      <c r="X364"/>
      <c r="Y364"/>
      <c r="Z364"/>
      <c r="AA364"/>
    </row>
    <row r="365" ht="15" spans="1:20">
      <c r="A365" s="35"/>
      <c r="B365" t="n" s="17">
        <f>70000000+F365*10000+H365*1000+I365*100+J365</f>
        <v>70165303</v>
      </c>
      <c r="C365" t="str" s="38">
        <v>粉浪风-采集物6</v>
      </c>
      <c r="D365" s="3"/>
      <c r="E365" t="str" s="3">
        <f>F365&amp;(VLOOKUP(G365,编号表!$E$1:$G$8,2,0))&amp;H365&amp;"_"&amp;I365&amp;"_"&amp;J365</f>
        <v>16C5_3_3</v>
      </c>
      <c r="F365" t="n" s="3">
        <v>16</v>
      </c>
      <c r="G365" t="str" s="3">
        <v>采集物</v>
      </c>
      <c r="H365" t="n" s="3">
        <v>5</v>
      </c>
      <c r="I365" t="n" s="3">
        <v>3</v>
      </c>
      <c r="J365" t="n" s="3">
        <v>3</v>
      </c>
      <c r="K365" s="3"/>
      <c r="L365" s="3"/>
      <c r="M365" s="3"/>
      <c r="N365" s="3"/>
      <c r="O365" s="3"/>
      <c r="P365" s="3"/>
      <c r="Q365" s="3"/>
      <c r="R365" s="3"/>
      <c r="S365" s="17"/>
      <c r="T365" s="18"/>
      <c r="U365"/>
      <c r="V365"/>
      <c r="W365"/>
      <c r="X365"/>
      <c r="Y365"/>
      <c r="Z365"/>
      <c r="AA365"/>
    </row>
    <row r="366" ht="15" spans="1:20">
      <c r="A366" s="35"/>
      <c r="B366" t="n" s="17">
        <f>70000000+F366*10000+H366*1000+I366*100+J366</f>
        <v>70165304</v>
      </c>
      <c r="C366" t="str" s="38">
        <v>粉浪风-采集物7</v>
      </c>
      <c r="D366" s="3"/>
      <c r="E366" t="str" s="3">
        <f>F366&amp;(VLOOKUP(G366,编号表!$E$1:$G$8,2,0))&amp;H366&amp;"_"&amp;I366&amp;"_"&amp;J366</f>
        <v>16C5_3_4</v>
      </c>
      <c r="F366" t="n" s="3">
        <v>16</v>
      </c>
      <c r="G366" t="str" s="3">
        <v>采集物</v>
      </c>
      <c r="H366" t="n" s="3">
        <v>5</v>
      </c>
      <c r="I366" t="n" s="3">
        <v>3</v>
      </c>
      <c r="J366" t="n" s="3">
        <v>4</v>
      </c>
      <c r="K366" s="3"/>
      <c r="L366" s="3"/>
      <c r="M366" s="3"/>
      <c r="N366" s="3"/>
      <c r="O366" s="3"/>
      <c r="P366" s="3"/>
      <c r="Q366" s="3"/>
      <c r="R366" s="3"/>
      <c r="S366" s="17"/>
      <c r="T366" s="18"/>
      <c r="U366"/>
      <c r="V366"/>
      <c r="W366"/>
      <c r="X366"/>
      <c r="Y366"/>
      <c r="Z366"/>
      <c r="AA366"/>
    </row>
    <row r="367" ht="15" spans="1:20">
      <c r="A367" s="35"/>
      <c r="B367" t="n" s="17">
        <f>70000000+F367*10000+H367*1000+I367*100+J367</f>
        <v>70165401</v>
      </c>
      <c r="C367" t="str" s="38">
        <v>粉浪风-采集物8</v>
      </c>
      <c r="D367" s="3"/>
      <c r="E367" t="str" s="3">
        <f>F367&amp;(VLOOKUP(G367,编号表!$E$1:$G$8,2,0))&amp;H367&amp;"_"&amp;I367&amp;"_"&amp;J367</f>
        <v>16C5_4_1</v>
      </c>
      <c r="F367" t="n" s="3">
        <v>16</v>
      </c>
      <c r="G367" t="str" s="3">
        <v>采集物</v>
      </c>
      <c r="H367" t="n" s="3">
        <v>5</v>
      </c>
      <c r="I367" t="n" s="3">
        <v>4</v>
      </c>
      <c r="J367" t="n" s="3">
        <v>1</v>
      </c>
      <c r="K367" s="3"/>
      <c r="L367" s="3"/>
      <c r="M367" s="3"/>
      <c r="N367" s="3"/>
      <c r="O367" s="3"/>
      <c r="P367" s="3"/>
      <c r="Q367" s="3"/>
      <c r="R367" s="3"/>
      <c r="S367" s="17"/>
      <c r="T367" s="18"/>
      <c r="U367"/>
      <c r="V367"/>
      <c r="W367"/>
      <c r="X367"/>
      <c r="Y367"/>
      <c r="Z367"/>
      <c r="AA367"/>
    </row>
    <row r="368" ht="15" spans="1:20">
      <c r="A368" s="35"/>
      <c r="B368" t="n" s="17">
        <f>70000000+F368*10000+H368*1000+I368*100+J368</f>
        <v>70165402</v>
      </c>
      <c r="C368" t="str" s="38">
        <v>粉浪风-采集物9</v>
      </c>
      <c r="D368" s="3"/>
      <c r="E368" t="str" s="3">
        <f>F368&amp;(VLOOKUP(G368,编号表!$E$1:$G$8,2,0))&amp;H368&amp;"_"&amp;I368&amp;"_"&amp;J368</f>
        <v>16C5_4_2</v>
      </c>
      <c r="F368" t="n" s="3">
        <v>16</v>
      </c>
      <c r="G368" t="str" s="3">
        <v>采集物</v>
      </c>
      <c r="H368" t="n" s="3">
        <v>5</v>
      </c>
      <c r="I368" t="n" s="3">
        <v>4</v>
      </c>
      <c r="J368" t="n" s="3">
        <v>2</v>
      </c>
      <c r="K368" s="3"/>
      <c r="L368" s="3"/>
      <c r="M368" s="3"/>
      <c r="N368" s="3"/>
      <c r="O368" s="3"/>
      <c r="P368" s="3"/>
      <c r="Q368" s="3"/>
      <c r="R368" s="3"/>
      <c r="S368" s="17"/>
      <c r="T368" s="18"/>
      <c r="U368"/>
      <c r="V368"/>
      <c r="W368"/>
      <c r="X368"/>
      <c r="Y368"/>
      <c r="Z368"/>
      <c r="AA368"/>
    </row>
    <row r="369" ht="15" spans="1:20">
      <c r="A369" s="35"/>
      <c r="B369" t="n" s="17">
        <f>70000000+F369*10000+H369*1000+I369*100+J369</f>
        <v>70165001</v>
      </c>
      <c r="C369" t="str" s="39">
        <v>粉浪风-镜头</v>
      </c>
      <c r="D369" s="3"/>
      <c r="E369" t="str" s="3">
        <f>F369&amp;(VLOOKUP(G369,编号表!$E$1:$G$8,2,0))&amp;H369&amp;"_"&amp;I369&amp;"_"&amp;J369</f>
        <v>16J5_0_1</v>
      </c>
      <c r="F369" t="n" s="3">
        <v>16</v>
      </c>
      <c r="G369" t="str" s="3">
        <v>镜头</v>
      </c>
      <c r="H369" t="n" s="3">
        <v>5</v>
      </c>
      <c r="I369" t="n" s="3">
        <v>0</v>
      </c>
      <c r="J369" t="n" s="3">
        <v>1</v>
      </c>
      <c r="K369" t="n" s="3">
        <v>1</v>
      </c>
      <c r="L369" s="3"/>
      <c r="M369" s="3"/>
      <c r="N369" s="3"/>
      <c r="O369" s="3"/>
      <c r="P369" s="3"/>
      <c r="Q369" s="3"/>
      <c r="R369" s="3"/>
      <c r="S369" s="17"/>
      <c r="T369" s="18"/>
      <c r="U369"/>
      <c r="V369"/>
      <c r="W369"/>
      <c r="X369"/>
      <c r="Y369"/>
      <c r="Z369"/>
      <c r="AA369"/>
    </row>
    <row r="370" ht="15" spans="1:20">
      <c r="A370" s="35"/>
      <c r="B370" t="n" s="17">
        <f>70000000+F370*10000+H370*1000+I370*100+J370</f>
        <v>70161001</v>
      </c>
      <c r="C370" t="str" s="37">
        <v>粉浪风-传送</v>
      </c>
      <c r="D370" s="3"/>
      <c r="E370" t="str" s="3">
        <f>F370&amp;(VLOOKUP(G370,编号表!$E$1:$G$8,2,0))&amp;H370&amp;"_"&amp;I370&amp;"_"&amp;J370</f>
        <v>16T1_0_1</v>
      </c>
      <c r="F370" t="n" s="3">
        <v>16</v>
      </c>
      <c r="G370" t="str" s="3">
        <v>传送</v>
      </c>
      <c r="H370" t="n" s="3">
        <v>1</v>
      </c>
      <c r="I370" t="n" s="3">
        <v>0</v>
      </c>
      <c r="J370" t="n" s="3">
        <v>1</v>
      </c>
      <c r="K370" s="3"/>
      <c r="L370" t="n" s="3">
        <v>1</v>
      </c>
      <c r="M370" s="3"/>
      <c r="N370" s="3"/>
      <c r="O370" s="3"/>
      <c r="P370" s="3"/>
      <c r="Q370" s="3"/>
      <c r="R370" t="n" s="3">
        <v>70151002</v>
      </c>
      <c r="S370" s="17"/>
      <c r="T370" s="18"/>
      <c r="U370"/>
      <c r="V370"/>
      <c r="W370"/>
      <c r="X370"/>
      <c r="Y370"/>
      <c r="Z370"/>
      <c r="AA370"/>
    </row>
    <row r="371" ht="15" spans="1:20">
      <c r="A371" s="35"/>
      <c r="B371" t="n" s="17">
        <f>70000000+F371*10000+H371*1000+I371*100+J371</f>
        <v>70161002</v>
      </c>
      <c r="C371" t="str" s="37">
        <v>粉浪风-传送</v>
      </c>
      <c r="D371" s="3"/>
      <c r="E371" t="str" s="3">
        <f>F371&amp;(VLOOKUP(G371,编号表!$E$1:$G$8,2,0))&amp;H371&amp;"_"&amp;I371&amp;"_"&amp;J371</f>
        <v>16T1_0_2</v>
      </c>
      <c r="F371" t="n" s="3">
        <v>16</v>
      </c>
      <c r="G371" t="str" s="3">
        <v>传送</v>
      </c>
      <c r="H371" t="n" s="3">
        <v>1</v>
      </c>
      <c r="I371" t="n" s="3">
        <v>0</v>
      </c>
      <c r="J371" t="n" s="3">
        <v>2</v>
      </c>
      <c r="K371" s="3"/>
      <c r="L371" t="n" s="3">
        <v>1</v>
      </c>
      <c r="M371" s="3"/>
      <c r="N371" s="3"/>
      <c r="O371" s="3"/>
      <c r="P371" s="3"/>
      <c r="Q371" s="3"/>
      <c r="R371" t="n" s="3">
        <v>70171001</v>
      </c>
      <c r="S371" s="17"/>
      <c r="T371" s="18"/>
      <c r="U371"/>
      <c r="V371"/>
      <c r="W371"/>
      <c r="X371"/>
      <c r="Y371"/>
      <c r="Z371"/>
      <c r="AA371"/>
    </row>
    <row r="372" ht="15" spans="1:20">
      <c r="A372" s="35"/>
      <c r="B372" t="n" s="17">
        <f>70000000+F372*10000+H372*1000+I372*100+J372</f>
        <v>70162001</v>
      </c>
      <c r="C372" t="str" s="37">
        <v>粉浪风-小地图</v>
      </c>
      <c r="D372" s="3"/>
      <c r="E372" t="str" s="3">
        <f>F372&amp;(VLOOKUP(G372,编号表!$E$1:$G$8,2,0))&amp;H372&amp;"_"&amp;I372&amp;"_"&amp;J372</f>
        <v>16D2_0_1</v>
      </c>
      <c r="F372" t="n" s="3">
        <v>16</v>
      </c>
      <c r="G372" t="str" s="3">
        <v>小地图</v>
      </c>
      <c r="H372" t="n" s="3">
        <v>2</v>
      </c>
      <c r="I372" t="n" s="3">
        <v>0</v>
      </c>
      <c r="J372" t="n" s="3">
        <v>1</v>
      </c>
      <c r="K372" s="3"/>
      <c r="L372" s="3"/>
      <c r="M372" t="n" s="3">
        <v>1</v>
      </c>
      <c r="N372" s="3"/>
      <c r="O372" s="3"/>
      <c r="P372" s="3"/>
      <c r="Q372" s="3"/>
      <c r="R372" s="3"/>
      <c r="S372" s="17"/>
      <c r="T372" s="18"/>
      <c r="U372"/>
      <c r="V372"/>
      <c r="W372"/>
      <c r="X372"/>
      <c r="Y372"/>
      <c r="Z372"/>
      <c r="AA372"/>
    </row>
    <row r="373" ht="15" spans="1:20">
      <c r="A373" s="35"/>
      <c r="B373" t="n" s="17">
        <f>70000000+F373*10000+H373*1000+I373*100+J373</f>
        <v>70175101</v>
      </c>
      <c r="C373" t="str" s="38">
        <v>漫莎台-采集物1</v>
      </c>
      <c r="D373" s="3"/>
      <c r="E373" t="str" s="3">
        <f>F373&amp;(VLOOKUP(G373,编号表!$E$1:$G$8,2,0))&amp;H373&amp;"_"&amp;I373&amp;"_"&amp;J373</f>
        <v>17C5_1_1</v>
      </c>
      <c r="F373" t="n" s="3">
        <v>17</v>
      </c>
      <c r="G373" t="str" s="3">
        <v>采集物</v>
      </c>
      <c r="H373" t="n" s="3">
        <v>5</v>
      </c>
      <c r="I373" t="n" s="3">
        <v>1</v>
      </c>
      <c r="J373" t="n" s="3">
        <v>1</v>
      </c>
      <c r="K373" s="3"/>
      <c r="L373" s="3"/>
      <c r="M373" s="3"/>
      <c r="N373" s="3"/>
      <c r="O373" s="3"/>
      <c r="P373" s="3"/>
      <c r="Q373" s="3"/>
      <c r="R373" s="3"/>
      <c r="S373" s="17"/>
      <c r="T373" s="18"/>
      <c r="U373"/>
      <c r="V373"/>
      <c r="W373"/>
      <c r="X373"/>
      <c r="Y373"/>
      <c r="Z373"/>
      <c r="AA373"/>
    </row>
    <row r="374" ht="15" spans="1:20">
      <c r="A374" s="35"/>
      <c r="B374" t="n" s="17">
        <f>70000000+F374*10000+H374*1000+I374*100+J374</f>
        <v>70175102</v>
      </c>
      <c r="C374" t="str" s="38">
        <v>漫莎台-采集物2</v>
      </c>
      <c r="D374" s="3"/>
      <c r="E374" t="str" s="3">
        <f>F374&amp;(VLOOKUP(G374,编号表!$E$1:$G$8,2,0))&amp;H374&amp;"_"&amp;I374&amp;"_"&amp;J374</f>
        <v>17C5_1_2</v>
      </c>
      <c r="F374" t="n" s="3">
        <v>17</v>
      </c>
      <c r="G374" t="str" s="3">
        <v>采集物</v>
      </c>
      <c r="H374" t="n" s="3">
        <v>5</v>
      </c>
      <c r="I374" t="n" s="3">
        <v>1</v>
      </c>
      <c r="J374" t="n" s="3">
        <v>2</v>
      </c>
      <c r="K374" s="3"/>
      <c r="L374" s="3"/>
      <c r="M374" s="3"/>
      <c r="N374" s="3"/>
      <c r="O374" s="3"/>
      <c r="P374" s="3"/>
      <c r="Q374" s="3"/>
      <c r="R374" s="3"/>
      <c r="S374" s="17"/>
      <c r="T374" s="18"/>
      <c r="U374"/>
      <c r="V374"/>
      <c r="W374"/>
      <c r="X374"/>
      <c r="Y374"/>
      <c r="Z374"/>
      <c r="AA374"/>
    </row>
    <row r="375" ht="15" spans="1:20">
      <c r="A375" s="35"/>
      <c r="B375" t="n" s="17">
        <f>70000000+F375*10000+H375*1000+I375*100+J375</f>
        <v>70175103</v>
      </c>
      <c r="C375" t="str" s="38">
        <v>漫莎台-采集物3</v>
      </c>
      <c r="D375" s="3"/>
      <c r="E375" t="str" s="3">
        <f>F375&amp;(VLOOKUP(G375,编号表!$E$1:$G$8,2,0))&amp;H375&amp;"_"&amp;I375&amp;"_"&amp;J375</f>
        <v>17C5_1_3</v>
      </c>
      <c r="F375" t="n" s="3">
        <v>17</v>
      </c>
      <c r="G375" t="str" s="3">
        <v>采集物</v>
      </c>
      <c r="H375" t="n" s="3">
        <v>5</v>
      </c>
      <c r="I375" t="n" s="3">
        <v>1</v>
      </c>
      <c r="J375" t="n" s="3">
        <v>3</v>
      </c>
      <c r="K375" s="3"/>
      <c r="L375" s="3"/>
      <c r="M375" s="3"/>
      <c r="N375" s="3"/>
      <c r="O375" s="3"/>
      <c r="P375" s="3"/>
      <c r="Q375" s="3"/>
      <c r="R375" s="3"/>
      <c r="S375" s="17"/>
      <c r="T375" s="18"/>
      <c r="U375"/>
      <c r="V375"/>
      <c r="W375"/>
      <c r="X375"/>
      <c r="Y375"/>
      <c r="Z375"/>
      <c r="AA375"/>
    </row>
    <row r="376" ht="15" spans="1:20">
      <c r="A376" s="35"/>
      <c r="B376" t="n" s="17">
        <f>70000000+F376*10000+H376*1000+I376*100+J376</f>
        <v>70175104</v>
      </c>
      <c r="C376" t="str" s="38">
        <v>漫莎台-采集物4</v>
      </c>
      <c r="D376" s="3"/>
      <c r="E376" t="str" s="3">
        <f>F376&amp;(VLOOKUP(G376,编号表!$E$1:$G$8,2,0))&amp;H376&amp;"_"&amp;I376&amp;"_"&amp;J376</f>
        <v>17C5_1_4</v>
      </c>
      <c r="F376" t="n" s="3">
        <v>17</v>
      </c>
      <c r="G376" t="str" s="3">
        <v>采集物</v>
      </c>
      <c r="H376" t="n" s="3">
        <v>5</v>
      </c>
      <c r="I376" t="n" s="3">
        <v>1</v>
      </c>
      <c r="J376" t="n" s="3">
        <v>4</v>
      </c>
      <c r="K376" s="3"/>
      <c r="L376" s="3"/>
      <c r="M376" s="3"/>
      <c r="N376" s="3"/>
      <c r="O376" s="3"/>
      <c r="P376" s="3"/>
      <c r="Q376" s="3"/>
      <c r="R376" s="3"/>
      <c r="S376" s="17"/>
      <c r="T376" s="18"/>
      <c r="U376"/>
      <c r="V376"/>
      <c r="W376"/>
      <c r="X376"/>
      <c r="Y376"/>
      <c r="Z376"/>
      <c r="AA376"/>
    </row>
    <row r="377" ht="15" spans="1:20">
      <c r="A377" s="35"/>
      <c r="B377" t="n" s="17">
        <f>70000000+F377*10000+H377*1000+I377*100+J377</f>
        <v>70175105</v>
      </c>
      <c r="C377" t="str" s="38">
        <v>漫莎台-采集物5</v>
      </c>
      <c r="D377" s="3"/>
      <c r="E377" t="str" s="3">
        <f>F377&amp;(VLOOKUP(G377,编号表!$E$1:$G$8,2,0))&amp;H377&amp;"_"&amp;I377&amp;"_"&amp;J377</f>
        <v>17C5_1_5</v>
      </c>
      <c r="F377" t="n" s="3">
        <v>17</v>
      </c>
      <c r="G377" t="str" s="3">
        <v>采集物</v>
      </c>
      <c r="H377" t="n" s="3">
        <v>5</v>
      </c>
      <c r="I377" t="n" s="3">
        <v>1</v>
      </c>
      <c r="J377" t="n" s="3">
        <v>5</v>
      </c>
      <c r="K377" s="3"/>
      <c r="L377" s="3"/>
      <c r="M377" s="3"/>
      <c r="N377" s="3"/>
      <c r="O377" s="3"/>
      <c r="P377" s="3"/>
      <c r="Q377" s="3"/>
      <c r="R377" s="3"/>
      <c r="S377" s="17"/>
      <c r="T377" s="18"/>
      <c r="U377"/>
      <c r="V377"/>
      <c r="W377"/>
      <c r="X377"/>
      <c r="Y377"/>
      <c r="Z377"/>
      <c r="AA377"/>
    </row>
    <row r="378" ht="15" spans="1:20">
      <c r="A378" s="35"/>
      <c r="B378" t="n" s="17">
        <f>70000000+F378*10000+H378*1000+I378*100+J378</f>
        <v>70175201</v>
      </c>
      <c r="C378" t="str" s="38">
        <v>漫莎台-采集物6</v>
      </c>
      <c r="D378" s="3"/>
      <c r="E378" t="str" s="3">
        <f>F378&amp;(VLOOKUP(G378,编号表!$E$1:$G$8,2,0))&amp;H378&amp;"_"&amp;I378&amp;"_"&amp;J378</f>
        <v>17C5_2_1</v>
      </c>
      <c r="F378" t="n" s="3">
        <v>17</v>
      </c>
      <c r="G378" t="str" s="3">
        <v>采集物</v>
      </c>
      <c r="H378" t="n" s="3">
        <v>5</v>
      </c>
      <c r="I378" t="n" s="3">
        <v>2</v>
      </c>
      <c r="J378" t="n" s="3">
        <v>1</v>
      </c>
      <c r="K378" s="3"/>
      <c r="L378" s="3"/>
      <c r="M378" s="3"/>
      <c r="N378" s="3"/>
      <c r="O378" s="3"/>
      <c r="P378" s="3"/>
      <c r="Q378" s="3"/>
      <c r="R378" s="3"/>
      <c r="S378" s="17"/>
      <c r="T378" s="18"/>
      <c r="U378"/>
      <c r="V378"/>
      <c r="W378"/>
      <c r="X378"/>
      <c r="Y378"/>
      <c r="Z378"/>
      <c r="AA378"/>
    </row>
    <row r="379" ht="15" spans="1:20">
      <c r="A379" s="35"/>
      <c r="B379" t="n" s="17">
        <f>70000000+F379*10000+H379*1000+I379*100+J379</f>
        <v>70175202</v>
      </c>
      <c r="C379" t="str" s="38">
        <v>漫莎台-采集物7</v>
      </c>
      <c r="D379" s="3"/>
      <c r="E379" t="str" s="3">
        <f>F379&amp;(VLOOKUP(G379,编号表!$E$1:$G$8,2,0))&amp;H379&amp;"_"&amp;I379&amp;"_"&amp;J379</f>
        <v>17C5_2_2</v>
      </c>
      <c r="F379" t="n" s="3">
        <v>17</v>
      </c>
      <c r="G379" t="str" s="3">
        <v>采集物</v>
      </c>
      <c r="H379" t="n" s="3">
        <v>5</v>
      </c>
      <c r="I379" t="n" s="3">
        <v>2</v>
      </c>
      <c r="J379" t="n" s="3">
        <v>2</v>
      </c>
      <c r="K379" s="3"/>
      <c r="L379" s="3"/>
      <c r="M379" s="3"/>
      <c r="N379" s="3"/>
      <c r="O379" s="3"/>
      <c r="P379" s="3"/>
      <c r="Q379" s="3"/>
      <c r="R379" s="3"/>
      <c r="S379" s="17"/>
      <c r="T379" s="18"/>
      <c r="U379"/>
      <c r="V379"/>
      <c r="W379"/>
      <c r="X379"/>
      <c r="Y379"/>
      <c r="Z379"/>
      <c r="AA379"/>
    </row>
    <row r="380" ht="15" spans="1:20">
      <c r="A380" s="35"/>
      <c r="B380" t="n" s="17">
        <f>70000000+F380*10000+H380*1000+I380*100+J380</f>
        <v>70175203</v>
      </c>
      <c r="C380" t="str" s="38">
        <v>漫莎台-采集物8</v>
      </c>
      <c r="D380" s="3"/>
      <c r="E380" t="str" s="3">
        <f>F380&amp;(VLOOKUP(G380,编号表!$E$1:$G$8,2,0))&amp;H380&amp;"_"&amp;I380&amp;"_"&amp;J380</f>
        <v>17C5_2_3</v>
      </c>
      <c r="F380" t="n" s="3">
        <v>17</v>
      </c>
      <c r="G380" t="str" s="3">
        <v>采集物</v>
      </c>
      <c r="H380" t="n" s="3">
        <v>5</v>
      </c>
      <c r="I380" t="n" s="3">
        <v>2</v>
      </c>
      <c r="J380" t="n" s="3">
        <v>3</v>
      </c>
      <c r="K380" s="3"/>
      <c r="L380" s="3"/>
      <c r="M380" s="3"/>
      <c r="N380" s="3"/>
      <c r="O380" s="3"/>
      <c r="P380" s="3"/>
      <c r="Q380" s="3"/>
      <c r="R380" s="3"/>
      <c r="S380" s="17"/>
      <c r="T380" s="18"/>
      <c r="U380"/>
      <c r="V380"/>
      <c r="W380"/>
      <c r="X380"/>
      <c r="Y380"/>
      <c r="Z380"/>
      <c r="AA380"/>
    </row>
    <row r="381" ht="15" spans="1:20">
      <c r="A381" s="35"/>
      <c r="B381" t="n" s="17">
        <f>70000000+F381*10000+H381*1000+I381*100+J381</f>
        <v>70175204</v>
      </c>
      <c r="C381" t="str" s="38">
        <v>漫莎台-采集物9</v>
      </c>
      <c r="D381" s="3"/>
      <c r="E381" t="str" s="3">
        <f>F381&amp;(VLOOKUP(G381,编号表!$E$1:$G$8,2,0))&amp;H381&amp;"_"&amp;I381&amp;"_"&amp;J381</f>
        <v>17C5_2_4</v>
      </c>
      <c r="F381" t="n" s="3">
        <v>17</v>
      </c>
      <c r="G381" t="str" s="3">
        <v>采集物</v>
      </c>
      <c r="H381" t="n" s="3">
        <v>5</v>
      </c>
      <c r="I381" t="n" s="3">
        <v>2</v>
      </c>
      <c r="J381" t="n" s="3">
        <v>4</v>
      </c>
      <c r="K381" s="3"/>
      <c r="L381" s="3"/>
      <c r="M381" s="3"/>
      <c r="N381" s="3"/>
      <c r="O381" s="3"/>
      <c r="P381" s="3"/>
      <c r="Q381" s="3"/>
      <c r="R381" s="3"/>
      <c r="S381" s="17"/>
      <c r="T381" s="18"/>
      <c r="U381"/>
      <c r="V381"/>
      <c r="W381"/>
      <c r="X381"/>
      <c r="Y381"/>
      <c r="Z381"/>
      <c r="AA381"/>
    </row>
    <row r="382" ht="15" spans="1:20">
      <c r="A382" s="35"/>
      <c r="B382" t="n" s="17">
        <f>70000000+F382*10000+H382*1000+I382*100+J382</f>
        <v>70175001</v>
      </c>
      <c r="C382" t="str" s="39">
        <v>漫莎台-镜头</v>
      </c>
      <c r="D382" s="3"/>
      <c r="E382" t="str" s="3">
        <f>F382&amp;(VLOOKUP(G382,编号表!$E$1:$G$8,2,0))&amp;H382&amp;"_"&amp;I382&amp;"_"&amp;J382</f>
        <v>17J5_0_1</v>
      </c>
      <c r="F382" t="n" s="3">
        <v>17</v>
      </c>
      <c r="G382" t="str" s="3">
        <v>镜头</v>
      </c>
      <c r="H382" t="n" s="3">
        <v>5</v>
      </c>
      <c r="I382" t="n" s="3">
        <v>0</v>
      </c>
      <c r="J382" t="n" s="3">
        <v>1</v>
      </c>
      <c r="K382" t="n" s="3">
        <v>1</v>
      </c>
      <c r="L382" s="3"/>
      <c r="M382" s="3"/>
      <c r="N382" s="3"/>
      <c r="O382" s="3"/>
      <c r="P382" s="3"/>
      <c r="Q382" s="3"/>
      <c r="R382" s="3"/>
      <c r="S382" s="17"/>
      <c r="T382" s="18"/>
      <c r="U382"/>
      <c r="V382"/>
      <c r="W382"/>
      <c r="X382"/>
      <c r="Y382"/>
      <c r="Z382"/>
      <c r="AA382"/>
    </row>
    <row r="383" ht="15" spans="1:20">
      <c r="A383" s="35"/>
      <c r="B383" t="n" s="17">
        <f>70000000+F383*10000+H383*1000+I383*100+J383</f>
        <v>70171001</v>
      </c>
      <c r="C383" t="str" s="37">
        <v>漫莎台-传送</v>
      </c>
      <c r="D383" s="3"/>
      <c r="E383" t="str" s="3">
        <f>F383&amp;(VLOOKUP(G383,编号表!$E$1:$G$8,2,0))&amp;H383&amp;"_"&amp;I383&amp;"_"&amp;J383</f>
        <v>17T1_0_1</v>
      </c>
      <c r="F383" t="n" s="3">
        <v>17</v>
      </c>
      <c r="G383" t="str" s="3">
        <v>传送</v>
      </c>
      <c r="H383" t="n" s="3">
        <v>1</v>
      </c>
      <c r="I383" t="n" s="3">
        <v>0</v>
      </c>
      <c r="J383" t="n" s="3">
        <v>1</v>
      </c>
      <c r="K383" s="3"/>
      <c r="L383" t="n" s="3">
        <v>1</v>
      </c>
      <c r="M383" s="3"/>
      <c r="N383" s="3"/>
      <c r="O383" s="3"/>
      <c r="P383" s="3"/>
      <c r="Q383" s="3"/>
      <c r="R383" t="n" s="3">
        <v>70161002</v>
      </c>
      <c r="S383" s="17"/>
      <c r="T383" s="18"/>
      <c r="U383"/>
      <c r="V383"/>
      <c r="W383"/>
      <c r="X383"/>
      <c r="Y383"/>
      <c r="Z383"/>
      <c r="AA383"/>
    </row>
    <row r="384" ht="15" spans="1:20">
      <c r="A384" s="35"/>
      <c r="B384" t="n" s="17">
        <f>70000000+F384*10000+H384*1000+I384*100+J384</f>
        <v>70171002</v>
      </c>
      <c r="C384" t="str" s="37">
        <v>漫莎台-传送</v>
      </c>
      <c r="D384" s="3"/>
      <c r="E384" t="str" s="3">
        <f>F384&amp;(VLOOKUP(G384,编号表!$E$1:$G$8,2,0))&amp;H384&amp;"_"&amp;I384&amp;"_"&amp;J384</f>
        <v>17T1_0_2</v>
      </c>
      <c r="F384" t="n" s="3">
        <v>17</v>
      </c>
      <c r="G384" t="str" s="3">
        <v>传送</v>
      </c>
      <c r="H384" t="n" s="3">
        <v>1</v>
      </c>
      <c r="I384" t="n" s="3">
        <v>0</v>
      </c>
      <c r="J384" t="n" s="3">
        <v>2</v>
      </c>
      <c r="K384" s="3"/>
      <c r="L384" t="n" s="3">
        <v>1</v>
      </c>
      <c r="M384" s="3"/>
      <c r="N384" s="3"/>
      <c r="O384" s="3"/>
      <c r="P384" s="3"/>
      <c r="Q384" s="3"/>
      <c r="R384" t="n" s="3">
        <v>70181001</v>
      </c>
      <c r="S384" s="17"/>
      <c r="T384" s="18"/>
      <c r="U384"/>
      <c r="V384"/>
      <c r="W384"/>
      <c r="X384"/>
      <c r="Y384"/>
      <c r="Z384"/>
      <c r="AA384"/>
    </row>
    <row r="385" ht="15" spans="1:20">
      <c r="A385" s="35"/>
      <c r="B385" t="n" s="17">
        <f>70000000+F385*10000+H385*1000+I385*100+J385</f>
        <v>70172001</v>
      </c>
      <c r="C385" t="str" s="37">
        <v>漫莎台-小地图</v>
      </c>
      <c r="D385" s="3"/>
      <c r="E385" t="str" s="3">
        <f>F385&amp;(VLOOKUP(G385,编号表!$E$1:$G$8,2,0))&amp;H385&amp;"_"&amp;I385&amp;"_"&amp;J385</f>
        <v>17D2_0_1</v>
      </c>
      <c r="F385" t="n" s="3">
        <v>17</v>
      </c>
      <c r="G385" t="str" s="3">
        <v>小地图</v>
      </c>
      <c r="H385" t="n" s="3">
        <v>2</v>
      </c>
      <c r="I385" t="n" s="3">
        <v>0</v>
      </c>
      <c r="J385" t="n" s="3">
        <v>1</v>
      </c>
      <c r="K385" s="3"/>
      <c r="L385" s="3"/>
      <c r="M385" t="n" s="3">
        <v>1</v>
      </c>
      <c r="N385" s="3"/>
      <c r="O385" s="3"/>
      <c r="P385" s="3"/>
      <c r="Q385" s="3"/>
      <c r="R385" s="3"/>
      <c r="S385" s="17"/>
      <c r="T385" s="18"/>
      <c r="U385"/>
      <c r="V385"/>
      <c r="W385"/>
      <c r="X385"/>
      <c r="Y385"/>
      <c r="Z385"/>
      <c r="AA385"/>
    </row>
    <row r="386" ht="15" spans="1:20">
      <c r="A386" s="35"/>
      <c r="B386" t="n" s="17">
        <f>70000000+F386*10000+H386*1000+I386*100+J386</f>
        <v>70185101</v>
      </c>
      <c r="C386" t="str" s="38">
        <v>匿汊口-怪物1</v>
      </c>
      <c r="D386" s="3"/>
      <c r="E386" t="str" s="3">
        <f>F386&amp;(VLOOKUP(G386,编号表!$E$1:$G$8,2,0))&amp;H386&amp;"_"&amp;I386&amp;"_"&amp;J386</f>
        <v>18N5_1_1</v>
      </c>
      <c r="F386" t="n" s="3">
        <v>18</v>
      </c>
      <c r="G386" t="str" s="3">
        <v>怪物</v>
      </c>
      <c r="H386" t="n" s="3">
        <v>5</v>
      </c>
      <c r="I386" t="n" s="3">
        <v>1</v>
      </c>
      <c r="J386" t="n" s="3">
        <v>1</v>
      </c>
      <c r="K386" s="3"/>
      <c r="L386" s="3"/>
      <c r="M386" s="3"/>
      <c r="N386" s="3"/>
      <c r="O386" s="3"/>
      <c r="P386" s="3"/>
      <c r="Q386" s="3"/>
      <c r="R386" s="3"/>
      <c r="S386" t="str" s="17">
        <v>本轮完整刷新挂接；有效坐标注入后验证</v>
      </c>
      <c r="T386" t="n" s="18">
        <v>1017303</v>
      </c>
      <c r="U386"/>
      <c r="V386"/>
      <c r="W386"/>
      <c r="X386"/>
      <c r="Y386"/>
      <c r="Z386"/>
      <c r="AA386"/>
    </row>
    <row r="387" ht="15" spans="1:20">
      <c r="A387" s="35"/>
      <c r="B387" t="n" s="17">
        <f>70000000+F387*10000+H387*1000+I387*100+J387</f>
        <v>70185102</v>
      </c>
      <c r="C387" t="str" s="38">
        <v>匿汊口-怪物2</v>
      </c>
      <c r="D387" s="3"/>
      <c r="E387" t="str" s="3">
        <f>F387&amp;(VLOOKUP(G387,编号表!$E$1:$G$8,2,0))&amp;H387&amp;"_"&amp;I387&amp;"_"&amp;J387</f>
        <v>18N5_1_2</v>
      </c>
      <c r="F387" t="n" s="3">
        <v>18</v>
      </c>
      <c r="G387" t="str" s="3">
        <v>怪物</v>
      </c>
      <c r="H387" t="n" s="3">
        <v>5</v>
      </c>
      <c r="I387" t="n" s="3">
        <v>1</v>
      </c>
      <c r="J387" t="n" s="3">
        <v>2</v>
      </c>
      <c r="K387" s="3"/>
      <c r="L387" s="3"/>
      <c r="M387" s="3"/>
      <c r="N387" s="3"/>
      <c r="O387" s="3"/>
      <c r="P387" s="3"/>
      <c r="Q387" s="3"/>
      <c r="R387" s="3"/>
      <c r="S387" t="str" s="17">
        <v>本轮完整刷新挂接；有效坐标注入后验证</v>
      </c>
      <c r="T387" t="n" s="18">
        <v>1017403</v>
      </c>
      <c r="U387"/>
      <c r="V387"/>
      <c r="W387"/>
      <c r="X387"/>
      <c r="Y387"/>
      <c r="Z387"/>
      <c r="AA387"/>
    </row>
    <row r="388" ht="15" spans="1:20">
      <c r="A388" s="35"/>
      <c r="B388" t="n" s="17">
        <f>70000000+F388*10000+H388*1000+I388*100+J388</f>
        <v>70185103</v>
      </c>
      <c r="C388" t="str" s="38">
        <v>匿汊口-怪物3</v>
      </c>
      <c r="D388" s="3"/>
      <c r="E388" t="str" s="3">
        <f>F388&amp;(VLOOKUP(G388,编号表!$E$1:$G$8,2,0))&amp;H388&amp;"_"&amp;I388&amp;"_"&amp;J388</f>
        <v>18N5_1_3</v>
      </c>
      <c r="F388" t="n" s="3">
        <v>18</v>
      </c>
      <c r="G388" t="str" s="3">
        <v>怪物</v>
      </c>
      <c r="H388" t="n" s="3">
        <v>5</v>
      </c>
      <c r="I388" t="n" s="3">
        <v>1</v>
      </c>
      <c r="J388" t="n" s="3">
        <v>3</v>
      </c>
      <c r="K388" s="3"/>
      <c r="L388" s="3"/>
      <c r="M388" s="3"/>
      <c r="N388" s="3"/>
      <c r="O388" s="3"/>
      <c r="P388" s="3"/>
      <c r="Q388" s="3"/>
      <c r="R388" s="3"/>
      <c r="S388" t="str" s="17">
        <v>本轮完整刷新挂接；有效坐标注入后验证</v>
      </c>
      <c r="T388" t="n" s="18">
        <v>1017503</v>
      </c>
      <c r="U388"/>
      <c r="V388"/>
      <c r="W388"/>
      <c r="X388"/>
      <c r="Y388"/>
      <c r="Z388"/>
      <c r="AA388"/>
    </row>
    <row r="389" ht="15" spans="1:20">
      <c r="A389" s="35"/>
      <c r="B389" t="n" s="17">
        <f>70000000+F389*10000+H389*1000+I389*100+J389</f>
        <v>70185104</v>
      </c>
      <c r="C389" t="str" s="38">
        <v>匿汊口-怪物4</v>
      </c>
      <c r="D389" s="3"/>
      <c r="E389" t="str" s="3">
        <f>F389&amp;(VLOOKUP(G389,编号表!$E$1:$G$8,2,0))&amp;H389&amp;"_"&amp;I389&amp;"_"&amp;J389</f>
        <v>18N5_1_4</v>
      </c>
      <c r="F389" t="n" s="3">
        <v>18</v>
      </c>
      <c r="G389" t="str" s="3">
        <v>怪物</v>
      </c>
      <c r="H389" t="n" s="3">
        <v>5</v>
      </c>
      <c r="I389" t="n" s="3">
        <v>1</v>
      </c>
      <c r="J389" t="n" s="3">
        <v>4</v>
      </c>
      <c r="K389" s="3"/>
      <c r="L389" s="3"/>
      <c r="M389" s="3"/>
      <c r="N389" s="3"/>
      <c r="O389" s="3"/>
      <c r="P389" s="3"/>
      <c r="Q389" s="3"/>
      <c r="R389" s="3"/>
      <c r="S389" t="str" s="17">
        <v>本轮完整刷新挂接；有效坐标注入后验证</v>
      </c>
      <c r="T389" t="n" s="18">
        <v>1017103</v>
      </c>
      <c r="U389"/>
      <c r="V389"/>
      <c r="W389"/>
      <c r="X389"/>
      <c r="Y389"/>
      <c r="Z389"/>
      <c r="AA389"/>
    </row>
    <row r="390" ht="15" spans="1:20">
      <c r="A390" s="35"/>
      <c r="B390" t="n" s="17">
        <f>70000000+F390*10000+H390*1000+I390*100+J390</f>
        <v>70185105</v>
      </c>
      <c r="C390" t="str" s="38">
        <v>匿汊口-怪物5</v>
      </c>
      <c r="D390" s="3"/>
      <c r="E390" t="str" s="3">
        <f>F390&amp;(VLOOKUP(G390,编号表!$E$1:$G$8,2,0))&amp;H390&amp;"_"&amp;I390&amp;"_"&amp;J390</f>
        <v>18N5_1_5</v>
      </c>
      <c r="F390" t="n" s="3">
        <v>18</v>
      </c>
      <c r="G390" t="str" s="3">
        <v>怪物</v>
      </c>
      <c r="H390" t="n" s="3">
        <v>5</v>
      </c>
      <c r="I390" t="n" s="3">
        <v>1</v>
      </c>
      <c r="J390" t="n" s="3">
        <v>5</v>
      </c>
      <c r="K390" s="3"/>
      <c r="L390" s="3"/>
      <c r="M390" s="3"/>
      <c r="N390" s="3"/>
      <c r="O390" s="3"/>
      <c r="P390" s="3"/>
      <c r="Q390" s="3"/>
      <c r="R390" s="3"/>
      <c r="S390" t="str" s="17">
        <v>本轮完整刷新挂接；有效坐标注入后验证</v>
      </c>
      <c r="T390" t="n" s="18">
        <v>1017001</v>
      </c>
      <c r="U390"/>
      <c r="V390"/>
      <c r="W390"/>
      <c r="X390"/>
      <c r="Y390"/>
      <c r="Z390"/>
      <c r="AA390"/>
    </row>
    <row r="391" ht="15" spans="1:20">
      <c r="A391" s="35"/>
      <c r="B391" t="n" s="17">
        <f>70000000+F391*10000+H391*1000+I391*100+J391</f>
        <v>70185201</v>
      </c>
      <c r="C391" t="str" s="38">
        <v>匿汊口-怪物6</v>
      </c>
      <c r="D391" s="3"/>
      <c r="E391" t="str" s="3">
        <f>F391&amp;(VLOOKUP(G391,编号表!$E$1:$G$8,2,0))&amp;H391&amp;"_"&amp;I391&amp;"_"&amp;J391</f>
        <v>18N5_2_1</v>
      </c>
      <c r="F391" t="n" s="3">
        <v>18</v>
      </c>
      <c r="G391" t="str" s="3">
        <v>怪物</v>
      </c>
      <c r="H391" t="n" s="3">
        <v>5</v>
      </c>
      <c r="I391" t="n" s="3">
        <v>2</v>
      </c>
      <c r="J391" t="n" s="3">
        <v>1</v>
      </c>
      <c r="K391" s="3"/>
      <c r="L391" s="3"/>
      <c r="M391" s="3"/>
      <c r="N391" s="3"/>
      <c r="O391" s="3"/>
      <c r="P391" s="3"/>
      <c r="Q391" s="3"/>
      <c r="R391" s="3"/>
      <c r="S391" s="17"/>
      <c r="T391" s="18"/>
      <c r="U391"/>
      <c r="V391"/>
      <c r="W391"/>
      <c r="X391"/>
      <c r="Y391"/>
      <c r="Z391"/>
      <c r="AA391"/>
    </row>
    <row r="392" ht="15" spans="1:20">
      <c r="A392" s="35"/>
      <c r="B392" t="n" s="17">
        <f>70000000+F392*10000+H392*1000+I392*100+J392</f>
        <v>70185202</v>
      </c>
      <c r="C392" t="str" s="38">
        <v>匿汊口-怪物7</v>
      </c>
      <c r="D392" s="3"/>
      <c r="E392" t="str" s="3">
        <f>F392&amp;(VLOOKUP(G392,编号表!$E$1:$G$8,2,0))&amp;H392&amp;"_"&amp;I392&amp;"_"&amp;J392</f>
        <v>18N5_2_2</v>
      </c>
      <c r="F392" t="n" s="3">
        <v>18</v>
      </c>
      <c r="G392" t="str" s="3">
        <v>怪物</v>
      </c>
      <c r="H392" t="n" s="3">
        <v>5</v>
      </c>
      <c r="I392" t="n" s="3">
        <v>2</v>
      </c>
      <c r="J392" t="n" s="3">
        <v>2</v>
      </c>
      <c r="K392" s="3"/>
      <c r="L392" s="3"/>
      <c r="M392" s="3"/>
      <c r="N392" s="3"/>
      <c r="O392" s="3"/>
      <c r="P392" s="3"/>
      <c r="Q392" s="3"/>
      <c r="R392" s="3"/>
      <c r="S392" s="17"/>
      <c r="T392" s="18"/>
      <c r="U392"/>
      <c r="V392"/>
      <c r="W392"/>
      <c r="X392"/>
      <c r="Y392"/>
      <c r="Z392"/>
      <c r="AA392"/>
    </row>
    <row r="393" ht="15" spans="1:20">
      <c r="A393" s="35"/>
      <c r="B393" t="n" s="17">
        <f>70000000+F393*10000+H393*1000+I393*100+J393</f>
        <v>70185203</v>
      </c>
      <c r="C393" t="str" s="38">
        <v>匿汊口-怪物8</v>
      </c>
      <c r="D393" s="3"/>
      <c r="E393" t="str" s="3">
        <f>F393&amp;(VLOOKUP(G393,编号表!$E$1:$G$8,2,0))&amp;H393&amp;"_"&amp;I393&amp;"_"&amp;J393</f>
        <v>18N5_2_3</v>
      </c>
      <c r="F393" t="n" s="3">
        <v>18</v>
      </c>
      <c r="G393" t="str" s="3">
        <v>怪物</v>
      </c>
      <c r="H393" t="n" s="3">
        <v>5</v>
      </c>
      <c r="I393" t="n" s="3">
        <v>2</v>
      </c>
      <c r="J393" t="n" s="3">
        <v>3</v>
      </c>
      <c r="K393" s="3"/>
      <c r="L393" s="3"/>
      <c r="M393" s="3"/>
      <c r="N393" s="3"/>
      <c r="O393" s="3"/>
      <c r="P393" s="3"/>
      <c r="Q393" s="3"/>
      <c r="R393" s="3"/>
      <c r="S393" s="17"/>
      <c r="T393" s="18"/>
      <c r="U393"/>
      <c r="V393"/>
      <c r="W393"/>
      <c r="X393"/>
      <c r="Y393"/>
      <c r="Z393"/>
      <c r="AA393"/>
    </row>
    <row r="394" ht="15" spans="1:20">
      <c r="A394" s="35"/>
      <c r="B394" t="n" s="17">
        <f>70000000+F394*10000+H394*1000+I394*100+J394</f>
        <v>70185301</v>
      </c>
      <c r="C394" t="str" s="38">
        <v>匿汊口-怪物9</v>
      </c>
      <c r="D394" s="3"/>
      <c r="E394" t="str" s="3">
        <f>F394&amp;(VLOOKUP(G394,编号表!$E$1:$G$8,2,0))&amp;H394&amp;"_"&amp;I394&amp;"_"&amp;J394</f>
        <v>18N5_3_1</v>
      </c>
      <c r="F394" t="n" s="3">
        <v>18</v>
      </c>
      <c r="G394" t="str" s="3">
        <v>怪物</v>
      </c>
      <c r="H394" t="n" s="3">
        <v>5</v>
      </c>
      <c r="I394" t="n" s="3">
        <v>3</v>
      </c>
      <c r="J394" t="n" s="3">
        <v>1</v>
      </c>
      <c r="K394" s="3"/>
      <c r="L394" s="3"/>
      <c r="M394" s="3"/>
      <c r="N394" s="3"/>
      <c r="O394" s="3"/>
      <c r="P394" s="3"/>
      <c r="Q394" s="3"/>
      <c r="R394" s="3"/>
      <c r="S394" s="17"/>
      <c r="T394" s="18"/>
      <c r="U394"/>
      <c r="V394"/>
      <c r="W394"/>
      <c r="X394"/>
      <c r="Y394"/>
      <c r="Z394"/>
      <c r="AA394"/>
    </row>
    <row r="395" ht="15" spans="1:20">
      <c r="A395" s="35"/>
      <c r="B395" t="n" s="17">
        <f>70000000+F395*10000+H395*1000+I395*100+J395</f>
        <v>70185302</v>
      </c>
      <c r="C395" t="str" s="38">
        <v>匿汊口-怪物10</v>
      </c>
      <c r="D395" s="3"/>
      <c r="E395" t="str" s="3">
        <f>F395&amp;(VLOOKUP(G395,编号表!$E$1:$G$8,2,0))&amp;H395&amp;"_"&amp;I395&amp;"_"&amp;J395</f>
        <v>18N5_3_2</v>
      </c>
      <c r="F395" t="n" s="3">
        <v>18</v>
      </c>
      <c r="G395" t="str" s="3">
        <v>怪物</v>
      </c>
      <c r="H395" t="n" s="3">
        <v>5</v>
      </c>
      <c r="I395" t="n" s="3">
        <v>3</v>
      </c>
      <c r="J395" t="n" s="3">
        <v>2</v>
      </c>
      <c r="K395" s="3"/>
      <c r="L395" s="3"/>
      <c r="M395" s="3"/>
      <c r="N395" s="3"/>
      <c r="O395" s="3"/>
      <c r="P395" s="3"/>
      <c r="Q395" s="3"/>
      <c r="R395" s="3"/>
      <c r="S395" s="17"/>
      <c r="T395" s="18"/>
      <c r="U395"/>
      <c r="V395"/>
      <c r="W395"/>
      <c r="X395"/>
      <c r="Y395"/>
      <c r="Z395"/>
      <c r="AA395"/>
    </row>
    <row r="396" ht="15" spans="1:20">
      <c r="A396" s="35"/>
      <c r="B396" t="n" s="17">
        <f>70000000+F396*10000+H396*1000+I396*100+J396</f>
        <v>70185303</v>
      </c>
      <c r="C396" t="str" s="38">
        <v>匿汊口-怪物11</v>
      </c>
      <c r="D396" s="3"/>
      <c r="E396" t="str" s="3">
        <f>F396&amp;(VLOOKUP(G396,编号表!$E$1:$G$8,2,0))&amp;H396&amp;"_"&amp;I396&amp;"_"&amp;J396</f>
        <v>18N5_3_3</v>
      </c>
      <c r="F396" t="n" s="3">
        <v>18</v>
      </c>
      <c r="G396" t="str" s="3">
        <v>怪物</v>
      </c>
      <c r="H396" t="n" s="3">
        <v>5</v>
      </c>
      <c r="I396" t="n" s="3">
        <v>3</v>
      </c>
      <c r="J396" t="n" s="3">
        <v>3</v>
      </c>
      <c r="K396" s="3"/>
      <c r="L396" s="3"/>
      <c r="M396" s="3"/>
      <c r="N396" s="3"/>
      <c r="O396" s="3"/>
      <c r="P396" s="3"/>
      <c r="Q396" s="3"/>
      <c r="R396" s="3"/>
      <c r="S396" s="17"/>
      <c r="T396" s="18"/>
      <c r="U396"/>
      <c r="V396"/>
      <c r="W396"/>
      <c r="X396"/>
      <c r="Y396"/>
      <c r="Z396"/>
      <c r="AA396"/>
    </row>
    <row r="397" ht="15" spans="1:20">
      <c r="A397" s="35"/>
      <c r="B397" t="n" s="17">
        <f>70000000+F397*10000+H397*1000+I397*100+J397</f>
        <v>70185304</v>
      </c>
      <c r="C397" t="str" s="38">
        <v>匿汊口-怪物12</v>
      </c>
      <c r="D397" s="3"/>
      <c r="E397" t="str" s="3">
        <f>F397&amp;(VLOOKUP(G397,编号表!$E$1:$G$8,2,0))&amp;H397&amp;"_"&amp;I397&amp;"_"&amp;J397</f>
        <v>18N5_3_4</v>
      </c>
      <c r="F397" t="n" s="3">
        <v>18</v>
      </c>
      <c r="G397" t="str" s="3">
        <v>怪物</v>
      </c>
      <c r="H397" t="n" s="3">
        <v>5</v>
      </c>
      <c r="I397" t="n" s="3">
        <v>3</v>
      </c>
      <c r="J397" t="n" s="3">
        <v>4</v>
      </c>
      <c r="K397" s="3"/>
      <c r="L397" s="3"/>
      <c r="M397" s="3"/>
      <c r="N397" s="3"/>
      <c r="O397" s="3"/>
      <c r="P397" s="3"/>
      <c r="Q397" s="3"/>
      <c r="R397" s="3"/>
      <c r="S397" s="17"/>
      <c r="T397" s="18"/>
      <c r="U397"/>
      <c r="V397"/>
      <c r="W397"/>
      <c r="X397"/>
      <c r="Y397"/>
      <c r="Z397"/>
      <c r="AA397"/>
    </row>
    <row r="398" ht="15" spans="1:20">
      <c r="A398" s="35"/>
      <c r="B398" t="n" s="17">
        <f>70000000+F398*10000+H398*1000+I398*100+J398</f>
        <v>70185305</v>
      </c>
      <c r="C398" t="str" s="38">
        <v>匿汊口-怪物13</v>
      </c>
      <c r="D398" s="3"/>
      <c r="E398" t="str" s="3">
        <f>F398&amp;(VLOOKUP(G398,编号表!$E$1:$G$8,2,0))&amp;H398&amp;"_"&amp;I398&amp;"_"&amp;J398</f>
        <v>18N5_3_5</v>
      </c>
      <c r="F398" t="n" s="3">
        <v>18</v>
      </c>
      <c r="G398" t="str" s="3">
        <v>怪物</v>
      </c>
      <c r="H398" t="n" s="3">
        <v>5</v>
      </c>
      <c r="I398" t="n" s="3">
        <v>3</v>
      </c>
      <c r="J398" t="n" s="3">
        <v>5</v>
      </c>
      <c r="K398" s="3"/>
      <c r="L398" s="3"/>
      <c r="M398" s="3"/>
      <c r="N398" s="3"/>
      <c r="O398" s="3"/>
      <c r="P398" s="3"/>
      <c r="Q398" s="3"/>
      <c r="R398" s="3"/>
      <c r="S398" s="17"/>
      <c r="T398" s="18"/>
      <c r="U398"/>
      <c r="V398"/>
      <c r="W398"/>
      <c r="X398"/>
      <c r="Y398"/>
      <c r="Z398"/>
      <c r="AA398"/>
    </row>
    <row r="399" ht="15" spans="1:20">
      <c r="A399" s="35"/>
      <c r="B399" t="n" s="17">
        <f>70000000+F399*10000+H399*1000+I399*100+J399</f>
        <v>70185001</v>
      </c>
      <c r="C399" t="str" s="39">
        <v>匿汊口-镜头</v>
      </c>
      <c r="D399" s="3"/>
      <c r="E399" t="str" s="3">
        <f>F399&amp;(VLOOKUP(G399,编号表!$E$1:$G$8,2,0))&amp;H399&amp;"_"&amp;I399&amp;"_"&amp;J399</f>
        <v>18J5_0_1</v>
      </c>
      <c r="F399" t="n" s="3">
        <v>18</v>
      </c>
      <c r="G399" t="str" s="3">
        <v>镜头</v>
      </c>
      <c r="H399" t="n" s="3">
        <v>5</v>
      </c>
      <c r="I399" t="n" s="3">
        <v>0</v>
      </c>
      <c r="J399" t="n" s="3">
        <v>1</v>
      </c>
      <c r="K399" t="n" s="3">
        <v>1</v>
      </c>
      <c r="L399" s="3"/>
      <c r="M399" s="3"/>
      <c r="N399" s="3"/>
      <c r="O399" s="3"/>
      <c r="P399" s="3"/>
      <c r="Q399" s="3"/>
      <c r="R399" s="3"/>
      <c r="S399" s="17"/>
      <c r="T399" s="18"/>
      <c r="U399"/>
      <c r="V399"/>
      <c r="W399"/>
      <c r="X399"/>
      <c r="Y399"/>
      <c r="Z399"/>
      <c r="AA399"/>
    </row>
    <row r="400" ht="15" spans="1:20">
      <c r="A400" s="35"/>
      <c r="B400" t="n" s="17">
        <f>70000000+F400*10000+H400*1000+I400*100+J400</f>
        <v>70181001</v>
      </c>
      <c r="C400" t="str" s="37">
        <v>匿汊口-传送</v>
      </c>
      <c r="D400" s="3"/>
      <c r="E400" t="str" s="3">
        <f>F400&amp;(VLOOKUP(G400,编号表!$E$1:$G$8,2,0))&amp;H400&amp;"_"&amp;I400&amp;"_"&amp;J400</f>
        <v>18T1_0_1</v>
      </c>
      <c r="F400" t="n" s="3">
        <v>18</v>
      </c>
      <c r="G400" t="str" s="3">
        <v>传送</v>
      </c>
      <c r="H400" t="n" s="3">
        <v>1</v>
      </c>
      <c r="I400" t="n" s="3">
        <v>0</v>
      </c>
      <c r="J400" t="n" s="3">
        <v>1</v>
      </c>
      <c r="K400" s="3"/>
      <c r="L400" t="n" s="3">
        <v>1</v>
      </c>
      <c r="M400" s="3"/>
      <c r="N400" s="3"/>
      <c r="O400" s="3"/>
      <c r="P400" s="3"/>
      <c r="Q400" s="3"/>
      <c r="R400" t="n" s="3">
        <v>70171002</v>
      </c>
      <c r="S400" s="17"/>
      <c r="T400" s="18"/>
      <c r="U400"/>
      <c r="V400"/>
      <c r="W400"/>
      <c r="X400"/>
      <c r="Y400"/>
      <c r="Z400"/>
      <c r="AA400"/>
    </row>
    <row r="401" ht="15" spans="1:20">
      <c r="A401" s="35"/>
      <c r="B401" t="n" s="17">
        <f>70000000+F401*10000+H401*1000+I401*100+J401</f>
        <v>70181002</v>
      </c>
      <c r="C401" t="str" s="37">
        <v>匿汊口-传送</v>
      </c>
      <c r="D401" s="3"/>
      <c r="E401" t="str" s="3">
        <f>F401&amp;(VLOOKUP(G401,编号表!$E$1:$G$8,2,0))&amp;H401&amp;"_"&amp;I401&amp;"_"&amp;J401</f>
        <v>18T1_0_2</v>
      </c>
      <c r="F401" t="n" s="3">
        <v>18</v>
      </c>
      <c r="G401" t="str" s="3">
        <v>传送</v>
      </c>
      <c r="H401" t="n" s="3">
        <v>1</v>
      </c>
      <c r="I401" t="n" s="3">
        <v>0</v>
      </c>
      <c r="J401" t="n" s="3">
        <v>2</v>
      </c>
      <c r="K401" s="3"/>
      <c r="L401" t="n" s="3">
        <v>1</v>
      </c>
      <c r="M401" s="3"/>
      <c r="N401" s="3"/>
      <c r="O401" s="3"/>
      <c r="P401" s="3"/>
      <c r="Q401" s="3"/>
      <c r="R401" t="n" s="3">
        <v>70191001</v>
      </c>
      <c r="S401" s="17"/>
      <c r="T401" s="18"/>
      <c r="U401"/>
      <c r="V401"/>
      <c r="W401"/>
      <c r="X401"/>
      <c r="Y401"/>
      <c r="Z401"/>
      <c r="AA401"/>
    </row>
    <row r="402" ht="15" spans="1:20">
      <c r="A402" s="35"/>
      <c r="B402" t="n" s="17">
        <f>70000000+F402*10000+H402*1000+I402*100+J402</f>
        <v>70182001</v>
      </c>
      <c r="C402" t="str" s="37">
        <v>匿汊口-小地图</v>
      </c>
      <c r="D402" s="3"/>
      <c r="E402" t="str" s="3">
        <f>F402&amp;(VLOOKUP(G402,编号表!$E$1:$G$8,2,0))&amp;H402&amp;"_"&amp;I402&amp;"_"&amp;J402</f>
        <v>18D2_0_1</v>
      </c>
      <c r="F402" t="n" s="3">
        <v>18</v>
      </c>
      <c r="G402" t="str" s="3">
        <v>小地图</v>
      </c>
      <c r="H402" t="n" s="3">
        <v>2</v>
      </c>
      <c r="I402" t="n" s="3">
        <v>0</v>
      </c>
      <c r="J402" t="n" s="3">
        <v>1</v>
      </c>
      <c r="K402" s="3"/>
      <c r="L402" s="3"/>
      <c r="M402" t="n" s="3">
        <v>1</v>
      </c>
      <c r="N402" s="3"/>
      <c r="O402" s="3"/>
      <c r="P402" s="3"/>
      <c r="Q402" s="3"/>
      <c r="R402" s="3"/>
      <c r="S402" s="17"/>
      <c r="T402" s="18"/>
      <c r="U402"/>
      <c r="V402"/>
      <c r="W402"/>
      <c r="X402"/>
      <c r="Y402"/>
      <c r="Z402"/>
      <c r="AA402"/>
    </row>
    <row r="403" ht="15" spans="1:20">
      <c r="A403" s="35"/>
      <c r="B403" t="n" s="17">
        <f>70000000+F403*10000+H403*1000+I403*100+J403</f>
        <v>70195101</v>
      </c>
      <c r="C403" t="str" s="38">
        <v>砾藏岩-怪物1</v>
      </c>
      <c r="D403" s="3"/>
      <c r="E403" t="str" s="3">
        <f>F403&amp;(VLOOKUP(G403,编号表!$E$1:$G$8,2,0))&amp;H403&amp;"_"&amp;I403&amp;"_"&amp;J403</f>
        <v>19N5_1_1</v>
      </c>
      <c r="F403" t="n" s="3">
        <v>19</v>
      </c>
      <c r="G403" t="str" s="3">
        <v>怪物</v>
      </c>
      <c r="H403" t="n" s="3">
        <v>5</v>
      </c>
      <c r="I403" t="n" s="3">
        <v>1</v>
      </c>
      <c r="J403" t="n" s="3">
        <v>1</v>
      </c>
      <c r="K403" s="3"/>
      <c r="L403" s="3"/>
      <c r="M403" s="3"/>
      <c r="N403" s="3"/>
      <c r="O403" s="3"/>
      <c r="P403" s="3"/>
      <c r="Q403" s="3"/>
      <c r="R403" s="3"/>
      <c r="S403" t="str" s="17">
        <v>本轮完整刷新挂接；有效坐标注入后验证</v>
      </c>
      <c r="T403" t="n" s="18">
        <v>1018303</v>
      </c>
      <c r="U403"/>
      <c r="V403"/>
      <c r="W403"/>
      <c r="X403"/>
      <c r="Y403"/>
      <c r="Z403"/>
      <c r="AA403"/>
    </row>
    <row r="404" ht="15" spans="1:20">
      <c r="A404" s="35"/>
      <c r="B404" t="n" s="17">
        <f>70000000+F404*10000+H404*1000+I404*100+J404</f>
        <v>70195102</v>
      </c>
      <c r="C404" t="str" s="38">
        <v>砾藏岩-怪物2</v>
      </c>
      <c r="D404" s="3"/>
      <c r="E404" t="str" s="3">
        <f>F404&amp;(VLOOKUP(G404,编号表!$E$1:$G$8,2,0))&amp;H404&amp;"_"&amp;I404&amp;"_"&amp;J404</f>
        <v>19N5_1_2</v>
      </c>
      <c r="F404" t="n" s="3">
        <v>19</v>
      </c>
      <c r="G404" t="str" s="3">
        <v>怪物</v>
      </c>
      <c r="H404" t="n" s="3">
        <v>5</v>
      </c>
      <c r="I404" t="n" s="3">
        <v>1</v>
      </c>
      <c r="J404" t="n" s="3">
        <v>2</v>
      </c>
      <c r="K404" s="3"/>
      <c r="L404" s="3"/>
      <c r="M404" s="3"/>
      <c r="N404" s="3"/>
      <c r="O404" s="3"/>
      <c r="P404" s="3"/>
      <c r="Q404" s="3"/>
      <c r="R404" s="3"/>
      <c r="S404" t="str" s="17">
        <v>本轮完整刷新挂接；有效坐标注入后验证</v>
      </c>
      <c r="T404" t="n" s="18">
        <v>1018103</v>
      </c>
      <c r="U404"/>
      <c r="V404"/>
      <c r="W404"/>
      <c r="X404"/>
      <c r="Y404"/>
      <c r="Z404"/>
      <c r="AA404"/>
    </row>
    <row r="405" ht="15" spans="1:20">
      <c r="A405" s="35"/>
      <c r="B405" t="n" s="17">
        <f>70000000+F405*10000+H405*1000+I405*100+J405</f>
        <v>70195201</v>
      </c>
      <c r="C405" t="str" s="38">
        <v>砾藏岩-怪物3</v>
      </c>
      <c r="D405" s="3"/>
      <c r="E405" t="str" s="3">
        <f>F405&amp;(VLOOKUP(G405,编号表!$E$1:$G$8,2,0))&amp;H405&amp;"_"&amp;I405&amp;"_"&amp;J405</f>
        <v>19N5_2_1</v>
      </c>
      <c r="F405" t="n" s="3">
        <v>19</v>
      </c>
      <c r="G405" t="str" s="3">
        <v>怪物</v>
      </c>
      <c r="H405" t="n" s="3">
        <v>5</v>
      </c>
      <c r="I405" t="n" s="3">
        <v>2</v>
      </c>
      <c r="J405" t="n" s="3">
        <v>1</v>
      </c>
      <c r="K405" s="3"/>
      <c r="L405" s="3"/>
      <c r="M405" s="3"/>
      <c r="N405" s="3"/>
      <c r="O405" s="3"/>
      <c r="P405" s="3"/>
      <c r="Q405" s="3"/>
      <c r="R405" s="3"/>
      <c r="S405" t="str" s="17">
        <v>本轮完整刷新挂接；有效坐标注入后验证</v>
      </c>
      <c r="T405" t="n" s="18">
        <v>1018403</v>
      </c>
      <c r="U405"/>
      <c r="V405"/>
      <c r="W405"/>
      <c r="X405"/>
      <c r="Y405"/>
      <c r="Z405"/>
      <c r="AA405"/>
    </row>
    <row r="406" ht="15" spans="1:20">
      <c r="A406" s="35"/>
      <c r="B406" t="n" s="17">
        <f>70000000+F406*10000+H406*1000+I406*100+J406</f>
        <v>70195202</v>
      </c>
      <c r="C406" t="str" s="38">
        <v>砾藏岩-怪物4</v>
      </c>
      <c r="D406" s="3"/>
      <c r="E406" t="str" s="3">
        <f>F406&amp;(VLOOKUP(G406,编号表!$E$1:$G$8,2,0))&amp;H406&amp;"_"&amp;I406&amp;"_"&amp;J406</f>
        <v>19N5_2_2</v>
      </c>
      <c r="F406" t="n" s="3">
        <v>19</v>
      </c>
      <c r="G406" t="str" s="3">
        <v>怪物</v>
      </c>
      <c r="H406" t="n" s="3">
        <v>5</v>
      </c>
      <c r="I406" t="n" s="3">
        <v>2</v>
      </c>
      <c r="J406" t="n" s="3">
        <v>2</v>
      </c>
      <c r="K406" s="3"/>
      <c r="L406" s="3"/>
      <c r="M406" s="3"/>
      <c r="N406" s="3"/>
      <c r="O406" s="3"/>
      <c r="P406" s="3"/>
      <c r="Q406" s="3"/>
      <c r="R406" s="3"/>
      <c r="S406" t="str" s="17">
        <v>本轮完整刷新挂接；有效坐标注入后验证</v>
      </c>
      <c r="T406" t="n" s="18">
        <v>1018001</v>
      </c>
      <c r="U406"/>
      <c r="V406"/>
      <c r="W406"/>
      <c r="X406"/>
      <c r="Y406"/>
      <c r="Z406"/>
      <c r="AA406"/>
    </row>
    <row r="407" ht="15" spans="1:20">
      <c r="A407" s="35"/>
      <c r="B407" t="n" s="17">
        <f>70000000+F407*10000+H407*1000+I407*100+J407</f>
        <v>70195203</v>
      </c>
      <c r="C407" t="str" s="38">
        <v>砾藏岩-怪物5</v>
      </c>
      <c r="D407" s="3"/>
      <c r="E407" t="str" s="3">
        <f>F407&amp;(VLOOKUP(G407,编号表!$E$1:$G$8,2,0))&amp;H407&amp;"_"&amp;I407&amp;"_"&amp;J407</f>
        <v>19N5_2_3</v>
      </c>
      <c r="F407" t="n" s="3">
        <v>19</v>
      </c>
      <c r="G407" t="str" s="3">
        <v>怪物</v>
      </c>
      <c r="H407" t="n" s="3">
        <v>5</v>
      </c>
      <c r="I407" t="n" s="3">
        <v>2</v>
      </c>
      <c r="J407" t="n" s="3">
        <v>3</v>
      </c>
      <c r="K407" s="3"/>
      <c r="L407" s="3"/>
      <c r="M407" s="3"/>
      <c r="N407" s="3"/>
      <c r="O407" s="3"/>
      <c r="P407" s="3"/>
      <c r="Q407" s="3"/>
      <c r="R407" s="3"/>
      <c r="S407" s="17"/>
      <c r="T407" s="18"/>
      <c r="U407"/>
      <c r="V407"/>
      <c r="W407"/>
      <c r="X407"/>
      <c r="Y407"/>
      <c r="Z407"/>
      <c r="AA407"/>
    </row>
    <row r="408" ht="15" spans="1:20">
      <c r="A408" s="35"/>
      <c r="B408" t="n" s="17">
        <f>70000000+F408*10000+H408*1000+I408*100+J408</f>
        <v>70195301</v>
      </c>
      <c r="C408" t="str" s="38">
        <v>砾藏岩-怪物6</v>
      </c>
      <c r="D408" s="3"/>
      <c r="E408" t="str" s="3">
        <f>F408&amp;(VLOOKUP(G408,编号表!$E$1:$G$8,2,0))&amp;H408&amp;"_"&amp;I408&amp;"_"&amp;J408</f>
        <v>19N5_3_1</v>
      </c>
      <c r="F408" t="n" s="3">
        <v>19</v>
      </c>
      <c r="G408" t="str" s="3">
        <v>怪物</v>
      </c>
      <c r="H408" t="n" s="3">
        <v>5</v>
      </c>
      <c r="I408" t="n" s="3">
        <v>3</v>
      </c>
      <c r="J408" t="n" s="3">
        <v>1</v>
      </c>
      <c r="K408" s="3"/>
      <c r="L408" s="3"/>
      <c r="M408" s="3"/>
      <c r="N408" s="3"/>
      <c r="O408" s="3"/>
      <c r="P408" s="3"/>
      <c r="Q408" s="3"/>
      <c r="R408" s="3"/>
      <c r="S408" s="17"/>
      <c r="T408" s="18"/>
      <c r="U408"/>
      <c r="V408"/>
      <c r="W408"/>
      <c r="X408"/>
      <c r="Y408"/>
      <c r="Z408"/>
      <c r="AA408"/>
    </row>
    <row r="409" ht="15" spans="1:20">
      <c r="A409" s="35"/>
      <c r="B409" t="n" s="17">
        <f>70000000+F409*10000+H409*1000+I409*100+J409</f>
        <v>70195302</v>
      </c>
      <c r="C409" t="str" s="38">
        <v>砾藏岩-怪物7</v>
      </c>
      <c r="D409" s="3"/>
      <c r="E409" t="str" s="3">
        <f>F409&amp;(VLOOKUP(G409,编号表!$E$1:$G$8,2,0))&amp;H409&amp;"_"&amp;I409&amp;"_"&amp;J409</f>
        <v>19N5_3_2</v>
      </c>
      <c r="F409" t="n" s="3">
        <v>19</v>
      </c>
      <c r="G409" t="str" s="3">
        <v>怪物</v>
      </c>
      <c r="H409" t="n" s="3">
        <v>5</v>
      </c>
      <c r="I409" t="n" s="3">
        <v>3</v>
      </c>
      <c r="J409" t="n" s="3">
        <v>2</v>
      </c>
      <c r="K409" s="3"/>
      <c r="L409" s="3"/>
      <c r="M409" s="3"/>
      <c r="N409" s="3"/>
      <c r="O409" s="3"/>
      <c r="P409" s="3"/>
      <c r="Q409" s="3"/>
      <c r="R409" s="3"/>
      <c r="S409" s="17"/>
      <c r="T409" s="18"/>
      <c r="U409"/>
      <c r="V409"/>
      <c r="W409"/>
      <c r="X409"/>
      <c r="Y409"/>
      <c r="Z409"/>
      <c r="AA409"/>
    </row>
    <row r="410" ht="15" spans="1:20">
      <c r="A410" s="35"/>
      <c r="B410" t="n" s="17">
        <f>70000000+F410*10000+H410*1000+I410*100+J410</f>
        <v>70195303</v>
      </c>
      <c r="C410" t="str" s="38">
        <v>砾藏岩-怪物8</v>
      </c>
      <c r="D410" s="3"/>
      <c r="E410" t="str" s="3">
        <f>F410&amp;(VLOOKUP(G410,编号表!$E$1:$G$8,2,0))&amp;H410&amp;"_"&amp;I410&amp;"_"&amp;J410</f>
        <v>19N5_3_3</v>
      </c>
      <c r="F410" t="n" s="3">
        <v>19</v>
      </c>
      <c r="G410" t="str" s="3">
        <v>怪物</v>
      </c>
      <c r="H410" t="n" s="3">
        <v>5</v>
      </c>
      <c r="I410" t="n" s="3">
        <v>3</v>
      </c>
      <c r="J410" t="n" s="3">
        <v>3</v>
      </c>
      <c r="K410" s="3"/>
      <c r="L410" s="3"/>
      <c r="M410" s="3"/>
      <c r="N410" s="3"/>
      <c r="O410" s="3"/>
      <c r="P410" s="3"/>
      <c r="Q410" s="3"/>
      <c r="R410" s="3"/>
      <c r="S410" s="17"/>
      <c r="T410" s="18"/>
      <c r="U410"/>
      <c r="V410"/>
      <c r="W410"/>
      <c r="X410"/>
      <c r="Y410"/>
      <c r="Z410"/>
      <c r="AA410"/>
    </row>
    <row r="411" ht="15" spans="1:20">
      <c r="A411" s="35"/>
      <c r="B411" t="n" s="17">
        <f>70000000+F411*10000+H411*1000+I411*100+J411</f>
        <v>70195401</v>
      </c>
      <c r="C411" t="str" s="38">
        <v>砾藏岩-怪物9</v>
      </c>
      <c r="D411" s="3"/>
      <c r="E411" t="str" s="3">
        <f>F411&amp;(VLOOKUP(G411,编号表!$E$1:$G$8,2,0))&amp;H411&amp;"_"&amp;I411&amp;"_"&amp;J411</f>
        <v>19N5_4_1</v>
      </c>
      <c r="F411" t="n" s="3">
        <v>19</v>
      </c>
      <c r="G411" t="str" s="3">
        <v>怪物</v>
      </c>
      <c r="H411" t="n" s="3">
        <v>5</v>
      </c>
      <c r="I411" t="n" s="3">
        <v>4</v>
      </c>
      <c r="J411" t="n" s="3">
        <v>1</v>
      </c>
      <c r="K411" s="3"/>
      <c r="L411" s="3"/>
      <c r="M411" s="3"/>
      <c r="N411" s="3"/>
      <c r="O411" s="3"/>
      <c r="P411" s="3"/>
      <c r="Q411" s="3"/>
      <c r="R411" s="3"/>
      <c r="S411" s="17"/>
      <c r="T411" s="18"/>
      <c r="U411"/>
      <c r="V411"/>
      <c r="W411"/>
      <c r="X411"/>
      <c r="Y411"/>
      <c r="Z411"/>
      <c r="AA411"/>
    </row>
    <row r="412" ht="15" spans="1:20">
      <c r="A412" s="35"/>
      <c r="B412" t="n" s="17">
        <f>70000000+F412*10000+H412*1000+I412*100+J412</f>
        <v>70195402</v>
      </c>
      <c r="C412" t="str" s="38">
        <v>砾藏岩-怪物10</v>
      </c>
      <c r="D412" s="3"/>
      <c r="E412" t="str" s="3">
        <f>F412&amp;(VLOOKUP(G412,编号表!$E$1:$G$8,2,0))&amp;H412&amp;"_"&amp;I412&amp;"_"&amp;J412</f>
        <v>19N5_4_2</v>
      </c>
      <c r="F412" t="n" s="3">
        <v>19</v>
      </c>
      <c r="G412" t="str" s="3">
        <v>怪物</v>
      </c>
      <c r="H412" t="n" s="3">
        <v>5</v>
      </c>
      <c r="I412" t="n" s="3">
        <v>4</v>
      </c>
      <c r="J412" t="n" s="3">
        <v>2</v>
      </c>
      <c r="K412" s="3"/>
      <c r="L412" s="3"/>
      <c r="M412" s="3"/>
      <c r="N412" s="3"/>
      <c r="O412" s="3"/>
      <c r="P412" s="3"/>
      <c r="Q412" s="3"/>
      <c r="R412" s="3"/>
      <c r="S412" s="17"/>
      <c r="T412" s="18"/>
      <c r="U412"/>
      <c r="V412"/>
      <c r="W412"/>
      <c r="X412"/>
      <c r="Y412"/>
      <c r="Z412"/>
      <c r="AA412"/>
    </row>
    <row r="413" ht="15" spans="1:20">
      <c r="A413" s="35"/>
      <c r="B413" t="n" s="17">
        <f>70000000+F413*10000+H413*1000+I413*100+J413</f>
        <v>70195501</v>
      </c>
      <c r="C413" t="str" s="38">
        <v>砾藏岩-怪物11</v>
      </c>
      <c r="D413" s="3"/>
      <c r="E413" t="str" s="3">
        <f>F413&amp;(VLOOKUP(G413,编号表!$E$1:$G$8,2,0))&amp;H413&amp;"_"&amp;I413&amp;"_"&amp;J413</f>
        <v>19N5_5_1</v>
      </c>
      <c r="F413" t="n" s="3">
        <v>19</v>
      </c>
      <c r="G413" t="str" s="3">
        <v>怪物</v>
      </c>
      <c r="H413" t="n" s="3">
        <v>5</v>
      </c>
      <c r="I413" t="n" s="3">
        <v>5</v>
      </c>
      <c r="J413" t="n" s="3">
        <v>1</v>
      </c>
      <c r="K413" s="3"/>
      <c r="L413" s="3"/>
      <c r="M413" s="3"/>
      <c r="N413" s="3"/>
      <c r="O413" s="3"/>
      <c r="P413" s="3"/>
      <c r="Q413" s="3"/>
      <c r="R413" s="3"/>
      <c r="S413" s="17"/>
      <c r="T413" s="18"/>
      <c r="U413"/>
      <c r="V413"/>
      <c r="W413"/>
      <c r="X413"/>
      <c r="Y413"/>
      <c r="Z413"/>
      <c r="AA413"/>
    </row>
    <row r="414" ht="15" spans="1:20">
      <c r="A414" s="35"/>
      <c r="B414" t="n" s="17">
        <f>70000000+F414*10000+H414*1000+I414*100+J414</f>
        <v>70195001</v>
      </c>
      <c r="C414" t="str" s="39">
        <v>砾藏岩-镜头</v>
      </c>
      <c r="D414" s="3"/>
      <c r="E414" t="str" s="3">
        <f>F414&amp;(VLOOKUP(G414,编号表!$E$1:$G$8,2,0))&amp;H414&amp;"_"&amp;I414&amp;"_"&amp;J414</f>
        <v>19J5_0_1</v>
      </c>
      <c r="F414" t="n" s="3">
        <v>19</v>
      </c>
      <c r="G414" t="str" s="3">
        <v>镜头</v>
      </c>
      <c r="H414" t="n" s="3">
        <v>5</v>
      </c>
      <c r="I414" t="n" s="3">
        <v>0</v>
      </c>
      <c r="J414" t="n" s="3">
        <v>1</v>
      </c>
      <c r="K414" t="n" s="3">
        <v>1</v>
      </c>
      <c r="L414" s="3"/>
      <c r="M414" s="3"/>
      <c r="N414" s="3"/>
      <c r="O414" s="3"/>
      <c r="P414" s="3"/>
      <c r="Q414" s="3"/>
      <c r="R414" s="3"/>
      <c r="S414" s="17"/>
      <c r="T414" s="18"/>
      <c r="U414"/>
      <c r="V414"/>
      <c r="W414"/>
      <c r="X414"/>
      <c r="Y414"/>
      <c r="Z414"/>
      <c r="AA414"/>
    </row>
    <row r="415" ht="15" spans="1:20">
      <c r="A415" s="35"/>
      <c r="B415" t="n" s="17">
        <f>70000000+F415*10000+H415*1000+I415*100+J415</f>
        <v>70191001</v>
      </c>
      <c r="C415" t="str" s="37">
        <v>砾藏岩-传送</v>
      </c>
      <c r="D415" s="3"/>
      <c r="E415" t="str" s="3">
        <f>F415&amp;(VLOOKUP(G415,编号表!$E$1:$G$8,2,0))&amp;H415&amp;"_"&amp;I415&amp;"_"&amp;J415</f>
        <v>19T1_0_1</v>
      </c>
      <c r="F415" t="n" s="3">
        <v>19</v>
      </c>
      <c r="G415" t="str" s="3">
        <v>传送</v>
      </c>
      <c r="H415" t="n" s="3">
        <v>1</v>
      </c>
      <c r="I415" t="n" s="3">
        <v>0</v>
      </c>
      <c r="J415" t="n" s="3">
        <v>1</v>
      </c>
      <c r="K415" s="3"/>
      <c r="L415" t="n" s="3">
        <v>1</v>
      </c>
      <c r="M415" s="3"/>
      <c r="N415" s="3"/>
      <c r="O415" s="3"/>
      <c r="P415" s="3"/>
      <c r="Q415" s="3"/>
      <c r="R415" t="n" s="3">
        <v>70181002</v>
      </c>
      <c r="S415" s="17"/>
      <c r="T415" s="18"/>
      <c r="U415"/>
      <c r="V415"/>
      <c r="W415"/>
      <c r="X415"/>
      <c r="Y415"/>
      <c r="Z415"/>
      <c r="AA415"/>
    </row>
    <row r="416" ht="15" spans="1:20">
      <c r="A416" s="35"/>
      <c r="B416" t="n" s="17">
        <f>70000000+F416*10000+H416*1000+I416*100+J416</f>
        <v>70191002</v>
      </c>
      <c r="C416" t="str" s="37">
        <v>砾藏岩-传送</v>
      </c>
      <c r="D416" s="3"/>
      <c r="E416" t="str" s="3">
        <f>F416&amp;(VLOOKUP(G416,编号表!$E$1:$G$8,2,0))&amp;H416&amp;"_"&amp;I416&amp;"_"&amp;J416</f>
        <v>19T1_0_2</v>
      </c>
      <c r="F416" t="n" s="3">
        <v>19</v>
      </c>
      <c r="G416" t="str" s="3">
        <v>传送</v>
      </c>
      <c r="H416" t="n" s="3">
        <v>1</v>
      </c>
      <c r="I416" t="n" s="3">
        <v>0</v>
      </c>
      <c r="J416" t="n" s="3">
        <v>2</v>
      </c>
      <c r="K416" s="3"/>
      <c r="L416" t="n" s="3">
        <v>1</v>
      </c>
      <c r="M416" s="3"/>
      <c r="N416" s="3"/>
      <c r="O416" s="3"/>
      <c r="P416" s="3"/>
      <c r="Q416" s="3"/>
      <c r="R416" t="n" s="3">
        <v>70016204</v>
      </c>
      <c r="S416" s="17"/>
      <c r="T416" s="18"/>
      <c r="U416"/>
      <c r="V416"/>
      <c r="W416"/>
      <c r="X416"/>
      <c r="Y416"/>
      <c r="Z416"/>
      <c r="AA416"/>
    </row>
    <row r="417" ht="15" spans="1:20">
      <c r="A417" s="35"/>
      <c r="B417" t="n" s="17">
        <f>70000000+F417*10000+H417*1000+I417*100+J417</f>
        <v>70192001</v>
      </c>
      <c r="C417" t="str" s="37">
        <v>砾藏岩-小地图</v>
      </c>
      <c r="D417" s="3"/>
      <c r="E417" t="str" s="3">
        <f>F417&amp;(VLOOKUP(G417,编号表!$E$1:$G$8,2,0))&amp;H417&amp;"_"&amp;I417&amp;"_"&amp;J417</f>
        <v>19D2_0_1</v>
      </c>
      <c r="F417" t="n" s="3">
        <v>19</v>
      </c>
      <c r="G417" t="str" s="3">
        <v>小地图</v>
      </c>
      <c r="H417" t="n" s="3">
        <v>2</v>
      </c>
      <c r="I417" t="n" s="3">
        <v>0</v>
      </c>
      <c r="J417" t="n" s="3">
        <v>1</v>
      </c>
      <c r="K417" s="3"/>
      <c r="L417" s="3"/>
      <c r="M417" t="n" s="3">
        <v>1</v>
      </c>
      <c r="N417" s="3"/>
      <c r="O417" s="3"/>
      <c r="P417" s="3"/>
      <c r="Q417" s="3"/>
      <c r="R417" s="3"/>
      <c r="S417" s="17"/>
      <c r="T417" s="18"/>
      <c r="U417"/>
      <c r="V417"/>
      <c r="W417"/>
      <c r="X417"/>
      <c r="Y417"/>
      <c r="Z417"/>
      <c r="AA417"/>
    </row>
    <row r="418" ht="15" spans="1:20">
      <c r="A418" s="35"/>
      <c r="B418" t="n" s="17">
        <f>70000000+F418*10000+H418*1000+I418*100+J418</f>
        <v>70205001</v>
      </c>
      <c r="C418" t="str" s="39">
        <v>岔坡-镜头</v>
      </c>
      <c r="D418" s="3"/>
      <c r="E418" t="str" s="3">
        <f>F418&amp;(VLOOKUP(G418,编号表!$E$1:$G$8,2,0))&amp;H418&amp;"_"&amp;I418&amp;"_"&amp;J418</f>
        <v>20J5_0_1</v>
      </c>
      <c r="F418" t="n" s="3">
        <v>20</v>
      </c>
      <c r="G418" t="str" s="3">
        <v>镜头</v>
      </c>
      <c r="H418" t="n" s="3">
        <v>5</v>
      </c>
      <c r="I418" t="n" s="3">
        <v>0</v>
      </c>
      <c r="J418" t="n" s="3">
        <v>1</v>
      </c>
      <c r="K418" t="n" s="3">
        <v>1</v>
      </c>
      <c r="L418" s="3"/>
      <c r="M418" s="3"/>
      <c r="N418" s="3"/>
      <c r="O418" s="3"/>
      <c r="P418" s="3"/>
      <c r="Q418" s="3"/>
      <c r="R418" s="3"/>
      <c r="S418" s="17"/>
      <c r="T418" s="18"/>
      <c r="U418"/>
      <c r="V418"/>
      <c r="W418"/>
      <c r="X418"/>
      <c r="Y418"/>
      <c r="Z418"/>
      <c r="AA418"/>
    </row>
    <row r="419" ht="15" spans="1:20">
      <c r="A419" s="35"/>
      <c r="B419" t="n" s="17">
        <f>70000000+F419*10000+H419*1000+I419*100+J419</f>
        <v>70201001</v>
      </c>
      <c r="C419" t="str" s="37">
        <v>岔坡-传送</v>
      </c>
      <c r="D419" s="3"/>
      <c r="E419" t="str" s="3">
        <f>F419&amp;(VLOOKUP(G419,编号表!$E$1:$G$8,2,0))&amp;H419&amp;"_"&amp;I419&amp;"_"&amp;J419</f>
        <v>20T1_0_1</v>
      </c>
      <c r="F419" t="n" s="3">
        <v>20</v>
      </c>
      <c r="G419" t="str" s="3">
        <v>传送</v>
      </c>
      <c r="H419" t="n" s="3">
        <v>1</v>
      </c>
      <c r="I419" t="n" s="3">
        <v>0</v>
      </c>
      <c r="J419" t="n" s="3">
        <v>1</v>
      </c>
      <c r="K419" s="3"/>
      <c r="L419" t="n" s="3">
        <v>1</v>
      </c>
      <c r="M419" s="3"/>
      <c r="N419" s="3"/>
      <c r="O419" s="3"/>
      <c r="P419" s="3"/>
      <c r="Q419" s="3"/>
      <c r="R419" t="n" s="3">
        <v>70016204</v>
      </c>
      <c r="S419" s="17"/>
      <c r="T419" s="18"/>
      <c r="U419"/>
      <c r="V419"/>
      <c r="W419"/>
      <c r="X419"/>
      <c r="Y419"/>
      <c r="Z419"/>
      <c r="AA419"/>
    </row>
    <row r="420" ht="15" spans="1:20">
      <c r="A420" s="35"/>
      <c r="B420" t="n" s="17">
        <f>70000000+F420*10000+H420*1000+I420*100+J420</f>
        <v>70201002</v>
      </c>
      <c r="C420" t="str" s="37">
        <v>岔坡-传送</v>
      </c>
      <c r="D420" s="3"/>
      <c r="E420" t="str" s="3">
        <f>F420&amp;(VLOOKUP(G420,编号表!$E$1:$G$8,2,0))&amp;H420&amp;"_"&amp;I420&amp;"_"&amp;J420</f>
        <v>20T1_0_2</v>
      </c>
      <c r="F420" t="n" s="3">
        <v>20</v>
      </c>
      <c r="G420" t="str" s="3">
        <v>传送</v>
      </c>
      <c r="H420" t="n" s="3">
        <v>1</v>
      </c>
      <c r="I420" t="n" s="3">
        <v>0</v>
      </c>
      <c r="J420" t="n" s="3">
        <v>2</v>
      </c>
      <c r="K420" s="3"/>
      <c r="L420" t="n" s="3">
        <v>1</v>
      </c>
      <c r="M420" s="3"/>
      <c r="N420" s="3"/>
      <c r="O420" s="3"/>
      <c r="P420" s="3"/>
      <c r="Q420" s="3"/>
      <c r="R420" t="n" s="3">
        <v>70211001</v>
      </c>
      <c r="S420" s="17"/>
      <c r="T420" s="18"/>
      <c r="U420"/>
      <c r="V420"/>
      <c r="W420"/>
      <c r="X420"/>
      <c r="Y420"/>
      <c r="Z420"/>
      <c r="AA420"/>
    </row>
    <row r="421" ht="15" spans="1:20">
      <c r="A421" s="35"/>
      <c r="B421" t="n" s="17">
        <f>70000000+F421*10000+H421*1000+I421*100+J421</f>
        <v>70202001</v>
      </c>
      <c r="C421" t="str" s="37">
        <v>岔坡-小地图</v>
      </c>
      <c r="D421" s="3"/>
      <c r="E421" t="str" s="3">
        <f>F421&amp;(VLOOKUP(G421,编号表!$E$1:$G$8,2,0))&amp;H421&amp;"_"&amp;I421&amp;"_"&amp;J421</f>
        <v>20D2_0_1</v>
      </c>
      <c r="F421" t="n" s="3">
        <v>20</v>
      </c>
      <c r="G421" t="str" s="3">
        <v>小地图</v>
      </c>
      <c r="H421" t="n" s="3">
        <v>2</v>
      </c>
      <c r="I421" t="n" s="3">
        <v>0</v>
      </c>
      <c r="J421" t="n" s="3">
        <v>1</v>
      </c>
      <c r="K421" s="3"/>
      <c r="L421" s="3"/>
      <c r="M421" t="n" s="3">
        <v>1</v>
      </c>
      <c r="N421" s="3"/>
      <c r="O421" s="3"/>
      <c r="P421" s="3"/>
      <c r="Q421" s="3"/>
      <c r="R421" s="3"/>
      <c r="S421" s="17"/>
      <c r="T421" s="18"/>
      <c r="U421"/>
      <c r="V421"/>
      <c r="W421"/>
      <c r="X421"/>
      <c r="Y421"/>
      <c r="Z421"/>
      <c r="AA421"/>
    </row>
    <row r="422" ht="15" spans="1:20">
      <c r="A422" s="35"/>
      <c r="B422" t="n" s="17">
        <f>70000000+F422*10000+H422*1000+I422*100+J422</f>
        <v>70215101</v>
      </c>
      <c r="C422" t="str" s="38">
        <v>风背余晦-怪物1</v>
      </c>
      <c r="D422" s="3"/>
      <c r="E422" t="str" s="3">
        <f>F422&amp;(VLOOKUP(G422,编号表!$E$1:$G$8,2,0))&amp;H422&amp;"_"&amp;I422&amp;"_"&amp;J422</f>
        <v>21N5_1_1</v>
      </c>
      <c r="F422" t="n" s="3">
        <v>21</v>
      </c>
      <c r="G422" t="str" s="3">
        <v>怪物</v>
      </c>
      <c r="H422" t="n" s="3">
        <v>5</v>
      </c>
      <c r="I422" t="n" s="3">
        <v>1</v>
      </c>
      <c r="J422" t="n" s="3">
        <v>1</v>
      </c>
      <c r="K422" s="3"/>
      <c r="L422" s="3"/>
      <c r="M422" s="3"/>
      <c r="N422" s="3"/>
      <c r="O422" s="3"/>
      <c r="P422" s="3"/>
      <c r="Q422" s="3"/>
      <c r="R422" s="3"/>
      <c r="S422" t="str" s="17">
        <v>本轮完整刷新挂接；有效坐标注入后验证</v>
      </c>
      <c r="T422" t="n" s="18">
        <v>1026303</v>
      </c>
      <c r="U422"/>
      <c r="V422"/>
      <c r="W422"/>
      <c r="X422"/>
      <c r="Y422"/>
      <c r="Z422"/>
      <c r="AA422"/>
    </row>
    <row r="423" ht="15" spans="1:20">
      <c r="A423" s="35"/>
      <c r="B423" t="n" s="17">
        <f>70000000+F423*10000+H423*1000+I423*100+J423</f>
        <v>70215102</v>
      </c>
      <c r="C423" t="str" s="38">
        <v>风背余晦-怪物2</v>
      </c>
      <c r="D423" s="3"/>
      <c r="E423" t="str" s="3">
        <f>F423&amp;(VLOOKUP(G423,编号表!$E$1:$G$8,2,0))&amp;H423&amp;"_"&amp;I423&amp;"_"&amp;J423</f>
        <v>21N5_1_2</v>
      </c>
      <c r="F423" t="n" s="3">
        <v>21</v>
      </c>
      <c r="G423" t="str" s="3">
        <v>怪物</v>
      </c>
      <c r="H423" t="n" s="3">
        <v>5</v>
      </c>
      <c r="I423" t="n" s="3">
        <v>1</v>
      </c>
      <c r="J423" t="n" s="3">
        <v>2</v>
      </c>
      <c r="K423" s="3"/>
      <c r="L423" s="3"/>
      <c r="M423" s="3"/>
      <c r="N423" s="3"/>
      <c r="O423" s="3"/>
      <c r="P423" s="3"/>
      <c r="Q423" s="3"/>
      <c r="R423" s="3"/>
      <c r="S423" t="str" s="17">
        <v>本轮完整刷新挂接；有效坐标注入后验证</v>
      </c>
      <c r="T423" t="n" s="18">
        <v>1026403</v>
      </c>
      <c r="U423"/>
      <c r="V423"/>
      <c r="W423"/>
      <c r="X423"/>
      <c r="Y423"/>
      <c r="Z423"/>
      <c r="AA423"/>
    </row>
    <row r="424" ht="15" spans="1:20">
      <c r="A424" s="35"/>
      <c r="B424" t="n" s="17">
        <f>70000000+F424*10000+H424*1000+I424*100+J424</f>
        <v>70215103</v>
      </c>
      <c r="C424" t="str" s="38">
        <v>风背余晦-怪物3</v>
      </c>
      <c r="D424" s="3"/>
      <c r="E424" t="str" s="3">
        <f>F424&amp;(VLOOKUP(G424,编号表!$E$1:$G$8,2,0))&amp;H424&amp;"_"&amp;I424&amp;"_"&amp;J424</f>
        <v>21N5_1_3</v>
      </c>
      <c r="F424" t="n" s="3">
        <v>21</v>
      </c>
      <c r="G424" t="str" s="3">
        <v>怪物</v>
      </c>
      <c r="H424" t="n" s="3">
        <v>5</v>
      </c>
      <c r="I424" t="n" s="3">
        <v>1</v>
      </c>
      <c r="J424" t="n" s="3">
        <v>3</v>
      </c>
      <c r="K424" s="3"/>
      <c r="L424" s="3"/>
      <c r="M424" s="3"/>
      <c r="N424" s="3"/>
      <c r="O424" s="3"/>
      <c r="P424" s="3"/>
      <c r="Q424" s="3"/>
      <c r="R424" s="3"/>
      <c r="S424" t="str" s="17">
        <v>本轮完整刷新挂接；有效坐标注入后验证</v>
      </c>
      <c r="T424" t="n" s="18">
        <v>1026503</v>
      </c>
      <c r="U424"/>
      <c r="V424"/>
      <c r="W424"/>
      <c r="X424"/>
      <c r="Y424"/>
      <c r="Z424"/>
      <c r="AA424"/>
    </row>
    <row r="425" ht="15" spans="1:20">
      <c r="A425" s="35"/>
      <c r="B425" t="n" s="17">
        <f>70000000+F425*10000+H425*1000+I425*100+J425</f>
        <v>70215201</v>
      </c>
      <c r="C425" t="str" s="38">
        <v>风背余晦-怪物4</v>
      </c>
      <c r="D425" s="3"/>
      <c r="E425" t="str" s="3">
        <f>F425&amp;(VLOOKUP(G425,编号表!$E$1:$G$8,2,0))&amp;H425&amp;"_"&amp;I425&amp;"_"&amp;J425</f>
        <v>21N5_2_1</v>
      </c>
      <c r="F425" t="n" s="3">
        <v>21</v>
      </c>
      <c r="G425" t="str" s="3">
        <v>怪物</v>
      </c>
      <c r="H425" t="n" s="3">
        <v>5</v>
      </c>
      <c r="I425" t="n" s="3">
        <v>2</v>
      </c>
      <c r="J425" t="n" s="3">
        <v>1</v>
      </c>
      <c r="K425" s="3"/>
      <c r="L425" s="3"/>
      <c r="M425" s="3"/>
      <c r="N425" s="3"/>
      <c r="O425" s="3"/>
      <c r="P425" s="3"/>
      <c r="Q425" s="3"/>
      <c r="R425" s="3"/>
      <c r="S425" t="str" s="17">
        <v>本轮完整刷新挂接；有效坐标注入后验证</v>
      </c>
      <c r="T425" t="n" s="18">
        <v>1026001</v>
      </c>
      <c r="U425"/>
      <c r="V425"/>
      <c r="W425"/>
      <c r="X425"/>
      <c r="Y425"/>
      <c r="Z425"/>
      <c r="AA425"/>
    </row>
    <row r="426" ht="15" spans="1:20">
      <c r="A426" s="35"/>
      <c r="B426" t="n" s="17">
        <f>70000000+F426*10000+H426*1000+I426*100+J426</f>
        <v>70215202</v>
      </c>
      <c r="C426" t="str" s="38">
        <v>风背余晦-怪物5</v>
      </c>
      <c r="D426" s="3"/>
      <c r="E426" t="str" s="3">
        <f>F426&amp;(VLOOKUP(G426,编号表!$E$1:$G$8,2,0))&amp;H426&amp;"_"&amp;I426&amp;"_"&amp;J426</f>
        <v>21N5_2_2</v>
      </c>
      <c r="F426" t="n" s="3">
        <v>21</v>
      </c>
      <c r="G426" t="str" s="3">
        <v>怪物</v>
      </c>
      <c r="H426" t="n" s="3">
        <v>5</v>
      </c>
      <c r="I426" t="n" s="3">
        <v>2</v>
      </c>
      <c r="J426" t="n" s="3">
        <v>2</v>
      </c>
      <c r="K426" s="3"/>
      <c r="L426" s="3"/>
      <c r="M426" s="3"/>
      <c r="N426" s="3"/>
      <c r="O426" s="3"/>
      <c r="P426" s="3"/>
      <c r="Q426" s="3"/>
      <c r="R426" s="3"/>
      <c r="S426" t="str" s="17">
        <v>本轮完整刷新挂接；有效坐标注入后验证</v>
      </c>
      <c r="T426" t="n" s="18">
        <v>1900242</v>
      </c>
      <c r="U426"/>
      <c r="V426"/>
      <c r="W426"/>
      <c r="X426"/>
      <c r="Y426"/>
      <c r="Z426"/>
      <c r="AA426"/>
    </row>
    <row r="427" ht="15" spans="1:20">
      <c r="A427" s="35"/>
      <c r="B427" t="n" s="17">
        <f>70000000+F427*10000+H427*1000+I427*100+J427</f>
        <v>70215301</v>
      </c>
      <c r="C427" t="str" s="38">
        <v>风背余晦-怪物6</v>
      </c>
      <c r="D427" s="3"/>
      <c r="E427" t="str" s="3">
        <f>F427&amp;(VLOOKUP(G427,编号表!$E$1:$G$8,2,0))&amp;H427&amp;"_"&amp;I427&amp;"_"&amp;J427</f>
        <v>21N5_3_1</v>
      </c>
      <c r="F427" t="n" s="3">
        <v>21</v>
      </c>
      <c r="G427" t="str" s="3">
        <v>怪物</v>
      </c>
      <c r="H427" t="n" s="3">
        <v>5</v>
      </c>
      <c r="I427" t="n" s="3">
        <v>3</v>
      </c>
      <c r="J427" t="n" s="3">
        <v>1</v>
      </c>
      <c r="K427" s="3"/>
      <c r="L427" s="3"/>
      <c r="M427" s="3"/>
      <c r="N427" s="3"/>
      <c r="O427" s="3"/>
      <c r="P427" s="3"/>
      <c r="Q427" s="3"/>
      <c r="R427" s="3"/>
      <c r="S427" s="17"/>
      <c r="T427" s="18"/>
      <c r="U427"/>
      <c r="V427"/>
      <c r="W427"/>
      <c r="X427"/>
      <c r="Y427"/>
      <c r="Z427"/>
      <c r="AA427"/>
    </row>
    <row r="428" ht="15" spans="1:20">
      <c r="A428" s="35"/>
      <c r="B428" t="n" s="17">
        <f>70000000+F428*10000+H428*1000+I428*100+J428</f>
        <v>70215302</v>
      </c>
      <c r="C428" t="str" s="38">
        <v>风背余晦-怪物7</v>
      </c>
      <c r="D428" s="3"/>
      <c r="E428" t="str" s="3">
        <f>F428&amp;(VLOOKUP(G428,编号表!$E$1:$G$8,2,0))&amp;H428&amp;"_"&amp;I428&amp;"_"&amp;J428</f>
        <v>21N5_3_2</v>
      </c>
      <c r="F428" t="n" s="3">
        <v>21</v>
      </c>
      <c r="G428" t="str" s="3">
        <v>怪物</v>
      </c>
      <c r="H428" t="n" s="3">
        <v>5</v>
      </c>
      <c r="I428" t="n" s="3">
        <v>3</v>
      </c>
      <c r="J428" t="n" s="3">
        <v>2</v>
      </c>
      <c r="K428" s="3"/>
      <c r="L428" s="3"/>
      <c r="M428" s="3"/>
      <c r="N428" s="3"/>
      <c r="O428" s="3"/>
      <c r="P428" s="3"/>
      <c r="Q428" s="3"/>
      <c r="R428" s="3"/>
      <c r="S428" s="17"/>
      <c r="T428" s="18"/>
      <c r="U428"/>
      <c r="V428"/>
      <c r="W428"/>
      <c r="X428"/>
      <c r="Y428"/>
      <c r="Z428"/>
      <c r="AA428"/>
    </row>
    <row r="429" ht="15" spans="1:20">
      <c r="A429" s="35"/>
      <c r="B429" t="n" s="17">
        <f>70000000+F429*10000+H429*1000+I429*100+J429</f>
        <v>70215303</v>
      </c>
      <c r="C429" t="str" s="38">
        <v>风背余晦-怪物8</v>
      </c>
      <c r="D429" s="3"/>
      <c r="E429" t="str" s="3">
        <f>F429&amp;(VLOOKUP(G429,编号表!$E$1:$G$8,2,0))&amp;H429&amp;"_"&amp;I429&amp;"_"&amp;J429</f>
        <v>21N5_3_3</v>
      </c>
      <c r="F429" t="n" s="3">
        <v>21</v>
      </c>
      <c r="G429" t="str" s="3">
        <v>怪物</v>
      </c>
      <c r="H429" t="n" s="3">
        <v>5</v>
      </c>
      <c r="I429" t="n" s="3">
        <v>3</v>
      </c>
      <c r="J429" t="n" s="3">
        <v>3</v>
      </c>
      <c r="K429" s="3"/>
      <c r="L429" s="3"/>
      <c r="M429" s="3"/>
      <c r="N429" s="3"/>
      <c r="O429" s="3"/>
      <c r="P429" s="3"/>
      <c r="Q429" s="3"/>
      <c r="R429" s="3"/>
      <c r="S429" s="17"/>
      <c r="T429" s="18"/>
      <c r="U429"/>
      <c r="V429"/>
      <c r="W429"/>
      <c r="X429"/>
      <c r="Y429"/>
      <c r="Z429"/>
      <c r="AA429"/>
    </row>
    <row r="430" ht="15" spans="1:20">
      <c r="A430" s="35"/>
      <c r="B430" t="n" s="17">
        <f>70000000+F430*10000+H430*1000+I430*100+J430</f>
        <v>70215001</v>
      </c>
      <c r="C430" t="str" s="39">
        <v>风背余晦-镜头</v>
      </c>
      <c r="D430" s="3"/>
      <c r="E430" t="str" s="3">
        <f>F430&amp;(VLOOKUP(G430,编号表!$E$1:$G$8,2,0))&amp;H430&amp;"_"&amp;I430&amp;"_"&amp;J430</f>
        <v>21J5_0_1</v>
      </c>
      <c r="F430" t="n" s="3">
        <v>21</v>
      </c>
      <c r="G430" t="str" s="3">
        <v>镜头</v>
      </c>
      <c r="H430" t="n" s="3">
        <v>5</v>
      </c>
      <c r="I430" t="n" s="3">
        <v>0</v>
      </c>
      <c r="J430" t="n" s="3">
        <v>1</v>
      </c>
      <c r="K430" t="n" s="3">
        <v>1</v>
      </c>
      <c r="L430" s="3"/>
      <c r="M430" s="3"/>
      <c r="N430" s="3"/>
      <c r="O430" s="3"/>
      <c r="P430" s="3"/>
      <c r="Q430" s="3"/>
      <c r="R430" s="3"/>
      <c r="S430" s="17"/>
      <c r="T430" s="18"/>
      <c r="U430"/>
      <c r="V430"/>
      <c r="W430"/>
      <c r="X430"/>
      <c r="Y430"/>
      <c r="Z430"/>
      <c r="AA430"/>
    </row>
    <row r="431" ht="15" spans="1:20">
      <c r="A431" s="35"/>
      <c r="B431" t="n" s="17">
        <f>70000000+F431*10000+H431*1000+I431*100+J431</f>
        <v>70211001</v>
      </c>
      <c r="C431" t="str" s="37">
        <v>风背余晦-传送</v>
      </c>
      <c r="D431" s="3"/>
      <c r="E431" t="str" s="3">
        <f>F431&amp;(VLOOKUP(G431,编号表!$E$1:$G$8,2,0))&amp;H431&amp;"_"&amp;I431&amp;"_"&amp;J431</f>
        <v>21T1_0_1</v>
      </c>
      <c r="F431" t="n" s="3">
        <v>21</v>
      </c>
      <c r="G431" t="str" s="3">
        <v>传送</v>
      </c>
      <c r="H431" t="n" s="3">
        <v>1</v>
      </c>
      <c r="I431" t="n" s="3">
        <v>0</v>
      </c>
      <c r="J431" t="n" s="3">
        <v>1</v>
      </c>
      <c r="K431" s="3"/>
      <c r="L431" t="n" s="3">
        <v>1</v>
      </c>
      <c r="M431" s="3"/>
      <c r="N431" s="3"/>
      <c r="O431" s="3"/>
      <c r="P431" s="3"/>
      <c r="Q431" s="3"/>
      <c r="R431" t="n" s="3">
        <v>70201001</v>
      </c>
      <c r="S431" s="17"/>
      <c r="T431" s="18"/>
      <c r="U431"/>
      <c r="V431"/>
      <c r="W431"/>
      <c r="X431"/>
      <c r="Y431"/>
      <c r="Z431"/>
      <c r="AA431"/>
    </row>
    <row r="432" ht="15" spans="1:20">
      <c r="A432" s="35"/>
      <c r="B432" t="n" s="17">
        <f>70000000+F432*10000+H432*1000+I432*100+J432</f>
        <v>70211002</v>
      </c>
      <c r="C432" t="str" s="37">
        <v>风背余晦-传送</v>
      </c>
      <c r="D432" s="3"/>
      <c r="E432" t="str" s="3">
        <f>F432&amp;(VLOOKUP(G432,编号表!$E$1:$G$8,2,0))&amp;H432&amp;"_"&amp;I432&amp;"_"&amp;J432</f>
        <v>21T1_0_2</v>
      </c>
      <c r="F432" t="n" s="3">
        <v>21</v>
      </c>
      <c r="G432" t="str" s="3">
        <v>传送</v>
      </c>
      <c r="H432" t="n" s="3">
        <v>1</v>
      </c>
      <c r="I432" t="n" s="3">
        <v>0</v>
      </c>
      <c r="J432" t="n" s="3">
        <v>2</v>
      </c>
      <c r="K432" s="3"/>
      <c r="L432" t="n" s="3">
        <v>1</v>
      </c>
      <c r="M432" s="3"/>
      <c r="N432" s="3"/>
      <c r="O432" s="3"/>
      <c r="P432" s="3"/>
      <c r="Q432" s="3"/>
      <c r="R432" t="n" s="3">
        <v>70221001</v>
      </c>
      <c r="S432" s="17"/>
      <c r="T432" s="18"/>
      <c r="U432"/>
      <c r="V432"/>
      <c r="W432"/>
      <c r="X432"/>
      <c r="Y432"/>
      <c r="Z432"/>
      <c r="AA432"/>
    </row>
    <row r="433" ht="15" spans="1:20">
      <c r="A433" s="35"/>
      <c r="B433" t="n" s="17">
        <f>70000000+F433*10000+H433*1000+I433*100+J433</f>
        <v>70212001</v>
      </c>
      <c r="C433" t="str" s="37">
        <v>风背余晦-小地图</v>
      </c>
      <c r="D433" s="3"/>
      <c r="E433" t="str" s="3">
        <f>F433&amp;(VLOOKUP(G433,编号表!$E$1:$G$8,2,0))&amp;H433&amp;"_"&amp;I433&amp;"_"&amp;J433</f>
        <v>21D2_0_1</v>
      </c>
      <c r="F433" t="n" s="3">
        <v>21</v>
      </c>
      <c r="G433" t="str" s="3">
        <v>小地图</v>
      </c>
      <c r="H433" t="n" s="3">
        <v>2</v>
      </c>
      <c r="I433" t="n" s="3">
        <v>0</v>
      </c>
      <c r="J433" t="n" s="3">
        <v>1</v>
      </c>
      <c r="K433" s="3"/>
      <c r="L433" s="3"/>
      <c r="M433" t="n" s="3">
        <v>1</v>
      </c>
      <c r="N433" s="3"/>
      <c r="O433" s="3"/>
      <c r="P433" s="3"/>
      <c r="Q433" s="3"/>
      <c r="R433" s="3"/>
      <c r="S433" s="17"/>
      <c r="T433" s="18"/>
      <c r="U433"/>
      <c r="V433"/>
      <c r="W433"/>
      <c r="X433"/>
      <c r="Y433"/>
      <c r="Z433"/>
      <c r="AA433"/>
    </row>
    <row r="434" ht="15" spans="1:20">
      <c r="A434" s="35"/>
      <c r="B434" t="n" s="17">
        <f>70000000+F434*10000+H434*1000+I434*100+J434</f>
        <v>70225101</v>
      </c>
      <c r="C434" t="str" s="38">
        <v>砺赭坂-怪物1</v>
      </c>
      <c r="D434" s="3"/>
      <c r="E434" t="str" s="3">
        <f>F434&amp;(VLOOKUP(G434,编号表!$E$1:$G$8,2,0))&amp;H434&amp;"_"&amp;I434&amp;"_"&amp;J434</f>
        <v>22N5_1_1</v>
      </c>
      <c r="F434" t="n" s="3">
        <v>22</v>
      </c>
      <c r="G434" t="str" s="3">
        <v>怪物</v>
      </c>
      <c r="H434" t="n" s="3">
        <v>5</v>
      </c>
      <c r="I434" t="n" s="3">
        <v>1</v>
      </c>
      <c r="J434" t="n" s="3">
        <v>1</v>
      </c>
      <c r="K434" s="3"/>
      <c r="L434" s="3"/>
      <c r="M434" s="3"/>
      <c r="N434" s="3"/>
      <c r="O434" s="3"/>
      <c r="P434" s="3"/>
      <c r="Q434" s="3"/>
      <c r="R434" s="3"/>
      <c r="S434" t="str" s="17">
        <v>本轮完整刷新挂接；有效坐标注入后验证</v>
      </c>
      <c r="T434" t="n" s="18">
        <v>1019303</v>
      </c>
      <c r="U434"/>
      <c r="V434"/>
      <c r="W434"/>
      <c r="X434"/>
      <c r="Y434"/>
      <c r="Z434"/>
      <c r="AA434"/>
    </row>
    <row r="435" ht="15" spans="1:20">
      <c r="A435" s="35"/>
      <c r="B435" t="n" s="17">
        <f>70000000+F435*10000+H435*1000+I435*100+J435</f>
        <v>70225102</v>
      </c>
      <c r="C435" t="str" s="38">
        <v>砺赭坂-怪物2</v>
      </c>
      <c r="D435" s="3"/>
      <c r="E435" t="str" s="3">
        <f>F435&amp;(VLOOKUP(G435,编号表!$E$1:$G$8,2,0))&amp;H435&amp;"_"&amp;I435&amp;"_"&amp;J435</f>
        <v>22N5_1_2</v>
      </c>
      <c r="F435" t="n" s="3">
        <v>22</v>
      </c>
      <c r="G435" t="str" s="3">
        <v>怪物</v>
      </c>
      <c r="H435" t="n" s="3">
        <v>5</v>
      </c>
      <c r="I435" t="n" s="3">
        <v>1</v>
      </c>
      <c r="J435" t="n" s="3">
        <v>2</v>
      </c>
      <c r="K435" s="3"/>
      <c r="L435" s="3"/>
      <c r="M435" s="3"/>
      <c r="N435" s="3"/>
      <c r="O435" s="3"/>
      <c r="P435" s="3"/>
      <c r="Q435" s="3"/>
      <c r="R435" s="3"/>
      <c r="S435" t="str" s="17">
        <v>本轮完整刷新挂接；有效坐标注入后验证</v>
      </c>
      <c r="T435" t="n" s="18">
        <v>1019403</v>
      </c>
      <c r="U435"/>
      <c r="V435"/>
      <c r="W435"/>
      <c r="X435"/>
      <c r="Y435"/>
      <c r="Z435"/>
      <c r="AA435"/>
    </row>
    <row r="436" ht="15" spans="1:20">
      <c r="A436" s="35"/>
      <c r="B436" t="n" s="17">
        <f>70000000+F436*10000+H436*1000+I436*100+J436</f>
        <v>70225103</v>
      </c>
      <c r="C436" t="str" s="38">
        <v>砺赭坂-怪物3</v>
      </c>
      <c r="D436" s="3"/>
      <c r="E436" t="str" s="3">
        <f>F436&amp;(VLOOKUP(G436,编号表!$E$1:$G$8,2,0))&amp;H436&amp;"_"&amp;I436&amp;"_"&amp;J436</f>
        <v>22N5_1_3</v>
      </c>
      <c r="F436" t="n" s="3">
        <v>22</v>
      </c>
      <c r="G436" t="str" s="3">
        <v>怪物</v>
      </c>
      <c r="H436" t="n" s="3">
        <v>5</v>
      </c>
      <c r="I436" t="n" s="3">
        <v>1</v>
      </c>
      <c r="J436" t="n" s="3">
        <v>3</v>
      </c>
      <c r="K436" s="3"/>
      <c r="L436" s="3"/>
      <c r="M436" s="3"/>
      <c r="N436" s="3"/>
      <c r="O436" s="3"/>
      <c r="P436" s="3"/>
      <c r="Q436" s="3"/>
      <c r="R436" s="3"/>
      <c r="S436" t="str" s="17">
        <v>本轮完整刷新挂接；有效坐标注入后验证</v>
      </c>
      <c r="T436" t="n" s="18">
        <v>1019503</v>
      </c>
      <c r="U436"/>
      <c r="V436"/>
      <c r="W436"/>
      <c r="X436"/>
      <c r="Y436"/>
      <c r="Z436"/>
      <c r="AA436"/>
    </row>
    <row r="437" ht="15" spans="1:20">
      <c r="A437" s="35"/>
      <c r="B437" t="n" s="17">
        <f>70000000+F437*10000+H437*1000+I437*100+J437</f>
        <v>70225201</v>
      </c>
      <c r="C437" t="str" s="38">
        <v>砺赭坂-怪物4</v>
      </c>
      <c r="D437" s="3"/>
      <c r="E437" t="str" s="3">
        <f>F437&amp;(VLOOKUP(G437,编号表!$E$1:$G$8,2,0))&amp;H437&amp;"_"&amp;I437&amp;"_"&amp;J437</f>
        <v>22N5_2_1</v>
      </c>
      <c r="F437" t="n" s="3">
        <v>22</v>
      </c>
      <c r="G437" t="str" s="3">
        <v>怪物</v>
      </c>
      <c r="H437" t="n" s="3">
        <v>5</v>
      </c>
      <c r="I437" t="n" s="3">
        <v>2</v>
      </c>
      <c r="J437" t="n" s="3">
        <v>1</v>
      </c>
      <c r="K437" s="3"/>
      <c r="L437" s="3"/>
      <c r="M437" s="3"/>
      <c r="N437" s="3"/>
      <c r="O437" s="3"/>
      <c r="P437" s="3"/>
      <c r="Q437" s="3"/>
      <c r="R437" s="3"/>
      <c r="S437" t="str" s="17">
        <v>本轮完整刷新挂接；有效坐标注入后验证</v>
      </c>
      <c r="T437" t="n" s="18">
        <v>1019603</v>
      </c>
      <c r="U437"/>
      <c r="V437"/>
      <c r="W437"/>
      <c r="X437"/>
      <c r="Y437"/>
      <c r="Z437"/>
      <c r="AA437"/>
    </row>
    <row r="438" ht="15" spans="1:20">
      <c r="A438" s="35"/>
      <c r="B438" t="n" s="17">
        <f>70000000+F438*10000+H438*1000+I438*100+J438</f>
        <v>70225202</v>
      </c>
      <c r="C438" t="str" s="38">
        <v>砺赭坂-怪物5</v>
      </c>
      <c r="D438" s="3"/>
      <c r="E438" t="str" s="3">
        <f>F438&amp;(VLOOKUP(G438,编号表!$E$1:$G$8,2,0))&amp;H438&amp;"_"&amp;I438&amp;"_"&amp;J438</f>
        <v>22N5_2_2</v>
      </c>
      <c r="F438" t="n" s="3">
        <v>22</v>
      </c>
      <c r="G438" t="str" s="3">
        <v>怪物</v>
      </c>
      <c r="H438" t="n" s="3">
        <v>5</v>
      </c>
      <c r="I438" t="n" s="3">
        <v>2</v>
      </c>
      <c r="J438" t="n" s="3">
        <v>2</v>
      </c>
      <c r="K438" s="3"/>
      <c r="L438" s="3"/>
      <c r="M438" s="3"/>
      <c r="N438" s="3"/>
      <c r="O438" s="3"/>
      <c r="P438" s="3"/>
      <c r="Q438" s="3"/>
      <c r="R438" s="3"/>
      <c r="S438" t="str" s="17">
        <v>本轮完整刷新挂接；有效坐标注入后验证</v>
      </c>
      <c r="T438" t="n" s="18">
        <v>1019103</v>
      </c>
      <c r="U438"/>
      <c r="V438"/>
      <c r="W438"/>
      <c r="X438"/>
      <c r="Y438"/>
      <c r="Z438"/>
      <c r="AA438"/>
    </row>
    <row r="439" ht="15" spans="1:20">
      <c r="A439" s="35"/>
      <c r="B439" t="n" s="17">
        <f>70000000+F439*10000+H439*1000+I439*100+J439</f>
        <v>70225203</v>
      </c>
      <c r="C439" t="str" s="38">
        <v>砺赭坂-怪物6</v>
      </c>
      <c r="D439" s="3"/>
      <c r="E439" t="str" s="3">
        <f>F439&amp;(VLOOKUP(G439,编号表!$E$1:$G$8,2,0))&amp;H439&amp;"_"&amp;I439&amp;"_"&amp;J439</f>
        <v>22N5_2_3</v>
      </c>
      <c r="F439" t="n" s="3">
        <v>22</v>
      </c>
      <c r="G439" t="str" s="3">
        <v>怪物</v>
      </c>
      <c r="H439" t="n" s="3">
        <v>5</v>
      </c>
      <c r="I439" t="n" s="3">
        <v>2</v>
      </c>
      <c r="J439" t="n" s="3">
        <v>3</v>
      </c>
      <c r="K439" s="3"/>
      <c r="L439" s="3"/>
      <c r="M439" s="3"/>
      <c r="N439" s="3"/>
      <c r="O439" s="3"/>
      <c r="P439" s="3"/>
      <c r="Q439" s="3"/>
      <c r="R439" s="3"/>
      <c r="S439" s="17"/>
      <c r="T439" s="18"/>
      <c r="U439"/>
      <c r="V439"/>
      <c r="W439"/>
      <c r="X439"/>
      <c r="Y439"/>
      <c r="Z439"/>
      <c r="AA439"/>
    </row>
    <row r="440" ht="15" spans="1:20">
      <c r="A440" s="35"/>
      <c r="B440" t="n" s="17">
        <f>70000000+F440*10000+H440*1000+I440*100+J440</f>
        <v>70225301</v>
      </c>
      <c r="C440" t="str" s="38">
        <v>砺赭坂-怪物7</v>
      </c>
      <c r="D440" s="3"/>
      <c r="E440" t="str" s="3">
        <f>F440&amp;(VLOOKUP(G440,编号表!$E$1:$G$8,2,0))&amp;H440&amp;"_"&amp;I440&amp;"_"&amp;J440</f>
        <v>22N5_3_1</v>
      </c>
      <c r="F440" t="n" s="3">
        <v>22</v>
      </c>
      <c r="G440" t="str" s="3">
        <v>怪物</v>
      </c>
      <c r="H440" t="n" s="3">
        <v>5</v>
      </c>
      <c r="I440" t="n" s="3">
        <v>3</v>
      </c>
      <c r="J440" t="n" s="3">
        <v>1</v>
      </c>
      <c r="K440" s="3"/>
      <c r="L440" s="3"/>
      <c r="M440" s="3"/>
      <c r="N440" s="3"/>
      <c r="O440" s="3"/>
      <c r="P440" s="3"/>
      <c r="Q440" s="3"/>
      <c r="R440" s="3"/>
      <c r="S440" s="17"/>
      <c r="T440" s="18"/>
      <c r="U440"/>
      <c r="V440"/>
      <c r="W440"/>
      <c r="X440"/>
      <c r="Y440"/>
      <c r="Z440"/>
      <c r="AA440"/>
    </row>
    <row r="441" ht="15" spans="1:20">
      <c r="A441" s="35"/>
      <c r="B441" t="n" s="17">
        <f>70000000+F441*10000+H441*1000+I441*100+J441</f>
        <v>70225302</v>
      </c>
      <c r="C441" t="str" s="38">
        <v>砺赭坂-怪物8</v>
      </c>
      <c r="D441" s="3"/>
      <c r="E441" t="str" s="3">
        <f>F441&amp;(VLOOKUP(G441,编号表!$E$1:$G$8,2,0))&amp;H441&amp;"_"&amp;I441&amp;"_"&amp;J441</f>
        <v>22N5_3_2</v>
      </c>
      <c r="F441" t="n" s="3">
        <v>22</v>
      </c>
      <c r="G441" t="str" s="3">
        <v>怪物</v>
      </c>
      <c r="H441" t="n" s="3">
        <v>5</v>
      </c>
      <c r="I441" t="n" s="3">
        <v>3</v>
      </c>
      <c r="J441" t="n" s="3">
        <v>2</v>
      </c>
      <c r="K441" s="3"/>
      <c r="L441" s="3"/>
      <c r="M441" s="3"/>
      <c r="N441" s="3"/>
      <c r="O441" s="3"/>
      <c r="P441" s="3"/>
      <c r="Q441" s="3"/>
      <c r="R441" s="3"/>
      <c r="S441" s="17"/>
      <c r="T441" s="18"/>
      <c r="U441"/>
      <c r="V441"/>
      <c r="W441"/>
      <c r="X441"/>
      <c r="Y441"/>
      <c r="Z441"/>
      <c r="AA441"/>
    </row>
    <row r="442" ht="15" spans="1:20">
      <c r="A442" s="35"/>
      <c r="B442" t="n" s="17">
        <f>70000000+F442*10000+H442*1000+I442*100+J442</f>
        <v>70225303</v>
      </c>
      <c r="C442" t="str" s="38">
        <v>砺赭坂-怪物9</v>
      </c>
      <c r="D442" s="3"/>
      <c r="E442" t="str" s="3">
        <f>F442&amp;(VLOOKUP(G442,编号表!$E$1:$G$8,2,0))&amp;H442&amp;"_"&amp;I442&amp;"_"&amp;J442</f>
        <v>22N5_3_3</v>
      </c>
      <c r="F442" t="n" s="3">
        <v>22</v>
      </c>
      <c r="G442" t="str" s="3">
        <v>怪物</v>
      </c>
      <c r="H442" t="n" s="3">
        <v>5</v>
      </c>
      <c r="I442" t="n" s="3">
        <v>3</v>
      </c>
      <c r="J442" t="n" s="3">
        <v>3</v>
      </c>
      <c r="K442" s="3"/>
      <c r="L442" s="3"/>
      <c r="M442" s="3"/>
      <c r="N442" s="3"/>
      <c r="O442" s="3"/>
      <c r="P442" s="3"/>
      <c r="Q442" s="3"/>
      <c r="R442" s="3"/>
      <c r="S442" s="17"/>
      <c r="T442" s="18"/>
      <c r="U442"/>
      <c r="V442"/>
      <c r="W442"/>
      <c r="X442"/>
      <c r="Y442"/>
      <c r="Z442"/>
      <c r="AA442"/>
    </row>
    <row r="443" ht="15" spans="1:20">
      <c r="A443" s="35"/>
      <c r="B443" t="n" s="17">
        <f>70000000+F443*10000+H443*1000+I443*100+J443</f>
        <v>70225304</v>
      </c>
      <c r="C443" t="str" s="38">
        <v>砺赭坂-怪物10</v>
      </c>
      <c r="D443" s="3"/>
      <c r="E443" t="str" s="3">
        <f>F443&amp;(VLOOKUP(G443,编号表!$E$1:$G$8,2,0))&amp;H443&amp;"_"&amp;I443&amp;"_"&amp;J443</f>
        <v>22N5_3_4</v>
      </c>
      <c r="F443" t="n" s="3">
        <v>22</v>
      </c>
      <c r="G443" t="str" s="3">
        <v>怪物</v>
      </c>
      <c r="H443" t="n" s="3">
        <v>5</v>
      </c>
      <c r="I443" t="n" s="3">
        <v>3</v>
      </c>
      <c r="J443" t="n" s="3">
        <v>4</v>
      </c>
      <c r="K443" s="3"/>
      <c r="L443" s="3"/>
      <c r="M443" s="3"/>
      <c r="N443" s="3"/>
      <c r="O443" s="3"/>
      <c r="P443" s="3"/>
      <c r="Q443" s="3"/>
      <c r="R443" s="3"/>
      <c r="S443" s="17"/>
      <c r="T443" s="18"/>
      <c r="U443"/>
      <c r="V443"/>
      <c r="W443"/>
      <c r="X443"/>
      <c r="Y443"/>
      <c r="Z443"/>
      <c r="AA443"/>
    </row>
    <row r="444" ht="15" spans="1:20">
      <c r="A444" s="35"/>
      <c r="B444" t="n" s="17">
        <f>70000000+F444*10000+H444*1000+I444*100+J444</f>
        <v>70225401</v>
      </c>
      <c r="C444" t="str" s="38">
        <v>砺赭坂-怪物10</v>
      </c>
      <c r="D444" s="3"/>
      <c r="E444" t="str" s="3">
        <f>F444&amp;(VLOOKUP(G444,编号表!$E$1:$G$8,2,0))&amp;H444&amp;"_"&amp;I444&amp;"_"&amp;J444</f>
        <v>22N5_4_1</v>
      </c>
      <c r="F444" t="n" s="3">
        <v>22</v>
      </c>
      <c r="G444" t="str" s="3">
        <v>怪物</v>
      </c>
      <c r="H444" t="n" s="3">
        <v>5</v>
      </c>
      <c r="I444" t="n" s="3">
        <v>4</v>
      </c>
      <c r="J444" t="n" s="3">
        <v>1</v>
      </c>
      <c r="K444" s="3"/>
      <c r="L444" s="3"/>
      <c r="M444" s="3"/>
      <c r="N444" s="3"/>
      <c r="O444" s="3"/>
      <c r="P444" s="3"/>
      <c r="Q444" s="3"/>
      <c r="R444" s="3"/>
      <c r="S444" s="17"/>
      <c r="T444" s="18"/>
      <c r="U444"/>
      <c r="V444"/>
      <c r="W444"/>
      <c r="X444"/>
      <c r="Y444"/>
      <c r="Z444"/>
      <c r="AA444"/>
    </row>
    <row r="445" ht="15" spans="1:20">
      <c r="A445" s="35"/>
      <c r="B445" t="n" s="17">
        <f>70000000+F445*10000+H445*1000+I445*100+J445</f>
        <v>70225402</v>
      </c>
      <c r="C445" t="str" s="38">
        <v>砺赭坂-怪物10</v>
      </c>
      <c r="D445" s="3"/>
      <c r="E445" t="str" s="3">
        <f>F445&amp;(VLOOKUP(G445,编号表!$E$1:$G$8,2,0))&amp;H445&amp;"_"&amp;I445&amp;"_"&amp;J445</f>
        <v>22N5_4_2</v>
      </c>
      <c r="F445" t="n" s="3">
        <v>22</v>
      </c>
      <c r="G445" t="str" s="3">
        <v>怪物</v>
      </c>
      <c r="H445" t="n" s="3">
        <v>5</v>
      </c>
      <c r="I445" t="n" s="3">
        <v>4</v>
      </c>
      <c r="J445" t="n" s="3">
        <v>2</v>
      </c>
      <c r="K445" s="3"/>
      <c r="L445" s="3"/>
      <c r="M445" s="3"/>
      <c r="N445" s="3"/>
      <c r="O445" s="3"/>
      <c r="P445" s="3"/>
      <c r="Q445" s="3"/>
      <c r="R445" s="3"/>
      <c r="S445" s="17"/>
      <c r="T445" s="18"/>
      <c r="U445"/>
      <c r="V445"/>
      <c r="W445"/>
      <c r="X445"/>
      <c r="Y445"/>
      <c r="Z445"/>
      <c r="AA445"/>
    </row>
    <row r="446" ht="15" spans="1:20">
      <c r="A446" s="35"/>
      <c r="B446" t="n" s="17">
        <f>70000000+F446*10000+H446*1000+I446*100+J446</f>
        <v>70225403</v>
      </c>
      <c r="C446" t="str" s="38">
        <v>砺赭坂-怪物10</v>
      </c>
      <c r="D446" s="3"/>
      <c r="E446" t="str" s="3">
        <f>F446&amp;(VLOOKUP(G446,编号表!$E$1:$G$8,2,0))&amp;H446&amp;"_"&amp;I446&amp;"_"&amp;J446</f>
        <v>22N5_4_3</v>
      </c>
      <c r="F446" t="n" s="3">
        <v>22</v>
      </c>
      <c r="G446" t="str" s="3">
        <v>怪物</v>
      </c>
      <c r="H446" t="n" s="3">
        <v>5</v>
      </c>
      <c r="I446" t="n" s="3">
        <v>4</v>
      </c>
      <c r="J446" t="n" s="3">
        <v>3</v>
      </c>
      <c r="K446" s="3"/>
      <c r="L446" s="3"/>
      <c r="M446" s="3"/>
      <c r="N446" s="3"/>
      <c r="O446" s="3"/>
      <c r="P446" s="3"/>
      <c r="Q446" s="3"/>
      <c r="R446" s="3"/>
      <c r="S446" s="17"/>
      <c r="T446" s="18"/>
      <c r="U446"/>
      <c r="V446"/>
      <c r="W446"/>
      <c r="X446"/>
      <c r="Y446"/>
      <c r="Z446"/>
      <c r="AA446"/>
    </row>
    <row r="447" ht="15" spans="1:20">
      <c r="A447" s="35"/>
      <c r="B447" t="n" s="17">
        <f>70000000+F447*10000+H447*1000+I447*100+J447</f>
        <v>70225404</v>
      </c>
      <c r="C447" t="str" s="38">
        <v>砺赭坂-怪物10</v>
      </c>
      <c r="D447" s="3"/>
      <c r="E447" t="str" s="3">
        <f>F447&amp;(VLOOKUP(G447,编号表!$E$1:$G$8,2,0))&amp;H447&amp;"_"&amp;I447&amp;"_"&amp;J447</f>
        <v>22N5_4_4</v>
      </c>
      <c r="F447" t="n" s="3">
        <v>22</v>
      </c>
      <c r="G447" t="str" s="3">
        <v>怪物</v>
      </c>
      <c r="H447" t="n" s="3">
        <v>5</v>
      </c>
      <c r="I447" t="n" s="3">
        <v>4</v>
      </c>
      <c r="J447" t="n" s="3">
        <v>4</v>
      </c>
      <c r="K447" s="3"/>
      <c r="L447" s="3"/>
      <c r="M447" s="3"/>
      <c r="N447" s="3"/>
      <c r="O447" s="3"/>
      <c r="P447" s="3"/>
      <c r="Q447" s="3"/>
      <c r="R447" s="3"/>
      <c r="S447" s="17"/>
      <c r="T447" s="18"/>
      <c r="U447"/>
      <c r="V447"/>
      <c r="W447"/>
      <c r="X447"/>
      <c r="Y447"/>
      <c r="Z447"/>
      <c r="AA447"/>
    </row>
    <row r="448" ht="15" spans="1:20">
      <c r="A448" s="35"/>
      <c r="B448" t="n" s="17">
        <f>70000000+F448*10000+H448*1000+I448*100+J448</f>
        <v>70225405</v>
      </c>
      <c r="C448" t="str" s="38">
        <v>砺赭坂-怪物10</v>
      </c>
      <c r="D448" s="3"/>
      <c r="E448" t="str" s="3">
        <f>F448&amp;(VLOOKUP(G448,编号表!$E$1:$G$8,2,0))&amp;H448&amp;"_"&amp;I448&amp;"_"&amp;J448</f>
        <v>22N5_4_5</v>
      </c>
      <c r="F448" t="n" s="3">
        <v>22</v>
      </c>
      <c r="G448" t="str" s="3">
        <v>怪物</v>
      </c>
      <c r="H448" t="n" s="3">
        <v>5</v>
      </c>
      <c r="I448" t="n" s="3">
        <v>4</v>
      </c>
      <c r="J448" t="n" s="3">
        <v>5</v>
      </c>
      <c r="K448" s="3"/>
      <c r="L448" s="3"/>
      <c r="M448" s="3"/>
      <c r="N448" s="3"/>
      <c r="O448" s="3"/>
      <c r="P448" s="3"/>
      <c r="Q448" s="3"/>
      <c r="R448" s="3"/>
      <c r="S448" s="17"/>
      <c r="T448" s="18"/>
      <c r="U448"/>
      <c r="V448"/>
      <c r="W448"/>
      <c r="X448"/>
      <c r="Y448"/>
      <c r="Z448"/>
      <c r="AA448"/>
    </row>
    <row r="449" ht="15" spans="1:20">
      <c r="A449" s="35"/>
      <c r="B449" t="n" s="17">
        <f>70000000+F449*10000+H449*1000+I449*100+J449</f>
        <v>70225406</v>
      </c>
      <c r="C449" t="str" s="38">
        <v>砺赭坂-怪物10</v>
      </c>
      <c r="D449" s="3"/>
      <c r="E449" t="str" s="3">
        <f>F449&amp;(VLOOKUP(G449,编号表!$E$1:$G$8,2,0))&amp;H449&amp;"_"&amp;I449&amp;"_"&amp;J449</f>
        <v>22N5_4_6</v>
      </c>
      <c r="F449" t="n" s="3">
        <v>22</v>
      </c>
      <c r="G449" t="str" s="3">
        <v>怪物</v>
      </c>
      <c r="H449" t="n" s="3">
        <v>5</v>
      </c>
      <c r="I449" t="n" s="3">
        <v>4</v>
      </c>
      <c r="J449" t="n" s="3">
        <v>6</v>
      </c>
      <c r="K449" s="3"/>
      <c r="L449" s="3"/>
      <c r="M449" s="3"/>
      <c r="N449" s="3"/>
      <c r="O449" s="3"/>
      <c r="P449" s="3"/>
      <c r="Q449" s="3"/>
      <c r="R449" s="3"/>
      <c r="S449" s="17"/>
      <c r="T449" s="18"/>
      <c r="U449"/>
      <c r="V449"/>
      <c r="W449"/>
      <c r="X449"/>
      <c r="Y449"/>
      <c r="Z449"/>
      <c r="AA449"/>
    </row>
    <row r="450" ht="15" spans="1:20">
      <c r="A450" s="35"/>
      <c r="B450" t="n" s="17">
        <f>70000000+F450*10000+H450*1000+I450*100+J450</f>
        <v>70225001</v>
      </c>
      <c r="C450" t="str" s="39">
        <v>砺赭坂-镜头</v>
      </c>
      <c r="D450" s="3"/>
      <c r="E450" t="str" s="3">
        <f>F450&amp;(VLOOKUP(G450,编号表!$E$1:$G$8,2,0))&amp;H450&amp;"_"&amp;I450&amp;"_"&amp;J450</f>
        <v>22J5_0_1</v>
      </c>
      <c r="F450" t="n" s="3">
        <v>22</v>
      </c>
      <c r="G450" t="str" s="3">
        <v>镜头</v>
      </c>
      <c r="H450" t="n" s="3">
        <v>5</v>
      </c>
      <c r="I450" t="n" s="3">
        <v>0</v>
      </c>
      <c r="J450" t="n" s="3">
        <v>1</v>
      </c>
      <c r="K450" t="n" s="3">
        <v>1</v>
      </c>
      <c r="L450" s="3"/>
      <c r="M450" s="3"/>
      <c r="N450" s="3"/>
      <c r="O450" s="3"/>
      <c r="P450" s="3"/>
      <c r="Q450" s="3"/>
      <c r="R450" s="3"/>
      <c r="S450" s="17"/>
      <c r="T450" s="18"/>
      <c r="U450"/>
      <c r="V450"/>
      <c r="W450"/>
      <c r="X450"/>
      <c r="Y450"/>
      <c r="Z450"/>
      <c r="AA450"/>
    </row>
    <row r="451" ht="15" spans="1:20">
      <c r="A451" s="35"/>
      <c r="B451" t="n" s="17">
        <f>70000000+F451*10000+H451*1000+I451*100+J451</f>
        <v>70221001</v>
      </c>
      <c r="C451" t="str" s="37">
        <v>砺赭坂-传送</v>
      </c>
      <c r="D451" s="3"/>
      <c r="E451" t="str" s="3">
        <f>F451&amp;(VLOOKUP(G451,编号表!$E$1:$G$8,2,0))&amp;H451&amp;"_"&amp;I451&amp;"_"&amp;J451</f>
        <v>22T1_0_1</v>
      </c>
      <c r="F451" t="n" s="3">
        <v>22</v>
      </c>
      <c r="G451" t="str" s="3">
        <v>传送</v>
      </c>
      <c r="H451" t="n" s="3">
        <v>1</v>
      </c>
      <c r="I451" t="n" s="3">
        <v>0</v>
      </c>
      <c r="J451" t="n" s="3">
        <v>1</v>
      </c>
      <c r="K451" s="3"/>
      <c r="L451" t="n" s="3">
        <v>1</v>
      </c>
      <c r="M451" s="3"/>
      <c r="N451" s="3"/>
      <c r="O451" s="3"/>
      <c r="P451" s="3"/>
      <c r="Q451" s="3"/>
      <c r="R451" t="n" s="3">
        <v>70211002</v>
      </c>
      <c r="S451" s="17"/>
      <c r="T451" s="18"/>
      <c r="U451"/>
      <c r="V451"/>
      <c r="W451"/>
      <c r="X451"/>
      <c r="Y451"/>
      <c r="Z451"/>
      <c r="AA451"/>
    </row>
    <row r="452" ht="15" spans="1:20">
      <c r="A452" s="35"/>
      <c r="B452" t="n" s="17">
        <f>70000000+F452*10000+H452*1000+I452*100+J452</f>
        <v>70221002</v>
      </c>
      <c r="C452" t="str" s="37">
        <v>砺赭坂-传送</v>
      </c>
      <c r="D452" s="3"/>
      <c r="E452" t="str" s="3">
        <f>F452&amp;(VLOOKUP(G452,编号表!$E$1:$G$8,2,0))&amp;H452&amp;"_"&amp;I452&amp;"_"&amp;J452</f>
        <v>22T1_0_2</v>
      </c>
      <c r="F452" t="n" s="3">
        <v>22</v>
      </c>
      <c r="G452" t="str" s="3">
        <v>传送</v>
      </c>
      <c r="H452" t="n" s="3">
        <v>1</v>
      </c>
      <c r="I452" t="n" s="3">
        <v>0</v>
      </c>
      <c r="J452" t="n" s="3">
        <v>2</v>
      </c>
      <c r="K452" s="3"/>
      <c r="L452" t="n" s="3">
        <v>1</v>
      </c>
      <c r="M452" s="3"/>
      <c r="N452" s="3"/>
      <c r="O452" s="3"/>
      <c r="P452" s="3"/>
      <c r="Q452" s="3"/>
      <c r="R452" t="n" s="3">
        <v>70231001</v>
      </c>
      <c r="S452" s="17"/>
      <c r="T452" s="18"/>
      <c r="U452"/>
      <c r="V452"/>
      <c r="W452"/>
      <c r="X452"/>
      <c r="Y452"/>
      <c r="Z452"/>
      <c r="AA452"/>
    </row>
    <row r="453" ht="15" spans="1:20">
      <c r="A453" s="35"/>
      <c r="B453" t="n" s="17">
        <f>70000000+F453*10000+H453*1000+I453*100+J453</f>
        <v>70222001</v>
      </c>
      <c r="C453" t="str" s="37">
        <v>砺赭坂-小地图</v>
      </c>
      <c r="D453" s="3"/>
      <c r="E453" t="str" s="3">
        <f>F453&amp;(VLOOKUP(G453,编号表!$E$1:$G$8,2,0))&amp;H453&amp;"_"&amp;I453&amp;"_"&amp;J453</f>
        <v>22D2_0_1</v>
      </c>
      <c r="F453" t="n" s="3">
        <v>22</v>
      </c>
      <c r="G453" t="str" s="3">
        <v>小地图</v>
      </c>
      <c r="H453" t="n" s="3">
        <v>2</v>
      </c>
      <c r="I453" t="n" s="3">
        <v>0</v>
      </c>
      <c r="J453" t="n" s="3">
        <v>1</v>
      </c>
      <c r="K453" s="3"/>
      <c r="L453" s="3"/>
      <c r="M453" t="n" s="3">
        <v>1</v>
      </c>
      <c r="N453" s="3"/>
      <c r="O453" s="3"/>
      <c r="P453" s="3"/>
      <c r="Q453" s="3"/>
      <c r="R453" s="3"/>
      <c r="S453" s="17"/>
      <c r="T453" s="18"/>
      <c r="U453"/>
      <c r="V453"/>
      <c r="W453"/>
      <c r="X453"/>
      <c r="Y453"/>
      <c r="Z453"/>
      <c r="AA453"/>
    </row>
    <row r="454" ht="15" spans="1:20">
      <c r="A454" s="35"/>
      <c r="B454" t="n" s="17">
        <f>70000000+F454*10000+H454*1000+I454*100+J454</f>
        <v>70235101</v>
      </c>
      <c r="C454" t="str" s="38">
        <v>铁色横侵-怪物1</v>
      </c>
      <c r="D454" s="3"/>
      <c r="E454" t="str" s="3">
        <f>F454&amp;(VLOOKUP(G454,编号表!$E$1:$G$8,2,0))&amp;H454&amp;"_"&amp;I454&amp;"_"&amp;J454</f>
        <v>23N5_1_1</v>
      </c>
      <c r="F454" t="n" s="3">
        <v>23</v>
      </c>
      <c r="G454" t="str" s="3">
        <v>怪物</v>
      </c>
      <c r="H454" t="n" s="3">
        <v>5</v>
      </c>
      <c r="I454" t="n" s="3">
        <v>1</v>
      </c>
      <c r="J454" t="n" s="3">
        <v>1</v>
      </c>
      <c r="K454" s="3"/>
      <c r="L454" s="3"/>
      <c r="M454" s="3"/>
      <c r="N454" s="3"/>
      <c r="O454" s="3"/>
      <c r="P454" s="3"/>
      <c r="Q454" s="3"/>
      <c r="R454" s="3"/>
      <c r="S454" t="str" s="17">
        <v>本轮完整刷新挂接；有效坐标注入后验证</v>
      </c>
      <c r="T454" t="n" s="18">
        <v>1020303</v>
      </c>
      <c r="U454"/>
      <c r="V454"/>
      <c r="W454"/>
      <c r="X454"/>
      <c r="Y454"/>
      <c r="Z454"/>
      <c r="AA454"/>
    </row>
    <row r="455" ht="15" spans="1:20">
      <c r="A455" s="35"/>
      <c r="B455" t="n" s="17">
        <f>70000000+F455*10000+H455*1000+I455*100+J455</f>
        <v>70235102</v>
      </c>
      <c r="C455" t="str" s="38">
        <v>铁色横侵-怪物2</v>
      </c>
      <c r="D455" s="3"/>
      <c r="E455" t="str" s="3">
        <f>F455&amp;(VLOOKUP(G455,编号表!$E$1:$G$8,2,0))&amp;H455&amp;"_"&amp;I455&amp;"_"&amp;J455</f>
        <v>23N5_1_2</v>
      </c>
      <c r="F455" t="n" s="3">
        <v>23</v>
      </c>
      <c r="G455" t="str" s="3">
        <v>怪物</v>
      </c>
      <c r="H455" t="n" s="3">
        <v>5</v>
      </c>
      <c r="I455" t="n" s="3">
        <v>1</v>
      </c>
      <c r="J455" t="n" s="3">
        <v>2</v>
      </c>
      <c r="K455" s="3"/>
      <c r="L455" s="3"/>
      <c r="M455" s="3"/>
      <c r="N455" s="3"/>
      <c r="O455" s="3"/>
      <c r="P455" s="3"/>
      <c r="Q455" s="3"/>
      <c r="R455" s="3"/>
      <c r="S455" t="str" s="17">
        <v>本轮完整刷新挂接；有效坐标注入后验证</v>
      </c>
      <c r="T455" t="n" s="18">
        <v>1020403</v>
      </c>
      <c r="U455"/>
      <c r="V455"/>
      <c r="W455"/>
      <c r="X455"/>
      <c r="Y455"/>
      <c r="Z455"/>
      <c r="AA455"/>
    </row>
    <row r="456" ht="15" spans="1:20">
      <c r="A456" s="35"/>
      <c r="B456" t="n" s="17">
        <f>70000000+F456*10000+H456*1000+I456*100+J456</f>
        <v>70235103</v>
      </c>
      <c r="C456" t="str" s="38">
        <v>铁色横侵-怪物3</v>
      </c>
      <c r="D456" s="3"/>
      <c r="E456" t="str" s="3">
        <f>F456&amp;(VLOOKUP(G456,编号表!$E$1:$G$8,2,0))&amp;H456&amp;"_"&amp;I456&amp;"_"&amp;J456</f>
        <v>23N5_1_3</v>
      </c>
      <c r="F456" t="n" s="3">
        <v>23</v>
      </c>
      <c r="G456" t="str" s="3">
        <v>怪物</v>
      </c>
      <c r="H456" t="n" s="3">
        <v>5</v>
      </c>
      <c r="I456" t="n" s="3">
        <v>1</v>
      </c>
      <c r="J456" t="n" s="3">
        <v>3</v>
      </c>
      <c r="K456" s="3"/>
      <c r="L456" s="3"/>
      <c r="M456" s="3"/>
      <c r="N456" s="3"/>
      <c r="O456" s="3"/>
      <c r="P456" s="3"/>
      <c r="Q456" s="3"/>
      <c r="R456" s="3"/>
      <c r="S456" t="str" s="17">
        <v>本轮完整刷新挂接；有效坐标注入后验证</v>
      </c>
      <c r="T456" t="n" s="18">
        <v>1020503</v>
      </c>
      <c r="U456"/>
      <c r="V456"/>
      <c r="W456"/>
      <c r="X456"/>
      <c r="Y456"/>
      <c r="Z456"/>
      <c r="AA456"/>
    </row>
    <row r="457" ht="15" spans="1:20">
      <c r="A457" s="35"/>
      <c r="B457" t="n" s="17">
        <f>70000000+F457*10000+H457*1000+I457*100+J457</f>
        <v>70235104</v>
      </c>
      <c r="C457" t="str" s="38">
        <v>铁色横侵-怪物4</v>
      </c>
      <c r="D457" s="3"/>
      <c r="E457" t="str" s="3">
        <f>F457&amp;(VLOOKUP(G457,编号表!$E$1:$G$8,2,0))&amp;H457&amp;"_"&amp;I457&amp;"_"&amp;J457</f>
        <v>23N5_1_4</v>
      </c>
      <c r="F457" t="n" s="3">
        <v>23</v>
      </c>
      <c r="G457" t="str" s="3">
        <v>怪物</v>
      </c>
      <c r="H457" t="n" s="3">
        <v>5</v>
      </c>
      <c r="I457" t="n" s="3">
        <v>1</v>
      </c>
      <c r="J457" t="n" s="3">
        <v>4</v>
      </c>
      <c r="K457" s="3"/>
      <c r="L457" s="3"/>
      <c r="M457" s="3"/>
      <c r="N457" s="3"/>
      <c r="O457" s="3"/>
      <c r="P457" s="3"/>
      <c r="Q457" s="3"/>
      <c r="R457" s="3"/>
      <c r="S457" t="str" s="17">
        <v>本轮完整刷新挂接；有效坐标注入后验证</v>
      </c>
      <c r="T457" t="n" s="18">
        <v>1020103</v>
      </c>
      <c r="U457"/>
      <c r="V457"/>
      <c r="W457"/>
      <c r="X457"/>
      <c r="Y457"/>
      <c r="Z457"/>
      <c r="AA457"/>
    </row>
    <row r="458" ht="15" spans="1:20">
      <c r="A458" s="35"/>
      <c r="B458" t="n" s="17">
        <f>70000000+F458*10000+H458*1000+I458*100+J458</f>
        <v>70235201</v>
      </c>
      <c r="C458" t="str" s="38">
        <v>铁色横侵-怪物5</v>
      </c>
      <c r="D458" s="3"/>
      <c r="E458" t="str" s="3">
        <f>F458&amp;(VLOOKUP(G458,编号表!$E$1:$G$8,2,0))&amp;H458&amp;"_"&amp;I458&amp;"_"&amp;J458</f>
        <v>23N5_2_1</v>
      </c>
      <c r="F458" t="n" s="3">
        <v>23</v>
      </c>
      <c r="G458" t="str" s="3">
        <v>怪物</v>
      </c>
      <c r="H458" t="n" s="3">
        <v>5</v>
      </c>
      <c r="I458" t="n" s="3">
        <v>2</v>
      </c>
      <c r="J458" t="n" s="3">
        <v>1</v>
      </c>
      <c r="K458" s="3"/>
      <c r="L458" s="3"/>
      <c r="M458" s="3"/>
      <c r="N458" s="3"/>
      <c r="O458" s="3"/>
      <c r="P458" s="3"/>
      <c r="Q458" s="3"/>
      <c r="R458" s="3"/>
      <c r="S458" t="str" s="17">
        <v>本轮完整刷新挂接；有效坐标注入后验证</v>
      </c>
      <c r="T458" t="n" s="18">
        <v>1020001</v>
      </c>
      <c r="U458"/>
      <c r="V458"/>
      <c r="W458"/>
      <c r="X458"/>
      <c r="Y458"/>
      <c r="Z458"/>
      <c r="AA458"/>
    </row>
    <row r="459" ht="15" spans="1:20">
      <c r="A459" s="35"/>
      <c r="B459" t="n" s="17">
        <f>70000000+F459*10000+H459*1000+I459*100+J459</f>
        <v>70235202</v>
      </c>
      <c r="C459" t="str" s="38">
        <v>铁色横侵-怪物6</v>
      </c>
      <c r="D459" s="3"/>
      <c r="E459" t="str" s="3">
        <f>F459&amp;(VLOOKUP(G459,编号表!$E$1:$G$8,2,0))&amp;H459&amp;"_"&amp;I459&amp;"_"&amp;J459</f>
        <v>23N5_2_2</v>
      </c>
      <c r="F459" t="n" s="3">
        <v>23</v>
      </c>
      <c r="G459" t="str" s="3">
        <v>怪物</v>
      </c>
      <c r="H459" t="n" s="3">
        <v>5</v>
      </c>
      <c r="I459" t="n" s="3">
        <v>2</v>
      </c>
      <c r="J459" t="n" s="3">
        <v>2</v>
      </c>
      <c r="K459" s="3"/>
      <c r="L459" s="3"/>
      <c r="M459" s="3"/>
      <c r="N459" s="3"/>
      <c r="O459" s="3"/>
      <c r="P459" s="3"/>
      <c r="Q459" s="3"/>
      <c r="R459" s="3"/>
      <c r="S459" s="17"/>
      <c r="T459" s="18"/>
      <c r="U459"/>
      <c r="V459"/>
      <c r="W459"/>
      <c r="X459"/>
      <c r="Y459"/>
      <c r="Z459"/>
      <c r="AA459"/>
    </row>
    <row r="460" ht="15" spans="1:20">
      <c r="A460" s="35"/>
      <c r="B460" t="n" s="17">
        <f>70000000+F460*10000+H460*1000+I460*100+J460</f>
        <v>70235203</v>
      </c>
      <c r="C460" t="str" s="38">
        <v>铁色横侵-怪物7</v>
      </c>
      <c r="D460" s="3"/>
      <c r="E460" t="str" s="3">
        <f>F460&amp;(VLOOKUP(G460,编号表!$E$1:$G$8,2,0))&amp;H460&amp;"_"&amp;I460&amp;"_"&amp;J460</f>
        <v>23N5_2_3</v>
      </c>
      <c r="F460" t="n" s="3">
        <v>23</v>
      </c>
      <c r="G460" t="str" s="3">
        <v>怪物</v>
      </c>
      <c r="H460" t="n" s="3">
        <v>5</v>
      </c>
      <c r="I460" t="n" s="3">
        <v>2</v>
      </c>
      <c r="J460" t="n" s="3">
        <v>3</v>
      </c>
      <c r="K460" s="3"/>
      <c r="L460" s="3"/>
      <c r="M460" s="3"/>
      <c r="N460" s="3"/>
      <c r="O460" s="3"/>
      <c r="P460" s="3"/>
      <c r="Q460" s="3"/>
      <c r="R460" s="3"/>
      <c r="S460" s="17"/>
      <c r="T460" s="18"/>
      <c r="U460"/>
      <c r="V460"/>
      <c r="W460"/>
      <c r="X460"/>
      <c r="Y460"/>
      <c r="Z460"/>
      <c r="AA460"/>
    </row>
    <row r="461" ht="15" spans="1:20">
      <c r="A461" s="35"/>
      <c r="B461" t="n" s="17">
        <f>70000000+F461*10000+H461*1000+I461*100+J461</f>
        <v>70235204</v>
      </c>
      <c r="C461" t="str" s="38">
        <v>铁色横侵-怪物8</v>
      </c>
      <c r="D461" s="3"/>
      <c r="E461" t="str" s="3">
        <f>F461&amp;(VLOOKUP(G461,编号表!$E$1:$G$8,2,0))&amp;H461&amp;"_"&amp;I461&amp;"_"&amp;J461</f>
        <v>23N5_2_4</v>
      </c>
      <c r="F461" t="n" s="3">
        <v>23</v>
      </c>
      <c r="G461" t="str" s="3">
        <v>怪物</v>
      </c>
      <c r="H461" t="n" s="3">
        <v>5</v>
      </c>
      <c r="I461" t="n" s="3">
        <v>2</v>
      </c>
      <c r="J461" t="n" s="3">
        <v>4</v>
      </c>
      <c r="K461" s="3"/>
      <c r="L461" s="3"/>
      <c r="M461" s="3"/>
      <c r="N461" s="3"/>
      <c r="O461" s="3"/>
      <c r="P461" s="3"/>
      <c r="Q461" s="3"/>
      <c r="R461" s="3"/>
      <c r="S461" s="17"/>
      <c r="T461" s="18"/>
      <c r="U461"/>
      <c r="V461"/>
      <c r="W461"/>
      <c r="X461"/>
      <c r="Y461"/>
      <c r="Z461"/>
      <c r="AA461"/>
    </row>
    <row r="462" ht="15" spans="1:20">
      <c r="A462" s="35"/>
      <c r="B462" t="n" s="17">
        <f>70000000+F462*10000+H462*1000+I462*100+J462</f>
        <v>70235205</v>
      </c>
      <c r="C462" t="str" s="38">
        <v>铁色横侵-怪物9</v>
      </c>
      <c r="D462" s="3"/>
      <c r="E462" t="str" s="3">
        <f>F462&amp;(VLOOKUP(G462,编号表!$E$1:$G$8,2,0))&amp;H462&amp;"_"&amp;I462&amp;"_"&amp;J462</f>
        <v>23N5_2_5</v>
      </c>
      <c r="F462" t="n" s="3">
        <v>23</v>
      </c>
      <c r="G462" t="str" s="3">
        <v>怪物</v>
      </c>
      <c r="H462" t="n" s="3">
        <v>5</v>
      </c>
      <c r="I462" t="n" s="3">
        <v>2</v>
      </c>
      <c r="J462" t="n" s="3">
        <v>5</v>
      </c>
      <c r="K462" s="3"/>
      <c r="L462" s="3"/>
      <c r="M462" s="3"/>
      <c r="N462" s="3"/>
      <c r="O462" s="3"/>
      <c r="P462" s="3"/>
      <c r="Q462" s="3"/>
      <c r="R462" s="3"/>
      <c r="S462" s="17"/>
      <c r="T462" s="18"/>
      <c r="U462"/>
      <c r="V462"/>
      <c r="W462"/>
      <c r="X462"/>
      <c r="Y462"/>
      <c r="Z462"/>
      <c r="AA462"/>
    </row>
    <row r="463" ht="15" spans="1:20">
      <c r="A463" s="35"/>
      <c r="B463" t="n" s="17">
        <f>70000000+F463*10000+H463*1000+I463*100+J463</f>
        <v>70235301</v>
      </c>
      <c r="C463" t="str" s="38">
        <v>铁色横侵-怪物10</v>
      </c>
      <c r="D463" s="3"/>
      <c r="E463" t="str" s="3">
        <f>F463&amp;(VLOOKUP(G463,编号表!$E$1:$G$8,2,0))&amp;H463&amp;"_"&amp;I463&amp;"_"&amp;J463</f>
        <v>23N5_3_1</v>
      </c>
      <c r="F463" t="n" s="3">
        <v>23</v>
      </c>
      <c r="G463" t="str" s="3">
        <v>怪物</v>
      </c>
      <c r="H463" t="n" s="3">
        <v>5</v>
      </c>
      <c r="I463" t="n" s="3">
        <v>3</v>
      </c>
      <c r="J463" t="n" s="3">
        <v>1</v>
      </c>
      <c r="K463" s="3"/>
      <c r="L463" s="3"/>
      <c r="M463" s="3"/>
      <c r="N463" s="3"/>
      <c r="O463" s="3"/>
      <c r="P463" s="3"/>
      <c r="Q463" s="3"/>
      <c r="R463" s="3"/>
      <c r="S463" s="17"/>
      <c r="T463" s="18"/>
      <c r="U463"/>
      <c r="V463"/>
      <c r="W463"/>
      <c r="X463"/>
      <c r="Y463"/>
      <c r="Z463"/>
      <c r="AA463"/>
    </row>
    <row r="464" ht="15" spans="1:20">
      <c r="A464" s="35"/>
      <c r="B464" t="n" s="17">
        <f>70000000+F464*10000+H464*1000+I464*100+J464</f>
        <v>70235302</v>
      </c>
      <c r="C464" t="str" s="38">
        <v>铁色横侵-怪物11</v>
      </c>
      <c r="D464" s="3"/>
      <c r="E464" t="str" s="3">
        <f>F464&amp;(VLOOKUP(G464,编号表!$E$1:$G$8,2,0))&amp;H464&amp;"_"&amp;I464&amp;"_"&amp;J464</f>
        <v>23N5_3_2</v>
      </c>
      <c r="F464" t="n" s="3">
        <v>23</v>
      </c>
      <c r="G464" t="str" s="3">
        <v>怪物</v>
      </c>
      <c r="H464" t="n" s="3">
        <v>5</v>
      </c>
      <c r="I464" t="n" s="3">
        <v>3</v>
      </c>
      <c r="J464" t="n" s="3">
        <v>2</v>
      </c>
      <c r="K464" s="3"/>
      <c r="L464" s="3"/>
      <c r="M464" s="3"/>
      <c r="N464" s="3"/>
      <c r="O464" s="3"/>
      <c r="P464" s="3"/>
      <c r="Q464" s="3"/>
      <c r="R464" s="3"/>
      <c r="S464" s="17"/>
      <c r="T464" s="18"/>
      <c r="U464"/>
      <c r="V464"/>
      <c r="W464"/>
      <c r="X464"/>
      <c r="Y464"/>
      <c r="Z464"/>
      <c r="AA464"/>
    </row>
    <row r="465" ht="15" spans="1:20">
      <c r="A465" s="35"/>
      <c r="B465" t="n" s="17">
        <f>70000000+F465*10000+H465*1000+I465*100+J465</f>
        <v>70235303</v>
      </c>
      <c r="C465" t="str" s="38">
        <v>铁色横侵-怪物12</v>
      </c>
      <c r="D465" s="3"/>
      <c r="E465" t="str" s="3">
        <f>F465&amp;(VLOOKUP(G465,编号表!$E$1:$G$8,2,0))&amp;H465&amp;"_"&amp;I465&amp;"_"&amp;J465</f>
        <v>23N5_3_3</v>
      </c>
      <c r="F465" t="n" s="3">
        <v>23</v>
      </c>
      <c r="G465" t="str" s="3">
        <v>怪物</v>
      </c>
      <c r="H465" t="n" s="3">
        <v>5</v>
      </c>
      <c r="I465" t="n" s="3">
        <v>3</v>
      </c>
      <c r="J465" t="n" s="3">
        <v>3</v>
      </c>
      <c r="K465" s="3"/>
      <c r="L465" s="3"/>
      <c r="M465" s="3"/>
      <c r="N465" s="3"/>
      <c r="O465" s="3"/>
      <c r="P465" s="3"/>
      <c r="Q465" s="3"/>
      <c r="R465" s="3"/>
      <c r="S465" s="17"/>
      <c r="T465" s="18"/>
      <c r="U465"/>
      <c r="V465"/>
      <c r="W465"/>
      <c r="X465"/>
      <c r="Y465"/>
      <c r="Z465"/>
      <c r="AA465"/>
    </row>
    <row r="466" ht="15" spans="1:20">
      <c r="A466" s="35"/>
      <c r="B466" t="n" s="17">
        <f>70000000+F466*10000+H466*1000+I466*100+J466</f>
        <v>70235401</v>
      </c>
      <c r="C466" t="str" s="38">
        <v>铁色横侵-怪物13</v>
      </c>
      <c r="D466" s="3"/>
      <c r="E466" t="str" s="3">
        <f>F466&amp;(VLOOKUP(G466,编号表!$E$1:$G$8,2,0))&amp;H466&amp;"_"&amp;I466&amp;"_"&amp;J466</f>
        <v>23N5_4_1</v>
      </c>
      <c r="F466" t="n" s="3">
        <v>23</v>
      </c>
      <c r="G466" t="str" s="3">
        <v>怪物</v>
      </c>
      <c r="H466" t="n" s="3">
        <v>5</v>
      </c>
      <c r="I466" t="n" s="3">
        <v>4</v>
      </c>
      <c r="J466" t="n" s="3">
        <v>1</v>
      </c>
      <c r="K466" s="3"/>
      <c r="L466" s="3"/>
      <c r="M466" s="3"/>
      <c r="N466" s="3"/>
      <c r="O466" s="3"/>
      <c r="P466" s="3"/>
      <c r="Q466" s="3"/>
      <c r="R466" s="3"/>
      <c r="S466" s="17"/>
      <c r="T466" s="18"/>
      <c r="U466"/>
      <c r="V466"/>
      <c r="W466"/>
      <c r="X466"/>
      <c r="Y466"/>
      <c r="Z466"/>
      <c r="AA466"/>
    </row>
    <row r="467" ht="15" spans="1:20">
      <c r="A467" s="35"/>
      <c r="B467" t="n" s="17">
        <f>70000000+F467*10000+H467*1000+I467*100+J467</f>
        <v>70235402</v>
      </c>
      <c r="C467" t="str" s="38">
        <v>铁色横侵-怪物14</v>
      </c>
      <c r="D467" s="3"/>
      <c r="E467" t="str" s="3">
        <f>F467&amp;(VLOOKUP(G467,编号表!$E$1:$G$8,2,0))&amp;H467&amp;"_"&amp;I467&amp;"_"&amp;J467</f>
        <v>23N5_4_2</v>
      </c>
      <c r="F467" t="n" s="3">
        <v>23</v>
      </c>
      <c r="G467" t="str" s="3">
        <v>怪物</v>
      </c>
      <c r="H467" t="n" s="3">
        <v>5</v>
      </c>
      <c r="I467" t="n" s="3">
        <v>4</v>
      </c>
      <c r="J467" t="n" s="3">
        <v>2</v>
      </c>
      <c r="K467" s="3"/>
      <c r="L467" s="3"/>
      <c r="M467" s="3"/>
      <c r="N467" s="3"/>
      <c r="O467" s="3"/>
      <c r="P467" s="3"/>
      <c r="Q467" s="3"/>
      <c r="R467" s="3"/>
      <c r="S467" s="17"/>
      <c r="T467" s="18"/>
      <c r="U467"/>
      <c r="V467"/>
      <c r="W467"/>
      <c r="X467"/>
      <c r="Y467"/>
      <c r="Z467"/>
      <c r="AA467"/>
    </row>
    <row r="468" ht="15" spans="1:20">
      <c r="A468" s="35"/>
      <c r="B468" t="n" s="17">
        <f>70000000+F468*10000+H468*1000+I468*100+J468</f>
        <v>70235403</v>
      </c>
      <c r="C468" t="str" s="38">
        <v>铁色横侵-怪物15</v>
      </c>
      <c r="D468" s="3"/>
      <c r="E468" t="str" s="3">
        <f>F468&amp;(VLOOKUP(G468,编号表!$E$1:$G$8,2,0))&amp;H468&amp;"_"&amp;I468&amp;"_"&amp;J468</f>
        <v>23N5_4_3</v>
      </c>
      <c r="F468" t="n" s="3">
        <v>23</v>
      </c>
      <c r="G468" t="str" s="3">
        <v>怪物</v>
      </c>
      <c r="H468" t="n" s="3">
        <v>5</v>
      </c>
      <c r="I468" t="n" s="3">
        <v>4</v>
      </c>
      <c r="J468" t="n" s="3">
        <v>3</v>
      </c>
      <c r="K468" s="3"/>
      <c r="L468" s="3"/>
      <c r="M468" s="3"/>
      <c r="N468" s="3"/>
      <c r="O468" s="3"/>
      <c r="P468" s="3"/>
      <c r="Q468" s="3"/>
      <c r="R468" s="3"/>
      <c r="S468" s="17"/>
      <c r="T468" s="18"/>
      <c r="U468"/>
      <c r="V468"/>
      <c r="W468"/>
      <c r="X468"/>
      <c r="Y468"/>
      <c r="Z468"/>
      <c r="AA468"/>
    </row>
    <row r="469" ht="15" spans="1:20">
      <c r="A469" s="35"/>
      <c r="B469" t="n" s="17">
        <f>70000000+F469*10000+H469*1000+I469*100+J469</f>
        <v>70235001</v>
      </c>
      <c r="C469" t="str" s="39">
        <v>铁色横侵-镜头</v>
      </c>
      <c r="D469" s="3"/>
      <c r="E469" t="str" s="3">
        <f>F469&amp;(VLOOKUP(G469,编号表!$E$1:$G$8,2,0))&amp;H469&amp;"_"&amp;I469&amp;"_"&amp;J469</f>
        <v>23J5_0_1</v>
      </c>
      <c r="F469" t="n" s="3">
        <v>23</v>
      </c>
      <c r="G469" t="str" s="3">
        <v>镜头</v>
      </c>
      <c r="H469" t="n" s="3">
        <v>5</v>
      </c>
      <c r="I469" t="n" s="3">
        <v>0</v>
      </c>
      <c r="J469" t="n" s="3">
        <v>1</v>
      </c>
      <c r="K469" t="n" s="3">
        <v>1</v>
      </c>
      <c r="L469" s="3"/>
      <c r="M469" s="3"/>
      <c r="N469" s="3"/>
      <c r="O469" s="3"/>
      <c r="P469" s="3"/>
      <c r="Q469" s="3"/>
      <c r="R469" s="3"/>
      <c r="S469" s="17"/>
      <c r="T469" s="18"/>
      <c r="U469"/>
      <c r="V469"/>
      <c r="W469"/>
      <c r="X469"/>
      <c r="Y469"/>
      <c r="Z469"/>
      <c r="AA469"/>
    </row>
    <row r="470" ht="15" spans="1:20">
      <c r="A470" s="35"/>
      <c r="B470" t="n" s="17">
        <f>70000000+F470*10000+H470*1000+I470*100+J470</f>
        <v>70231001</v>
      </c>
      <c r="C470" t="str" s="37">
        <v>铁色横侵-传送</v>
      </c>
      <c r="D470" s="3"/>
      <c r="E470" t="str" s="3">
        <f>F470&amp;(VLOOKUP(G470,编号表!$E$1:$G$8,2,0))&amp;H470&amp;"_"&amp;I470&amp;"_"&amp;J470</f>
        <v>23T1_0_1</v>
      </c>
      <c r="F470" t="n" s="3">
        <v>23</v>
      </c>
      <c r="G470" t="str" s="3">
        <v>传送</v>
      </c>
      <c r="H470" t="n" s="3">
        <v>1</v>
      </c>
      <c r="I470" t="n" s="3">
        <v>0</v>
      </c>
      <c r="J470" t="n" s="3">
        <v>1</v>
      </c>
      <c r="K470" s="3"/>
      <c r="L470" t="n" s="3">
        <v>1</v>
      </c>
      <c r="M470" s="3"/>
      <c r="N470" s="3"/>
      <c r="O470" s="3"/>
      <c r="P470" s="3"/>
      <c r="Q470" s="3"/>
      <c r="R470" t="n" s="3">
        <v>70221002</v>
      </c>
      <c r="S470" s="17"/>
      <c r="T470" s="18"/>
      <c r="U470"/>
      <c r="V470"/>
      <c r="W470"/>
      <c r="X470"/>
      <c r="Y470"/>
      <c r="Z470"/>
      <c r="AA470"/>
    </row>
    <row r="471" ht="15" spans="1:20">
      <c r="A471" s="35"/>
      <c r="B471" t="n" s="17">
        <f>70000000+F471*10000+H471*1000+I471*100+J471</f>
        <v>70231002</v>
      </c>
      <c r="C471" t="str" s="37">
        <v>铁色横侵-传送</v>
      </c>
      <c r="D471" s="3"/>
      <c r="E471" t="str" s="3">
        <f>F471&amp;(VLOOKUP(G471,编号表!$E$1:$G$8,2,0))&amp;H471&amp;"_"&amp;I471&amp;"_"&amp;J471</f>
        <v>23T1_0_2</v>
      </c>
      <c r="F471" t="n" s="3">
        <v>23</v>
      </c>
      <c r="G471" t="str" s="3">
        <v>传送</v>
      </c>
      <c r="H471" t="n" s="3">
        <v>1</v>
      </c>
      <c r="I471" t="n" s="3">
        <v>0</v>
      </c>
      <c r="J471" t="n" s="3">
        <v>2</v>
      </c>
      <c r="K471" s="3"/>
      <c r="L471" t="n" s="3">
        <v>1</v>
      </c>
      <c r="M471" s="3"/>
      <c r="N471" s="3"/>
      <c r="O471" s="3"/>
      <c r="P471" s="3"/>
      <c r="Q471" s="3"/>
      <c r="R471" t="n" s="3">
        <v>70241001</v>
      </c>
      <c r="S471" s="17"/>
      <c r="T471" s="18"/>
      <c r="U471"/>
      <c r="V471"/>
      <c r="W471"/>
      <c r="X471"/>
      <c r="Y471"/>
      <c r="Z471"/>
      <c r="AA471"/>
    </row>
    <row r="472" ht="15" spans="1:20">
      <c r="A472" s="35"/>
      <c r="B472" t="n" s="17">
        <f>70000000+F472*10000+H472*1000+I472*100+J472</f>
        <v>70232001</v>
      </c>
      <c r="C472" t="str" s="37">
        <v>铁色横侵-小地图</v>
      </c>
      <c r="D472" s="3"/>
      <c r="E472" t="str" s="3">
        <f>F472&amp;(VLOOKUP(G472,编号表!$E$1:$G$8,2,0))&amp;H472&amp;"_"&amp;I472&amp;"_"&amp;J472</f>
        <v>23D2_0_1</v>
      </c>
      <c r="F472" t="n" s="3">
        <v>23</v>
      </c>
      <c r="G472" t="str" s="3">
        <v>小地图</v>
      </c>
      <c r="H472" t="n" s="3">
        <v>2</v>
      </c>
      <c r="I472" t="n" s="3">
        <v>0</v>
      </c>
      <c r="J472" t="n" s="3">
        <v>1</v>
      </c>
      <c r="K472" s="3"/>
      <c r="L472" s="3"/>
      <c r="M472" t="n" s="3">
        <v>1</v>
      </c>
      <c r="N472" s="3"/>
      <c r="O472" s="3"/>
      <c r="P472" s="3"/>
      <c r="Q472" s="3"/>
      <c r="R472" s="3"/>
      <c r="S472" s="17"/>
      <c r="T472" s="18"/>
      <c r="U472"/>
      <c r="V472"/>
      <c r="W472"/>
      <c r="X472"/>
      <c r="Y472"/>
      <c r="Z472"/>
      <c r="AA472"/>
    </row>
    <row r="473" ht="15" spans="1:20">
      <c r="A473" s="35"/>
      <c r="B473" t="n" s="17">
        <f>70000000+F473*10000+H473*1000+I473*100+J473</f>
        <v>70245101</v>
      </c>
      <c r="C473" t="str" s="38">
        <v>伏沟鸣石-怪物1</v>
      </c>
      <c r="D473" s="3"/>
      <c r="E473" t="str" s="3">
        <f>F473&amp;(VLOOKUP(G473,编号表!$E$1:$G$8,2,0))&amp;H473&amp;"_"&amp;I473&amp;"_"&amp;J473</f>
        <v>24N5_1_1</v>
      </c>
      <c r="F473" t="n" s="3">
        <v>24</v>
      </c>
      <c r="G473" t="str" s="3">
        <v>怪物</v>
      </c>
      <c r="H473" t="n" s="3">
        <v>5</v>
      </c>
      <c r="I473" t="n" s="3">
        <v>1</v>
      </c>
      <c r="J473" t="n" s="3">
        <v>1</v>
      </c>
      <c r="K473" s="3"/>
      <c r="L473" s="3"/>
      <c r="M473" s="3"/>
      <c r="N473" s="3"/>
      <c r="O473" s="3"/>
      <c r="P473" s="3"/>
      <c r="Q473" s="3"/>
      <c r="R473" s="3"/>
      <c r="S473" t="str" s="17">
        <v>本轮完整刷新挂接；有效坐标注入后验证</v>
      </c>
      <c r="T473" t="n" s="18">
        <v>1021303</v>
      </c>
      <c r="U473"/>
      <c r="V473"/>
      <c r="W473"/>
      <c r="X473"/>
      <c r="Y473"/>
      <c r="Z473"/>
      <c r="AA473"/>
    </row>
    <row r="474" ht="15" spans="1:20">
      <c r="A474" s="35"/>
      <c r="B474" t="n" s="17">
        <f>70000000+F474*10000+H474*1000+I474*100+J474</f>
        <v>70245102</v>
      </c>
      <c r="C474" t="str" s="38">
        <v>伏沟鸣石-怪物2</v>
      </c>
      <c r="D474" s="3"/>
      <c r="E474" t="str" s="3">
        <f>F474&amp;(VLOOKUP(G474,编号表!$E$1:$G$8,2,0))&amp;H474&amp;"_"&amp;I474&amp;"_"&amp;J474</f>
        <v>24N5_1_2</v>
      </c>
      <c r="F474" t="n" s="3">
        <v>24</v>
      </c>
      <c r="G474" t="str" s="3">
        <v>怪物</v>
      </c>
      <c r="H474" t="n" s="3">
        <v>5</v>
      </c>
      <c r="I474" t="n" s="3">
        <v>1</v>
      </c>
      <c r="J474" t="n" s="3">
        <v>2</v>
      </c>
      <c r="K474" s="3"/>
      <c r="L474" s="3"/>
      <c r="M474" s="3"/>
      <c r="N474" s="3"/>
      <c r="O474" s="3"/>
      <c r="P474" s="3"/>
      <c r="Q474" s="3"/>
      <c r="R474" s="3"/>
      <c r="S474" t="str" s="17">
        <v>本轮完整刷新挂接；有效坐标注入后验证</v>
      </c>
      <c r="T474" t="n" s="18">
        <v>1021403</v>
      </c>
      <c r="U474"/>
      <c r="V474"/>
      <c r="W474"/>
      <c r="X474"/>
      <c r="Y474"/>
      <c r="Z474"/>
      <c r="AA474"/>
    </row>
    <row r="475" ht="15" spans="1:20">
      <c r="A475" s="35"/>
      <c r="B475" t="n" s="17">
        <f>70000000+F475*10000+H475*1000+I475*100+J475</f>
        <v>70245103</v>
      </c>
      <c r="C475" t="str" s="38">
        <v>伏沟鸣石-怪物3</v>
      </c>
      <c r="D475" s="3"/>
      <c r="E475" t="str" s="3">
        <f>F475&amp;(VLOOKUP(G475,编号表!$E$1:$G$8,2,0))&amp;H475&amp;"_"&amp;I475&amp;"_"&amp;J475</f>
        <v>24N5_1_3</v>
      </c>
      <c r="F475" t="n" s="3">
        <v>24</v>
      </c>
      <c r="G475" t="str" s="3">
        <v>怪物</v>
      </c>
      <c r="H475" t="n" s="3">
        <v>5</v>
      </c>
      <c r="I475" t="n" s="3">
        <v>1</v>
      </c>
      <c r="J475" t="n" s="3">
        <v>3</v>
      </c>
      <c r="K475" s="3"/>
      <c r="L475" s="3"/>
      <c r="M475" s="3"/>
      <c r="N475" s="3"/>
      <c r="O475" s="3"/>
      <c r="P475" s="3"/>
      <c r="Q475" s="3"/>
      <c r="R475" s="3"/>
      <c r="S475" t="str" s="17">
        <v>本轮完整刷新挂接；有效坐标注入后验证</v>
      </c>
      <c r="T475" t="n" s="18">
        <v>1021103</v>
      </c>
      <c r="U475"/>
      <c r="V475"/>
      <c r="W475"/>
      <c r="X475"/>
      <c r="Y475"/>
      <c r="Z475"/>
      <c r="AA475"/>
    </row>
    <row r="476" ht="15" spans="1:20">
      <c r="A476" s="35"/>
      <c r="B476" t="n" s="17">
        <f>70000000+F476*10000+H476*1000+I476*100+J476</f>
        <v>70245201</v>
      </c>
      <c r="C476" t="str" s="38">
        <v>伏沟鸣石-怪物4</v>
      </c>
      <c r="D476" s="3"/>
      <c r="E476" t="str" s="3">
        <f>F476&amp;(VLOOKUP(G476,编号表!$E$1:$G$8,2,0))&amp;H476&amp;"_"&amp;I476&amp;"_"&amp;J476</f>
        <v>24N5_2_1</v>
      </c>
      <c r="F476" t="n" s="3">
        <v>24</v>
      </c>
      <c r="G476" t="str" s="3">
        <v>怪物</v>
      </c>
      <c r="H476" t="n" s="3">
        <v>5</v>
      </c>
      <c r="I476" t="n" s="3">
        <v>2</v>
      </c>
      <c r="J476" t="n" s="3">
        <v>1</v>
      </c>
      <c r="K476" s="3"/>
      <c r="L476" s="3"/>
      <c r="M476" s="3"/>
      <c r="N476" s="3"/>
      <c r="O476" s="3"/>
      <c r="P476" s="3"/>
      <c r="Q476" s="3"/>
      <c r="R476" s="3"/>
      <c r="S476" t="str" s="17">
        <v>本轮完整刷新挂接；有效坐标注入后验证</v>
      </c>
      <c r="T476" t="n" s="18">
        <v>1021001</v>
      </c>
      <c r="U476"/>
      <c r="V476"/>
      <c r="W476"/>
      <c r="X476"/>
      <c r="Y476"/>
      <c r="Z476"/>
      <c r="AA476"/>
    </row>
    <row r="477" ht="15" spans="1:20">
      <c r="A477" s="35"/>
      <c r="B477" t="n" s="17">
        <f>70000000+F477*10000+H477*1000+I477*100+J477</f>
        <v>70245202</v>
      </c>
      <c r="C477" t="str" s="38">
        <v>伏沟鸣石-怪物5</v>
      </c>
      <c r="D477" s="3"/>
      <c r="E477" t="str" s="3">
        <f>F477&amp;(VLOOKUP(G477,编号表!$E$1:$G$8,2,0))&amp;H477&amp;"_"&amp;I477&amp;"_"&amp;J477</f>
        <v>24N5_2_2</v>
      </c>
      <c r="F477" t="n" s="3">
        <v>24</v>
      </c>
      <c r="G477" t="str" s="3">
        <v>怪物</v>
      </c>
      <c r="H477" t="n" s="3">
        <v>5</v>
      </c>
      <c r="I477" t="n" s="3">
        <v>2</v>
      </c>
      <c r="J477" t="n" s="3">
        <v>2</v>
      </c>
      <c r="K477" s="3"/>
      <c r="L477" s="3"/>
      <c r="M477" s="3"/>
      <c r="N477" s="3"/>
      <c r="O477" s="3"/>
      <c r="P477" s="3"/>
      <c r="Q477" s="3"/>
      <c r="R477" s="3"/>
      <c r="S477" s="17"/>
      <c r="T477" s="18"/>
      <c r="U477"/>
      <c r="V477"/>
      <c r="W477"/>
      <c r="X477"/>
      <c r="Y477"/>
      <c r="Z477"/>
      <c r="AA477"/>
    </row>
    <row r="478" ht="15" spans="1:20">
      <c r="A478" s="35"/>
      <c r="B478" t="n" s="17">
        <f>70000000+F478*10000+H478*1000+I478*100+J478</f>
        <v>70245203</v>
      </c>
      <c r="C478" t="str" s="38">
        <v>伏沟鸣石-怪物6</v>
      </c>
      <c r="D478" s="3"/>
      <c r="E478" t="str" s="3">
        <f>F478&amp;(VLOOKUP(G478,编号表!$E$1:$G$8,2,0))&amp;H478&amp;"_"&amp;I478&amp;"_"&amp;J478</f>
        <v>24N5_2_3</v>
      </c>
      <c r="F478" t="n" s="3">
        <v>24</v>
      </c>
      <c r="G478" t="str" s="3">
        <v>怪物</v>
      </c>
      <c r="H478" t="n" s="3">
        <v>5</v>
      </c>
      <c r="I478" t="n" s="3">
        <v>2</v>
      </c>
      <c r="J478" t="n" s="3">
        <v>3</v>
      </c>
      <c r="K478" s="3"/>
      <c r="L478" s="3"/>
      <c r="M478" s="3"/>
      <c r="N478" s="3"/>
      <c r="O478" s="3"/>
      <c r="P478" s="3"/>
      <c r="Q478" s="3"/>
      <c r="R478" s="3"/>
      <c r="S478" s="17"/>
      <c r="T478" s="18"/>
      <c r="U478"/>
      <c r="V478"/>
      <c r="W478"/>
      <c r="X478"/>
      <c r="Y478"/>
      <c r="Z478"/>
      <c r="AA478"/>
    </row>
    <row r="479" ht="15" spans="1:20">
      <c r="A479" s="35"/>
      <c r="B479" t="n" s="17">
        <f>70000000+F479*10000+H479*1000+I479*100+J479</f>
        <v>70245204</v>
      </c>
      <c r="C479" t="str" s="38">
        <v>伏沟鸣石-怪物7</v>
      </c>
      <c r="D479" s="3"/>
      <c r="E479" t="str" s="3">
        <f>F479&amp;(VLOOKUP(G479,编号表!$E$1:$G$8,2,0))&amp;H479&amp;"_"&amp;I479&amp;"_"&amp;J479</f>
        <v>24N5_2_4</v>
      </c>
      <c r="F479" t="n" s="3">
        <v>24</v>
      </c>
      <c r="G479" t="str" s="3">
        <v>怪物</v>
      </c>
      <c r="H479" t="n" s="3">
        <v>5</v>
      </c>
      <c r="I479" t="n" s="3">
        <v>2</v>
      </c>
      <c r="J479" t="n" s="3">
        <v>4</v>
      </c>
      <c r="K479" s="3"/>
      <c r="L479" s="3"/>
      <c r="M479" s="3"/>
      <c r="N479" s="3"/>
      <c r="O479" s="3"/>
      <c r="P479" s="3"/>
      <c r="Q479" s="3"/>
      <c r="R479" s="3"/>
      <c r="S479" s="17"/>
      <c r="T479" s="18"/>
      <c r="U479"/>
      <c r="V479"/>
      <c r="W479"/>
      <c r="X479"/>
      <c r="Y479"/>
      <c r="Z479"/>
      <c r="AA479"/>
    </row>
    <row r="480" ht="15" spans="1:20">
      <c r="A480" s="35"/>
      <c r="B480" t="n" s="17">
        <f>70000000+F480*10000+H480*1000+I480*100+J480</f>
        <v>70245301</v>
      </c>
      <c r="C480" t="str" s="38">
        <v>伏沟鸣石-怪物8</v>
      </c>
      <c r="D480" s="3"/>
      <c r="E480" t="str" s="3">
        <f>F480&amp;(VLOOKUP(G480,编号表!$E$1:$G$8,2,0))&amp;H480&amp;"_"&amp;I480&amp;"_"&amp;J480</f>
        <v>24N5_3_1</v>
      </c>
      <c r="F480" t="n" s="3">
        <v>24</v>
      </c>
      <c r="G480" t="str" s="3">
        <v>怪物</v>
      </c>
      <c r="H480" t="n" s="3">
        <v>5</v>
      </c>
      <c r="I480" t="n" s="3">
        <v>3</v>
      </c>
      <c r="J480" t="n" s="3">
        <v>1</v>
      </c>
      <c r="K480" s="3"/>
      <c r="L480" s="3"/>
      <c r="M480" s="3"/>
      <c r="N480" s="3"/>
      <c r="O480" s="3"/>
      <c r="P480" s="3"/>
      <c r="Q480" s="3"/>
      <c r="R480" s="3"/>
      <c r="S480" s="17"/>
      <c r="T480" s="18"/>
      <c r="U480"/>
      <c r="V480"/>
      <c r="W480"/>
      <c r="X480"/>
      <c r="Y480"/>
      <c r="Z480"/>
      <c r="AA480"/>
    </row>
    <row r="481" ht="15" spans="1:20">
      <c r="A481" s="35"/>
      <c r="B481" t="n" s="17">
        <f>70000000+F481*10000+H481*1000+I481*100+J481</f>
        <v>70245302</v>
      </c>
      <c r="C481" t="str" s="38">
        <v>伏沟鸣石-怪物9</v>
      </c>
      <c r="D481" s="3"/>
      <c r="E481" t="str" s="3">
        <f>F481&amp;(VLOOKUP(G481,编号表!$E$1:$G$8,2,0))&amp;H481&amp;"_"&amp;I481&amp;"_"&amp;J481</f>
        <v>24N5_3_2</v>
      </c>
      <c r="F481" t="n" s="3">
        <v>24</v>
      </c>
      <c r="G481" t="str" s="3">
        <v>怪物</v>
      </c>
      <c r="H481" t="n" s="3">
        <v>5</v>
      </c>
      <c r="I481" t="n" s="3">
        <v>3</v>
      </c>
      <c r="J481" t="n" s="3">
        <v>2</v>
      </c>
      <c r="K481" s="3"/>
      <c r="L481" s="3"/>
      <c r="M481" s="3"/>
      <c r="N481" s="3"/>
      <c r="O481" s="3"/>
      <c r="P481" s="3"/>
      <c r="Q481" s="3"/>
      <c r="R481" s="3"/>
      <c r="S481" s="17"/>
      <c r="T481" s="18"/>
      <c r="U481"/>
      <c r="V481"/>
      <c r="W481"/>
      <c r="X481"/>
      <c r="Y481"/>
      <c r="Z481"/>
      <c r="AA481"/>
    </row>
    <row r="482" ht="15" spans="1:20">
      <c r="A482" s="35"/>
      <c r="B482" t="n" s="17">
        <f>70000000+F482*10000+H482*1000+I482*100+J482</f>
        <v>70245401</v>
      </c>
      <c r="C482" t="str" s="38">
        <v>伏沟鸣石-怪物10</v>
      </c>
      <c r="D482" s="3"/>
      <c r="E482" t="str" s="3">
        <f>F482&amp;(VLOOKUP(G482,编号表!$E$1:$G$8,2,0))&amp;H482&amp;"_"&amp;I482&amp;"_"&amp;J482</f>
        <v>24N5_4_1</v>
      </c>
      <c r="F482" t="n" s="3">
        <v>24</v>
      </c>
      <c r="G482" t="str" s="3">
        <v>怪物</v>
      </c>
      <c r="H482" t="n" s="3">
        <v>5</v>
      </c>
      <c r="I482" t="n" s="3">
        <v>4</v>
      </c>
      <c r="J482" t="n" s="3">
        <v>1</v>
      </c>
      <c r="K482" s="3"/>
      <c r="L482" s="3"/>
      <c r="M482" s="3"/>
      <c r="N482" s="3"/>
      <c r="O482" s="3"/>
      <c r="P482" s="3"/>
      <c r="Q482" s="3"/>
      <c r="R482" s="3"/>
      <c r="S482" s="17"/>
      <c r="T482" s="18"/>
      <c r="U482"/>
      <c r="V482"/>
      <c r="W482"/>
      <c r="X482"/>
      <c r="Y482"/>
      <c r="Z482"/>
      <c r="AA482"/>
    </row>
    <row r="483" ht="15" spans="1:20">
      <c r="A483" s="35"/>
      <c r="B483" t="n" s="17">
        <f>70000000+F483*10000+H483*1000+I483*100+J483</f>
        <v>70245402</v>
      </c>
      <c r="C483" t="str" s="38">
        <v>伏沟鸣石-怪物11</v>
      </c>
      <c r="D483" s="3"/>
      <c r="E483" t="str" s="3">
        <f>F483&amp;(VLOOKUP(G483,编号表!$E$1:$G$8,2,0))&amp;H483&amp;"_"&amp;I483&amp;"_"&amp;J483</f>
        <v>24N5_4_2</v>
      </c>
      <c r="F483" t="n" s="3">
        <v>24</v>
      </c>
      <c r="G483" t="str" s="3">
        <v>怪物</v>
      </c>
      <c r="H483" t="n" s="3">
        <v>5</v>
      </c>
      <c r="I483" t="n" s="3">
        <v>4</v>
      </c>
      <c r="J483" t="n" s="3">
        <v>2</v>
      </c>
      <c r="K483" s="3"/>
      <c r="L483" s="3"/>
      <c r="M483" s="3"/>
      <c r="N483" s="3"/>
      <c r="O483" s="3"/>
      <c r="P483" s="3"/>
      <c r="Q483" s="3"/>
      <c r="R483" s="3"/>
      <c r="S483" s="17"/>
      <c r="T483" s="18"/>
      <c r="U483"/>
      <c r="V483"/>
      <c r="W483"/>
      <c r="X483"/>
      <c r="Y483"/>
      <c r="Z483"/>
      <c r="AA483"/>
    </row>
    <row r="484" ht="15" spans="1:20">
      <c r="A484" s="35"/>
      <c r="B484" t="n" s="17">
        <f>70000000+F484*10000+H484*1000+I484*100+J484</f>
        <v>70245403</v>
      </c>
      <c r="C484" t="str" s="38">
        <v>伏沟鸣石-怪物12</v>
      </c>
      <c r="D484" s="3"/>
      <c r="E484" t="str" s="3">
        <f>F484&amp;(VLOOKUP(G484,编号表!$E$1:$G$8,2,0))&amp;H484&amp;"_"&amp;I484&amp;"_"&amp;J484</f>
        <v>24N5_4_3</v>
      </c>
      <c r="F484" t="n" s="3">
        <v>24</v>
      </c>
      <c r="G484" t="str" s="3">
        <v>怪物</v>
      </c>
      <c r="H484" t="n" s="3">
        <v>5</v>
      </c>
      <c r="I484" t="n" s="3">
        <v>4</v>
      </c>
      <c r="J484" t="n" s="3">
        <v>3</v>
      </c>
      <c r="K484" s="3"/>
      <c r="L484" s="3"/>
      <c r="M484" s="3"/>
      <c r="N484" s="3"/>
      <c r="O484" s="3"/>
      <c r="P484" s="3"/>
      <c r="Q484" s="3"/>
      <c r="R484" s="3"/>
      <c r="S484" s="17"/>
      <c r="T484" s="18"/>
      <c r="U484"/>
      <c r="V484"/>
      <c r="W484"/>
      <c r="X484"/>
      <c r="Y484"/>
      <c r="Z484"/>
      <c r="AA484"/>
    </row>
    <row r="485" ht="15" spans="1:20">
      <c r="A485" s="35"/>
      <c r="B485" t="n" s="17">
        <f>70000000+F485*10000+H485*1000+I485*100+J485</f>
        <v>70245001</v>
      </c>
      <c r="C485" t="str" s="39">
        <v>伏沟鸣石-镜头</v>
      </c>
      <c r="D485" s="3"/>
      <c r="E485" t="str" s="3">
        <f>F485&amp;(VLOOKUP(G485,编号表!$E$1:$G$8,2,0))&amp;H485&amp;"_"&amp;I485&amp;"_"&amp;J485</f>
        <v>24J5_0_1</v>
      </c>
      <c r="F485" t="n" s="3">
        <v>24</v>
      </c>
      <c r="G485" t="str" s="3">
        <v>镜头</v>
      </c>
      <c r="H485" t="n" s="3">
        <v>5</v>
      </c>
      <c r="I485" t="n" s="3">
        <v>0</v>
      </c>
      <c r="J485" t="n" s="3">
        <v>1</v>
      </c>
      <c r="K485" t="n" s="3">
        <v>1</v>
      </c>
      <c r="L485" s="3"/>
      <c r="M485" s="3"/>
      <c r="N485" s="3"/>
      <c r="O485" s="3"/>
      <c r="P485" s="3"/>
      <c r="Q485" s="3"/>
      <c r="R485" s="3"/>
      <c r="S485" s="17"/>
      <c r="T485" s="18"/>
      <c r="U485"/>
      <c r="V485"/>
      <c r="W485"/>
      <c r="X485"/>
      <c r="Y485"/>
      <c r="Z485"/>
      <c r="AA485"/>
    </row>
    <row r="486" ht="15" spans="1:20">
      <c r="A486" s="35"/>
      <c r="B486" t="n" s="17">
        <f>70000000+F486*10000+H486*1000+I486*100+J486</f>
        <v>70241001</v>
      </c>
      <c r="C486" t="str" s="37">
        <v>伏沟鸣石-传送</v>
      </c>
      <c r="D486" s="3"/>
      <c r="E486" t="str" s="3">
        <f>F486&amp;(VLOOKUP(G486,编号表!$E$1:$G$8,2,0))&amp;H486&amp;"_"&amp;I486&amp;"_"&amp;J486</f>
        <v>24T1_0_1</v>
      </c>
      <c r="F486" t="n" s="3">
        <v>24</v>
      </c>
      <c r="G486" t="str" s="3">
        <v>传送</v>
      </c>
      <c r="H486" t="n" s="3">
        <v>1</v>
      </c>
      <c r="I486" t="n" s="3">
        <v>0</v>
      </c>
      <c r="J486" t="n" s="3">
        <v>1</v>
      </c>
      <c r="K486" s="3"/>
      <c r="L486" t="n" s="3">
        <v>1</v>
      </c>
      <c r="M486" s="3"/>
      <c r="N486" s="3"/>
      <c r="O486" s="3"/>
      <c r="P486" s="3"/>
      <c r="Q486" s="3"/>
      <c r="R486" t="n" s="3">
        <v>70231002</v>
      </c>
      <c r="S486" s="17"/>
      <c r="T486" s="18"/>
      <c r="U486"/>
      <c r="V486"/>
      <c r="W486"/>
      <c r="X486"/>
      <c r="Y486"/>
      <c r="Z486"/>
      <c r="AA486"/>
    </row>
    <row r="487" ht="15" spans="1:20">
      <c r="A487" s="35"/>
      <c r="B487" t="n" s="17">
        <f>70000000+F487*10000+H487*1000+I487*100+J487</f>
        <v>70241002</v>
      </c>
      <c r="C487" t="str" s="37">
        <v>伏沟鸣石-传送</v>
      </c>
      <c r="D487" s="3"/>
      <c r="E487" t="str" s="3">
        <f>F487&amp;(VLOOKUP(G487,编号表!$E$1:$G$8,2,0))&amp;H487&amp;"_"&amp;I487&amp;"_"&amp;J487</f>
        <v>24T1_0_2</v>
      </c>
      <c r="F487" t="n" s="3">
        <v>24</v>
      </c>
      <c r="G487" t="str" s="3">
        <v>传送</v>
      </c>
      <c r="H487" t="n" s="3">
        <v>1</v>
      </c>
      <c r="I487" t="n" s="3">
        <v>0</v>
      </c>
      <c r="J487" t="n" s="3">
        <v>2</v>
      </c>
      <c r="K487" s="3"/>
      <c r="L487" t="n" s="3">
        <v>1</v>
      </c>
      <c r="M487" s="3"/>
      <c r="N487" s="3"/>
      <c r="O487" s="3"/>
      <c r="P487" s="3"/>
      <c r="Q487" s="3"/>
      <c r="R487" t="n" s="3">
        <v>70251001</v>
      </c>
      <c r="S487" s="17"/>
      <c r="T487" s="18"/>
      <c r="U487"/>
      <c r="V487"/>
      <c r="W487"/>
      <c r="X487"/>
      <c r="Y487"/>
      <c r="Z487"/>
      <c r="AA487"/>
    </row>
    <row r="488" ht="15" spans="1:20">
      <c r="A488" s="35"/>
      <c r="B488" t="n" s="17">
        <f>70000000+F488*10000+H488*1000+I488*100+J488</f>
        <v>70242001</v>
      </c>
      <c r="C488" t="str" s="37">
        <v>伏沟鸣石-小地图</v>
      </c>
      <c r="D488" s="3"/>
      <c r="E488" t="str" s="3">
        <f>F488&amp;(VLOOKUP(G488,编号表!$E$1:$G$8,2,0))&amp;H488&amp;"_"&amp;I488&amp;"_"&amp;J488</f>
        <v>24D2_0_1</v>
      </c>
      <c r="F488" t="n" s="3">
        <v>24</v>
      </c>
      <c r="G488" t="str" s="3">
        <v>小地图</v>
      </c>
      <c r="H488" t="n" s="3">
        <v>2</v>
      </c>
      <c r="I488" t="n" s="3">
        <v>0</v>
      </c>
      <c r="J488" t="n" s="3">
        <v>1</v>
      </c>
      <c r="K488" s="3"/>
      <c r="L488" s="3"/>
      <c r="M488" t="n" s="3">
        <v>1</v>
      </c>
      <c r="N488" s="3"/>
      <c r="O488" s="3"/>
      <c r="P488" s="3"/>
      <c r="Q488" s="3"/>
      <c r="R488" s="3"/>
      <c r="S488" s="17"/>
      <c r="T488" s="18"/>
      <c r="U488"/>
      <c r="V488"/>
      <c r="W488"/>
      <c r="X488"/>
      <c r="Y488"/>
      <c r="Z488"/>
      <c r="AA488"/>
    </row>
    <row r="489" ht="15" spans="1:20">
      <c r="A489" s="35"/>
      <c r="B489" t="n" s="17">
        <f>70000000+F489*10000+H489*1000+I489*100+J489</f>
        <v>70255101</v>
      </c>
      <c r="C489" t="str" s="38">
        <v>褐苔含润-采集物1</v>
      </c>
      <c r="D489" s="3"/>
      <c r="E489" t="str" s="3">
        <f>F489&amp;(VLOOKUP(G489,编号表!$E$1:$G$8,2,0))&amp;H489&amp;"_"&amp;I489&amp;"_"&amp;J489</f>
        <v>25C5_1_1</v>
      </c>
      <c r="F489" t="n" s="3">
        <v>25</v>
      </c>
      <c r="G489" t="str" s="3">
        <v>采集物</v>
      </c>
      <c r="H489" t="n" s="3">
        <v>5</v>
      </c>
      <c r="I489" t="n" s="3">
        <v>1</v>
      </c>
      <c r="J489" t="n" s="3">
        <v>1</v>
      </c>
      <c r="K489" s="3"/>
      <c r="L489" s="3"/>
      <c r="M489" s="3"/>
      <c r="N489" s="3"/>
      <c r="O489" s="3"/>
      <c r="P489" s="3"/>
      <c r="Q489" s="3"/>
      <c r="R489" s="3"/>
      <c r="S489" s="17"/>
      <c r="T489" s="18"/>
      <c r="U489"/>
      <c r="V489"/>
      <c r="W489"/>
      <c r="X489"/>
      <c r="Y489"/>
      <c r="Z489"/>
      <c r="AA489"/>
    </row>
    <row r="490" ht="15" spans="1:20">
      <c r="A490" s="35"/>
      <c r="B490" t="n" s="17">
        <f>70000000+F490*10000+H490*1000+I490*100+J490</f>
        <v>70255102</v>
      </c>
      <c r="C490" t="str" s="38">
        <v>褐苔含润-采集物2</v>
      </c>
      <c r="D490" s="3"/>
      <c r="E490" t="str" s="3">
        <f>F490&amp;(VLOOKUP(G490,编号表!$E$1:$G$8,2,0))&amp;H490&amp;"_"&amp;I490&amp;"_"&amp;J490</f>
        <v>25C5_1_2</v>
      </c>
      <c r="F490" t="n" s="3">
        <v>25</v>
      </c>
      <c r="G490" t="str" s="3">
        <v>采集物</v>
      </c>
      <c r="H490" t="n" s="3">
        <v>5</v>
      </c>
      <c r="I490" t="n" s="3">
        <v>1</v>
      </c>
      <c r="J490" t="n" s="3">
        <v>2</v>
      </c>
      <c r="K490" s="3"/>
      <c r="L490" s="3"/>
      <c r="M490" s="3"/>
      <c r="N490" s="3"/>
      <c r="O490" s="3"/>
      <c r="P490" s="3"/>
      <c r="Q490" s="3"/>
      <c r="R490" s="3"/>
      <c r="S490" s="17"/>
      <c r="T490" s="18"/>
      <c r="U490"/>
      <c r="V490"/>
      <c r="W490"/>
      <c r="X490"/>
      <c r="Y490"/>
      <c r="Z490"/>
      <c r="AA490"/>
    </row>
    <row r="491" ht="15" spans="1:20">
      <c r="A491" s="35"/>
      <c r="B491" t="n" s="17">
        <f>70000000+F491*10000+H491*1000+I491*100+J491</f>
        <v>70255103</v>
      </c>
      <c r="C491" t="str" s="38">
        <v>褐苔含润-采集物3</v>
      </c>
      <c r="D491" s="3"/>
      <c r="E491" t="str" s="3">
        <f>F491&amp;(VLOOKUP(G491,编号表!$E$1:$G$8,2,0))&amp;H491&amp;"_"&amp;I491&amp;"_"&amp;J491</f>
        <v>25C5_1_3</v>
      </c>
      <c r="F491" t="n" s="3">
        <v>25</v>
      </c>
      <c r="G491" t="str" s="3">
        <v>采集物</v>
      </c>
      <c r="H491" t="n" s="3">
        <v>5</v>
      </c>
      <c r="I491" t="n" s="3">
        <v>1</v>
      </c>
      <c r="J491" t="n" s="3">
        <v>3</v>
      </c>
      <c r="K491" s="3"/>
      <c r="L491" s="3"/>
      <c r="M491" s="3"/>
      <c r="N491" s="3"/>
      <c r="O491" s="3"/>
      <c r="P491" s="3"/>
      <c r="Q491" s="3"/>
      <c r="R491" s="3"/>
      <c r="S491" s="17"/>
      <c r="T491" s="18"/>
      <c r="U491"/>
      <c r="V491"/>
      <c r="W491"/>
      <c r="X491"/>
      <c r="Y491"/>
      <c r="Z491"/>
      <c r="AA491"/>
    </row>
    <row r="492" ht="15" spans="1:20">
      <c r="A492" s="35"/>
      <c r="B492" t="n" s="17">
        <f>70000000+F492*10000+H492*1000+I492*100+J492</f>
        <v>70255201</v>
      </c>
      <c r="C492" t="str" s="38">
        <v>褐苔含润-采集物4</v>
      </c>
      <c r="D492" s="3"/>
      <c r="E492" t="str" s="3">
        <f>F492&amp;(VLOOKUP(G492,编号表!$E$1:$G$8,2,0))&amp;H492&amp;"_"&amp;I492&amp;"_"&amp;J492</f>
        <v>25C5_2_1</v>
      </c>
      <c r="F492" t="n" s="3">
        <v>25</v>
      </c>
      <c r="G492" t="str" s="3">
        <v>采集物</v>
      </c>
      <c r="H492" t="n" s="3">
        <v>5</v>
      </c>
      <c r="I492" t="n" s="3">
        <v>2</v>
      </c>
      <c r="J492" t="n" s="3">
        <v>1</v>
      </c>
      <c r="K492" s="3"/>
      <c r="L492" s="3"/>
      <c r="M492" s="3"/>
      <c r="N492" s="3"/>
      <c r="O492" s="3"/>
      <c r="P492" s="3"/>
      <c r="Q492" s="3"/>
      <c r="R492" s="3"/>
      <c r="S492" s="17"/>
      <c r="T492" s="18"/>
      <c r="U492"/>
      <c r="V492"/>
      <c r="W492"/>
      <c r="X492"/>
      <c r="Y492"/>
      <c r="Z492"/>
      <c r="AA492"/>
    </row>
    <row r="493" ht="15" spans="1:20">
      <c r="A493" s="35"/>
      <c r="B493" t="n" s="17">
        <f>70000000+F493*10000+H493*1000+I493*100+J493</f>
        <v>70255202</v>
      </c>
      <c r="C493" t="str" s="38">
        <v>褐苔含润-采集物5</v>
      </c>
      <c r="D493" s="3"/>
      <c r="E493" t="str" s="3">
        <f>F493&amp;(VLOOKUP(G493,编号表!$E$1:$G$8,2,0))&amp;H493&amp;"_"&amp;I493&amp;"_"&amp;J493</f>
        <v>25C5_2_2</v>
      </c>
      <c r="F493" t="n" s="3">
        <v>25</v>
      </c>
      <c r="G493" t="str" s="3">
        <v>采集物</v>
      </c>
      <c r="H493" t="n" s="3">
        <v>5</v>
      </c>
      <c r="I493" t="n" s="3">
        <v>2</v>
      </c>
      <c r="J493" t="n" s="3">
        <v>2</v>
      </c>
      <c r="K493" s="3"/>
      <c r="L493" s="3"/>
      <c r="M493" s="3"/>
      <c r="N493" s="3"/>
      <c r="O493" s="3"/>
      <c r="P493" s="3"/>
      <c r="Q493" s="3"/>
      <c r="R493" s="3"/>
      <c r="S493" s="17"/>
      <c r="T493" s="18"/>
      <c r="U493"/>
      <c r="V493"/>
      <c r="W493"/>
      <c r="X493"/>
      <c r="Y493"/>
      <c r="Z493"/>
      <c r="AA493"/>
    </row>
    <row r="494" ht="15" spans="1:20">
      <c r="A494" s="35"/>
      <c r="B494" t="n" s="17">
        <f>70000000+F494*10000+H494*1000+I494*100+J494</f>
        <v>70255203</v>
      </c>
      <c r="C494" t="str" s="38">
        <v>褐苔含润-采集物6</v>
      </c>
      <c r="D494" s="3"/>
      <c r="E494" t="str" s="3">
        <f>F494&amp;(VLOOKUP(G494,编号表!$E$1:$G$8,2,0))&amp;H494&amp;"_"&amp;I494&amp;"_"&amp;J494</f>
        <v>25C5_2_3</v>
      </c>
      <c r="F494" t="n" s="3">
        <v>25</v>
      </c>
      <c r="G494" t="str" s="3">
        <v>采集物</v>
      </c>
      <c r="H494" t="n" s="3">
        <v>5</v>
      </c>
      <c r="I494" t="n" s="3">
        <v>2</v>
      </c>
      <c r="J494" t="n" s="3">
        <v>3</v>
      </c>
      <c r="K494" s="3"/>
      <c r="L494" s="3"/>
      <c r="M494" s="3"/>
      <c r="N494" s="3"/>
      <c r="O494" s="3"/>
      <c r="P494" s="3"/>
      <c r="Q494" s="3"/>
      <c r="R494" s="3"/>
      <c r="S494" s="17"/>
      <c r="T494" s="18"/>
      <c r="U494"/>
      <c r="V494"/>
      <c r="W494"/>
      <c r="X494"/>
      <c r="Y494"/>
      <c r="Z494"/>
      <c r="AA494"/>
    </row>
    <row r="495" ht="15" spans="1:20">
      <c r="A495" s="35"/>
      <c r="B495" t="n" s="17">
        <f>70000000+F495*10000+H495*1000+I495*100+J495</f>
        <v>70255204</v>
      </c>
      <c r="C495" t="str" s="38">
        <v>褐苔含润-采集物7</v>
      </c>
      <c r="D495" s="3"/>
      <c r="E495" t="str" s="3">
        <f>F495&amp;(VLOOKUP(G495,编号表!$E$1:$G$8,2,0))&amp;H495&amp;"_"&amp;I495&amp;"_"&amp;J495</f>
        <v>25C5_2_4</v>
      </c>
      <c r="F495" t="n" s="3">
        <v>25</v>
      </c>
      <c r="G495" t="str" s="3">
        <v>采集物</v>
      </c>
      <c r="H495" t="n" s="3">
        <v>5</v>
      </c>
      <c r="I495" t="n" s="3">
        <v>2</v>
      </c>
      <c r="J495" t="n" s="3">
        <v>4</v>
      </c>
      <c r="K495" s="3"/>
      <c r="L495" s="3"/>
      <c r="M495" s="3"/>
      <c r="N495" s="3"/>
      <c r="O495" s="3"/>
      <c r="P495" s="3"/>
      <c r="Q495" s="3"/>
      <c r="R495" s="3"/>
      <c r="S495" s="17"/>
      <c r="T495" s="18"/>
      <c r="U495"/>
      <c r="V495"/>
      <c r="W495"/>
      <c r="X495"/>
      <c r="Y495"/>
      <c r="Z495"/>
      <c r="AA495"/>
    </row>
    <row r="496" ht="15" spans="1:20">
      <c r="A496" s="35"/>
      <c r="B496" t="n" s="17">
        <f>70000000+F496*10000+H496*1000+I496*100+J496</f>
        <v>70255001</v>
      </c>
      <c r="C496" t="str" s="39">
        <v>褐苔含润-镜头</v>
      </c>
      <c r="D496" s="3"/>
      <c r="E496" t="str" s="3">
        <f>F496&amp;(VLOOKUP(G496,编号表!$E$1:$G$8,2,0))&amp;H496&amp;"_"&amp;I496&amp;"_"&amp;J496</f>
        <v>25J5_0_1</v>
      </c>
      <c r="F496" t="n" s="3">
        <v>25</v>
      </c>
      <c r="G496" t="str" s="3">
        <v>镜头</v>
      </c>
      <c r="H496" t="n" s="3">
        <v>5</v>
      </c>
      <c r="I496" t="n" s="3">
        <v>0</v>
      </c>
      <c r="J496" t="n" s="3">
        <v>1</v>
      </c>
      <c r="K496" t="n" s="3">
        <v>1</v>
      </c>
      <c r="L496" s="3"/>
      <c r="M496" s="3"/>
      <c r="N496" s="3"/>
      <c r="O496" s="3"/>
      <c r="P496" s="3"/>
      <c r="Q496" s="3"/>
      <c r="R496" s="3"/>
      <c r="S496" s="17"/>
      <c r="T496" s="18"/>
      <c r="U496"/>
      <c r="V496"/>
      <c r="W496"/>
      <c r="X496"/>
      <c r="Y496"/>
      <c r="Z496"/>
      <c r="AA496"/>
    </row>
    <row r="497" ht="15" spans="1:20">
      <c r="A497" s="35"/>
      <c r="B497" t="n" s="17">
        <f>70000000+F497*10000+H497*1000+I497*100+J497</f>
        <v>70251001</v>
      </c>
      <c r="C497" t="str" s="37">
        <v>褐苔含润-传送</v>
      </c>
      <c r="D497" s="3"/>
      <c r="E497" t="str" s="3">
        <f>F497&amp;(VLOOKUP(G497,编号表!$E$1:$G$8,2,0))&amp;H497&amp;"_"&amp;I497&amp;"_"&amp;J497</f>
        <v>25T1_0_1</v>
      </c>
      <c r="F497" t="n" s="3">
        <v>25</v>
      </c>
      <c r="G497" t="str" s="3">
        <v>传送</v>
      </c>
      <c r="H497" t="n" s="3">
        <v>1</v>
      </c>
      <c r="I497" t="n" s="3">
        <v>0</v>
      </c>
      <c r="J497" t="n" s="3">
        <v>1</v>
      </c>
      <c r="K497" s="3"/>
      <c r="L497" t="n" s="3">
        <v>1</v>
      </c>
      <c r="M497" s="3"/>
      <c r="N497" s="3"/>
      <c r="O497" s="3"/>
      <c r="P497" s="3"/>
      <c r="Q497" s="3"/>
      <c r="R497" t="n" s="3">
        <v>70241002</v>
      </c>
      <c r="S497" s="17"/>
      <c r="T497" s="18"/>
      <c r="U497"/>
      <c r="V497"/>
      <c r="W497"/>
      <c r="X497"/>
      <c r="Y497"/>
      <c r="Z497"/>
      <c r="AA497"/>
    </row>
    <row r="498" ht="15" spans="1:20">
      <c r="A498" s="35"/>
      <c r="B498" t="n" s="17">
        <f>70000000+F498*10000+H498*1000+I498*100+J498</f>
        <v>70251002</v>
      </c>
      <c r="C498" t="str" s="37">
        <v>褐苔含润-传送</v>
      </c>
      <c r="D498" s="3"/>
      <c r="E498" t="str" s="3">
        <f>F498&amp;(VLOOKUP(G498,编号表!$E$1:$G$8,2,0))&amp;H498&amp;"_"&amp;I498&amp;"_"&amp;J498</f>
        <v>25T1_0_2</v>
      </c>
      <c r="F498" t="n" s="3">
        <v>25</v>
      </c>
      <c r="G498" t="str" s="3">
        <v>传送</v>
      </c>
      <c r="H498" t="n" s="3">
        <v>1</v>
      </c>
      <c r="I498" t="n" s="3">
        <v>0</v>
      </c>
      <c r="J498" t="n" s="3">
        <v>2</v>
      </c>
      <c r="K498" s="3"/>
      <c r="L498" t="n" s="3">
        <v>1</v>
      </c>
      <c r="M498" s="3"/>
      <c r="N498" s="3"/>
      <c r="O498" s="3"/>
      <c r="P498" s="3"/>
      <c r="Q498" s="3"/>
      <c r="R498" t="n" s="3">
        <v>70261001</v>
      </c>
      <c r="S498" s="17"/>
      <c r="T498" s="18"/>
      <c r="U498"/>
      <c r="V498"/>
      <c r="W498"/>
      <c r="X498"/>
      <c r="Y498"/>
      <c r="Z498"/>
      <c r="AA498"/>
    </row>
    <row r="499" ht="15" spans="1:20">
      <c r="A499" s="35"/>
      <c r="B499" t="n" s="17">
        <f>70000000+F499*10000+H499*1000+I499*100+J499</f>
        <v>70252001</v>
      </c>
      <c r="C499" t="str" s="37">
        <v>褐苔含润-小地图</v>
      </c>
      <c r="D499" s="3"/>
      <c r="E499" t="str" s="3">
        <f>F499&amp;(VLOOKUP(G499,编号表!$E$1:$G$8,2,0))&amp;H499&amp;"_"&amp;I499&amp;"_"&amp;J499</f>
        <v>25D2_0_1</v>
      </c>
      <c r="F499" t="n" s="3">
        <v>25</v>
      </c>
      <c r="G499" t="str" s="3">
        <v>小地图</v>
      </c>
      <c r="H499" t="n" s="3">
        <v>2</v>
      </c>
      <c r="I499" t="n" s="3">
        <v>0</v>
      </c>
      <c r="J499" t="n" s="3">
        <v>1</v>
      </c>
      <c r="K499" s="3"/>
      <c r="L499" s="3"/>
      <c r="M499" t="n" s="3">
        <v>1</v>
      </c>
      <c r="N499" s="3"/>
      <c r="O499" s="3"/>
      <c r="P499" s="3"/>
      <c r="Q499" s="3"/>
      <c r="R499" s="3"/>
      <c r="S499" s="17"/>
      <c r="T499" s="18"/>
      <c r="U499"/>
      <c r="V499"/>
      <c r="W499"/>
      <c r="X499"/>
      <c r="Y499"/>
      <c r="Z499"/>
      <c r="AA499"/>
    </row>
    <row r="500" ht="15" spans="1:20">
      <c r="A500" s="35"/>
      <c r="B500" t="n" s="17">
        <f>70000000+F500*10000+H500*1000+I500*100+J500</f>
        <v>70265101</v>
      </c>
      <c r="C500" t="str" s="38">
        <v>肩生瘠芽-采集物1</v>
      </c>
      <c r="D500" s="3"/>
      <c r="E500" t="str" s="3">
        <f>F500&amp;(VLOOKUP(G500,编号表!$E$1:$G$8,2,0))&amp;H500&amp;"_"&amp;I500&amp;"_"&amp;J500</f>
        <v>26C5_1_1</v>
      </c>
      <c r="F500" t="n" s="3">
        <v>26</v>
      </c>
      <c r="G500" t="str" s="3">
        <v>采集物</v>
      </c>
      <c r="H500" t="n" s="3">
        <v>5</v>
      </c>
      <c r="I500" t="n" s="3">
        <v>1</v>
      </c>
      <c r="J500" t="n" s="3">
        <v>1</v>
      </c>
      <c r="K500" s="3"/>
      <c r="L500" s="3"/>
      <c r="M500" s="3"/>
      <c r="N500" s="3"/>
      <c r="O500" s="3"/>
      <c r="P500" s="3"/>
      <c r="Q500" s="3"/>
      <c r="R500" s="3"/>
      <c r="S500" s="17"/>
      <c r="T500" s="18"/>
      <c r="U500"/>
      <c r="V500"/>
      <c r="W500"/>
      <c r="X500"/>
      <c r="Y500"/>
      <c r="Z500"/>
      <c r="AA500"/>
    </row>
    <row r="501" ht="15" spans="1:20">
      <c r="A501" s="35"/>
      <c r="B501" t="n" s="17">
        <f>70000000+F501*10000+H501*1000+I501*100+J501</f>
        <v>70265102</v>
      </c>
      <c r="C501" t="str" s="38">
        <v>肩生瘠芽-采集物2</v>
      </c>
      <c r="D501" s="3"/>
      <c r="E501" t="str" s="3">
        <f>F501&amp;(VLOOKUP(G501,编号表!$E$1:$G$8,2,0))&amp;H501&amp;"_"&amp;I501&amp;"_"&amp;J501</f>
        <v>26C5_1_2</v>
      </c>
      <c r="F501" t="n" s="3">
        <v>26</v>
      </c>
      <c r="G501" t="str" s="3">
        <v>采集物</v>
      </c>
      <c r="H501" t="n" s="3">
        <v>5</v>
      </c>
      <c r="I501" t="n" s="3">
        <v>1</v>
      </c>
      <c r="J501" t="n" s="3">
        <v>2</v>
      </c>
      <c r="K501" s="3"/>
      <c r="L501" s="3"/>
      <c r="M501" s="3"/>
      <c r="N501" s="3"/>
      <c r="O501" s="3"/>
      <c r="P501" s="3"/>
      <c r="Q501" s="3"/>
      <c r="R501" s="3"/>
      <c r="S501" s="17"/>
      <c r="T501" s="18"/>
      <c r="U501"/>
      <c r="V501"/>
      <c r="W501"/>
      <c r="X501"/>
      <c r="Y501"/>
      <c r="Z501"/>
      <c r="AA501"/>
    </row>
    <row r="502" ht="15" spans="1:20">
      <c r="A502" s="35"/>
      <c r="B502" t="n" s="17">
        <f>70000000+F502*10000+H502*1000+I502*100+J502</f>
        <v>70265103</v>
      </c>
      <c r="C502" t="str" s="38">
        <v>肩生瘠芽-采集物3</v>
      </c>
      <c r="D502" s="3"/>
      <c r="E502" t="str" s="3">
        <f>F502&amp;(VLOOKUP(G502,编号表!$E$1:$G$8,2,0))&amp;H502&amp;"_"&amp;I502&amp;"_"&amp;J502</f>
        <v>26C5_1_3</v>
      </c>
      <c r="F502" t="n" s="3">
        <v>26</v>
      </c>
      <c r="G502" t="str" s="3">
        <v>采集物</v>
      </c>
      <c r="H502" t="n" s="3">
        <v>5</v>
      </c>
      <c r="I502" t="n" s="3">
        <v>1</v>
      </c>
      <c r="J502" t="n" s="3">
        <v>3</v>
      </c>
      <c r="K502" s="3"/>
      <c r="L502" s="3"/>
      <c r="M502" s="3"/>
      <c r="N502" s="3"/>
      <c r="O502" s="3"/>
      <c r="P502" s="3"/>
      <c r="Q502" s="3"/>
      <c r="R502" s="3"/>
      <c r="S502" s="17"/>
      <c r="T502" s="18"/>
      <c r="U502"/>
      <c r="V502"/>
      <c r="W502"/>
      <c r="X502"/>
      <c r="Y502"/>
      <c r="Z502"/>
      <c r="AA502"/>
    </row>
    <row r="503" ht="15" spans="1:20">
      <c r="A503" s="35"/>
      <c r="B503" t="n" s="17">
        <f>70000000+F503*10000+H503*1000+I503*100+J503</f>
        <v>70265201</v>
      </c>
      <c r="C503" t="str" s="38">
        <v>肩生瘠芽-采集物4</v>
      </c>
      <c r="D503" s="3"/>
      <c r="E503" t="str" s="3">
        <f>F503&amp;(VLOOKUP(G503,编号表!$E$1:$G$8,2,0))&amp;H503&amp;"_"&amp;I503&amp;"_"&amp;J503</f>
        <v>26C5_2_1</v>
      </c>
      <c r="F503" t="n" s="3">
        <v>26</v>
      </c>
      <c r="G503" t="str" s="3">
        <v>采集物</v>
      </c>
      <c r="H503" t="n" s="3">
        <v>5</v>
      </c>
      <c r="I503" t="n" s="3">
        <v>2</v>
      </c>
      <c r="J503" t="n" s="3">
        <v>1</v>
      </c>
      <c r="K503" s="3"/>
      <c r="L503" s="3"/>
      <c r="M503" s="3"/>
      <c r="N503" s="3"/>
      <c r="O503" s="3"/>
      <c r="P503" s="3"/>
      <c r="Q503" s="3"/>
      <c r="R503" s="3"/>
      <c r="S503" s="17"/>
      <c r="T503" s="18"/>
      <c r="U503"/>
      <c r="V503"/>
      <c r="W503"/>
      <c r="X503"/>
      <c r="Y503"/>
      <c r="Z503"/>
      <c r="AA503"/>
    </row>
    <row r="504" ht="15" spans="1:20">
      <c r="A504" s="35"/>
      <c r="B504" t="n" s="17">
        <f>70000000+F504*10000+H504*1000+I504*100+J504</f>
        <v>70265202</v>
      </c>
      <c r="C504" t="str" s="38">
        <v>肩生瘠芽-采集物5</v>
      </c>
      <c r="D504" s="3"/>
      <c r="E504" t="str" s="3">
        <f>F504&amp;(VLOOKUP(G504,编号表!$E$1:$G$8,2,0))&amp;H504&amp;"_"&amp;I504&amp;"_"&amp;J504</f>
        <v>26C5_2_2</v>
      </c>
      <c r="F504" t="n" s="3">
        <v>26</v>
      </c>
      <c r="G504" t="str" s="3">
        <v>采集物</v>
      </c>
      <c r="H504" t="n" s="3">
        <v>5</v>
      </c>
      <c r="I504" t="n" s="3">
        <v>2</v>
      </c>
      <c r="J504" t="n" s="3">
        <v>2</v>
      </c>
      <c r="K504" s="3"/>
      <c r="L504" s="3"/>
      <c r="M504" s="3"/>
      <c r="N504" s="3"/>
      <c r="O504" s="3"/>
      <c r="P504" s="3"/>
      <c r="Q504" s="3"/>
      <c r="R504" s="3"/>
      <c r="S504" s="17"/>
      <c r="T504" s="18"/>
      <c r="U504"/>
      <c r="V504"/>
      <c r="W504"/>
      <c r="X504"/>
      <c r="Y504"/>
      <c r="Z504"/>
      <c r="AA504"/>
    </row>
    <row r="505" ht="15" spans="1:20">
      <c r="A505" s="35"/>
      <c r="B505" t="n" s="17">
        <f>70000000+F505*10000+H505*1000+I505*100+J505</f>
        <v>70265301</v>
      </c>
      <c r="C505" t="str" s="38">
        <v>肩生瘠芽-采集物6</v>
      </c>
      <c r="D505" s="3"/>
      <c r="E505" t="str" s="3">
        <f>F505&amp;(VLOOKUP(G505,编号表!$E$1:$G$8,2,0))&amp;H505&amp;"_"&amp;I505&amp;"_"&amp;J505</f>
        <v>26C5_3_1</v>
      </c>
      <c r="F505" t="n" s="3">
        <v>26</v>
      </c>
      <c r="G505" t="str" s="3">
        <v>采集物</v>
      </c>
      <c r="H505" t="n" s="3">
        <v>5</v>
      </c>
      <c r="I505" t="n" s="3">
        <v>3</v>
      </c>
      <c r="J505" t="n" s="3">
        <v>1</v>
      </c>
      <c r="K505" s="3"/>
      <c r="L505" s="3"/>
      <c r="M505" s="3"/>
      <c r="N505" s="3"/>
      <c r="O505" s="3"/>
      <c r="P505" s="3"/>
      <c r="Q505" s="3"/>
      <c r="R505" s="3"/>
      <c r="S505" s="17"/>
      <c r="T505" s="18"/>
      <c r="U505"/>
      <c r="V505"/>
      <c r="W505"/>
      <c r="X505"/>
      <c r="Y505"/>
      <c r="Z505"/>
      <c r="AA505"/>
    </row>
    <row r="506" ht="15" spans="1:20">
      <c r="A506" s="35"/>
      <c r="B506" t="n" s="17">
        <f>70000000+F506*10000+H506*1000+I506*100+J506</f>
        <v>70265302</v>
      </c>
      <c r="C506" t="str" s="38">
        <v>肩生瘠芽-采集物7</v>
      </c>
      <c r="D506" s="3"/>
      <c r="E506" t="str" s="3">
        <f>F506&amp;(VLOOKUP(G506,编号表!$E$1:$G$8,2,0))&amp;H506&amp;"_"&amp;I506&amp;"_"&amp;J506</f>
        <v>26C5_3_2</v>
      </c>
      <c r="F506" t="n" s="3">
        <v>26</v>
      </c>
      <c r="G506" t="str" s="3">
        <v>采集物</v>
      </c>
      <c r="H506" t="n" s="3">
        <v>5</v>
      </c>
      <c r="I506" t="n" s="3">
        <v>3</v>
      </c>
      <c r="J506" t="n" s="3">
        <v>2</v>
      </c>
      <c r="K506" s="3"/>
      <c r="L506" s="3"/>
      <c r="M506" s="3"/>
      <c r="N506" s="3"/>
      <c r="O506" s="3"/>
      <c r="P506" s="3"/>
      <c r="Q506" s="3"/>
      <c r="R506" s="3"/>
      <c r="S506" s="17"/>
      <c r="T506" s="18"/>
      <c r="U506"/>
      <c r="V506"/>
      <c r="W506"/>
      <c r="X506"/>
      <c r="Y506"/>
      <c r="Z506"/>
      <c r="AA506"/>
    </row>
    <row r="507" ht="15" spans="1:20">
      <c r="A507" s="35"/>
      <c r="B507" t="n" s="17">
        <f>70000000+F507*10000+H507*1000+I507*100+J507</f>
        <v>70265001</v>
      </c>
      <c r="C507" t="str" s="39">
        <v>肩生瘠芽-镜头</v>
      </c>
      <c r="D507" s="3"/>
      <c r="E507" t="str" s="3">
        <f>F507&amp;(VLOOKUP(G507,编号表!$E$1:$G$8,2,0))&amp;H507&amp;"_"&amp;I507&amp;"_"&amp;J507</f>
        <v>26J5_0_1</v>
      </c>
      <c r="F507" t="n" s="3">
        <v>26</v>
      </c>
      <c r="G507" t="str" s="3">
        <v>镜头</v>
      </c>
      <c r="H507" t="n" s="3">
        <v>5</v>
      </c>
      <c r="I507" t="n" s="3">
        <v>0</v>
      </c>
      <c r="J507" t="n" s="3">
        <v>1</v>
      </c>
      <c r="K507" t="n" s="3">
        <v>1</v>
      </c>
      <c r="L507" s="3"/>
      <c r="M507" s="3"/>
      <c r="N507" s="3"/>
      <c r="O507" s="3"/>
      <c r="P507" s="3"/>
      <c r="Q507" s="3"/>
      <c r="R507" s="3"/>
      <c r="S507" s="17"/>
      <c r="T507" s="18"/>
      <c r="U507"/>
      <c r="V507"/>
      <c r="W507"/>
      <c r="X507"/>
      <c r="Y507"/>
      <c r="Z507"/>
      <c r="AA507"/>
    </row>
    <row r="508" ht="15" spans="1:20">
      <c r="A508" s="35"/>
      <c r="B508" t="n" s="17">
        <f>70000000+F508*10000+H508*1000+I508*100+J508</f>
        <v>70261001</v>
      </c>
      <c r="C508" t="str" s="37">
        <v>肩生瘠芽-传送</v>
      </c>
      <c r="D508" s="3"/>
      <c r="E508" t="str" s="3">
        <f>F508&amp;(VLOOKUP(G508,编号表!$E$1:$G$8,2,0))&amp;H508&amp;"_"&amp;I508&amp;"_"&amp;J508</f>
        <v>26T1_0_1</v>
      </c>
      <c r="F508" t="n" s="3">
        <v>26</v>
      </c>
      <c r="G508" t="str" s="3">
        <v>传送</v>
      </c>
      <c r="H508" t="n" s="3">
        <v>1</v>
      </c>
      <c r="I508" t="n" s="3">
        <v>0</v>
      </c>
      <c r="J508" t="n" s="3">
        <v>1</v>
      </c>
      <c r="K508" s="3"/>
      <c r="L508" t="n" s="3">
        <v>1</v>
      </c>
      <c r="M508" s="3"/>
      <c r="N508" s="3"/>
      <c r="O508" s="3"/>
      <c r="P508" s="3"/>
      <c r="Q508" s="3"/>
      <c r="R508" t="n" s="3">
        <v>70251002</v>
      </c>
      <c r="S508" s="17"/>
      <c r="T508" s="18"/>
      <c r="U508"/>
      <c r="V508"/>
      <c r="W508"/>
      <c r="X508"/>
      <c r="Y508"/>
      <c r="Z508"/>
      <c r="AA508"/>
    </row>
    <row r="509" ht="15" spans="1:20">
      <c r="A509" s="35"/>
      <c r="B509" t="n" s="17">
        <f>70000000+F509*10000+H509*1000+I509*100+J509</f>
        <v>70261002</v>
      </c>
      <c r="C509" t="str" s="37">
        <v>肩生瘠芽-传送</v>
      </c>
      <c r="D509" s="3"/>
      <c r="E509" t="str" s="3">
        <f>F509&amp;(VLOOKUP(G509,编号表!$E$1:$G$8,2,0))&amp;H509&amp;"_"&amp;I509&amp;"_"&amp;J509</f>
        <v>26T1_0_2</v>
      </c>
      <c r="F509" t="n" s="3">
        <v>26</v>
      </c>
      <c r="G509" t="str" s="3">
        <v>传送</v>
      </c>
      <c r="H509" t="n" s="3">
        <v>1</v>
      </c>
      <c r="I509" t="n" s="3">
        <v>0</v>
      </c>
      <c r="J509" t="n" s="3">
        <v>2</v>
      </c>
      <c r="K509" s="3"/>
      <c r="L509" t="n" s="3">
        <v>1</v>
      </c>
      <c r="M509" s="3"/>
      <c r="N509" s="3"/>
      <c r="O509" s="3"/>
      <c r="P509" s="3"/>
      <c r="Q509" s="3"/>
      <c r="R509" t="n" s="3">
        <v>70271001</v>
      </c>
      <c r="S509" s="17"/>
      <c r="T509" s="18"/>
      <c r="U509"/>
      <c r="V509"/>
      <c r="W509"/>
      <c r="X509"/>
      <c r="Y509"/>
      <c r="Z509"/>
      <c r="AA509"/>
    </row>
    <row r="510" ht="15" spans="1:20">
      <c r="A510" s="35"/>
      <c r="B510" t="n" s="17">
        <f>70000000+F510*10000+H510*1000+I510*100+J510</f>
        <v>70262001</v>
      </c>
      <c r="C510" t="str" s="37">
        <v>肩生瘠芽-小地图</v>
      </c>
      <c r="D510" s="3"/>
      <c r="E510" t="str" s="3">
        <f>F510&amp;(VLOOKUP(G510,编号表!$E$1:$G$8,2,0))&amp;H510&amp;"_"&amp;I510&amp;"_"&amp;J510</f>
        <v>26D2_0_1</v>
      </c>
      <c r="F510" t="n" s="3">
        <v>26</v>
      </c>
      <c r="G510" t="str" s="3">
        <v>小地图</v>
      </c>
      <c r="H510" t="n" s="3">
        <v>2</v>
      </c>
      <c r="I510" t="n" s="3">
        <v>0</v>
      </c>
      <c r="J510" t="n" s="3">
        <v>1</v>
      </c>
      <c r="K510" s="3"/>
      <c r="L510" s="3"/>
      <c r="M510" t="n" s="3">
        <v>1</v>
      </c>
      <c r="N510" s="3"/>
      <c r="O510" s="3"/>
      <c r="P510" s="3"/>
      <c r="Q510" s="3"/>
      <c r="R510" s="3"/>
      <c r="S510" s="17"/>
      <c r="T510" s="18"/>
      <c r="U510"/>
      <c r="V510"/>
      <c r="W510"/>
      <c r="X510"/>
      <c r="Y510"/>
      <c r="Z510"/>
      <c r="AA510"/>
    </row>
    <row r="511" ht="15" spans="1:20">
      <c r="A511" s="35"/>
      <c r="B511" t="n" s="17">
        <f>70000000+F511*10000+H511*1000+I511*100+J511</f>
        <v>70275101</v>
      </c>
      <c r="C511" t="str" s="38">
        <v>岩腹潜龛-怪物1</v>
      </c>
      <c r="D511" s="3"/>
      <c r="E511" t="str" s="3">
        <f>F511&amp;(VLOOKUP(G511,编号表!$E$1:$G$8,2,0))&amp;H511&amp;"_"&amp;I511&amp;"_"&amp;J511</f>
        <v>27N5_1_1</v>
      </c>
      <c r="F511" t="n" s="3">
        <v>27</v>
      </c>
      <c r="G511" t="str" s="3">
        <v>怪物</v>
      </c>
      <c r="H511" t="n" s="3">
        <v>5</v>
      </c>
      <c r="I511" t="n" s="3">
        <v>1</v>
      </c>
      <c r="J511" t="n" s="3">
        <v>1</v>
      </c>
      <c r="K511" s="3"/>
      <c r="L511" s="3"/>
      <c r="M511" s="3"/>
      <c r="N511" s="3"/>
      <c r="O511" s="3"/>
      <c r="P511" s="3"/>
      <c r="Q511" s="3"/>
      <c r="R511" s="3"/>
      <c r="S511" t="str" s="17">
        <v>本轮完整刷新挂接；有效坐标注入后验证</v>
      </c>
      <c r="T511" t="n" s="18">
        <v>1024303</v>
      </c>
      <c r="U511"/>
      <c r="V511"/>
      <c r="W511"/>
      <c r="X511"/>
      <c r="Y511"/>
      <c r="Z511"/>
      <c r="AA511"/>
    </row>
    <row r="512" ht="15" spans="1:20">
      <c r="A512" s="35"/>
      <c r="B512" t="n" s="17">
        <f>70000000+F512*10000+H512*1000+I512*100+J512</f>
        <v>70275102</v>
      </c>
      <c r="C512" t="str" s="38">
        <v>岩腹潜龛-怪物2</v>
      </c>
      <c r="D512" s="3"/>
      <c r="E512" t="str" s="3">
        <f>F512&amp;(VLOOKUP(G512,编号表!$E$1:$G$8,2,0))&amp;H512&amp;"_"&amp;I512&amp;"_"&amp;J512</f>
        <v>27N5_1_2</v>
      </c>
      <c r="F512" t="n" s="3">
        <v>27</v>
      </c>
      <c r="G512" t="str" s="3">
        <v>怪物</v>
      </c>
      <c r="H512" t="n" s="3">
        <v>5</v>
      </c>
      <c r="I512" t="n" s="3">
        <v>1</v>
      </c>
      <c r="J512" t="n" s="3">
        <v>2</v>
      </c>
      <c r="K512" s="3"/>
      <c r="L512" s="3"/>
      <c r="M512" s="3"/>
      <c r="N512" s="3"/>
      <c r="O512" s="3"/>
      <c r="P512" s="3"/>
      <c r="Q512" s="3"/>
      <c r="R512" s="3"/>
      <c r="S512" t="str" s="17">
        <v>本轮完整刷新挂接；有效坐标注入后验证</v>
      </c>
      <c r="T512" t="n" s="18">
        <v>1024403</v>
      </c>
      <c r="U512"/>
      <c r="V512"/>
      <c r="W512"/>
      <c r="X512"/>
      <c r="Y512"/>
      <c r="Z512"/>
      <c r="AA512"/>
    </row>
    <row r="513" ht="15" spans="1:20">
      <c r="A513" s="35"/>
      <c r="B513" t="n" s="17">
        <f>70000000+F513*10000+H513*1000+I513*100+J513</f>
        <v>70275103</v>
      </c>
      <c r="C513" t="str" s="38">
        <v>岩腹潜龛-怪物3</v>
      </c>
      <c r="D513" s="3"/>
      <c r="E513" t="str" s="3">
        <f>F513&amp;(VLOOKUP(G513,编号表!$E$1:$G$8,2,0))&amp;H513&amp;"_"&amp;I513&amp;"_"&amp;J513</f>
        <v>27N5_1_3</v>
      </c>
      <c r="F513" t="n" s="3">
        <v>27</v>
      </c>
      <c r="G513" t="str" s="3">
        <v>怪物</v>
      </c>
      <c r="H513" t="n" s="3">
        <v>5</v>
      </c>
      <c r="I513" t="n" s="3">
        <v>1</v>
      </c>
      <c r="J513" t="n" s="3">
        <v>3</v>
      </c>
      <c r="K513" s="3"/>
      <c r="L513" s="3"/>
      <c r="M513" s="3"/>
      <c r="N513" s="3"/>
      <c r="O513" s="3"/>
      <c r="P513" s="3"/>
      <c r="Q513" s="3"/>
      <c r="R513" s="3"/>
      <c r="S513" t="str" s="17">
        <v>本轮完整刷新挂接；有效坐标注入后验证</v>
      </c>
      <c r="T513" t="n" s="18">
        <v>1024503</v>
      </c>
      <c r="U513"/>
      <c r="V513"/>
      <c r="W513"/>
      <c r="X513"/>
      <c r="Y513"/>
      <c r="Z513"/>
      <c r="AA513"/>
    </row>
    <row r="514" ht="15" spans="1:20">
      <c r="A514" s="35"/>
      <c r="B514" t="n" s="17">
        <f>70000000+F514*10000+H514*1000+I514*100+J514</f>
        <v>70275104</v>
      </c>
      <c r="C514" t="str" s="38">
        <v>岩腹潜龛-怪物4</v>
      </c>
      <c r="D514" s="3"/>
      <c r="E514" t="str" s="3">
        <f>F514&amp;(VLOOKUP(G514,编号表!$E$1:$G$8,2,0))&amp;H514&amp;"_"&amp;I514&amp;"_"&amp;J514</f>
        <v>27N5_1_4</v>
      </c>
      <c r="F514" t="n" s="3">
        <v>27</v>
      </c>
      <c r="G514" t="str" s="3">
        <v>怪物</v>
      </c>
      <c r="H514" t="n" s="3">
        <v>5</v>
      </c>
      <c r="I514" t="n" s="3">
        <v>1</v>
      </c>
      <c r="J514" t="n" s="3">
        <v>4</v>
      </c>
      <c r="K514" s="3"/>
      <c r="L514" s="3"/>
      <c r="M514" s="3"/>
      <c r="N514" s="3"/>
      <c r="O514" s="3"/>
      <c r="P514" s="3"/>
      <c r="Q514" s="3"/>
      <c r="R514" s="3"/>
      <c r="S514" t="str" s="17">
        <v>本轮完整刷新挂接；有效坐标注入后验证</v>
      </c>
      <c r="T514" t="n" s="18">
        <v>1024103</v>
      </c>
      <c r="U514"/>
      <c r="V514"/>
      <c r="W514"/>
      <c r="X514"/>
      <c r="Y514"/>
      <c r="Z514"/>
      <c r="AA514"/>
    </row>
    <row r="515" ht="15" spans="1:20">
      <c r="A515" s="35"/>
      <c r="B515" t="n" s="17">
        <f>70000000+F515*10000+H515*1000+I515*100+J515</f>
        <v>70275105</v>
      </c>
      <c r="C515" t="str" s="38">
        <v>岩腹潜龛-怪物5</v>
      </c>
      <c r="D515" s="3"/>
      <c r="E515" t="str" s="3">
        <f>F515&amp;(VLOOKUP(G515,编号表!$E$1:$G$8,2,0))&amp;H515&amp;"_"&amp;I515&amp;"_"&amp;J515</f>
        <v>27N5_1_5</v>
      </c>
      <c r="F515" t="n" s="3">
        <v>27</v>
      </c>
      <c r="G515" t="str" s="3">
        <v>怪物</v>
      </c>
      <c r="H515" t="n" s="3">
        <v>5</v>
      </c>
      <c r="I515" t="n" s="3">
        <v>1</v>
      </c>
      <c r="J515" t="n" s="3">
        <v>5</v>
      </c>
      <c r="K515" s="3"/>
      <c r="L515" s="3"/>
      <c r="M515" s="3"/>
      <c r="N515" s="3"/>
      <c r="O515" s="3"/>
      <c r="P515" s="3"/>
      <c r="Q515" s="3"/>
      <c r="R515" s="3"/>
      <c r="S515" t="str" s="17">
        <v>本轮完整刷新挂接；有效坐标注入后验证</v>
      </c>
      <c r="T515" t="n" s="18">
        <v>1900241</v>
      </c>
      <c r="U515"/>
      <c r="V515"/>
      <c r="W515"/>
      <c r="X515"/>
      <c r="Y515"/>
      <c r="Z515"/>
      <c r="AA515"/>
    </row>
    <row r="516" ht="15" spans="1:20">
      <c r="A516" s="35"/>
      <c r="B516" t="n" s="17">
        <f>70000000+F516*10000+H516*1000+I516*100+J516</f>
        <v>70275201</v>
      </c>
      <c r="C516" t="str" s="38">
        <v>岩腹潜龛-怪物6</v>
      </c>
      <c r="D516" s="3"/>
      <c r="E516" t="str" s="3">
        <f>F516&amp;(VLOOKUP(G516,编号表!$E$1:$G$8,2,0))&amp;H516&amp;"_"&amp;I516&amp;"_"&amp;J516</f>
        <v>27N5_2_1</v>
      </c>
      <c r="F516" t="n" s="3">
        <v>27</v>
      </c>
      <c r="G516" t="str" s="3">
        <v>怪物</v>
      </c>
      <c r="H516" t="n" s="3">
        <v>5</v>
      </c>
      <c r="I516" t="n" s="3">
        <v>2</v>
      </c>
      <c r="J516" t="n" s="3">
        <v>1</v>
      </c>
      <c r="K516" s="3"/>
      <c r="L516" s="3"/>
      <c r="M516" s="3"/>
      <c r="N516" s="3"/>
      <c r="O516" s="3"/>
      <c r="P516" s="3"/>
      <c r="Q516" s="3"/>
      <c r="R516" s="3"/>
      <c r="S516" s="17"/>
      <c r="T516" s="18"/>
      <c r="U516"/>
      <c r="V516"/>
      <c r="W516"/>
      <c r="X516"/>
      <c r="Y516"/>
      <c r="Z516"/>
      <c r="AA516"/>
    </row>
    <row r="517" ht="15" spans="1:20">
      <c r="A517" s="35"/>
      <c r="B517" t="n" s="17">
        <f>70000000+F517*10000+H517*1000+I517*100+J517</f>
        <v>70275202</v>
      </c>
      <c r="C517" t="str" s="38">
        <v>岩腹潜龛-怪物7</v>
      </c>
      <c r="D517" s="3"/>
      <c r="E517" t="str" s="3">
        <f>F517&amp;(VLOOKUP(G517,编号表!$E$1:$G$8,2,0))&amp;H517&amp;"_"&amp;I517&amp;"_"&amp;J517</f>
        <v>27N5_2_2</v>
      </c>
      <c r="F517" t="n" s="3">
        <v>27</v>
      </c>
      <c r="G517" t="str" s="3">
        <v>怪物</v>
      </c>
      <c r="H517" t="n" s="3">
        <v>5</v>
      </c>
      <c r="I517" t="n" s="3">
        <v>2</v>
      </c>
      <c r="J517" t="n" s="3">
        <v>2</v>
      </c>
      <c r="K517" s="3"/>
      <c r="L517" s="3"/>
      <c r="M517" s="3"/>
      <c r="N517" s="3"/>
      <c r="O517" s="3"/>
      <c r="P517" s="3"/>
      <c r="Q517" s="3"/>
      <c r="R517" s="3"/>
      <c r="S517" s="17"/>
      <c r="T517" s="18"/>
      <c r="U517"/>
      <c r="V517"/>
      <c r="W517"/>
      <c r="X517"/>
      <c r="Y517"/>
      <c r="Z517"/>
      <c r="AA517"/>
    </row>
    <row r="518" ht="15" spans="1:20">
      <c r="A518" s="35"/>
      <c r="B518" t="n" s="17">
        <f>70000000+F518*10000+H518*1000+I518*100+J518</f>
        <v>70275203</v>
      </c>
      <c r="C518" t="str" s="38">
        <v>岩腹潜龛-怪物8</v>
      </c>
      <c r="D518" s="3"/>
      <c r="E518" t="str" s="3">
        <f>F518&amp;(VLOOKUP(G518,编号表!$E$1:$G$8,2,0))&amp;H518&amp;"_"&amp;I518&amp;"_"&amp;J518</f>
        <v>27N5_2_3</v>
      </c>
      <c r="F518" t="n" s="3">
        <v>27</v>
      </c>
      <c r="G518" t="str" s="3">
        <v>怪物</v>
      </c>
      <c r="H518" t="n" s="3">
        <v>5</v>
      </c>
      <c r="I518" t="n" s="3">
        <v>2</v>
      </c>
      <c r="J518" t="n" s="3">
        <v>3</v>
      </c>
      <c r="K518" s="3"/>
      <c r="L518" s="3"/>
      <c r="M518" s="3"/>
      <c r="N518" s="3"/>
      <c r="O518" s="3"/>
      <c r="P518" s="3"/>
      <c r="Q518" s="3"/>
      <c r="R518" s="3"/>
      <c r="S518" s="17"/>
      <c r="T518" s="18"/>
      <c r="U518"/>
      <c r="V518"/>
      <c r="W518"/>
      <c r="X518"/>
      <c r="Y518"/>
      <c r="Z518"/>
      <c r="AA518"/>
    </row>
    <row r="519" ht="15" spans="1:20">
      <c r="A519" s="35"/>
      <c r="B519" t="n" s="17">
        <f>70000000+F519*10000+H519*1000+I519*100+J519</f>
        <v>70275204</v>
      </c>
      <c r="C519" t="str" s="38">
        <v>岩腹潜龛-怪物9</v>
      </c>
      <c r="D519" s="3"/>
      <c r="E519" t="str" s="3">
        <f>F519&amp;(VLOOKUP(G519,编号表!$E$1:$G$8,2,0))&amp;H519&amp;"_"&amp;I519&amp;"_"&amp;J519</f>
        <v>27N5_2_4</v>
      </c>
      <c r="F519" t="n" s="3">
        <v>27</v>
      </c>
      <c r="G519" t="str" s="3">
        <v>怪物</v>
      </c>
      <c r="H519" t="n" s="3">
        <v>5</v>
      </c>
      <c r="I519" t="n" s="3">
        <v>2</v>
      </c>
      <c r="J519" t="n" s="3">
        <v>4</v>
      </c>
      <c r="K519" s="3"/>
      <c r="L519" s="3"/>
      <c r="M519" s="3"/>
      <c r="N519" s="3"/>
      <c r="O519" s="3"/>
      <c r="P519" s="3"/>
      <c r="Q519" s="3"/>
      <c r="R519" s="3"/>
      <c r="S519" s="17"/>
      <c r="T519" s="18"/>
      <c r="U519"/>
      <c r="V519"/>
      <c r="W519"/>
      <c r="X519"/>
      <c r="Y519"/>
      <c r="Z519"/>
      <c r="AA519"/>
    </row>
    <row r="520" ht="15" spans="1:20">
      <c r="A520" s="35"/>
      <c r="B520" t="n" s="17">
        <f>70000000+F520*10000+H520*1000+I520*100+J520</f>
        <v>70275205</v>
      </c>
      <c r="C520" t="str" s="38">
        <v>岩腹潜龛-怪物10</v>
      </c>
      <c r="D520" s="3"/>
      <c r="E520" t="str" s="3">
        <f>F520&amp;(VLOOKUP(G520,编号表!$E$1:$G$8,2,0))&amp;H520&amp;"_"&amp;I520&amp;"_"&amp;J520</f>
        <v>27N5_2_5</v>
      </c>
      <c r="F520" t="n" s="3">
        <v>27</v>
      </c>
      <c r="G520" t="str" s="3">
        <v>怪物</v>
      </c>
      <c r="H520" t="n" s="3">
        <v>5</v>
      </c>
      <c r="I520" t="n" s="3">
        <v>2</v>
      </c>
      <c r="J520" t="n" s="3">
        <v>5</v>
      </c>
      <c r="K520" s="3"/>
      <c r="L520" s="3"/>
      <c r="M520" s="3"/>
      <c r="N520" s="3"/>
      <c r="O520" s="3"/>
      <c r="P520" s="3"/>
      <c r="Q520" s="3"/>
      <c r="R520" s="3"/>
      <c r="S520" s="17"/>
      <c r="T520" s="18"/>
      <c r="U520"/>
      <c r="V520"/>
      <c r="W520"/>
      <c r="X520"/>
      <c r="Y520"/>
      <c r="Z520"/>
      <c r="AA520"/>
    </row>
    <row r="521" ht="15" spans="1:20">
      <c r="A521" s="35"/>
      <c r="B521" t="n" s="17">
        <f>70000000+F521*10000+H521*1000+I521*100+J521</f>
        <v>70275001</v>
      </c>
      <c r="C521" t="str" s="39">
        <v>岩腹潜龛-镜头</v>
      </c>
      <c r="D521" s="3"/>
      <c r="E521" t="str" s="3">
        <f>F521&amp;(VLOOKUP(G521,编号表!$E$1:$G$8,2,0))&amp;H521&amp;"_"&amp;I521&amp;"_"&amp;J521</f>
        <v>27J5_0_1</v>
      </c>
      <c r="F521" t="n" s="3">
        <v>27</v>
      </c>
      <c r="G521" t="str" s="3">
        <v>镜头</v>
      </c>
      <c r="H521" t="n" s="3">
        <v>5</v>
      </c>
      <c r="I521" t="n" s="3">
        <v>0</v>
      </c>
      <c r="J521" t="n" s="3">
        <v>1</v>
      </c>
      <c r="K521" t="n" s="3">
        <v>1</v>
      </c>
      <c r="L521" s="3"/>
      <c r="M521" s="3"/>
      <c r="N521" s="3"/>
      <c r="O521" s="3"/>
      <c r="P521" s="3"/>
      <c r="Q521" s="3"/>
      <c r="R521" s="3"/>
      <c r="S521" s="17"/>
      <c r="T521" s="18"/>
      <c r="U521"/>
      <c r="V521"/>
      <c r="W521"/>
      <c r="X521"/>
      <c r="Y521"/>
      <c r="Z521"/>
      <c r="AA521"/>
    </row>
    <row r="522" ht="15" spans="1:20">
      <c r="A522" s="35"/>
      <c r="B522" t="n" s="17">
        <f>70000000+F522*10000+H522*1000+I522*100+J522</f>
        <v>70271001</v>
      </c>
      <c r="C522" t="str" s="37">
        <v>岩腹潜龛-传送</v>
      </c>
      <c r="D522" s="3"/>
      <c r="E522" t="str" s="3">
        <f>F522&amp;(VLOOKUP(G522,编号表!$E$1:$G$8,2,0))&amp;H522&amp;"_"&amp;I522&amp;"_"&amp;J522</f>
        <v>27T1_0_1</v>
      </c>
      <c r="F522" t="n" s="3">
        <v>27</v>
      </c>
      <c r="G522" t="str" s="3">
        <v>传送</v>
      </c>
      <c r="H522" t="n" s="3">
        <v>1</v>
      </c>
      <c r="I522" t="n" s="3">
        <v>0</v>
      </c>
      <c r="J522" t="n" s="3">
        <v>1</v>
      </c>
      <c r="K522" s="3"/>
      <c r="L522" t="n" s="3">
        <v>1</v>
      </c>
      <c r="M522" s="3"/>
      <c r="N522" s="3"/>
      <c r="O522" s="3"/>
      <c r="P522" s="3"/>
      <c r="Q522" s="3"/>
      <c r="R522" t="n" s="3">
        <v>70261002</v>
      </c>
      <c r="S522" s="17"/>
      <c r="T522" s="18"/>
      <c r="U522"/>
      <c r="V522"/>
      <c r="W522"/>
      <c r="X522"/>
      <c r="Y522"/>
      <c r="Z522"/>
      <c r="AA522"/>
    </row>
    <row r="523" ht="15" spans="1:20">
      <c r="A523" s="35"/>
      <c r="B523" t="n" s="17">
        <f>70000000+F523*10000+H523*1000+I523*100+J523</f>
        <v>70271002</v>
      </c>
      <c r="C523" t="str" s="37">
        <v>岩腹潜龛-传送</v>
      </c>
      <c r="D523" s="3"/>
      <c r="E523" t="str" s="3">
        <f>F523&amp;(VLOOKUP(G523,编号表!$E$1:$G$8,2,0))&amp;H523&amp;"_"&amp;I523&amp;"_"&amp;J523</f>
        <v>27T1_0_2</v>
      </c>
      <c r="F523" t="n" s="3">
        <v>27</v>
      </c>
      <c r="G523" t="str" s="3">
        <v>传送</v>
      </c>
      <c r="H523" t="n" s="3">
        <v>1</v>
      </c>
      <c r="I523" t="n" s="3">
        <v>0</v>
      </c>
      <c r="J523" t="n" s="3">
        <v>2</v>
      </c>
      <c r="K523" s="3"/>
      <c r="L523" t="n" s="3">
        <v>1</v>
      </c>
      <c r="M523" s="3"/>
      <c r="N523" s="3"/>
      <c r="O523" s="3"/>
      <c r="P523" s="3"/>
      <c r="Q523" s="3"/>
      <c r="R523" t="n" s="3">
        <v>70281001</v>
      </c>
      <c r="S523" s="17"/>
      <c r="T523" s="18"/>
      <c r="U523"/>
      <c r="V523"/>
      <c r="W523"/>
      <c r="X523"/>
      <c r="Y523"/>
      <c r="Z523"/>
      <c r="AA523"/>
    </row>
    <row r="524" ht="15" spans="1:20">
      <c r="A524" s="35"/>
      <c r="B524" t="n" s="17">
        <f>70000000+F524*10000+H524*1000+I524*100+J524</f>
        <v>70272001</v>
      </c>
      <c r="C524" t="str" s="37">
        <v>岩腹潜龛-小地图</v>
      </c>
      <c r="D524" s="3"/>
      <c r="E524" t="str" s="3">
        <f>F524&amp;(VLOOKUP(G524,编号表!$E$1:$G$8,2,0))&amp;H524&amp;"_"&amp;I524&amp;"_"&amp;J524</f>
        <v>27D2_0_1</v>
      </c>
      <c r="F524" t="n" s="3">
        <v>27</v>
      </c>
      <c r="G524" t="str" s="3">
        <v>小地图</v>
      </c>
      <c r="H524" t="n" s="3">
        <v>2</v>
      </c>
      <c r="I524" t="n" s="3">
        <v>0</v>
      </c>
      <c r="J524" t="n" s="3">
        <v>1</v>
      </c>
      <c r="K524" s="3"/>
      <c r="L524" s="3"/>
      <c r="M524" t="n" s="3">
        <v>1</v>
      </c>
      <c r="N524" s="3"/>
      <c r="O524" s="3"/>
      <c r="P524" s="3"/>
      <c r="Q524" s="3"/>
      <c r="R524" s="3"/>
      <c r="S524" s="17"/>
      <c r="T524" s="18"/>
      <c r="U524"/>
      <c r="V524"/>
      <c r="W524"/>
      <c r="X524"/>
      <c r="Y524"/>
      <c r="Z524"/>
      <c r="AA524"/>
    </row>
    <row r="525" ht="15" spans="1:20">
      <c r="A525" s="35"/>
      <c r="B525" t="n" s="17">
        <f>70000000+F525*10000+H525*1000+I525*100+J525</f>
        <v>70285101</v>
      </c>
      <c r="C525" t="str" s="38">
        <v>水息留痕-怪物1</v>
      </c>
      <c r="D525" s="3"/>
      <c r="E525" t="str" s="3">
        <f>F525&amp;(VLOOKUP(G525,编号表!$E$1:$G$8,2,0))&amp;H525&amp;"_"&amp;I525&amp;"_"&amp;J525</f>
        <v>28N5_1_1</v>
      </c>
      <c r="F525" t="n" s="3">
        <v>28</v>
      </c>
      <c r="G525" t="str" s="3">
        <v>怪物</v>
      </c>
      <c r="H525" t="n" s="3">
        <v>5</v>
      </c>
      <c r="I525" t="n" s="3">
        <v>1</v>
      </c>
      <c r="J525" t="n" s="3">
        <v>1</v>
      </c>
      <c r="K525" s="3"/>
      <c r="L525" s="3"/>
      <c r="M525" s="3"/>
      <c r="N525" s="3"/>
      <c r="O525" s="3"/>
      <c r="P525" s="3"/>
      <c r="Q525" s="3"/>
      <c r="R525" s="3"/>
      <c r="S525" t="str" s="17">
        <v>本轮完整刷新挂接；有效坐标注入后验证</v>
      </c>
      <c r="T525" t="n" s="18">
        <v>1025303</v>
      </c>
      <c r="U525"/>
      <c r="V525"/>
      <c r="W525"/>
      <c r="X525"/>
      <c r="Y525"/>
      <c r="Z525"/>
      <c r="AA525"/>
    </row>
    <row r="526" ht="15" spans="1:20">
      <c r="A526" s="35"/>
      <c r="B526" t="n" s="17">
        <f>70000000+F526*10000+H526*1000+I526*100+J526</f>
        <v>70285102</v>
      </c>
      <c r="C526" t="str" s="38">
        <v>水息留痕-怪物2</v>
      </c>
      <c r="D526" s="3"/>
      <c r="E526" t="str" s="3">
        <f>F526&amp;(VLOOKUP(G526,编号表!$E$1:$G$8,2,0))&amp;H526&amp;"_"&amp;I526&amp;"_"&amp;J526</f>
        <v>28N5_1_2</v>
      </c>
      <c r="F526" t="n" s="3">
        <v>28</v>
      </c>
      <c r="G526" t="str" s="3">
        <v>怪物</v>
      </c>
      <c r="H526" t="n" s="3">
        <v>5</v>
      </c>
      <c r="I526" t="n" s="3">
        <v>1</v>
      </c>
      <c r="J526" t="n" s="3">
        <v>2</v>
      </c>
      <c r="K526" s="3"/>
      <c r="L526" s="3"/>
      <c r="M526" s="3"/>
      <c r="N526" s="3"/>
      <c r="O526" s="3"/>
      <c r="P526" s="3"/>
      <c r="Q526" s="3"/>
      <c r="R526" s="3"/>
      <c r="S526" t="str" s="17">
        <v>本轮完整刷新挂接；有效坐标注入后验证</v>
      </c>
      <c r="T526" t="n" s="18">
        <v>1025403</v>
      </c>
      <c r="U526"/>
      <c r="V526"/>
      <c r="W526"/>
      <c r="X526"/>
      <c r="Y526"/>
      <c r="Z526"/>
      <c r="AA526"/>
    </row>
    <row r="527" ht="15" spans="1:20">
      <c r="A527" s="35"/>
      <c r="B527" t="n" s="17">
        <f>70000000+F527*10000+H527*1000+I527*100+J527</f>
        <v>70285103</v>
      </c>
      <c r="C527" t="str" s="38">
        <v>水息留痕-怪物3</v>
      </c>
      <c r="D527" s="3"/>
      <c r="E527" t="str" s="3">
        <f>F527&amp;(VLOOKUP(G527,编号表!$E$1:$G$8,2,0))&amp;H527&amp;"_"&amp;I527&amp;"_"&amp;J527</f>
        <v>28N5_1_3</v>
      </c>
      <c r="F527" t="n" s="3">
        <v>28</v>
      </c>
      <c r="G527" t="str" s="3">
        <v>怪物</v>
      </c>
      <c r="H527" t="n" s="3">
        <v>5</v>
      </c>
      <c r="I527" t="n" s="3">
        <v>1</v>
      </c>
      <c r="J527" t="n" s="3">
        <v>3</v>
      </c>
      <c r="K527" s="3"/>
      <c r="L527" s="3"/>
      <c r="M527" s="3"/>
      <c r="N527" s="3"/>
      <c r="O527" s="3"/>
      <c r="P527" s="3"/>
      <c r="Q527" s="3"/>
      <c r="R527" s="3"/>
      <c r="S527" t="str" s="17">
        <v>本轮完整刷新挂接；有效坐标注入后验证</v>
      </c>
      <c r="T527" t="n" s="18">
        <v>1025103</v>
      </c>
      <c r="U527"/>
      <c r="V527"/>
      <c r="W527"/>
      <c r="X527"/>
      <c r="Y527"/>
      <c r="Z527"/>
      <c r="AA527"/>
    </row>
    <row r="528" ht="15" spans="1:20">
      <c r="A528" s="35"/>
      <c r="B528" t="n" s="17">
        <f>70000000+F528*10000+H528*1000+I528*100+J528</f>
        <v>70285104</v>
      </c>
      <c r="C528" t="str" s="38">
        <v>水息留痕-怪物4</v>
      </c>
      <c r="D528" s="3"/>
      <c r="E528" t="str" s="3">
        <f>F528&amp;(VLOOKUP(G528,编号表!$E$1:$G$8,2,0))&amp;H528&amp;"_"&amp;I528&amp;"_"&amp;J528</f>
        <v>28N5_1_4</v>
      </c>
      <c r="F528" t="n" s="3">
        <v>28</v>
      </c>
      <c r="G528" t="str" s="3">
        <v>怪物</v>
      </c>
      <c r="H528" t="n" s="3">
        <v>5</v>
      </c>
      <c r="I528" t="n" s="3">
        <v>1</v>
      </c>
      <c r="J528" t="n" s="3">
        <v>4</v>
      </c>
      <c r="K528" s="3"/>
      <c r="L528" s="3"/>
      <c r="M528" s="3"/>
      <c r="N528" s="3"/>
      <c r="O528" s="3"/>
      <c r="P528" s="3"/>
      <c r="Q528" s="3"/>
      <c r="R528" s="3"/>
      <c r="S528" t="str" s="17">
        <v>本轮完整刷新挂接；有效坐标注入后验证</v>
      </c>
      <c r="T528" t="n" s="18">
        <v>1025001</v>
      </c>
      <c r="U528"/>
      <c r="V528"/>
      <c r="W528"/>
      <c r="X528"/>
      <c r="Y528"/>
      <c r="Z528"/>
      <c r="AA528"/>
    </row>
    <row r="529" ht="15" spans="1:20">
      <c r="A529" s="35"/>
      <c r="B529" t="n" s="17">
        <f>70000000+F529*10000+H529*1000+I529*100+J529</f>
        <v>70285105</v>
      </c>
      <c r="C529" t="str" s="38">
        <v>水息留痕-怪物4</v>
      </c>
      <c r="D529" s="3"/>
      <c r="E529" t="str" s="3">
        <f>F529&amp;(VLOOKUP(G529,编号表!$E$1:$G$8,2,0))&amp;H529&amp;"_"&amp;I529&amp;"_"&amp;J529</f>
        <v>28N5_1_5</v>
      </c>
      <c r="F529" t="n" s="3">
        <v>28</v>
      </c>
      <c r="G529" t="str" s="3">
        <v>怪物</v>
      </c>
      <c r="H529" t="n" s="3">
        <v>5</v>
      </c>
      <c r="I529" t="n" s="3">
        <v>1</v>
      </c>
      <c r="J529" t="n" s="3">
        <v>5</v>
      </c>
      <c r="K529" s="3"/>
      <c r="L529" s="3"/>
      <c r="M529" s="3"/>
      <c r="N529" s="3"/>
      <c r="O529" s="3"/>
      <c r="P529" s="3"/>
      <c r="Q529" s="3"/>
      <c r="R529" s="3"/>
      <c r="S529" s="17"/>
      <c r="T529" s="18"/>
      <c r="U529"/>
      <c r="V529"/>
      <c r="W529"/>
      <c r="X529"/>
      <c r="Y529"/>
      <c r="Z529"/>
      <c r="AA529"/>
    </row>
    <row r="530" ht="15" spans="1:20">
      <c r="A530" s="35"/>
      <c r="B530" t="n" s="17">
        <f>70000000+F530*10000+H530*1000+I530*100+J530</f>
        <v>70285201</v>
      </c>
      <c r="C530" t="str" s="38">
        <v>水息留痕-怪物5</v>
      </c>
      <c r="D530" s="3"/>
      <c r="E530" t="str" s="3">
        <f>F530&amp;(VLOOKUP(G530,编号表!$E$1:$G$8,2,0))&amp;H530&amp;"_"&amp;I530&amp;"_"&amp;J530</f>
        <v>28N5_2_1</v>
      </c>
      <c r="F530" t="n" s="3">
        <v>28</v>
      </c>
      <c r="G530" t="str" s="3">
        <v>怪物</v>
      </c>
      <c r="H530" t="n" s="3">
        <v>5</v>
      </c>
      <c r="I530" t="n" s="3">
        <v>2</v>
      </c>
      <c r="J530" t="n" s="3">
        <v>1</v>
      </c>
      <c r="K530" s="3"/>
      <c r="L530" s="3"/>
      <c r="M530" s="3"/>
      <c r="N530" s="3"/>
      <c r="O530" s="3"/>
      <c r="P530" s="3"/>
      <c r="Q530" s="3"/>
      <c r="R530" s="3"/>
      <c r="S530" s="17"/>
      <c r="T530" s="18"/>
      <c r="U530"/>
      <c r="V530"/>
      <c r="W530"/>
      <c r="X530"/>
      <c r="Y530"/>
      <c r="Z530"/>
      <c r="AA530"/>
    </row>
    <row r="531" ht="15" spans="1:20">
      <c r="A531" s="35"/>
      <c r="B531" t="n" s="17">
        <f>70000000+F531*10000+H531*1000+I531*100+J531</f>
        <v>70285202</v>
      </c>
      <c r="C531" t="str" s="38">
        <v>水息留痕-怪物6</v>
      </c>
      <c r="D531" s="3"/>
      <c r="E531" t="str" s="3">
        <f>F531&amp;(VLOOKUP(G531,编号表!$E$1:$G$8,2,0))&amp;H531&amp;"_"&amp;I531&amp;"_"&amp;J531</f>
        <v>28N5_2_2</v>
      </c>
      <c r="F531" t="n" s="3">
        <v>28</v>
      </c>
      <c r="G531" t="str" s="3">
        <v>怪物</v>
      </c>
      <c r="H531" t="n" s="3">
        <v>5</v>
      </c>
      <c r="I531" t="n" s="3">
        <v>2</v>
      </c>
      <c r="J531" t="n" s="3">
        <v>2</v>
      </c>
      <c r="K531" s="3"/>
      <c r="L531" s="3"/>
      <c r="M531" s="3"/>
      <c r="N531" s="3"/>
      <c r="O531" s="3"/>
      <c r="P531" s="3"/>
      <c r="Q531" s="3"/>
      <c r="R531" s="3"/>
      <c r="S531" s="17"/>
      <c r="T531" s="18"/>
      <c r="U531"/>
      <c r="V531"/>
      <c r="W531"/>
      <c r="X531"/>
      <c r="Y531"/>
      <c r="Z531"/>
      <c r="AA531"/>
    </row>
    <row r="532" ht="15" spans="1:20">
      <c r="A532" s="35"/>
      <c r="B532" t="n" s="17">
        <f>70000000+F532*10000+H532*1000+I532*100+J532</f>
        <v>70285203</v>
      </c>
      <c r="C532" t="str" s="38">
        <v>水息留痕-怪物7</v>
      </c>
      <c r="D532" s="3"/>
      <c r="E532" t="str" s="3">
        <f>F532&amp;(VLOOKUP(G532,编号表!$E$1:$G$8,2,0))&amp;H532&amp;"_"&amp;I532&amp;"_"&amp;J532</f>
        <v>28N5_2_3</v>
      </c>
      <c r="F532" t="n" s="3">
        <v>28</v>
      </c>
      <c r="G532" t="str" s="3">
        <v>怪物</v>
      </c>
      <c r="H532" t="n" s="3">
        <v>5</v>
      </c>
      <c r="I532" t="n" s="3">
        <v>2</v>
      </c>
      <c r="J532" t="n" s="3">
        <v>3</v>
      </c>
      <c r="K532" s="3"/>
      <c r="L532" s="3"/>
      <c r="M532" s="3"/>
      <c r="N532" s="3"/>
      <c r="O532" s="3"/>
      <c r="P532" s="3"/>
      <c r="Q532" s="3"/>
      <c r="R532" s="3"/>
      <c r="S532" s="17"/>
      <c r="T532" s="18"/>
      <c r="U532"/>
      <c r="V532"/>
      <c r="W532"/>
      <c r="X532"/>
      <c r="Y532"/>
      <c r="Z532"/>
      <c r="AA532"/>
    </row>
    <row r="533" ht="15" spans="1:20">
      <c r="A533" s="35"/>
      <c r="B533" t="n" s="17">
        <f>70000000+F533*10000+H533*1000+I533*100+J533</f>
        <v>70285204</v>
      </c>
      <c r="C533" t="str" s="38">
        <v>水息留痕-怪物8</v>
      </c>
      <c r="D533" s="3"/>
      <c r="E533" t="str" s="3">
        <f>F533&amp;(VLOOKUP(G533,编号表!$E$1:$G$8,2,0))&amp;H533&amp;"_"&amp;I533&amp;"_"&amp;J533</f>
        <v>28N5_2_4</v>
      </c>
      <c r="F533" t="n" s="3">
        <v>28</v>
      </c>
      <c r="G533" t="str" s="3">
        <v>怪物</v>
      </c>
      <c r="H533" t="n" s="3">
        <v>5</v>
      </c>
      <c r="I533" t="n" s="3">
        <v>2</v>
      </c>
      <c r="J533" t="n" s="3">
        <v>4</v>
      </c>
      <c r="K533" s="3"/>
      <c r="L533" s="3"/>
      <c r="M533" s="3"/>
      <c r="N533" s="3"/>
      <c r="O533" s="3"/>
      <c r="P533" s="3"/>
      <c r="Q533" s="3"/>
      <c r="R533" s="3"/>
      <c r="S533" s="17"/>
      <c r="T533" s="18"/>
      <c r="U533"/>
      <c r="V533"/>
      <c r="W533"/>
      <c r="X533"/>
      <c r="Y533"/>
      <c r="Z533"/>
      <c r="AA533"/>
    </row>
    <row r="534" ht="15" spans="1:20">
      <c r="A534" s="35"/>
      <c r="B534" t="n" s="17">
        <f>70000000+F534*10000+H534*1000+I534*100+J534</f>
        <v>70285205</v>
      </c>
      <c r="C534" t="str" s="38">
        <v>水息留痕-怪物8</v>
      </c>
      <c r="D534" s="3"/>
      <c r="E534" t="str" s="3">
        <f>F534&amp;(VLOOKUP(G534,编号表!$E$1:$G$8,2,0))&amp;H534&amp;"_"&amp;I534&amp;"_"&amp;J534</f>
        <v>28N5_2_5</v>
      </c>
      <c r="F534" t="n" s="3">
        <v>28</v>
      </c>
      <c r="G534" t="str" s="3">
        <v>怪物</v>
      </c>
      <c r="H534" t="n" s="3">
        <v>5</v>
      </c>
      <c r="I534" t="n" s="3">
        <v>2</v>
      </c>
      <c r="J534" t="n" s="3">
        <v>5</v>
      </c>
      <c r="K534" s="3"/>
      <c r="L534" s="3"/>
      <c r="M534" s="3"/>
      <c r="N534" s="3"/>
      <c r="O534" s="3"/>
      <c r="P534" s="3"/>
      <c r="Q534" s="3"/>
      <c r="R534" s="3"/>
      <c r="S534" s="17"/>
      <c r="T534" s="18"/>
      <c r="U534"/>
      <c r="V534"/>
      <c r="W534"/>
      <c r="X534"/>
      <c r="Y534"/>
      <c r="Z534"/>
      <c r="AA534"/>
    </row>
    <row r="535" ht="15" spans="1:20">
      <c r="A535" s="35"/>
      <c r="B535" t="n" s="17">
        <f>70000000+F535*10000+H535*1000+I535*100+J535</f>
        <v>70285001</v>
      </c>
      <c r="C535" t="str" s="39">
        <v>水息留痕-镜头</v>
      </c>
      <c r="D535" s="3"/>
      <c r="E535" t="str" s="3">
        <f>F535&amp;(VLOOKUP(G535,编号表!$E$1:$G$8,2,0))&amp;H535&amp;"_"&amp;I535&amp;"_"&amp;J535</f>
        <v>28J5_0_1</v>
      </c>
      <c r="F535" t="n" s="3">
        <v>28</v>
      </c>
      <c r="G535" t="str" s="3">
        <v>镜头</v>
      </c>
      <c r="H535" t="n" s="3">
        <v>5</v>
      </c>
      <c r="I535" t="n" s="3">
        <v>0</v>
      </c>
      <c r="J535" t="n" s="3">
        <v>1</v>
      </c>
      <c r="K535" t="n" s="3">
        <v>1</v>
      </c>
      <c r="L535" s="3"/>
      <c r="M535" s="3"/>
      <c r="N535" s="3"/>
      <c r="O535" s="3"/>
      <c r="P535" s="3"/>
      <c r="Q535" s="3"/>
      <c r="R535" s="3"/>
      <c r="S535" s="17"/>
      <c r="T535" s="18"/>
      <c r="U535"/>
      <c r="V535"/>
      <c r="W535"/>
      <c r="X535"/>
      <c r="Y535"/>
      <c r="Z535"/>
      <c r="AA535"/>
    </row>
    <row r="536" ht="15" spans="1:20">
      <c r="A536" s="35"/>
      <c r="B536" t="n" s="17">
        <f>70000000+F536*10000+H536*1000+I536*100+J536</f>
        <v>70281001</v>
      </c>
      <c r="C536" t="str" s="37">
        <v>水息留痕-传送</v>
      </c>
      <c r="D536" s="3"/>
      <c r="E536" t="str" s="3">
        <f>F536&amp;(VLOOKUP(G536,编号表!$E$1:$G$8,2,0))&amp;H536&amp;"_"&amp;I536&amp;"_"&amp;J536</f>
        <v>28T1_0_1</v>
      </c>
      <c r="F536" t="n" s="3">
        <v>28</v>
      </c>
      <c r="G536" t="str" s="3">
        <v>传送</v>
      </c>
      <c r="H536" t="n" s="3">
        <v>1</v>
      </c>
      <c r="I536" t="n" s="3">
        <v>0</v>
      </c>
      <c r="J536" t="n" s="3">
        <v>1</v>
      </c>
      <c r="K536" s="3"/>
      <c r="L536" t="n" s="3">
        <v>1</v>
      </c>
      <c r="M536" s="3"/>
      <c r="N536" s="3"/>
      <c r="O536" s="3"/>
      <c r="P536" s="3"/>
      <c r="Q536" s="3"/>
      <c r="R536" t="n" s="3">
        <v>70271002</v>
      </c>
      <c r="S536" s="17"/>
      <c r="T536" s="18"/>
      <c r="U536"/>
      <c r="V536"/>
      <c r="W536"/>
      <c r="X536"/>
      <c r="Y536"/>
      <c r="Z536"/>
      <c r="AA536"/>
    </row>
    <row r="537" ht="15" spans="1:20">
      <c r="A537" s="35"/>
      <c r="B537" t="n" s="17">
        <f>70000000+F537*10000+H537*1000+I537*100+J537</f>
        <v>70281002</v>
      </c>
      <c r="C537" t="str" s="37">
        <v>水息留痕-传送</v>
      </c>
      <c r="D537" s="3"/>
      <c r="E537" t="str" s="3">
        <f>F537&amp;(VLOOKUP(G537,编号表!$E$1:$G$8,2,0))&amp;H537&amp;"_"&amp;I537&amp;"_"&amp;J537</f>
        <v>28T1_0_2</v>
      </c>
      <c r="F537" t="n" s="3">
        <v>28</v>
      </c>
      <c r="G537" t="str" s="3">
        <v>传送</v>
      </c>
      <c r="H537" t="n" s="3">
        <v>1</v>
      </c>
      <c r="I537" t="n" s="3">
        <v>0</v>
      </c>
      <c r="J537" t="n" s="3">
        <v>2</v>
      </c>
      <c r="K537" s="3"/>
      <c r="L537" t="n" s="3">
        <v>1</v>
      </c>
      <c r="M537" s="3"/>
      <c r="N537" s="3"/>
      <c r="O537" s="3"/>
      <c r="P537" s="3"/>
      <c r="Q537" s="3"/>
      <c r="R537" t="n" s="3">
        <v>70016204</v>
      </c>
      <c r="S537" s="17"/>
      <c r="T537" s="18"/>
      <c r="U537"/>
      <c r="V537"/>
      <c r="W537"/>
      <c r="X537"/>
      <c r="Y537"/>
      <c r="Z537"/>
      <c r="AA537"/>
    </row>
    <row r="538" ht="15" spans="1:20">
      <c r="A538" s="35"/>
      <c r="B538" t="n" s="17">
        <f>70000000+F538*10000+H538*1000+I538*100+J538</f>
        <v>70282001</v>
      </c>
      <c r="C538" t="str" s="37">
        <v>水息留痕-小地图</v>
      </c>
      <c r="D538" s="3"/>
      <c r="E538" t="str" s="3">
        <f>F538&amp;(VLOOKUP(G538,编号表!$E$1:$G$8,2,0))&amp;H538&amp;"_"&amp;I538&amp;"_"&amp;J538</f>
        <v>28D2_0_1</v>
      </c>
      <c r="F538" t="n" s="3">
        <v>28</v>
      </c>
      <c r="G538" t="str" s="3">
        <v>小地图</v>
      </c>
      <c r="H538" t="n" s="3">
        <v>2</v>
      </c>
      <c r="I538" t="n" s="3">
        <v>0</v>
      </c>
      <c r="J538" t="n" s="3">
        <v>1</v>
      </c>
      <c r="K538" s="3"/>
      <c r="L538" s="3"/>
      <c r="M538" t="n" s="3">
        <v>1</v>
      </c>
      <c r="N538" s="3"/>
      <c r="O538" s="3"/>
      <c r="P538" s="3"/>
      <c r="Q538" s="3"/>
      <c r="R538" s="3"/>
      <c r="S538" s="17"/>
      <c r="T538" s="18"/>
      <c r="U538"/>
      <c r="V538"/>
      <c r="W538"/>
      <c r="X538"/>
      <c r="Y538"/>
      <c r="Z538"/>
      <c r="AA538"/>
    </row>
    <row r="539" ht="15" spans="1:20">
      <c r="A539" s="35"/>
      <c r="B539" t="n" s="17">
        <f>70000000+F539*10000+H539*1000+I539*100+J539</f>
        <v>70295001</v>
      </c>
      <c r="C539" t="str" s="39">
        <v>断墙-镜头</v>
      </c>
      <c r="D539" s="3"/>
      <c r="E539" t="str" s="3">
        <f>F539&amp;(VLOOKUP(G539,编号表!$E$1:$G$8,2,0))&amp;H539&amp;"_"&amp;I539&amp;"_"&amp;J539</f>
        <v>29J5_0_1</v>
      </c>
      <c r="F539" t="n" s="3">
        <v>29</v>
      </c>
      <c r="G539" t="str" s="3">
        <v>镜头</v>
      </c>
      <c r="H539" t="n" s="3">
        <v>5</v>
      </c>
      <c r="I539" t="n" s="3">
        <v>0</v>
      </c>
      <c r="J539" t="n" s="3">
        <v>1</v>
      </c>
      <c r="K539" t="n" s="3">
        <v>1</v>
      </c>
      <c r="L539" s="3"/>
      <c r="M539" s="3"/>
      <c r="N539" s="3"/>
      <c r="O539" s="3"/>
      <c r="P539" s="3"/>
      <c r="Q539" s="3"/>
      <c r="R539" s="3"/>
      <c r="S539" s="17"/>
      <c r="T539" s="18"/>
      <c r="U539"/>
      <c r="V539"/>
      <c r="W539"/>
      <c r="X539"/>
      <c r="Y539"/>
      <c r="Z539"/>
      <c r="AA539"/>
    </row>
    <row r="540" ht="15" spans="1:20">
      <c r="A540" s="35"/>
      <c r="B540" t="n" s="17">
        <f>70000000+F540*10000+H540*1000+I540*100+J540</f>
        <v>70291001</v>
      </c>
      <c r="C540" t="str" s="37">
        <v>断墙-传送</v>
      </c>
      <c r="D540" s="3"/>
      <c r="E540" t="str" s="3">
        <f>F540&amp;(VLOOKUP(G540,编号表!$E$1:$G$8,2,0))&amp;H540&amp;"_"&amp;I540&amp;"_"&amp;J540</f>
        <v>29T1_0_1</v>
      </c>
      <c r="F540" t="n" s="3">
        <v>29</v>
      </c>
      <c r="G540" t="str" s="3">
        <v>传送</v>
      </c>
      <c r="H540" t="n" s="3">
        <v>1</v>
      </c>
      <c r="I540" t="n" s="3">
        <v>0</v>
      </c>
      <c r="J540" t="n" s="3">
        <v>1</v>
      </c>
      <c r="K540" s="3"/>
      <c r="L540" t="n" s="3">
        <v>1</v>
      </c>
      <c r="M540" s="3"/>
      <c r="N540" s="3"/>
      <c r="O540" s="3"/>
      <c r="P540" s="3"/>
      <c r="Q540" s="3"/>
      <c r="R540" t="n" s="3">
        <v>70016204</v>
      </c>
      <c r="S540" s="17"/>
      <c r="T540" s="18"/>
      <c r="U540"/>
      <c r="V540"/>
      <c r="W540"/>
      <c r="X540"/>
      <c r="Y540"/>
      <c r="Z540"/>
      <c r="AA540"/>
    </row>
    <row r="541" ht="15" spans="1:20">
      <c r="A541" s="35"/>
      <c r="B541" t="n" s="17">
        <f>70000000+F541*10000+H541*1000+I541*100+J541</f>
        <v>70291002</v>
      </c>
      <c r="C541" t="str" s="37">
        <v>断墙-传送</v>
      </c>
      <c r="D541" s="3"/>
      <c r="E541" t="str" s="3">
        <f>F541&amp;(VLOOKUP(G541,编号表!$E$1:$G$8,2,0))&amp;H541&amp;"_"&amp;I541&amp;"_"&amp;J541</f>
        <v>29T1_0_2</v>
      </c>
      <c r="F541" t="n" s="3">
        <v>29</v>
      </c>
      <c r="G541" t="str" s="3">
        <v>传送</v>
      </c>
      <c r="H541" t="n" s="3">
        <v>1</v>
      </c>
      <c r="I541" t="n" s="3">
        <v>0</v>
      </c>
      <c r="J541" t="n" s="3">
        <v>2</v>
      </c>
      <c r="K541" s="3"/>
      <c r="L541" t="n" s="3">
        <v>1</v>
      </c>
      <c r="M541" s="3"/>
      <c r="N541" s="3"/>
      <c r="O541" s="3"/>
      <c r="P541" s="3"/>
      <c r="Q541" s="3"/>
      <c r="R541" t="n" s="3">
        <v>70301002</v>
      </c>
      <c r="S541" s="17"/>
      <c r="T541" s="18"/>
      <c r="U541"/>
      <c r="V541"/>
      <c r="W541"/>
      <c r="X541"/>
      <c r="Y541"/>
      <c r="Z541"/>
      <c r="AA541"/>
    </row>
    <row r="542" ht="15" spans="1:20">
      <c r="A542" s="35"/>
      <c r="B542" t="n" s="17">
        <f>70000000+F542*10000+H542*1000+I542*100+J542</f>
        <v>70292001</v>
      </c>
      <c r="C542" t="str" s="37">
        <v>断墙-小地图</v>
      </c>
      <c r="D542" s="3"/>
      <c r="E542" t="str" s="3">
        <f>F542&amp;(VLOOKUP(G542,编号表!$E$1:$G$8,2,0))&amp;H542&amp;"_"&amp;I542&amp;"_"&amp;J542</f>
        <v>29D2_0_1</v>
      </c>
      <c r="F542" t="n" s="3">
        <v>29</v>
      </c>
      <c r="G542" t="str" s="3">
        <v>小地图</v>
      </c>
      <c r="H542" t="n" s="3">
        <v>2</v>
      </c>
      <c r="I542" t="n" s="3">
        <v>0</v>
      </c>
      <c r="J542" t="n" s="3">
        <v>1</v>
      </c>
      <c r="K542" s="3"/>
      <c r="L542" s="3"/>
      <c r="M542" t="n" s="3">
        <v>1</v>
      </c>
      <c r="N542" s="3"/>
      <c r="O542" s="3"/>
      <c r="P542" s="3"/>
      <c r="Q542" s="3"/>
      <c r="R542" s="3"/>
      <c r="S542" s="17"/>
      <c r="T542" s="18"/>
      <c r="U542"/>
      <c r="V542"/>
      <c r="W542"/>
      <c r="X542"/>
      <c r="Y542"/>
      <c r="Z542"/>
      <c r="AA542"/>
    </row>
    <row r="543" ht="15" spans="1:20">
      <c r="A543" s="35"/>
      <c r="B543" t="n" s="17">
        <f>70000000+F543*10000+H543*1000+I543*100+J543</f>
        <v>70305101</v>
      </c>
      <c r="C543" t="str" s="38">
        <v>泻砾堑-怪物1</v>
      </c>
      <c r="D543" s="3"/>
      <c r="E543" t="str" s="3">
        <f>F543&amp;(VLOOKUP(G543,编号表!$E$1:$G$8,2,0))&amp;H543&amp;"_"&amp;I543&amp;"_"&amp;J543</f>
        <v>30N5_1_1</v>
      </c>
      <c r="F543" t="n" s="3">
        <v>30</v>
      </c>
      <c r="G543" t="str" s="3">
        <v>怪物</v>
      </c>
      <c r="H543" t="n" s="3">
        <v>5</v>
      </c>
      <c r="I543" t="n" s="3">
        <v>1</v>
      </c>
      <c r="J543" t="n" s="3">
        <v>1</v>
      </c>
      <c r="K543" s="3"/>
      <c r="L543" s="3"/>
      <c r="M543" s="3"/>
      <c r="N543" s="3"/>
      <c r="O543" s="3"/>
      <c r="P543" s="3"/>
      <c r="Q543" s="3"/>
      <c r="R543" s="3"/>
      <c r="S543" t="str" s="17">
        <v>本轮完整刷新挂接；有效坐标注入后验证</v>
      </c>
      <c r="T543" t="n" s="18">
        <v>1042304</v>
      </c>
      <c r="U543"/>
      <c r="V543"/>
      <c r="W543"/>
      <c r="X543"/>
      <c r="Y543"/>
      <c r="Z543"/>
      <c r="AA543"/>
    </row>
    <row r="544" ht="15" spans="1:20">
      <c r="A544" s="35"/>
      <c r="B544" t="n" s="17">
        <f>70000000+F544*10000+H544*1000+I544*100+J544</f>
        <v>70305102</v>
      </c>
      <c r="C544" t="str" s="38">
        <v>泻砾堑-怪物2</v>
      </c>
      <c r="D544" s="3"/>
      <c r="E544" t="str" s="3">
        <f>F544&amp;(VLOOKUP(G544,编号表!$E$1:$G$8,2,0))&amp;H544&amp;"_"&amp;I544&amp;"_"&amp;J544</f>
        <v>30N5_1_2</v>
      </c>
      <c r="F544" t="n" s="3">
        <v>30</v>
      </c>
      <c r="G544" t="str" s="3">
        <v>怪物</v>
      </c>
      <c r="H544" t="n" s="3">
        <v>5</v>
      </c>
      <c r="I544" t="n" s="3">
        <v>1</v>
      </c>
      <c r="J544" t="n" s="3">
        <v>2</v>
      </c>
      <c r="K544" s="3"/>
      <c r="L544" s="3"/>
      <c r="M544" s="3"/>
      <c r="N544" s="3"/>
      <c r="O544" s="3"/>
      <c r="P544" s="3"/>
      <c r="Q544" s="3"/>
      <c r="R544" s="3"/>
      <c r="S544" t="str" s="17">
        <v>本轮完整刷新挂接；有效坐标注入后验证</v>
      </c>
      <c r="T544" t="n" s="18">
        <v>1042404</v>
      </c>
      <c r="U544"/>
      <c r="V544"/>
      <c r="W544"/>
      <c r="X544"/>
      <c r="Y544"/>
      <c r="Z544"/>
      <c r="AA544"/>
    </row>
    <row r="545" ht="15" spans="1:20">
      <c r="A545" s="35"/>
      <c r="B545" t="n" s="17">
        <f>70000000+F545*10000+H545*1000+I545*100+J545</f>
        <v>70305103</v>
      </c>
      <c r="C545" t="str" s="38">
        <v>泻砾堑-怪物3</v>
      </c>
      <c r="D545" s="3"/>
      <c r="E545" t="str" s="3">
        <f>F545&amp;(VLOOKUP(G545,编号表!$E$1:$G$8,2,0))&amp;H545&amp;"_"&amp;I545&amp;"_"&amp;J545</f>
        <v>30N5_1_3</v>
      </c>
      <c r="F545" t="n" s="3">
        <v>30</v>
      </c>
      <c r="G545" t="str" s="3">
        <v>怪物</v>
      </c>
      <c r="H545" t="n" s="3">
        <v>5</v>
      </c>
      <c r="I545" t="n" s="3">
        <v>1</v>
      </c>
      <c r="J545" t="n" s="3">
        <v>3</v>
      </c>
      <c r="K545" s="3"/>
      <c r="L545" s="3"/>
      <c r="M545" s="3"/>
      <c r="N545" s="3"/>
      <c r="O545" s="3"/>
      <c r="P545" s="3"/>
      <c r="Q545" s="3"/>
      <c r="R545" s="3"/>
      <c r="S545" t="str" s="17">
        <v>本轮完整刷新挂接；有效坐标注入后验证</v>
      </c>
      <c r="T545" t="n" s="18">
        <v>1042504</v>
      </c>
      <c r="U545"/>
      <c r="V545"/>
      <c r="W545"/>
      <c r="X545"/>
      <c r="Y545"/>
      <c r="Z545"/>
      <c r="AA545"/>
    </row>
    <row r="546" ht="15" spans="1:20">
      <c r="A546" s="35"/>
      <c r="B546" t="n" s="17">
        <f>70000000+F546*10000+H546*1000+I546*100+J546</f>
        <v>70305104</v>
      </c>
      <c r="C546" t="str" s="38">
        <v>泻砾堑-怪物4</v>
      </c>
      <c r="D546" s="3"/>
      <c r="E546" t="str" s="3">
        <f>F546&amp;(VLOOKUP(G546,编号表!$E$1:$G$8,2,0))&amp;H546&amp;"_"&amp;I546&amp;"_"&amp;J546</f>
        <v>30N5_1_4</v>
      </c>
      <c r="F546" t="n" s="3">
        <v>30</v>
      </c>
      <c r="G546" t="str" s="3">
        <v>怪物</v>
      </c>
      <c r="H546" t="n" s="3">
        <v>5</v>
      </c>
      <c r="I546" t="n" s="3">
        <v>1</v>
      </c>
      <c r="J546" t="n" s="3">
        <v>4</v>
      </c>
      <c r="K546" s="3"/>
      <c r="L546" s="3"/>
      <c r="M546" s="3"/>
      <c r="N546" s="3"/>
      <c r="O546" s="3"/>
      <c r="P546" s="3"/>
      <c r="Q546" s="3"/>
      <c r="R546" s="3"/>
      <c r="S546" t="str" s="17">
        <v>本轮完整刷新挂接；有效坐标注入后验证</v>
      </c>
      <c r="T546" t="n" s="18">
        <v>1042101</v>
      </c>
      <c r="U546"/>
      <c r="V546"/>
      <c r="W546"/>
      <c r="X546"/>
      <c r="Y546"/>
      <c r="Z546"/>
      <c r="AA546"/>
    </row>
    <row r="547" ht="15" spans="1:20">
      <c r="A547" s="35"/>
      <c r="B547" t="n" s="17">
        <f>70000000+F547*10000+H547*1000+I547*100+J547</f>
        <v>70305201</v>
      </c>
      <c r="C547" t="str" s="38">
        <v>泻砾堑-怪物5</v>
      </c>
      <c r="D547" s="3"/>
      <c r="E547" t="str" s="3">
        <f>F547&amp;(VLOOKUP(G547,编号表!$E$1:$G$8,2,0))&amp;H547&amp;"_"&amp;I547&amp;"_"&amp;J547</f>
        <v>30N5_2_1</v>
      </c>
      <c r="F547" t="n" s="3">
        <v>30</v>
      </c>
      <c r="G547" t="str" s="3">
        <v>怪物</v>
      </c>
      <c r="H547" t="n" s="3">
        <v>5</v>
      </c>
      <c r="I547" t="n" s="3">
        <v>2</v>
      </c>
      <c r="J547" t="n" s="3">
        <v>1</v>
      </c>
      <c r="K547" s="3"/>
      <c r="L547" s="3"/>
      <c r="M547" s="3"/>
      <c r="N547" s="3"/>
      <c r="O547" s="3"/>
      <c r="P547" s="3"/>
      <c r="Q547" s="3"/>
      <c r="R547" s="3"/>
      <c r="S547" s="17"/>
      <c r="T547" s="18"/>
      <c r="U547"/>
      <c r="V547"/>
      <c r="W547"/>
      <c r="X547"/>
      <c r="Y547"/>
      <c r="Z547"/>
      <c r="AA547"/>
    </row>
    <row r="548" ht="15" spans="1:20">
      <c r="A548" s="35"/>
      <c r="B548" t="n" s="17">
        <f>70000000+F548*10000+H548*1000+I548*100+J548</f>
        <v>70305202</v>
      </c>
      <c r="C548" t="str" s="38">
        <v>泻砾堑-怪物6</v>
      </c>
      <c r="D548" s="3"/>
      <c r="E548" t="str" s="3">
        <f>F548&amp;(VLOOKUP(G548,编号表!$E$1:$G$8,2,0))&amp;H548&amp;"_"&amp;I548&amp;"_"&amp;J548</f>
        <v>30N5_2_2</v>
      </c>
      <c r="F548" t="n" s="3">
        <v>30</v>
      </c>
      <c r="G548" t="str" s="3">
        <v>怪物</v>
      </c>
      <c r="H548" t="n" s="3">
        <v>5</v>
      </c>
      <c r="I548" t="n" s="3">
        <v>2</v>
      </c>
      <c r="J548" t="n" s="3">
        <v>2</v>
      </c>
      <c r="K548" s="3"/>
      <c r="L548" s="3"/>
      <c r="M548" s="3"/>
      <c r="N548" s="3"/>
      <c r="O548" s="3"/>
      <c r="P548" s="3"/>
      <c r="Q548" s="3"/>
      <c r="R548" s="3"/>
      <c r="S548" s="17"/>
      <c r="T548" s="18"/>
      <c r="U548"/>
      <c r="V548"/>
      <c r="W548"/>
      <c r="X548"/>
      <c r="Y548"/>
      <c r="Z548"/>
      <c r="AA548"/>
    </row>
    <row r="549" ht="15" spans="1:20">
      <c r="A549" s="35"/>
      <c r="B549" t="n" s="17">
        <f>70000000+F549*10000+H549*1000+I549*100+J549</f>
        <v>70305203</v>
      </c>
      <c r="C549" t="str" s="38">
        <v>泻砾堑-怪物7</v>
      </c>
      <c r="D549" s="3"/>
      <c r="E549" t="str" s="3">
        <f>F549&amp;(VLOOKUP(G549,编号表!$E$1:$G$8,2,0))&amp;H549&amp;"_"&amp;I549&amp;"_"&amp;J549</f>
        <v>30N5_2_3</v>
      </c>
      <c r="F549" t="n" s="3">
        <v>30</v>
      </c>
      <c r="G549" t="str" s="3">
        <v>怪物</v>
      </c>
      <c r="H549" t="n" s="3">
        <v>5</v>
      </c>
      <c r="I549" t="n" s="3">
        <v>2</v>
      </c>
      <c r="J549" t="n" s="3">
        <v>3</v>
      </c>
      <c r="K549" s="3"/>
      <c r="L549" s="3"/>
      <c r="M549" s="3"/>
      <c r="N549" s="3"/>
      <c r="O549" s="3"/>
      <c r="P549" s="3"/>
      <c r="Q549" s="3"/>
      <c r="R549" s="3"/>
      <c r="S549" s="17"/>
      <c r="T549" s="18"/>
      <c r="U549"/>
      <c r="V549"/>
      <c r="W549"/>
      <c r="X549"/>
      <c r="Y549"/>
      <c r="Z549"/>
      <c r="AA549"/>
    </row>
    <row r="550" ht="15" spans="1:20">
      <c r="A550" s="35"/>
      <c r="B550" t="n" s="17">
        <f>70000000+F550*10000+H550*1000+I550*100+J550</f>
        <v>70305301</v>
      </c>
      <c r="C550" t="str" s="38">
        <v>泻砾堑-怪物8</v>
      </c>
      <c r="D550" s="3"/>
      <c r="E550" t="str" s="3">
        <f>F550&amp;(VLOOKUP(G550,编号表!$E$1:$G$8,2,0))&amp;H550&amp;"_"&amp;I550&amp;"_"&amp;J550</f>
        <v>30N5_3_1</v>
      </c>
      <c r="F550" t="n" s="3">
        <v>30</v>
      </c>
      <c r="G550" t="str" s="3">
        <v>怪物</v>
      </c>
      <c r="H550" t="n" s="3">
        <v>5</v>
      </c>
      <c r="I550" t="n" s="3">
        <v>3</v>
      </c>
      <c r="J550" t="n" s="3">
        <v>1</v>
      </c>
      <c r="K550" s="3"/>
      <c r="L550" s="3"/>
      <c r="M550" s="3"/>
      <c r="N550" s="3"/>
      <c r="O550" s="3"/>
      <c r="P550" s="3"/>
      <c r="Q550" s="3"/>
      <c r="R550" s="3"/>
      <c r="S550" s="17"/>
      <c r="T550" s="18"/>
      <c r="U550"/>
      <c r="V550"/>
      <c r="W550"/>
      <c r="X550"/>
      <c r="Y550"/>
      <c r="Z550"/>
      <c r="AA550"/>
    </row>
    <row r="551" ht="15" spans="1:20">
      <c r="A551" s="35"/>
      <c r="B551" t="n" s="17">
        <f>70000000+F551*10000+H551*1000+I551*100+J551</f>
        <v>70305302</v>
      </c>
      <c r="C551" t="str" s="38">
        <v>泻砾堑-怪物9</v>
      </c>
      <c r="D551" s="3"/>
      <c r="E551" t="str" s="3">
        <f>F551&amp;(VLOOKUP(G551,编号表!$E$1:$G$8,2,0))&amp;H551&amp;"_"&amp;I551&amp;"_"&amp;J551</f>
        <v>30N5_3_2</v>
      </c>
      <c r="F551" t="n" s="3">
        <v>30</v>
      </c>
      <c r="G551" t="str" s="3">
        <v>怪物</v>
      </c>
      <c r="H551" t="n" s="3">
        <v>5</v>
      </c>
      <c r="I551" t="n" s="3">
        <v>3</v>
      </c>
      <c r="J551" t="n" s="3">
        <v>2</v>
      </c>
      <c r="K551" s="3"/>
      <c r="L551" s="3"/>
      <c r="M551" s="3"/>
      <c r="N551" s="3"/>
      <c r="O551" s="3"/>
      <c r="P551" s="3"/>
      <c r="Q551" s="3"/>
      <c r="R551" s="3"/>
      <c r="S551" s="17"/>
      <c r="T551" s="18"/>
      <c r="U551"/>
      <c r="V551"/>
      <c r="W551"/>
      <c r="X551"/>
      <c r="Y551"/>
      <c r="Z551"/>
      <c r="AA551"/>
    </row>
    <row r="552" ht="15" spans="1:20">
      <c r="A552" s="35"/>
      <c r="B552" t="n" s="17">
        <f>70000000+F552*10000+H552*1000+I552*100+J552</f>
        <v>70305303</v>
      </c>
      <c r="C552" t="str" s="38">
        <v>泻砾堑-怪物10</v>
      </c>
      <c r="D552" s="3"/>
      <c r="E552" t="str" s="3">
        <f>F552&amp;(VLOOKUP(G552,编号表!$E$1:$G$8,2,0))&amp;H552&amp;"_"&amp;I552&amp;"_"&amp;J552</f>
        <v>30N5_3_3</v>
      </c>
      <c r="F552" t="n" s="3">
        <v>30</v>
      </c>
      <c r="G552" t="str" s="3">
        <v>怪物</v>
      </c>
      <c r="H552" t="n" s="3">
        <v>5</v>
      </c>
      <c r="I552" t="n" s="3">
        <v>3</v>
      </c>
      <c r="J552" t="n" s="3">
        <v>3</v>
      </c>
      <c r="K552" s="3"/>
      <c r="L552" s="3"/>
      <c r="M552" s="3"/>
      <c r="N552" s="3"/>
      <c r="O552" s="3"/>
      <c r="P552" s="3"/>
      <c r="Q552" s="3"/>
      <c r="R552" s="3"/>
      <c r="S552" s="17"/>
      <c r="T552" s="18"/>
      <c r="U552"/>
      <c r="V552"/>
      <c r="W552"/>
      <c r="X552"/>
      <c r="Y552"/>
      <c r="Z552"/>
      <c r="AA552"/>
    </row>
    <row r="553" ht="15" spans="1:20">
      <c r="A553" s="35"/>
      <c r="B553" t="n" s="17">
        <f>70000000+F553*10000+H553*1000+I553*100+J553</f>
        <v>70305304</v>
      </c>
      <c r="C553" t="str" s="38">
        <v>泻砾堑-怪物11</v>
      </c>
      <c r="D553" s="3"/>
      <c r="E553" t="str" s="3">
        <f>F553&amp;(VLOOKUP(G553,编号表!$E$1:$G$8,2,0))&amp;H553&amp;"_"&amp;I553&amp;"_"&amp;J553</f>
        <v>30N5_3_4</v>
      </c>
      <c r="F553" t="n" s="3">
        <v>30</v>
      </c>
      <c r="G553" t="str" s="3">
        <v>怪物</v>
      </c>
      <c r="H553" t="n" s="3">
        <v>5</v>
      </c>
      <c r="I553" t="n" s="3">
        <v>3</v>
      </c>
      <c r="J553" t="n" s="3">
        <v>4</v>
      </c>
      <c r="K553" s="3"/>
      <c r="L553" s="3"/>
      <c r="M553" s="3"/>
      <c r="N553" s="3"/>
      <c r="O553" s="3"/>
      <c r="P553" s="3"/>
      <c r="Q553" s="3"/>
      <c r="R553" s="3"/>
      <c r="S553" s="17"/>
      <c r="T553" s="18"/>
      <c r="U553"/>
      <c r="V553"/>
      <c r="W553"/>
      <c r="X553"/>
      <c r="Y553"/>
      <c r="Z553"/>
      <c r="AA553"/>
    </row>
    <row r="554" ht="15" spans="1:20">
      <c r="A554" s="35"/>
      <c r="B554" t="n" s="17">
        <f>70000000+F554*10000+H554*1000+I554*100+J554</f>
        <v>70305001</v>
      </c>
      <c r="C554" t="str" s="39">
        <v>泻砾堑-镜头</v>
      </c>
      <c r="D554" s="3"/>
      <c r="E554" t="str" s="3">
        <f>F554&amp;(VLOOKUP(G554,编号表!$E$1:$G$8,2,0))&amp;H554&amp;"_"&amp;I554&amp;"_"&amp;J554</f>
        <v>30J5_0_1</v>
      </c>
      <c r="F554" t="n" s="3">
        <v>30</v>
      </c>
      <c r="G554" t="str" s="3">
        <v>镜头</v>
      </c>
      <c r="H554" t="n" s="3">
        <v>5</v>
      </c>
      <c r="I554" t="n" s="3">
        <v>0</v>
      </c>
      <c r="J554" t="n" s="3">
        <v>1</v>
      </c>
      <c r="K554" t="n" s="3">
        <v>1</v>
      </c>
      <c r="L554" s="3"/>
      <c r="M554" s="3"/>
      <c r="N554" s="3"/>
      <c r="O554" s="3"/>
      <c r="P554" s="3"/>
      <c r="Q554" s="3"/>
      <c r="R554" s="3"/>
      <c r="S554" s="17"/>
      <c r="T554" s="18"/>
      <c r="U554"/>
      <c r="V554"/>
      <c r="W554"/>
      <c r="X554"/>
      <c r="Y554"/>
      <c r="Z554"/>
      <c r="AA554"/>
    </row>
    <row r="555" ht="15" spans="1:20">
      <c r="A555" s="35"/>
      <c r="B555" t="n" s="17">
        <f>70000000+F555*10000+H555*1000+I555*100+J555</f>
        <v>70301001</v>
      </c>
      <c r="C555" t="str" s="37">
        <v>泻砾堑-传送</v>
      </c>
      <c r="D555" s="3"/>
      <c r="E555" t="str" s="3">
        <f>F555&amp;(VLOOKUP(G555,编号表!$E$1:$G$8,2,0))&amp;H555&amp;"_"&amp;I555&amp;"_"&amp;J555</f>
        <v>30T1_0_1</v>
      </c>
      <c r="F555" t="n" s="3">
        <v>30</v>
      </c>
      <c r="G555" t="str" s="3">
        <v>传送</v>
      </c>
      <c r="H555" t="n" s="3">
        <v>1</v>
      </c>
      <c r="I555" t="n" s="3">
        <v>0</v>
      </c>
      <c r="J555" t="n" s="3">
        <v>1</v>
      </c>
      <c r="K555" s="3"/>
      <c r="L555" t="n" s="3">
        <v>1</v>
      </c>
      <c r="M555" s="3"/>
      <c r="N555" s="3"/>
      <c r="O555" s="3"/>
      <c r="P555" s="3"/>
      <c r="Q555" s="3"/>
      <c r="R555" t="n" s="3">
        <v>70321001</v>
      </c>
      <c r="S555" s="17"/>
      <c r="T555" s="18"/>
      <c r="U555"/>
      <c r="V555"/>
      <c r="W555"/>
      <c r="X555"/>
      <c r="Y555"/>
      <c r="Z555"/>
      <c r="AA555"/>
    </row>
    <row r="556" ht="15" spans="1:20">
      <c r="A556" s="35"/>
      <c r="B556" t="n" s="17">
        <f>70000000+F556*10000+H556*1000+I556*100+J556</f>
        <v>70301002</v>
      </c>
      <c r="C556" t="str" s="37">
        <v>泻砾堑-传送</v>
      </c>
      <c r="D556" s="3"/>
      <c r="E556" t="str" s="3">
        <f>F556&amp;(VLOOKUP(G556,编号表!$E$1:$G$8,2,0))&amp;H556&amp;"_"&amp;I556&amp;"_"&amp;J556</f>
        <v>30T1_0_2</v>
      </c>
      <c r="F556" t="n" s="3">
        <v>30</v>
      </c>
      <c r="G556" t="str" s="3">
        <v>传送</v>
      </c>
      <c r="H556" t="n" s="3">
        <v>1</v>
      </c>
      <c r="I556" t="n" s="3">
        <v>0</v>
      </c>
      <c r="J556" t="n" s="3">
        <v>2</v>
      </c>
      <c r="K556" s="3"/>
      <c r="L556" t="n" s="3">
        <v>1</v>
      </c>
      <c r="M556" s="3"/>
      <c r="N556" s="3"/>
      <c r="O556" s="3"/>
      <c r="P556" s="3"/>
      <c r="Q556" s="3"/>
      <c r="R556" t="n" s="3">
        <v>70291002</v>
      </c>
      <c r="S556" s="17"/>
      <c r="T556" s="18"/>
      <c r="U556"/>
      <c r="V556"/>
      <c r="W556"/>
      <c r="X556"/>
      <c r="Y556"/>
      <c r="Z556"/>
      <c r="AA556"/>
    </row>
    <row r="557" ht="15" spans="1:20">
      <c r="A557" s="35"/>
      <c r="B557" t="n" s="17">
        <f>70000000+F557*10000+H557*1000+I557*100+J557</f>
        <v>70302001</v>
      </c>
      <c r="C557" t="str" s="37">
        <v>泻砾堑-小地图</v>
      </c>
      <c r="D557" s="3"/>
      <c r="E557" t="str" s="3">
        <f>F557&amp;(VLOOKUP(G557,编号表!$E$1:$G$8,2,0))&amp;H557&amp;"_"&amp;I557&amp;"_"&amp;J557</f>
        <v>30D2_0_1</v>
      </c>
      <c r="F557" t="n" s="3">
        <v>30</v>
      </c>
      <c r="G557" t="str" s="3">
        <v>小地图</v>
      </c>
      <c r="H557" t="n" s="3">
        <v>2</v>
      </c>
      <c r="I557" t="n" s="3">
        <v>0</v>
      </c>
      <c r="J557" t="n" s="3">
        <v>1</v>
      </c>
      <c r="K557" s="3"/>
      <c r="L557" s="3"/>
      <c r="M557" t="n" s="3">
        <v>1</v>
      </c>
      <c r="N557" s="3"/>
      <c r="O557" s="3"/>
      <c r="P557" s="3"/>
      <c r="Q557" s="3"/>
      <c r="R557" s="3"/>
      <c r="S557" s="17"/>
      <c r="T557" s="18"/>
      <c r="U557"/>
      <c r="V557"/>
      <c r="W557"/>
      <c r="X557"/>
      <c r="Y557"/>
      <c r="Z557"/>
      <c r="AA557"/>
    </row>
    <row r="558" ht="12" customHeight="1" spans="1:20">
      <c r="A558" s="35"/>
      <c r="B558" t="n" s="17">
        <f>70000000+F558*10000+H558*1000+I558*100+J558</f>
        <v>70315101</v>
      </c>
      <c r="C558" t="str" s="38">
        <v>幽崩谷-怪物1</v>
      </c>
      <c r="D558" s="3"/>
      <c r="E558" t="str" s="3">
        <f>F558&amp;(VLOOKUP(G558,编号表!$E$1:$G$8,2,0))&amp;H558&amp;"_"&amp;I558&amp;"_"&amp;J558</f>
        <v>31N5_1_1</v>
      </c>
      <c r="F558" t="n" s="3">
        <v>31</v>
      </c>
      <c r="G558" t="str" s="3">
        <v>怪物</v>
      </c>
      <c r="H558" t="n" s="3">
        <v>5</v>
      </c>
      <c r="I558" t="n" s="3">
        <v>1</v>
      </c>
      <c r="J558" t="n" s="3">
        <v>1</v>
      </c>
      <c r="K558" s="3"/>
      <c r="L558" s="3"/>
      <c r="M558" s="3"/>
      <c r="N558" s="3"/>
      <c r="O558" s="3"/>
      <c r="P558" s="3"/>
      <c r="Q558" s="3"/>
      <c r="R558" s="3"/>
      <c r="S558" t="str" s="17">
        <v>本轮完整刷新挂接；有效坐标注入后验证</v>
      </c>
      <c r="T558" t="n" s="18">
        <v>1043304</v>
      </c>
      <c r="U558"/>
      <c r="V558"/>
      <c r="W558"/>
      <c r="X558"/>
      <c r="Y558"/>
      <c r="Z558"/>
      <c r="AA558"/>
    </row>
    <row r="559" ht="12" customHeight="1" spans="1:20">
      <c r="A559" s="35"/>
      <c r="B559" t="n" s="17">
        <f>70000000+F559*10000+H559*1000+I559*100+J559</f>
        <v>70315102</v>
      </c>
      <c r="C559" t="str" s="38">
        <v>幽崩谷-怪物2</v>
      </c>
      <c r="D559" s="3"/>
      <c r="E559" t="str" s="3">
        <f>F559&amp;(VLOOKUP(G559,编号表!$E$1:$G$8,2,0))&amp;H559&amp;"_"&amp;I559&amp;"_"&amp;J559</f>
        <v>31N5_1_2</v>
      </c>
      <c r="F559" t="n" s="3">
        <v>31</v>
      </c>
      <c r="G559" t="str" s="3">
        <v>怪物</v>
      </c>
      <c r="H559" t="n" s="3">
        <v>5</v>
      </c>
      <c r="I559" t="n" s="3">
        <v>1</v>
      </c>
      <c r="J559" t="n" s="3">
        <v>2</v>
      </c>
      <c r="K559" s="3"/>
      <c r="L559" s="3"/>
      <c r="M559" s="3"/>
      <c r="N559" s="3"/>
      <c r="O559" s="3"/>
      <c r="P559" s="3"/>
      <c r="Q559" s="3"/>
      <c r="R559" s="3"/>
      <c r="S559" t="str" s="17">
        <v>本轮完整刷新挂接；有效坐标注入后验证</v>
      </c>
      <c r="T559" t="n" s="18">
        <v>1043404</v>
      </c>
      <c r="U559"/>
      <c r="V559"/>
      <c r="W559"/>
      <c r="X559"/>
      <c r="Y559"/>
      <c r="Z559"/>
      <c r="AA559"/>
    </row>
    <row r="560" ht="12" customHeight="1" spans="1:20">
      <c r="A560" s="35"/>
      <c r="B560" t="n" s="17">
        <f>70000000+F560*10000+H560*1000+I560*100+J560</f>
        <v>70315103</v>
      </c>
      <c r="C560" t="str" s="38">
        <v>幽崩谷-怪物3</v>
      </c>
      <c r="D560" s="3"/>
      <c r="E560" t="str" s="3">
        <f>F560&amp;(VLOOKUP(G560,编号表!$E$1:$G$8,2,0))&amp;H560&amp;"_"&amp;I560&amp;"_"&amp;J560</f>
        <v>31N5_1_3</v>
      </c>
      <c r="F560" t="n" s="3">
        <v>31</v>
      </c>
      <c r="G560" t="str" s="3">
        <v>怪物</v>
      </c>
      <c r="H560" t="n" s="3">
        <v>5</v>
      </c>
      <c r="I560" t="n" s="3">
        <v>1</v>
      </c>
      <c r="J560" t="n" s="3">
        <v>3</v>
      </c>
      <c r="K560" s="3"/>
      <c r="L560" s="3"/>
      <c r="M560" s="3"/>
      <c r="N560" s="3"/>
      <c r="O560" s="3"/>
      <c r="P560" s="3"/>
      <c r="Q560" s="3"/>
      <c r="R560" s="3"/>
      <c r="S560" t="str" s="17">
        <v>本轮完整刷新挂接；有效坐标注入后验证</v>
      </c>
      <c r="T560" t="n" s="18">
        <v>1043103</v>
      </c>
      <c r="U560"/>
      <c r="V560"/>
      <c r="W560"/>
      <c r="X560"/>
      <c r="Y560"/>
      <c r="Z560"/>
      <c r="AA560"/>
    </row>
    <row r="561" ht="12" customHeight="1" spans="1:20">
      <c r="A561" s="35"/>
      <c r="B561" t="n" s="17">
        <f>70000000+F561*10000+H561*1000+I561*100+J561</f>
        <v>70315104</v>
      </c>
      <c r="C561" t="str" s="38">
        <v>幽崩谷-怪物4</v>
      </c>
      <c r="D561" s="3"/>
      <c r="E561" t="str" s="3">
        <f>F561&amp;(VLOOKUP(G561,编号表!$E$1:$G$8,2,0))&amp;H561&amp;"_"&amp;I561&amp;"_"&amp;J561</f>
        <v>31N5_1_4</v>
      </c>
      <c r="F561" t="n" s="3">
        <v>31</v>
      </c>
      <c r="G561" t="str" s="3">
        <v>怪物</v>
      </c>
      <c r="H561" t="n" s="3">
        <v>5</v>
      </c>
      <c r="I561" t="n" s="3">
        <v>1</v>
      </c>
      <c r="J561" t="n" s="3">
        <v>4</v>
      </c>
      <c r="K561" s="3"/>
      <c r="L561" s="3"/>
      <c r="M561" s="3"/>
      <c r="N561" s="3"/>
      <c r="O561" s="3"/>
      <c r="P561" s="3"/>
      <c r="Q561" s="3"/>
      <c r="R561" s="3"/>
      <c r="S561" t="str" s="17">
        <v>本轮完整刷新挂接；有效坐标注入后验证</v>
      </c>
      <c r="T561" t="n" s="18">
        <v>1043001</v>
      </c>
      <c r="U561"/>
      <c r="V561"/>
      <c r="W561"/>
      <c r="X561"/>
      <c r="Y561"/>
      <c r="Z561"/>
      <c r="AA561"/>
    </row>
    <row r="562" ht="12" customHeight="1" spans="1:20">
      <c r="A562" s="35"/>
      <c r="B562" t="n" s="17">
        <f>70000000+F562*10000+H562*1000+I562*100+J562</f>
        <v>70315201</v>
      </c>
      <c r="C562" t="str" s="38">
        <v>幽崩谷-怪物5</v>
      </c>
      <c r="D562" s="3"/>
      <c r="E562" t="str" s="3">
        <f>F562&amp;(VLOOKUP(G562,编号表!$E$1:$G$8,2,0))&amp;H562&amp;"_"&amp;I562&amp;"_"&amp;J562</f>
        <v>31N5_2_1</v>
      </c>
      <c r="F562" t="n" s="3">
        <v>31</v>
      </c>
      <c r="G562" t="str" s="3">
        <v>怪物</v>
      </c>
      <c r="H562" t="n" s="3">
        <v>5</v>
      </c>
      <c r="I562" t="n" s="3">
        <v>2</v>
      </c>
      <c r="J562" t="n" s="3">
        <v>1</v>
      </c>
      <c r="K562" s="3"/>
      <c r="L562" s="3"/>
      <c r="M562" s="3"/>
      <c r="N562" s="3"/>
      <c r="O562" s="3"/>
      <c r="P562" s="3"/>
      <c r="Q562" s="3"/>
      <c r="R562" s="3"/>
      <c r="S562" s="17"/>
      <c r="T562" s="18"/>
      <c r="U562"/>
      <c r="V562"/>
      <c r="W562"/>
      <c r="X562"/>
      <c r="Y562"/>
      <c r="Z562"/>
      <c r="AA562"/>
    </row>
    <row r="563" ht="12" customHeight="1" spans="1:20">
      <c r="A563" s="35"/>
      <c r="B563" t="n" s="17">
        <f>70000000+F563*10000+H563*1000+I563*100+J563</f>
        <v>70315202</v>
      </c>
      <c r="C563" t="str" s="38">
        <v>幽崩谷-怪物6</v>
      </c>
      <c r="D563" s="3"/>
      <c r="E563" t="str" s="3">
        <f>F563&amp;(VLOOKUP(G563,编号表!$E$1:$G$8,2,0))&amp;H563&amp;"_"&amp;I563&amp;"_"&amp;J563</f>
        <v>31N5_2_2</v>
      </c>
      <c r="F563" t="n" s="3">
        <v>31</v>
      </c>
      <c r="G563" t="str" s="3">
        <v>怪物</v>
      </c>
      <c r="H563" t="n" s="3">
        <v>5</v>
      </c>
      <c r="I563" t="n" s="3">
        <v>2</v>
      </c>
      <c r="J563" t="n" s="3">
        <v>2</v>
      </c>
      <c r="K563" s="3"/>
      <c r="L563" s="3"/>
      <c r="M563" s="3"/>
      <c r="N563" s="3"/>
      <c r="O563" s="3"/>
      <c r="P563" s="3"/>
      <c r="Q563" s="3"/>
      <c r="R563" s="3"/>
      <c r="S563" s="17"/>
      <c r="T563" s="18"/>
      <c r="U563"/>
      <c r="V563"/>
      <c r="W563"/>
      <c r="X563"/>
      <c r="Y563"/>
      <c r="Z563"/>
      <c r="AA563"/>
    </row>
    <row r="564" ht="12" customHeight="1" spans="1:20">
      <c r="A564" s="35"/>
      <c r="B564" t="n" s="17">
        <f>70000000+F564*10000+H564*1000+I564*100+J564</f>
        <v>70315203</v>
      </c>
      <c r="C564" t="str" s="38">
        <v>幽崩谷-怪物7</v>
      </c>
      <c r="D564" s="3"/>
      <c r="E564" t="str" s="3">
        <f>F564&amp;(VLOOKUP(G564,编号表!$E$1:$G$8,2,0))&amp;H564&amp;"_"&amp;I564&amp;"_"&amp;J564</f>
        <v>31N5_2_3</v>
      </c>
      <c r="F564" t="n" s="3">
        <v>31</v>
      </c>
      <c r="G564" t="str" s="3">
        <v>怪物</v>
      </c>
      <c r="H564" t="n" s="3">
        <v>5</v>
      </c>
      <c r="I564" t="n" s="3">
        <v>2</v>
      </c>
      <c r="J564" t="n" s="3">
        <v>3</v>
      </c>
      <c r="K564" s="3"/>
      <c r="L564" s="3"/>
      <c r="M564" s="3"/>
      <c r="N564" s="3"/>
      <c r="O564" s="3"/>
      <c r="P564" s="3"/>
      <c r="Q564" s="3"/>
      <c r="R564" s="3"/>
      <c r="S564" s="17"/>
      <c r="T564" s="18"/>
      <c r="U564"/>
      <c r="V564"/>
      <c r="W564"/>
      <c r="X564"/>
      <c r="Y564"/>
      <c r="Z564"/>
      <c r="AA564"/>
    </row>
    <row r="565" ht="12" customHeight="1" spans="1:20">
      <c r="A565" s="35"/>
      <c r="B565" t="n" s="17">
        <f>70000000+F565*10000+H565*1000+I565*100+J565</f>
        <v>70315204</v>
      </c>
      <c r="C565" t="str" s="38">
        <v>幽崩谷-怪物8</v>
      </c>
      <c r="D565" s="3"/>
      <c r="E565" t="str" s="3">
        <f>F565&amp;(VLOOKUP(G565,编号表!$E$1:$G$8,2,0))&amp;H565&amp;"_"&amp;I565&amp;"_"&amp;J565</f>
        <v>31N5_2_4</v>
      </c>
      <c r="F565" t="n" s="3">
        <v>31</v>
      </c>
      <c r="G565" t="str" s="3">
        <v>怪物</v>
      </c>
      <c r="H565" t="n" s="3">
        <v>5</v>
      </c>
      <c r="I565" t="n" s="3">
        <v>2</v>
      </c>
      <c r="J565" t="n" s="3">
        <v>4</v>
      </c>
      <c r="K565" s="3"/>
      <c r="L565" s="3"/>
      <c r="M565" s="3"/>
      <c r="N565" s="3"/>
      <c r="O565" s="3"/>
      <c r="P565" s="3"/>
      <c r="Q565" s="3"/>
      <c r="R565" s="3"/>
      <c r="S565" s="17"/>
      <c r="T565" s="18"/>
      <c r="U565"/>
      <c r="V565"/>
      <c r="W565"/>
      <c r="X565"/>
      <c r="Y565"/>
      <c r="Z565"/>
      <c r="AA565"/>
    </row>
    <row r="566" ht="12" customHeight="1" spans="1:20">
      <c r="A566" s="35"/>
      <c r="B566" t="n" s="17">
        <f>70000000+F566*10000+H566*1000+I566*100+J566</f>
        <v>70315205</v>
      </c>
      <c r="C566" t="str" s="38">
        <v>幽崩谷-怪物9</v>
      </c>
      <c r="D566" s="3"/>
      <c r="E566" t="str" s="3">
        <f>F566&amp;(VLOOKUP(G566,编号表!$E$1:$G$8,2,0))&amp;H566&amp;"_"&amp;I566&amp;"_"&amp;J566</f>
        <v>31N5_2_5</v>
      </c>
      <c r="F566" t="n" s="3">
        <v>31</v>
      </c>
      <c r="G566" t="str" s="3">
        <v>怪物</v>
      </c>
      <c r="H566" t="n" s="3">
        <v>5</v>
      </c>
      <c r="I566" t="n" s="3">
        <v>2</v>
      </c>
      <c r="J566" t="n" s="3">
        <v>5</v>
      </c>
      <c r="K566" s="3"/>
      <c r="L566" s="3"/>
      <c r="M566" s="3"/>
      <c r="N566" s="3"/>
      <c r="O566" s="3"/>
      <c r="P566" s="3"/>
      <c r="Q566" s="3"/>
      <c r="R566" s="3"/>
      <c r="S566" s="17"/>
      <c r="T566" s="18"/>
      <c r="U566"/>
      <c r="V566"/>
      <c r="W566"/>
      <c r="X566"/>
      <c r="Y566"/>
      <c r="Z566"/>
      <c r="AA566"/>
    </row>
    <row r="567" ht="12" customHeight="1" spans="1:20">
      <c r="A567" s="35"/>
      <c r="B567" t="n" s="17">
        <f>70000000+F567*10000+H567*1000+I567*100+J567</f>
        <v>70315206</v>
      </c>
      <c r="C567" t="str" s="38">
        <v>幽崩谷-怪物10</v>
      </c>
      <c r="D567" s="3"/>
      <c r="E567" t="str" s="3">
        <f>F567&amp;(VLOOKUP(G567,编号表!$E$1:$G$8,2,0))&amp;H567&amp;"_"&amp;I567&amp;"_"&amp;J567</f>
        <v>31N5_2_6</v>
      </c>
      <c r="F567" t="n" s="3">
        <v>31</v>
      </c>
      <c r="G567" t="str" s="3">
        <v>怪物</v>
      </c>
      <c r="H567" t="n" s="3">
        <v>5</v>
      </c>
      <c r="I567" t="n" s="3">
        <v>2</v>
      </c>
      <c r="J567" t="n" s="3">
        <v>6</v>
      </c>
      <c r="K567" s="3"/>
      <c r="L567" s="3"/>
      <c r="M567" s="3"/>
      <c r="N567" s="3"/>
      <c r="O567" s="3"/>
      <c r="P567" s="3"/>
      <c r="Q567" s="3"/>
      <c r="R567" s="3"/>
      <c r="S567" s="17"/>
      <c r="T567" s="18"/>
      <c r="U567"/>
      <c r="V567"/>
      <c r="W567"/>
      <c r="X567"/>
      <c r="Y567"/>
      <c r="Z567"/>
      <c r="AA567"/>
    </row>
    <row r="568" ht="15" spans="1:20">
      <c r="A568" s="35"/>
      <c r="B568" t="n" s="17">
        <f>70000000+F568*10000+H568*1000+I568*100+J568</f>
        <v>70315001</v>
      </c>
      <c r="C568" t="str" s="39">
        <v>幽崩谷-镜头</v>
      </c>
      <c r="D568" s="3"/>
      <c r="E568" t="str" s="3">
        <f>F568&amp;(VLOOKUP(G568,编号表!$E$1:$G$8,2,0))&amp;H568&amp;"_"&amp;I568&amp;"_"&amp;J568</f>
        <v>31J5_0_1</v>
      </c>
      <c r="F568" t="n" s="3">
        <v>31</v>
      </c>
      <c r="G568" t="str" s="3">
        <v>镜头</v>
      </c>
      <c r="H568" t="n" s="3">
        <v>5</v>
      </c>
      <c r="I568" t="n" s="3">
        <v>0</v>
      </c>
      <c r="J568" t="n" s="3">
        <v>1</v>
      </c>
      <c r="K568" t="n" s="3">
        <v>1</v>
      </c>
      <c r="L568" s="3"/>
      <c r="M568" s="3"/>
      <c r="N568" s="3"/>
      <c r="O568" s="3"/>
      <c r="P568" s="3"/>
      <c r="Q568" s="3"/>
      <c r="R568" s="3"/>
      <c r="S568" s="17"/>
      <c r="T568" s="18"/>
      <c r="U568"/>
      <c r="V568"/>
      <c r="W568"/>
      <c r="X568"/>
      <c r="Y568"/>
      <c r="Z568"/>
      <c r="AA568"/>
    </row>
    <row r="569" ht="15" spans="1:20">
      <c r="A569" s="35"/>
      <c r="B569" t="n" s="17">
        <f>70000000+F569*10000+H569*1000+I569*100+J569</f>
        <v>70311001</v>
      </c>
      <c r="C569" t="str" s="37">
        <v>幽崩谷-传送</v>
      </c>
      <c r="D569" s="3"/>
      <c r="E569" t="str" s="3">
        <f>F569&amp;(VLOOKUP(G569,编号表!$E$1:$G$8,2,0))&amp;H569&amp;"_"&amp;I569&amp;"_"&amp;J569</f>
        <v>31T1_0_1</v>
      </c>
      <c r="F569" t="n" s="3">
        <v>31</v>
      </c>
      <c r="G569" t="str" s="3">
        <v>传送</v>
      </c>
      <c r="H569" t="n" s="3">
        <v>1</v>
      </c>
      <c r="I569" t="n" s="3">
        <v>0</v>
      </c>
      <c r="J569" t="n" s="3">
        <v>1</v>
      </c>
      <c r="K569" s="3"/>
      <c r="L569" t="n" s="3">
        <v>1</v>
      </c>
      <c r="M569" s="3"/>
      <c r="N569" s="3"/>
      <c r="O569" s="3"/>
      <c r="P569" s="3"/>
      <c r="Q569" s="3"/>
      <c r="R569" t="n" s="3">
        <v>70301002</v>
      </c>
      <c r="S569" s="17"/>
      <c r="T569" s="18"/>
      <c r="U569"/>
      <c r="V569"/>
      <c r="W569"/>
      <c r="X569"/>
      <c r="Y569"/>
      <c r="Z569"/>
      <c r="AA569"/>
    </row>
    <row r="570" ht="15" spans="1:20">
      <c r="A570" s="35"/>
      <c r="B570" t="n" s="17">
        <f>70000000+F570*10000+H570*1000+I570*100+J570</f>
        <v>70311002</v>
      </c>
      <c r="C570" t="str" s="37">
        <v>幽崩谷-传送</v>
      </c>
      <c r="D570" s="3"/>
      <c r="E570" t="str" s="3">
        <f>F570&amp;(VLOOKUP(G570,编号表!$E$1:$G$8,2,0))&amp;H570&amp;"_"&amp;I570&amp;"_"&amp;J570</f>
        <v>31T1_0_2</v>
      </c>
      <c r="F570" t="n" s="3">
        <v>31</v>
      </c>
      <c r="G570" t="str" s="3">
        <v>传送</v>
      </c>
      <c r="H570" t="n" s="3">
        <v>1</v>
      </c>
      <c r="I570" t="n" s="3">
        <v>0</v>
      </c>
      <c r="J570" t="n" s="3">
        <v>2</v>
      </c>
      <c r="K570" s="3"/>
      <c r="L570" t="n" s="3">
        <v>1</v>
      </c>
      <c r="M570" s="3"/>
      <c r="N570" s="3"/>
      <c r="O570" s="3"/>
      <c r="P570" s="3"/>
      <c r="Q570" s="3"/>
      <c r="R570" t="n" s="3">
        <v>70321001</v>
      </c>
      <c r="S570" s="17"/>
      <c r="T570" s="18"/>
      <c r="U570"/>
      <c r="V570"/>
      <c r="W570"/>
      <c r="X570"/>
      <c r="Y570"/>
      <c r="Z570"/>
      <c r="AA570"/>
    </row>
    <row r="571" ht="15" spans="1:20">
      <c r="A571" s="35"/>
      <c r="B571" t="n" s="17">
        <f>70000000+F571*10000+H571*1000+I571*100+J571</f>
        <v>70312001</v>
      </c>
      <c r="C571" t="str" s="37">
        <v>幽崩谷-小地图</v>
      </c>
      <c r="D571" s="3"/>
      <c r="E571" t="str" s="3">
        <f>F571&amp;(VLOOKUP(G571,编号表!$E$1:$G$8,2,0))&amp;H571&amp;"_"&amp;I571&amp;"_"&amp;J571</f>
        <v>31D2_0_1</v>
      </c>
      <c r="F571" t="n" s="3">
        <v>31</v>
      </c>
      <c r="G571" t="str" s="3">
        <v>小地图</v>
      </c>
      <c r="H571" t="n" s="3">
        <v>2</v>
      </c>
      <c r="I571" t="n" s="3">
        <v>0</v>
      </c>
      <c r="J571" t="n" s="3">
        <v>1</v>
      </c>
      <c r="K571" s="3"/>
      <c r="L571" s="3"/>
      <c r="M571" t="n" s="3">
        <v>1</v>
      </c>
      <c r="N571" s="3"/>
      <c r="O571" s="3"/>
      <c r="P571" s="3"/>
      <c r="Q571" s="3"/>
      <c r="R571" s="3"/>
      <c r="S571" s="17"/>
      <c r="T571" s="18"/>
      <c r="U571"/>
      <c r="V571"/>
      <c r="W571"/>
      <c r="X571"/>
      <c r="Y571"/>
      <c r="Z571"/>
      <c r="AA571"/>
    </row>
    <row r="572" ht="12" customHeight="1" spans="1:20">
      <c r="A572" s="35"/>
      <c r="B572" t="n" s="17">
        <f>70000000+F572*10000+H572*1000+I572*100+J572</f>
        <v>70325101</v>
      </c>
      <c r="C572" t="str" s="38">
        <v>截风坡-怪物1</v>
      </c>
      <c r="D572" s="3"/>
      <c r="E572" t="str" s="3">
        <f>F572&amp;(VLOOKUP(G572,编号表!$E$1:$G$8,2,0))&amp;H572&amp;"_"&amp;I572&amp;"_"&amp;J572</f>
        <v>32N5_1_1</v>
      </c>
      <c r="F572" t="n" s="3">
        <v>32</v>
      </c>
      <c r="G572" t="str" s="3">
        <v>怪物</v>
      </c>
      <c r="H572" t="n" s="3">
        <v>5</v>
      </c>
      <c r="I572" t="n" s="3">
        <v>1</v>
      </c>
      <c r="J572" t="n" s="3">
        <v>1</v>
      </c>
      <c r="K572" s="3"/>
      <c r="L572" s="3"/>
      <c r="M572" s="3"/>
      <c r="N572" s="3"/>
      <c r="O572" s="3"/>
      <c r="P572" s="3"/>
      <c r="Q572" s="3"/>
      <c r="R572" s="3"/>
      <c r="S572" t="str" s="17">
        <v>本轮完整刷新挂接；有效坐标注入后验证</v>
      </c>
      <c r="T572" t="n" s="18">
        <v>1044304</v>
      </c>
      <c r="U572"/>
      <c r="V572"/>
      <c r="W572"/>
      <c r="X572"/>
      <c r="Y572"/>
      <c r="Z572"/>
      <c r="AA572"/>
    </row>
    <row r="573" ht="12" customHeight="1" spans="1:20">
      <c r="A573" s="35"/>
      <c r="B573" t="n" s="17">
        <f>70000000+F573*10000+H573*1000+I573*100+J573</f>
        <v>70325102</v>
      </c>
      <c r="C573" t="str" s="38">
        <v>截风坡-怪物2</v>
      </c>
      <c r="D573" s="3"/>
      <c r="E573" t="str" s="3">
        <f>F573&amp;(VLOOKUP(G573,编号表!$E$1:$G$8,2,0))&amp;H573&amp;"_"&amp;I573&amp;"_"&amp;J573</f>
        <v>32N5_1_2</v>
      </c>
      <c r="F573" t="n" s="3">
        <v>32</v>
      </c>
      <c r="G573" t="str" s="3">
        <v>怪物</v>
      </c>
      <c r="H573" t="n" s="3">
        <v>5</v>
      </c>
      <c r="I573" t="n" s="3">
        <v>1</v>
      </c>
      <c r="J573" t="n" s="3">
        <v>2</v>
      </c>
      <c r="K573" s="3"/>
      <c r="L573" s="3"/>
      <c r="M573" s="3"/>
      <c r="N573" s="3"/>
      <c r="O573" s="3"/>
      <c r="P573" s="3"/>
      <c r="Q573" s="3"/>
      <c r="R573" s="3"/>
      <c r="S573" t="str" s="17">
        <v>本轮完整刷新挂接；有效坐标注入后验证</v>
      </c>
      <c r="T573" t="n" s="18">
        <v>1044404</v>
      </c>
      <c r="U573"/>
      <c r="V573"/>
      <c r="W573"/>
      <c r="X573"/>
      <c r="Y573"/>
      <c r="Z573"/>
      <c r="AA573"/>
    </row>
    <row r="574" ht="12" customHeight="1" spans="1:20">
      <c r="A574" s="35"/>
      <c r="B574" t="n" s="17">
        <f>70000000+F574*10000+H574*1000+I574*100+J574</f>
        <v>70325103</v>
      </c>
      <c r="C574" t="str" s="38">
        <v>截风坡-怪物3</v>
      </c>
      <c r="D574" s="3"/>
      <c r="E574" t="str" s="3">
        <f>F574&amp;(VLOOKUP(G574,编号表!$E$1:$G$8,2,0))&amp;H574&amp;"_"&amp;I574&amp;"_"&amp;J574</f>
        <v>32N5_1_3</v>
      </c>
      <c r="F574" t="n" s="3">
        <v>32</v>
      </c>
      <c r="G574" t="str" s="3">
        <v>怪物</v>
      </c>
      <c r="H574" t="n" s="3">
        <v>5</v>
      </c>
      <c r="I574" t="n" s="3">
        <v>1</v>
      </c>
      <c r="J574" t="n" s="3">
        <v>3</v>
      </c>
      <c r="K574" s="3"/>
      <c r="L574" s="3"/>
      <c r="M574" s="3"/>
      <c r="N574" s="3"/>
      <c r="O574" s="3"/>
      <c r="P574" s="3"/>
      <c r="Q574" s="3"/>
      <c r="R574" s="3"/>
      <c r="S574" t="str" s="17">
        <v>本轮完整刷新挂接；有效坐标注入后验证</v>
      </c>
      <c r="T574" t="n" s="18">
        <v>1044103</v>
      </c>
      <c r="U574"/>
      <c r="V574"/>
      <c r="W574"/>
      <c r="X574"/>
      <c r="Y574"/>
      <c r="Z574"/>
      <c r="AA574"/>
    </row>
    <row r="575" ht="12" customHeight="1" spans="1:20">
      <c r="A575" s="35"/>
      <c r="B575" t="n" s="17">
        <f>70000000+F575*10000+H575*1000+I575*100+J575</f>
        <v>70325104</v>
      </c>
      <c r="C575" t="str" s="38">
        <v>截风坡-怪物4</v>
      </c>
      <c r="D575" s="3"/>
      <c r="E575" t="str" s="3">
        <f>F575&amp;(VLOOKUP(G575,编号表!$E$1:$G$8,2,0))&amp;H575&amp;"_"&amp;I575&amp;"_"&amp;J575</f>
        <v>32N5_1_4</v>
      </c>
      <c r="F575" t="n" s="3">
        <v>32</v>
      </c>
      <c r="G575" t="str" s="3">
        <v>怪物</v>
      </c>
      <c r="H575" t="n" s="3">
        <v>5</v>
      </c>
      <c r="I575" t="n" s="3">
        <v>1</v>
      </c>
      <c r="J575" t="n" s="3">
        <v>4</v>
      </c>
      <c r="K575" s="3"/>
      <c r="L575" s="3"/>
      <c r="M575" s="3"/>
      <c r="N575" s="3"/>
      <c r="O575" s="3"/>
      <c r="P575" s="3"/>
      <c r="Q575" s="3"/>
      <c r="R575" s="3"/>
      <c r="S575" t="str" s="17">
        <v>本轮完整刷新挂接；有效坐标注入后验证</v>
      </c>
      <c r="T575" t="n" s="18">
        <v>1044001</v>
      </c>
      <c r="U575"/>
      <c r="V575"/>
      <c r="W575"/>
      <c r="X575"/>
      <c r="Y575"/>
      <c r="Z575"/>
      <c r="AA575"/>
    </row>
    <row r="576" ht="12" customHeight="1" spans="1:20">
      <c r="A576" s="35"/>
      <c r="B576" t="n" s="17">
        <f>70000000+F576*10000+H576*1000+I576*100+J576</f>
        <v>70325201</v>
      </c>
      <c r="C576" t="str" s="38">
        <v>截风坡-怪物5</v>
      </c>
      <c r="D576" s="3"/>
      <c r="E576" t="str" s="3">
        <f>F576&amp;(VLOOKUP(G576,编号表!$E$1:$G$8,2,0))&amp;H576&amp;"_"&amp;I576&amp;"_"&amp;J576</f>
        <v>32N5_2_1</v>
      </c>
      <c r="F576" t="n" s="3">
        <v>32</v>
      </c>
      <c r="G576" t="str" s="3">
        <v>怪物</v>
      </c>
      <c r="H576" t="n" s="3">
        <v>5</v>
      </c>
      <c r="I576" t="n" s="3">
        <v>2</v>
      </c>
      <c r="J576" t="n" s="3">
        <v>1</v>
      </c>
      <c r="K576" s="3"/>
      <c r="L576" s="3"/>
      <c r="M576" s="3"/>
      <c r="N576" s="3"/>
      <c r="O576" s="3"/>
      <c r="P576" s="3"/>
      <c r="Q576" s="3"/>
      <c r="R576" s="3"/>
      <c r="S576" s="17"/>
      <c r="T576" s="18"/>
      <c r="U576"/>
      <c r="V576"/>
      <c r="W576"/>
      <c r="X576"/>
      <c r="Y576"/>
      <c r="Z576"/>
      <c r="AA576"/>
    </row>
    <row r="577" ht="12" customHeight="1" spans="1:20">
      <c r="A577" s="35"/>
      <c r="B577" t="n" s="17">
        <f>70000000+F577*10000+H577*1000+I577*100+J577</f>
        <v>70325202</v>
      </c>
      <c r="C577" t="str" s="38">
        <v>截风坡-怪物6</v>
      </c>
      <c r="D577" s="3"/>
      <c r="E577" t="str" s="3">
        <f>F577&amp;(VLOOKUP(G577,编号表!$E$1:$G$8,2,0))&amp;H577&amp;"_"&amp;I577&amp;"_"&amp;J577</f>
        <v>32N5_2_2</v>
      </c>
      <c r="F577" t="n" s="3">
        <v>32</v>
      </c>
      <c r="G577" t="str" s="3">
        <v>怪物</v>
      </c>
      <c r="H577" t="n" s="3">
        <v>5</v>
      </c>
      <c r="I577" t="n" s="3">
        <v>2</v>
      </c>
      <c r="J577" t="n" s="3">
        <v>2</v>
      </c>
      <c r="K577" s="3"/>
      <c r="L577" s="3"/>
      <c r="M577" s="3"/>
      <c r="N577" s="3"/>
      <c r="O577" s="3"/>
      <c r="P577" s="3"/>
      <c r="Q577" s="3"/>
      <c r="R577" s="3"/>
      <c r="S577" s="17"/>
      <c r="T577" s="18"/>
      <c r="U577"/>
      <c r="V577"/>
      <c r="W577"/>
      <c r="X577"/>
      <c r="Y577"/>
      <c r="Z577"/>
      <c r="AA577"/>
    </row>
    <row r="578" ht="12" customHeight="1" spans="1:20">
      <c r="A578" s="35"/>
      <c r="B578" t="n" s="17">
        <f>70000000+F578*10000+H578*1000+I578*100+J578</f>
        <v>70325203</v>
      </c>
      <c r="C578" t="str" s="38">
        <v>截风坡-怪物7</v>
      </c>
      <c r="D578" s="3"/>
      <c r="E578" t="str" s="3">
        <f>F578&amp;(VLOOKUP(G578,编号表!$E$1:$G$8,2,0))&amp;H578&amp;"_"&amp;I578&amp;"_"&amp;J578</f>
        <v>32N5_2_3</v>
      </c>
      <c r="F578" t="n" s="3">
        <v>32</v>
      </c>
      <c r="G578" t="str" s="3">
        <v>怪物</v>
      </c>
      <c r="H578" t="n" s="3">
        <v>5</v>
      </c>
      <c r="I578" t="n" s="3">
        <v>2</v>
      </c>
      <c r="J578" t="n" s="3">
        <v>3</v>
      </c>
      <c r="K578" s="3"/>
      <c r="L578" s="3"/>
      <c r="M578" s="3"/>
      <c r="N578" s="3"/>
      <c r="O578" s="3"/>
      <c r="P578" s="3"/>
      <c r="Q578" s="3"/>
      <c r="R578" s="3"/>
      <c r="S578" s="17"/>
      <c r="T578" s="18"/>
      <c r="U578"/>
      <c r="V578"/>
      <c r="W578"/>
      <c r="X578"/>
      <c r="Y578"/>
      <c r="Z578"/>
      <c r="AA578"/>
    </row>
    <row r="579" ht="12" customHeight="1" spans="1:20">
      <c r="A579" s="35"/>
      <c r="B579" t="n" s="17">
        <f>70000000+F579*10000+H579*1000+I579*100+J579</f>
        <v>70325204</v>
      </c>
      <c r="C579" t="str" s="38">
        <v>截风坡-怪物8</v>
      </c>
      <c r="D579" s="3"/>
      <c r="E579" t="str" s="3">
        <f>F579&amp;(VLOOKUP(G579,编号表!$E$1:$G$8,2,0))&amp;H579&amp;"_"&amp;I579&amp;"_"&amp;J579</f>
        <v>32N5_2_4</v>
      </c>
      <c r="F579" t="n" s="3">
        <v>32</v>
      </c>
      <c r="G579" t="str" s="3">
        <v>怪物</v>
      </c>
      <c r="H579" t="n" s="3">
        <v>5</v>
      </c>
      <c r="I579" t="n" s="3">
        <v>2</v>
      </c>
      <c r="J579" t="n" s="3">
        <v>4</v>
      </c>
      <c r="K579" s="3"/>
      <c r="L579" s="3"/>
      <c r="M579" s="3"/>
      <c r="N579" s="3"/>
      <c r="O579" s="3"/>
      <c r="P579" s="3"/>
      <c r="Q579" s="3"/>
      <c r="R579" s="3"/>
      <c r="S579" s="17"/>
      <c r="T579" s="18"/>
      <c r="U579"/>
      <c r="V579"/>
      <c r="W579"/>
      <c r="X579"/>
      <c r="Y579"/>
      <c r="Z579"/>
      <c r="AA579"/>
    </row>
    <row r="580" ht="12" customHeight="1" spans="1:20">
      <c r="A580" s="35"/>
      <c r="B580" t="n" s="17">
        <f>70000000+F580*10000+H580*1000+I580*100+J580</f>
        <v>70325301</v>
      </c>
      <c r="C580" t="str" s="38">
        <v>截风坡-怪物9</v>
      </c>
      <c r="D580" s="3"/>
      <c r="E580" t="str" s="3">
        <f>F580&amp;(VLOOKUP(G580,编号表!$E$1:$G$8,2,0))&amp;H580&amp;"_"&amp;I580&amp;"_"&amp;J580</f>
        <v>32N5_3_1</v>
      </c>
      <c r="F580" t="n" s="3">
        <v>32</v>
      </c>
      <c r="G580" t="str" s="3">
        <v>怪物</v>
      </c>
      <c r="H580" t="n" s="3">
        <v>5</v>
      </c>
      <c r="I580" t="n" s="3">
        <v>3</v>
      </c>
      <c r="J580" t="n" s="3">
        <v>1</v>
      </c>
      <c r="K580" s="3"/>
      <c r="L580" s="3"/>
      <c r="M580" s="3"/>
      <c r="N580" s="3"/>
      <c r="O580" s="3"/>
      <c r="P580" s="3"/>
      <c r="Q580" s="3"/>
      <c r="R580" s="3"/>
      <c r="S580" s="17"/>
      <c r="T580" s="18"/>
      <c r="U580"/>
      <c r="V580"/>
      <c r="W580"/>
      <c r="X580"/>
      <c r="Y580"/>
      <c r="Z580"/>
      <c r="AA580"/>
    </row>
    <row r="581" ht="12" customHeight="1" spans="1:20">
      <c r="A581" s="35"/>
      <c r="B581" t="n" s="17">
        <f>70000000+F581*10000+H581*1000+I581*100+J581</f>
        <v>70325302</v>
      </c>
      <c r="C581" t="str" s="38">
        <v>截风坡-怪物10</v>
      </c>
      <c r="D581" s="3"/>
      <c r="E581" t="str" s="3">
        <f>F581&amp;(VLOOKUP(G581,编号表!$E$1:$G$8,2,0))&amp;H581&amp;"_"&amp;I581&amp;"_"&amp;J581</f>
        <v>32N5_3_2</v>
      </c>
      <c r="F581" t="n" s="3">
        <v>32</v>
      </c>
      <c r="G581" t="str" s="3">
        <v>怪物</v>
      </c>
      <c r="H581" t="n" s="3">
        <v>5</v>
      </c>
      <c r="I581" t="n" s="3">
        <v>3</v>
      </c>
      <c r="J581" t="n" s="3">
        <v>2</v>
      </c>
      <c r="K581" s="3"/>
      <c r="L581" s="3"/>
      <c r="M581" s="3"/>
      <c r="N581" s="3"/>
      <c r="O581" s="3"/>
      <c r="P581" s="3"/>
      <c r="Q581" s="3"/>
      <c r="R581" s="3"/>
      <c r="S581" s="17"/>
      <c r="T581" s="18"/>
      <c r="U581"/>
      <c r="V581"/>
      <c r="W581"/>
      <c r="X581"/>
      <c r="Y581"/>
      <c r="Z581"/>
      <c r="AA581"/>
    </row>
    <row r="582" ht="12" customHeight="1" spans="1:20">
      <c r="A582" s="35"/>
      <c r="B582" t="n" s="17">
        <f>70000000+F582*10000+H582*1000+I582*100+J582</f>
        <v>70325303</v>
      </c>
      <c r="C582" t="str" s="38">
        <v>截风坡-怪物10</v>
      </c>
      <c r="D582" s="3"/>
      <c r="E582" t="str" s="3">
        <f>F582&amp;(VLOOKUP(G582,编号表!$E$1:$G$8,2,0))&amp;H582&amp;"_"&amp;I582&amp;"_"&amp;J582</f>
        <v>32N5_3_3</v>
      </c>
      <c r="F582" t="n" s="3">
        <v>32</v>
      </c>
      <c r="G582" t="str" s="3">
        <v>怪物</v>
      </c>
      <c r="H582" t="n" s="3">
        <v>5</v>
      </c>
      <c r="I582" t="n" s="3">
        <v>3</v>
      </c>
      <c r="J582" t="n" s="3">
        <v>3</v>
      </c>
      <c r="K582" s="3"/>
      <c r="L582" s="3"/>
      <c r="M582" s="3"/>
      <c r="N582" s="3"/>
      <c r="O582" s="3"/>
      <c r="P582" s="3"/>
      <c r="Q582" s="3"/>
      <c r="R582" s="3"/>
      <c r="S582" s="17"/>
      <c r="T582" s="18"/>
      <c r="U582"/>
      <c r="V582"/>
      <c r="W582"/>
      <c r="X582"/>
      <c r="Y582"/>
      <c r="Z582"/>
      <c r="AA582"/>
    </row>
    <row r="583" ht="12" customHeight="1" spans="1:20">
      <c r="A583" s="35"/>
      <c r="B583" t="n" s="17">
        <f>70000000+F583*10000+H583*1000+I583*100+J583</f>
        <v>70325304</v>
      </c>
      <c r="C583" t="str" s="38">
        <v>截风坡-怪物10</v>
      </c>
      <c r="D583" s="3"/>
      <c r="E583" t="str" s="3">
        <f>F583&amp;(VLOOKUP(G583,编号表!$E$1:$G$8,2,0))&amp;H583&amp;"_"&amp;I583&amp;"_"&amp;J583</f>
        <v>32N5_3_4</v>
      </c>
      <c r="F583" t="n" s="3">
        <v>32</v>
      </c>
      <c r="G583" t="str" s="3">
        <v>怪物</v>
      </c>
      <c r="H583" t="n" s="3">
        <v>5</v>
      </c>
      <c r="I583" t="n" s="3">
        <v>3</v>
      </c>
      <c r="J583" t="n" s="3">
        <v>4</v>
      </c>
      <c r="K583" s="3"/>
      <c r="L583" s="3"/>
      <c r="M583" s="3"/>
      <c r="N583" s="3"/>
      <c r="O583" s="3"/>
      <c r="P583" s="3"/>
      <c r="Q583" s="3"/>
      <c r="R583" s="3"/>
      <c r="S583" s="17"/>
      <c r="T583" s="18"/>
      <c r="U583"/>
      <c r="V583"/>
      <c r="W583"/>
      <c r="X583"/>
      <c r="Y583"/>
      <c r="Z583"/>
      <c r="AA583"/>
    </row>
    <row r="584" ht="15" spans="1:20">
      <c r="A584" s="35"/>
      <c r="B584" t="n" s="17">
        <f>70000000+F584*10000+H584*1000+I584*100+J584</f>
        <v>70325001</v>
      </c>
      <c r="C584" t="str" s="39">
        <v>截风坡-镜头</v>
      </c>
      <c r="D584" s="3"/>
      <c r="E584" t="str" s="3">
        <f>F584&amp;(VLOOKUP(G584,编号表!$E$1:$G$8,2,0))&amp;H584&amp;"_"&amp;I584&amp;"_"&amp;J584</f>
        <v>32J5_0_1</v>
      </c>
      <c r="F584" t="n" s="3">
        <v>32</v>
      </c>
      <c r="G584" t="str" s="3">
        <v>镜头</v>
      </c>
      <c r="H584" t="n" s="3">
        <v>5</v>
      </c>
      <c r="I584" t="n" s="3">
        <v>0</v>
      </c>
      <c r="J584" t="n" s="3">
        <v>1</v>
      </c>
      <c r="K584" t="n" s="3">
        <v>1</v>
      </c>
      <c r="L584" s="3"/>
      <c r="M584" s="3"/>
      <c r="N584" s="3"/>
      <c r="O584" s="3"/>
      <c r="P584" s="3"/>
      <c r="Q584" s="3"/>
      <c r="R584" s="3"/>
      <c r="S584" s="17"/>
      <c r="T584" s="18"/>
      <c r="U584"/>
      <c r="V584"/>
      <c r="W584"/>
      <c r="X584"/>
      <c r="Y584"/>
      <c r="Z584"/>
      <c r="AA584"/>
    </row>
    <row r="585" ht="15" spans="1:20">
      <c r="A585" s="35"/>
      <c r="B585" t="n" s="17">
        <f>70000000+F585*10000+H585*1000+I585*100+J585</f>
        <v>70321001</v>
      </c>
      <c r="C585" t="str" s="37">
        <v>截风坡-传送</v>
      </c>
      <c r="D585" s="3"/>
      <c r="E585" t="str" s="3">
        <f>F585&amp;(VLOOKUP(G585,编号表!$E$1:$G$8,2,0))&amp;H585&amp;"_"&amp;I585&amp;"_"&amp;J585</f>
        <v>32T1_0_1</v>
      </c>
      <c r="F585" t="n" s="3">
        <v>32</v>
      </c>
      <c r="G585" t="str" s="3">
        <v>传送</v>
      </c>
      <c r="H585" t="n" s="3">
        <v>1</v>
      </c>
      <c r="I585" t="n" s="3">
        <v>0</v>
      </c>
      <c r="J585" t="n" s="3">
        <v>1</v>
      </c>
      <c r="K585" s="3"/>
      <c r="L585" t="n" s="3">
        <v>1</v>
      </c>
      <c r="M585" s="3"/>
      <c r="N585" s="3"/>
      <c r="O585" s="3"/>
      <c r="P585" s="3"/>
      <c r="Q585" s="3"/>
      <c r="R585" t="n" s="3">
        <v>70311002</v>
      </c>
      <c r="S585" s="17"/>
      <c r="T585" s="18"/>
      <c r="U585"/>
      <c r="V585"/>
      <c r="W585"/>
      <c r="X585"/>
      <c r="Y585"/>
      <c r="Z585"/>
      <c r="AA585"/>
    </row>
    <row r="586" ht="15" spans="1:20">
      <c r="A586" s="35"/>
      <c r="B586" t="n" s="17">
        <f>70000000+F586*10000+H586*1000+I586*100+J586</f>
        <v>70321002</v>
      </c>
      <c r="C586" t="str" s="37">
        <v>截风坡-传送</v>
      </c>
      <c r="D586" s="3"/>
      <c r="E586" t="str" s="3">
        <f>F586&amp;(VLOOKUP(G586,编号表!$E$1:$G$8,2,0))&amp;H586&amp;"_"&amp;I586&amp;"_"&amp;J586</f>
        <v>32T1_0_2</v>
      </c>
      <c r="F586" t="n" s="3">
        <v>32</v>
      </c>
      <c r="G586" t="str" s="3">
        <v>传送</v>
      </c>
      <c r="H586" t="n" s="3">
        <v>1</v>
      </c>
      <c r="I586" t="n" s="3">
        <v>0</v>
      </c>
      <c r="J586" t="n" s="3">
        <v>2</v>
      </c>
      <c r="K586" s="3"/>
      <c r="L586" t="n" s="3">
        <v>1</v>
      </c>
      <c r="M586" s="3"/>
      <c r="N586" s="3"/>
      <c r="O586" s="3"/>
      <c r="P586" s="3"/>
      <c r="Q586" s="3"/>
      <c r="R586" t="n" s="3">
        <v>70331001</v>
      </c>
      <c r="S586" s="17"/>
      <c r="T586" s="18"/>
      <c r="U586"/>
      <c r="V586"/>
      <c r="W586"/>
      <c r="X586"/>
      <c r="Y586"/>
      <c r="Z586"/>
      <c r="AA586"/>
    </row>
    <row r="587" ht="15" spans="1:20">
      <c r="A587" s="35"/>
      <c r="B587" t="n" s="17">
        <f>70000000+F587*10000+H587*1000+I587*100+J587</f>
        <v>70322001</v>
      </c>
      <c r="C587" t="str" s="37">
        <v>截风坡-小地图</v>
      </c>
      <c r="D587" s="3"/>
      <c r="E587" t="str" s="3">
        <f>F587&amp;(VLOOKUP(G587,编号表!$E$1:$G$8,2,0))&amp;H587&amp;"_"&amp;I587&amp;"_"&amp;J587</f>
        <v>32D2_0_1</v>
      </c>
      <c r="F587" t="n" s="3">
        <v>32</v>
      </c>
      <c r="G587" t="str" s="3">
        <v>小地图</v>
      </c>
      <c r="H587" t="n" s="3">
        <v>2</v>
      </c>
      <c r="I587" t="n" s="3">
        <v>0</v>
      </c>
      <c r="J587" t="n" s="3">
        <v>1</v>
      </c>
      <c r="K587" s="3"/>
      <c r="L587" s="3"/>
      <c r="M587" t="n" s="3">
        <v>1</v>
      </c>
      <c r="N587" s="3"/>
      <c r="O587" s="3"/>
      <c r="P587" s="3"/>
      <c r="Q587" s="3"/>
      <c r="R587" s="3"/>
      <c r="S587" s="17"/>
      <c r="T587" s="18"/>
      <c r="U587"/>
      <c r="V587"/>
      <c r="W587"/>
      <c r="X587"/>
      <c r="Y587"/>
      <c r="Z587"/>
      <c r="AA587"/>
    </row>
    <row r="588" ht="12" customHeight="1" spans="1:20">
      <c r="A588" s="35"/>
      <c r="B588" t="n" s="17">
        <f>70000000+F588*10000+H588*1000+I588*100+J588</f>
        <v>70335101</v>
      </c>
      <c r="C588" t="str" s="38">
        <v>隙光苔-采集物1</v>
      </c>
      <c r="D588" s="3"/>
      <c r="E588" t="str" s="3">
        <f>F588&amp;(VLOOKUP(G588,编号表!$E$1:$G$8,2,0))&amp;H588&amp;"_"&amp;I588&amp;"_"&amp;J588</f>
        <v>33C5_1_1</v>
      </c>
      <c r="F588" t="n" s="3">
        <v>33</v>
      </c>
      <c r="G588" t="str" s="3">
        <v>采集物</v>
      </c>
      <c r="H588" t="n" s="3">
        <v>5</v>
      </c>
      <c r="I588" t="n" s="3">
        <v>1</v>
      </c>
      <c r="J588" t="n" s="3">
        <v>1</v>
      </c>
      <c r="K588" s="3"/>
      <c r="L588" s="3"/>
      <c r="M588" s="3"/>
      <c r="N588" s="3"/>
      <c r="O588" s="3"/>
      <c r="P588" s="3"/>
      <c r="Q588" s="3"/>
      <c r="R588" s="3"/>
      <c r="S588" s="17"/>
      <c r="T588" s="18"/>
      <c r="U588"/>
      <c r="V588"/>
      <c r="W588"/>
      <c r="X588"/>
      <c r="Y588"/>
      <c r="Z588"/>
      <c r="AA588"/>
    </row>
    <row r="589" ht="12" customHeight="1" spans="1:20">
      <c r="A589" s="35"/>
      <c r="B589" t="n" s="17">
        <f>70000000+F589*10000+H589*1000+I589*100+J589</f>
        <v>70335102</v>
      </c>
      <c r="C589" t="str" s="38">
        <v>隙光苔-采集物2</v>
      </c>
      <c r="D589" s="3"/>
      <c r="E589" t="str" s="3">
        <f>F589&amp;(VLOOKUP(G589,编号表!$E$1:$G$8,2,0))&amp;H589&amp;"_"&amp;I589&amp;"_"&amp;J589</f>
        <v>33C5_1_2</v>
      </c>
      <c r="F589" t="n" s="3">
        <v>33</v>
      </c>
      <c r="G589" t="str" s="3">
        <v>采集物</v>
      </c>
      <c r="H589" t="n" s="3">
        <v>5</v>
      </c>
      <c r="I589" t="n" s="3">
        <v>1</v>
      </c>
      <c r="J589" t="n" s="3">
        <v>2</v>
      </c>
      <c r="K589" s="3"/>
      <c r="L589" s="3"/>
      <c r="M589" s="3"/>
      <c r="N589" s="3"/>
      <c r="O589" s="3"/>
      <c r="P589" s="3"/>
      <c r="Q589" s="3"/>
      <c r="R589" s="3"/>
      <c r="S589" s="17"/>
      <c r="T589" s="18"/>
      <c r="U589"/>
      <c r="V589"/>
      <c r="W589"/>
      <c r="X589"/>
      <c r="Y589"/>
      <c r="Z589"/>
      <c r="AA589"/>
    </row>
    <row r="590" ht="12" customHeight="1" spans="1:20">
      <c r="A590" s="35"/>
      <c r="B590" t="n" s="17">
        <f>70000000+F590*10000+H590*1000+I590*100+J590</f>
        <v>70335103</v>
      </c>
      <c r="C590" t="str" s="38">
        <v>隙光苔-采集物3</v>
      </c>
      <c r="D590" s="3"/>
      <c r="E590" t="str" s="3">
        <f>F590&amp;(VLOOKUP(G590,编号表!$E$1:$G$8,2,0))&amp;H590&amp;"_"&amp;I590&amp;"_"&amp;J590</f>
        <v>33C5_1_3</v>
      </c>
      <c r="F590" t="n" s="3">
        <v>33</v>
      </c>
      <c r="G590" t="str" s="3">
        <v>采集物</v>
      </c>
      <c r="H590" t="n" s="3">
        <v>5</v>
      </c>
      <c r="I590" t="n" s="3">
        <v>1</v>
      </c>
      <c r="J590" t="n" s="3">
        <v>3</v>
      </c>
      <c r="K590" s="3"/>
      <c r="L590" s="3"/>
      <c r="M590" s="3"/>
      <c r="N590" s="3"/>
      <c r="O590" s="3"/>
      <c r="P590" s="3"/>
      <c r="Q590" s="3"/>
      <c r="R590" s="3"/>
      <c r="S590" s="17"/>
      <c r="T590" s="18"/>
      <c r="U590"/>
      <c r="V590"/>
      <c r="W590"/>
      <c r="X590"/>
      <c r="Y590"/>
      <c r="Z590"/>
      <c r="AA590"/>
    </row>
    <row r="591" ht="12" customHeight="1" spans="1:20">
      <c r="A591" s="35"/>
      <c r="B591" t="n" s="17">
        <f>70000000+F591*10000+H591*1000+I591*100+J591</f>
        <v>70335201</v>
      </c>
      <c r="C591" t="str" s="38">
        <v>隙光苔-采集物4</v>
      </c>
      <c r="D591" s="3"/>
      <c r="E591" t="str" s="3">
        <f>F591&amp;(VLOOKUP(G591,编号表!$E$1:$G$8,2,0))&amp;H591&amp;"_"&amp;I591&amp;"_"&amp;J591</f>
        <v>33C5_2_1</v>
      </c>
      <c r="F591" t="n" s="3">
        <v>33</v>
      </c>
      <c r="G591" t="str" s="3">
        <v>采集物</v>
      </c>
      <c r="H591" t="n" s="3">
        <v>5</v>
      </c>
      <c r="I591" t="n" s="3">
        <v>2</v>
      </c>
      <c r="J591" t="n" s="3">
        <v>1</v>
      </c>
      <c r="K591" s="3"/>
      <c r="L591" s="3"/>
      <c r="M591" s="3"/>
      <c r="N591" s="3"/>
      <c r="O591" s="3"/>
      <c r="P591" s="3"/>
      <c r="Q591" s="3"/>
      <c r="R591" s="3"/>
      <c r="S591" s="17"/>
      <c r="T591" s="18"/>
      <c r="U591"/>
      <c r="V591"/>
      <c r="W591"/>
      <c r="X591"/>
      <c r="Y591"/>
      <c r="Z591"/>
      <c r="AA591"/>
    </row>
    <row r="592" ht="12" customHeight="1" spans="1:20">
      <c r="A592" s="35"/>
      <c r="B592" t="n" s="17">
        <f>70000000+F592*10000+H592*1000+I592*100+J592</f>
        <v>70335202</v>
      </c>
      <c r="C592" t="str" s="38">
        <v>隙光苔-采集物5</v>
      </c>
      <c r="D592" s="3"/>
      <c r="E592" t="str" s="3">
        <f>F592&amp;(VLOOKUP(G592,编号表!$E$1:$G$8,2,0))&amp;H592&amp;"_"&amp;I592&amp;"_"&amp;J592</f>
        <v>33C5_2_2</v>
      </c>
      <c r="F592" t="n" s="3">
        <v>33</v>
      </c>
      <c r="G592" t="str" s="3">
        <v>采集物</v>
      </c>
      <c r="H592" t="n" s="3">
        <v>5</v>
      </c>
      <c r="I592" t="n" s="3">
        <v>2</v>
      </c>
      <c r="J592" t="n" s="3">
        <v>2</v>
      </c>
      <c r="K592" s="3"/>
      <c r="L592" s="3"/>
      <c r="M592" s="3"/>
      <c r="N592" s="3"/>
      <c r="O592" s="3"/>
      <c r="P592" s="3"/>
      <c r="Q592" s="3"/>
      <c r="R592" s="3"/>
      <c r="S592" s="17"/>
      <c r="T592" s="18"/>
      <c r="U592"/>
      <c r="V592"/>
      <c r="W592"/>
      <c r="X592"/>
      <c r="Y592"/>
      <c r="Z592"/>
      <c r="AA592"/>
    </row>
    <row r="593" ht="12" customHeight="1" spans="1:20">
      <c r="A593" s="35"/>
      <c r="B593" t="n" s="17">
        <f>70000000+F593*10000+H593*1000+I593*100+J593</f>
        <v>70335203</v>
      </c>
      <c r="C593" t="str" s="38">
        <v>隙光苔-采集物6</v>
      </c>
      <c r="D593" s="3"/>
      <c r="E593" t="str" s="3">
        <f>F593&amp;(VLOOKUP(G593,编号表!$E$1:$G$8,2,0))&amp;H593&amp;"_"&amp;I593&amp;"_"&amp;J593</f>
        <v>33C5_2_3</v>
      </c>
      <c r="F593" t="n" s="3">
        <v>33</v>
      </c>
      <c r="G593" t="str" s="3">
        <v>采集物</v>
      </c>
      <c r="H593" t="n" s="3">
        <v>5</v>
      </c>
      <c r="I593" t="n" s="3">
        <v>2</v>
      </c>
      <c r="J593" t="n" s="3">
        <v>3</v>
      </c>
      <c r="K593" s="3"/>
      <c r="L593" s="3"/>
      <c r="M593" s="3"/>
      <c r="N593" s="3"/>
      <c r="O593" s="3"/>
      <c r="P593" s="3"/>
      <c r="Q593" s="3"/>
      <c r="R593" s="3"/>
      <c r="S593" s="17"/>
      <c r="T593" s="18"/>
      <c r="U593"/>
      <c r="V593"/>
      <c r="W593"/>
      <c r="X593"/>
      <c r="Y593"/>
      <c r="Z593"/>
      <c r="AA593"/>
    </row>
    <row r="594" ht="15" spans="1:20">
      <c r="A594" s="35"/>
      <c r="B594" t="n" s="17">
        <f>70000000+F594*10000+H594*1000+I594*100+J594</f>
        <v>70335001</v>
      </c>
      <c r="C594" t="str" s="39">
        <v>隙光苔-镜头</v>
      </c>
      <c r="D594" s="3"/>
      <c r="E594" t="str" s="3">
        <f>F594&amp;(VLOOKUP(G594,编号表!$E$1:$G$8,2,0))&amp;H594&amp;"_"&amp;I594&amp;"_"&amp;J594</f>
        <v>33J5_0_1</v>
      </c>
      <c r="F594" t="n" s="3">
        <v>33</v>
      </c>
      <c r="G594" t="str" s="3">
        <v>镜头</v>
      </c>
      <c r="H594" t="n" s="3">
        <v>5</v>
      </c>
      <c r="I594" t="n" s="3">
        <v>0</v>
      </c>
      <c r="J594" t="n" s="3">
        <v>1</v>
      </c>
      <c r="K594" t="n" s="3">
        <v>1</v>
      </c>
      <c r="L594" s="3"/>
      <c r="M594" s="3"/>
      <c r="N594" s="3"/>
      <c r="O594" s="3"/>
      <c r="P594" s="3"/>
      <c r="Q594" s="3"/>
      <c r="R594" s="3"/>
      <c r="S594" s="17"/>
      <c r="T594" s="18"/>
      <c r="U594"/>
      <c r="V594"/>
      <c r="W594"/>
      <c r="X594"/>
      <c r="Y594"/>
      <c r="Z594"/>
      <c r="AA594"/>
    </row>
    <row r="595" ht="15" spans="1:20">
      <c r="A595" s="35"/>
      <c r="B595" t="n" s="17">
        <f>70000000+F595*10000+H595*1000+I595*100+J595</f>
        <v>70331001</v>
      </c>
      <c r="C595" t="str" s="37">
        <v>隙光苔-传送</v>
      </c>
      <c r="D595" s="3"/>
      <c r="E595" t="str" s="3">
        <f>F595&amp;(VLOOKUP(G595,编号表!$E$1:$G$8,2,0))&amp;H595&amp;"_"&amp;I595&amp;"_"&amp;J595</f>
        <v>33T1_0_1</v>
      </c>
      <c r="F595" t="n" s="3">
        <v>33</v>
      </c>
      <c r="G595" t="str" s="3">
        <v>传送</v>
      </c>
      <c r="H595" t="n" s="3">
        <v>1</v>
      </c>
      <c r="I595" t="n" s="3">
        <v>0</v>
      </c>
      <c r="J595" t="n" s="3">
        <v>1</v>
      </c>
      <c r="K595" s="3"/>
      <c r="L595" t="n" s="3">
        <v>1</v>
      </c>
      <c r="M595" s="3"/>
      <c r="N595" s="3"/>
      <c r="O595" s="3"/>
      <c r="P595" s="3"/>
      <c r="Q595" s="3"/>
      <c r="R595" t="n" s="3">
        <v>70321002</v>
      </c>
      <c r="S595" s="17"/>
      <c r="T595" s="18"/>
      <c r="U595"/>
      <c r="V595"/>
      <c r="W595"/>
      <c r="X595"/>
      <c r="Y595"/>
      <c r="Z595"/>
      <c r="AA595"/>
    </row>
    <row r="596" ht="15" spans="1:20">
      <c r="A596" s="35"/>
      <c r="B596" t="n" s="17">
        <f>70000000+F596*10000+H596*1000+I596*100+J596</f>
        <v>70331002</v>
      </c>
      <c r="C596" t="str" s="37">
        <v>隙光苔-传送</v>
      </c>
      <c r="D596" s="3"/>
      <c r="E596" t="str" s="3">
        <f>F596&amp;(VLOOKUP(G596,编号表!$E$1:$G$8,2,0))&amp;H596&amp;"_"&amp;I596&amp;"_"&amp;J596</f>
        <v>33T1_0_2</v>
      </c>
      <c r="F596" t="n" s="3">
        <v>33</v>
      </c>
      <c r="G596" t="str" s="3">
        <v>传送</v>
      </c>
      <c r="H596" t="n" s="3">
        <v>1</v>
      </c>
      <c r="I596" t="n" s="3">
        <v>0</v>
      </c>
      <c r="J596" t="n" s="3">
        <v>2</v>
      </c>
      <c r="K596" s="3"/>
      <c r="L596" t="n" s="3">
        <v>1</v>
      </c>
      <c r="M596" s="3"/>
      <c r="N596" s="3"/>
      <c r="O596" s="3"/>
      <c r="P596" s="3"/>
      <c r="Q596" s="3"/>
      <c r="R596" t="n" s="3">
        <v>70341001</v>
      </c>
      <c r="S596" s="17"/>
      <c r="T596" s="18"/>
      <c r="U596"/>
      <c r="V596"/>
      <c r="W596"/>
      <c r="X596"/>
      <c r="Y596"/>
      <c r="Z596"/>
      <c r="AA596"/>
    </row>
    <row r="597" ht="15" spans="1:20">
      <c r="A597" s="35"/>
      <c r="B597" t="n" s="17">
        <f>70000000+F597*10000+H597*1000+I597*100+J597</f>
        <v>70332001</v>
      </c>
      <c r="C597" t="str" s="37">
        <v>隙光苔-小地图</v>
      </c>
      <c r="D597" s="3"/>
      <c r="E597" t="str" s="3">
        <f>F597&amp;(VLOOKUP(G597,编号表!$E$1:$G$8,2,0))&amp;H597&amp;"_"&amp;I597&amp;"_"&amp;J597</f>
        <v>33D2_0_1</v>
      </c>
      <c r="F597" t="n" s="3">
        <v>33</v>
      </c>
      <c r="G597" t="str" s="3">
        <v>小地图</v>
      </c>
      <c r="H597" t="n" s="3">
        <v>2</v>
      </c>
      <c r="I597" t="n" s="3">
        <v>0</v>
      </c>
      <c r="J597" t="n" s="3">
        <v>1</v>
      </c>
      <c r="K597" s="3"/>
      <c r="L597" s="3"/>
      <c r="M597" t="n" s="3">
        <v>1</v>
      </c>
      <c r="N597" s="3"/>
      <c r="O597" s="3"/>
      <c r="P597" s="3"/>
      <c r="Q597" s="3"/>
      <c r="R597" s="3"/>
      <c r="S597" s="17"/>
      <c r="T597" s="18"/>
      <c r="U597"/>
      <c r="V597"/>
      <c r="W597"/>
      <c r="X597"/>
      <c r="Y597"/>
      <c r="Z597"/>
      <c r="AA597"/>
    </row>
    <row r="598" ht="12" customHeight="1" spans="1:20">
      <c r="A598" s="35"/>
      <c r="B598" t="n" s="17">
        <f>70000000+F598*10000+H598*1000+I598*100+J598</f>
        <v>70345101</v>
      </c>
      <c r="C598" t="str" s="38">
        <v>浸岩菖-采集物1</v>
      </c>
      <c r="D598" s="3"/>
      <c r="E598" t="str" s="3">
        <f>F598&amp;(VLOOKUP(G598,编号表!$E$1:$G$8,2,0))&amp;H598&amp;"_"&amp;I598&amp;"_"&amp;J598</f>
        <v>34C5_1_1</v>
      </c>
      <c r="F598" t="n" s="3">
        <v>34</v>
      </c>
      <c r="G598" t="str" s="3">
        <v>采集物</v>
      </c>
      <c r="H598" t="n" s="3">
        <v>5</v>
      </c>
      <c r="I598" t="n" s="3">
        <v>1</v>
      </c>
      <c r="J598" t="n" s="3">
        <v>1</v>
      </c>
      <c r="K598" s="3"/>
      <c r="L598" s="3"/>
      <c r="M598" s="3"/>
      <c r="N598" s="3"/>
      <c r="O598" s="3"/>
      <c r="P598" s="3"/>
      <c r="Q598" s="3"/>
      <c r="R598" s="3"/>
      <c r="S598" s="17"/>
      <c r="T598" s="18"/>
      <c r="U598"/>
      <c r="V598"/>
      <c r="W598"/>
      <c r="X598"/>
      <c r="Y598"/>
      <c r="Z598"/>
      <c r="AA598"/>
    </row>
    <row r="599" ht="12" customHeight="1" spans="1:20">
      <c r="A599" s="35"/>
      <c r="B599" t="n" s="17">
        <f>70000000+F599*10000+H599*1000+I599*100+J599</f>
        <v>70345102</v>
      </c>
      <c r="C599" t="str" s="38">
        <v>浸岩菖-采集物2</v>
      </c>
      <c r="D599" s="3"/>
      <c r="E599" t="str" s="3">
        <f>F599&amp;(VLOOKUP(G599,编号表!$E$1:$G$8,2,0))&amp;H599&amp;"_"&amp;I599&amp;"_"&amp;J599</f>
        <v>34C5_1_2</v>
      </c>
      <c r="F599" t="n" s="3">
        <v>34</v>
      </c>
      <c r="G599" t="str" s="3">
        <v>采集物</v>
      </c>
      <c r="H599" t="n" s="3">
        <v>5</v>
      </c>
      <c r="I599" t="n" s="3">
        <v>1</v>
      </c>
      <c r="J599" t="n" s="3">
        <v>2</v>
      </c>
      <c r="K599" s="3"/>
      <c r="L599" s="3"/>
      <c r="M599" s="3"/>
      <c r="N599" s="3"/>
      <c r="O599" s="3"/>
      <c r="P599" s="3"/>
      <c r="Q599" s="3"/>
      <c r="R599" s="3"/>
      <c r="S599" s="17"/>
      <c r="T599" s="18"/>
      <c r="U599"/>
      <c r="V599"/>
      <c r="W599"/>
      <c r="X599"/>
      <c r="Y599"/>
      <c r="Z599"/>
      <c r="AA599"/>
    </row>
    <row r="600" ht="12" customHeight="1" spans="1:20">
      <c r="A600" s="35"/>
      <c r="B600" t="n" s="17">
        <f>70000000+F600*10000+H600*1000+I600*100+J600</f>
        <v>70345103</v>
      </c>
      <c r="C600" t="str" s="38">
        <v>浸岩菖-采集物3</v>
      </c>
      <c r="D600" s="3"/>
      <c r="E600" t="str" s="3">
        <f>F600&amp;(VLOOKUP(G600,编号表!$E$1:$G$8,2,0))&amp;H600&amp;"_"&amp;I600&amp;"_"&amp;J600</f>
        <v>34C5_1_3</v>
      </c>
      <c r="F600" t="n" s="3">
        <v>34</v>
      </c>
      <c r="G600" t="str" s="3">
        <v>采集物</v>
      </c>
      <c r="H600" t="n" s="3">
        <v>5</v>
      </c>
      <c r="I600" t="n" s="3">
        <v>1</v>
      </c>
      <c r="J600" t="n" s="3">
        <v>3</v>
      </c>
      <c r="K600" s="3"/>
      <c r="L600" s="3"/>
      <c r="M600" s="3"/>
      <c r="N600" s="3"/>
      <c r="O600" s="3"/>
      <c r="P600" s="3"/>
      <c r="Q600" s="3"/>
      <c r="R600" s="3"/>
      <c r="S600" s="17"/>
      <c r="T600" s="18"/>
      <c r="U600"/>
      <c r="V600"/>
      <c r="W600"/>
      <c r="X600"/>
      <c r="Y600"/>
      <c r="Z600"/>
      <c r="AA600"/>
    </row>
    <row r="601" ht="12" customHeight="1" spans="1:20">
      <c r="A601" s="35"/>
      <c r="B601" t="n" s="17">
        <f>70000000+F601*10000+H601*1000+I601*100+J601</f>
        <v>70345104</v>
      </c>
      <c r="C601" t="str" s="38">
        <v>浸岩菖-采集物4</v>
      </c>
      <c r="D601" s="3"/>
      <c r="E601" t="str" s="3">
        <f>F601&amp;(VLOOKUP(G601,编号表!$E$1:$G$8,2,0))&amp;H601&amp;"_"&amp;I601&amp;"_"&amp;J601</f>
        <v>34C5_1_4</v>
      </c>
      <c r="F601" t="n" s="3">
        <v>34</v>
      </c>
      <c r="G601" t="str" s="3">
        <v>采集物</v>
      </c>
      <c r="H601" t="n" s="3">
        <v>5</v>
      </c>
      <c r="I601" t="n" s="3">
        <v>1</v>
      </c>
      <c r="J601" t="n" s="3">
        <v>4</v>
      </c>
      <c r="K601" s="3"/>
      <c r="L601" s="3"/>
      <c r="M601" s="3"/>
      <c r="N601" s="3"/>
      <c r="O601" s="3"/>
      <c r="P601" s="3"/>
      <c r="Q601" s="3"/>
      <c r="R601" s="3"/>
      <c r="S601" s="17"/>
      <c r="T601" s="18"/>
      <c r="U601"/>
      <c r="V601"/>
      <c r="W601"/>
      <c r="X601"/>
      <c r="Y601"/>
      <c r="Z601"/>
      <c r="AA601"/>
    </row>
    <row r="602" ht="12" customHeight="1" spans="1:20">
      <c r="A602" s="35"/>
      <c r="B602" t="n" s="17">
        <f>70000000+F602*10000+H602*1000+I602*100+J602</f>
        <v>70345201</v>
      </c>
      <c r="C602" t="str" s="38">
        <v>浸岩菖-采集物5</v>
      </c>
      <c r="D602" s="3"/>
      <c r="E602" t="str" s="3">
        <f>F602&amp;(VLOOKUP(G602,编号表!$E$1:$G$8,2,0))&amp;H602&amp;"_"&amp;I602&amp;"_"&amp;J602</f>
        <v>34C5_2_1</v>
      </c>
      <c r="F602" t="n" s="3">
        <v>34</v>
      </c>
      <c r="G602" t="str" s="3">
        <v>采集物</v>
      </c>
      <c r="H602" t="n" s="3">
        <v>5</v>
      </c>
      <c r="I602" t="n" s="3">
        <v>2</v>
      </c>
      <c r="J602" t="n" s="3">
        <v>1</v>
      </c>
      <c r="K602" s="3"/>
      <c r="L602" s="3"/>
      <c r="M602" s="3"/>
      <c r="N602" s="3"/>
      <c r="O602" s="3"/>
      <c r="P602" s="3"/>
      <c r="Q602" s="3"/>
      <c r="R602" s="3"/>
      <c r="S602" s="17"/>
      <c r="T602" s="18"/>
      <c r="U602"/>
      <c r="V602"/>
      <c r="W602"/>
      <c r="X602"/>
      <c r="Y602"/>
      <c r="Z602"/>
      <c r="AA602"/>
    </row>
    <row r="603" ht="12" customHeight="1" spans="1:20">
      <c r="A603" s="35"/>
      <c r="B603" t="n" s="17">
        <f>70000000+F603*10000+H603*1000+I603*100+J603</f>
        <v>70345202</v>
      </c>
      <c r="C603" t="str" s="38">
        <v>浸岩菖-采集物6</v>
      </c>
      <c r="D603" s="3"/>
      <c r="E603" t="str" s="3">
        <f>F603&amp;(VLOOKUP(G603,编号表!$E$1:$G$8,2,0))&amp;H603&amp;"_"&amp;I603&amp;"_"&amp;J603</f>
        <v>34C5_2_2</v>
      </c>
      <c r="F603" t="n" s="3">
        <v>34</v>
      </c>
      <c r="G603" t="str" s="3">
        <v>采集物</v>
      </c>
      <c r="H603" t="n" s="3">
        <v>5</v>
      </c>
      <c r="I603" t="n" s="3">
        <v>2</v>
      </c>
      <c r="J603" t="n" s="3">
        <v>2</v>
      </c>
      <c r="K603" s="3"/>
      <c r="L603" s="3"/>
      <c r="M603" s="3"/>
      <c r="N603" s="3"/>
      <c r="O603" s="3"/>
      <c r="P603" s="3"/>
      <c r="Q603" s="3"/>
      <c r="R603" s="3"/>
      <c r="S603" s="17"/>
      <c r="T603" s="18"/>
      <c r="U603"/>
      <c r="V603"/>
      <c r="W603"/>
      <c r="X603"/>
      <c r="Y603"/>
      <c r="Z603"/>
      <c r="AA603"/>
    </row>
    <row r="604" ht="12" customHeight="1" spans="1:20">
      <c r="A604" s="35"/>
      <c r="B604" t="n" s="17">
        <f>70000000+F604*10000+H604*1000+I604*100+J604</f>
        <v>70345203</v>
      </c>
      <c r="C604" t="str" s="38">
        <v>浸岩菖-采集物7</v>
      </c>
      <c r="D604" s="3"/>
      <c r="E604" t="str" s="3">
        <f>F604&amp;(VLOOKUP(G604,编号表!$E$1:$G$8,2,0))&amp;H604&amp;"_"&amp;I604&amp;"_"&amp;J604</f>
        <v>34C5_2_3</v>
      </c>
      <c r="F604" t="n" s="3">
        <v>34</v>
      </c>
      <c r="G604" t="str" s="3">
        <v>采集物</v>
      </c>
      <c r="H604" t="n" s="3">
        <v>5</v>
      </c>
      <c r="I604" t="n" s="3">
        <v>2</v>
      </c>
      <c r="J604" t="n" s="3">
        <v>3</v>
      </c>
      <c r="K604" s="3"/>
      <c r="L604" s="3"/>
      <c r="M604" s="3"/>
      <c r="N604" s="3"/>
      <c r="O604" s="3"/>
      <c r="P604" s="3"/>
      <c r="Q604" s="3"/>
      <c r="R604" s="3"/>
      <c r="S604" s="17"/>
      <c r="T604" s="18"/>
      <c r="U604"/>
      <c r="V604"/>
      <c r="W604"/>
      <c r="X604"/>
      <c r="Y604"/>
      <c r="Z604"/>
      <c r="AA604"/>
    </row>
    <row r="605" ht="15" spans="1:20">
      <c r="A605" s="35"/>
      <c r="B605" t="n" s="17">
        <f>70000000+F605*10000+H605*1000+I605*100+J605</f>
        <v>70345001</v>
      </c>
      <c r="C605" t="str" s="39">
        <v>浸岩菖-镜头</v>
      </c>
      <c r="D605" s="3"/>
      <c r="E605" t="str" s="3">
        <f>F605&amp;(VLOOKUP(G605,编号表!$E$1:$G$8,2,0))&amp;H605&amp;"_"&amp;I605&amp;"_"&amp;J605</f>
        <v>34J5_0_1</v>
      </c>
      <c r="F605" t="n" s="3">
        <v>34</v>
      </c>
      <c r="G605" t="str" s="3">
        <v>镜头</v>
      </c>
      <c r="H605" t="n" s="3">
        <v>5</v>
      </c>
      <c r="I605" t="n" s="3">
        <v>0</v>
      </c>
      <c r="J605" t="n" s="3">
        <v>1</v>
      </c>
      <c r="K605" t="n" s="3">
        <v>1</v>
      </c>
      <c r="L605" s="3"/>
      <c r="M605" s="3"/>
      <c r="N605" s="3"/>
      <c r="O605" s="3"/>
      <c r="P605" s="3"/>
      <c r="Q605" s="3"/>
      <c r="R605" s="3"/>
      <c r="S605" s="17"/>
      <c r="T605" s="18"/>
      <c r="U605"/>
      <c r="V605"/>
      <c r="W605"/>
      <c r="X605"/>
      <c r="Y605"/>
      <c r="Z605"/>
      <c r="AA605"/>
    </row>
    <row r="606" ht="15" spans="1:20">
      <c r="A606" s="35"/>
      <c r="B606" t="n" s="17">
        <f>70000000+F606*10000+H606*1000+I606*100+J606</f>
        <v>70341001</v>
      </c>
      <c r="C606" t="str" s="37">
        <v>浸岩菖-传送</v>
      </c>
      <c r="D606" s="3"/>
      <c r="E606" t="str" s="3">
        <f>F606&amp;(VLOOKUP(G606,编号表!$E$1:$G$8,2,0))&amp;H606&amp;"_"&amp;I606&amp;"_"&amp;J606</f>
        <v>34T1_0_1</v>
      </c>
      <c r="F606" t="n" s="3">
        <v>34</v>
      </c>
      <c r="G606" t="str" s="3">
        <v>传送</v>
      </c>
      <c r="H606" t="n" s="3">
        <v>1</v>
      </c>
      <c r="I606" t="n" s="3">
        <v>0</v>
      </c>
      <c r="J606" t="n" s="3">
        <v>1</v>
      </c>
      <c r="K606" s="3"/>
      <c r="L606" t="n" s="3">
        <v>1</v>
      </c>
      <c r="M606" s="3"/>
      <c r="N606" s="3"/>
      <c r="O606" s="3"/>
      <c r="P606" s="3"/>
      <c r="Q606" s="3"/>
      <c r="R606" t="n" s="3">
        <v>70331002</v>
      </c>
      <c r="S606" s="17"/>
      <c r="T606" s="18"/>
      <c r="U606"/>
      <c r="V606"/>
      <c r="W606"/>
      <c r="X606"/>
      <c r="Y606"/>
      <c r="Z606"/>
      <c r="AA606"/>
    </row>
    <row r="607" ht="15" spans="1:20">
      <c r="A607" s="35"/>
      <c r="B607" t="n" s="17">
        <f>70000000+F607*10000+H607*1000+I607*100+J607</f>
        <v>70341002</v>
      </c>
      <c r="C607" t="str" s="37">
        <v>浸岩菖-传送</v>
      </c>
      <c r="D607" s="3"/>
      <c r="E607" t="str" s="3">
        <f>F607&amp;(VLOOKUP(G607,编号表!$E$1:$G$8,2,0))&amp;H607&amp;"_"&amp;I607&amp;"_"&amp;J607</f>
        <v>34T1_0_2</v>
      </c>
      <c r="F607" t="n" s="3">
        <v>34</v>
      </c>
      <c r="G607" t="str" s="3">
        <v>传送</v>
      </c>
      <c r="H607" t="n" s="3">
        <v>1</v>
      </c>
      <c r="I607" t="n" s="3">
        <v>0</v>
      </c>
      <c r="J607" t="n" s="3">
        <v>2</v>
      </c>
      <c r="K607" s="3"/>
      <c r="L607" t="n" s="3">
        <v>1</v>
      </c>
      <c r="M607" s="3"/>
      <c r="N607" s="3"/>
      <c r="O607" s="3"/>
      <c r="P607" s="3"/>
      <c r="Q607" s="3"/>
      <c r="R607" t="n" s="3">
        <v>70351001</v>
      </c>
      <c r="S607" s="17"/>
      <c r="T607" s="18"/>
      <c r="U607"/>
      <c r="V607"/>
      <c r="W607"/>
      <c r="X607"/>
      <c r="Y607"/>
      <c r="Z607"/>
      <c r="AA607"/>
    </row>
    <row r="608" ht="15" spans="1:20">
      <c r="A608" s="35"/>
      <c r="B608" t="n" s="17">
        <f>70000000+F608*10000+H608*1000+I608*100+J608</f>
        <v>70342001</v>
      </c>
      <c r="C608" t="str" s="37">
        <v>浸岩菖-小地图</v>
      </c>
      <c r="D608" s="3"/>
      <c r="E608" t="str" s="3">
        <f>F608&amp;(VLOOKUP(G608,编号表!$E$1:$G$8,2,0))&amp;H608&amp;"_"&amp;I608&amp;"_"&amp;J608</f>
        <v>34D2_0_1</v>
      </c>
      <c r="F608" t="n" s="3">
        <v>34</v>
      </c>
      <c r="G608" t="str" s="3">
        <v>小地图</v>
      </c>
      <c r="H608" t="n" s="3">
        <v>2</v>
      </c>
      <c r="I608" t="n" s="3">
        <v>0</v>
      </c>
      <c r="J608" t="n" s="3">
        <v>1</v>
      </c>
      <c r="K608" s="3"/>
      <c r="L608" s="3"/>
      <c r="M608" t="n" s="3">
        <v>1</v>
      </c>
      <c r="N608" s="3"/>
      <c r="O608" s="3"/>
      <c r="P608" s="3"/>
      <c r="Q608" s="3"/>
      <c r="R608" s="3"/>
      <c r="S608" s="17"/>
      <c r="T608" s="18"/>
      <c r="U608"/>
      <c r="V608"/>
      <c r="W608"/>
      <c r="X608"/>
      <c r="Y608"/>
      <c r="Z608"/>
      <c r="AA608"/>
    </row>
    <row r="609" ht="12" customHeight="1" spans="1:20">
      <c r="A609" s="35"/>
      <c r="B609" t="n" s="17">
        <f>70000000+F609*10000+H609*1000+I609*100+J609</f>
        <v>70355101</v>
      </c>
      <c r="C609" t="str" s="38">
        <v>裂口-怪物1</v>
      </c>
      <c r="D609" s="3"/>
      <c r="E609" t="str" s="3">
        <f>F609&amp;(VLOOKUP(G609,编号表!$E$1:$G$8,2,0))&amp;H609&amp;"_"&amp;I609&amp;"_"&amp;J609</f>
        <v>35N5_1_1</v>
      </c>
      <c r="F609" t="n" s="3">
        <v>35</v>
      </c>
      <c r="G609" t="str" s="3">
        <v>怪物</v>
      </c>
      <c r="H609" t="n" s="3">
        <v>5</v>
      </c>
      <c r="I609" t="n" s="3">
        <v>1</v>
      </c>
      <c r="J609" t="n" s="3">
        <v>1</v>
      </c>
      <c r="K609" s="3"/>
      <c r="L609" s="3"/>
      <c r="M609" s="3"/>
      <c r="N609" s="3"/>
      <c r="O609" s="3"/>
      <c r="P609" s="3"/>
      <c r="Q609" s="3"/>
      <c r="R609" s="3"/>
      <c r="S609" t="str" s="17">
        <v>本轮完整刷新挂接；有效坐标注入后验证</v>
      </c>
      <c r="T609" t="n" s="18">
        <v>1047304</v>
      </c>
      <c r="U609"/>
      <c r="V609"/>
      <c r="W609"/>
      <c r="X609"/>
      <c r="Y609"/>
      <c r="Z609"/>
      <c r="AA609"/>
    </row>
    <row r="610" ht="12" customHeight="1" spans="1:20">
      <c r="A610" s="35"/>
      <c r="B610" t="n" s="17">
        <f>70000000+F610*10000+H610*1000+I610*100+J610</f>
        <v>70355102</v>
      </c>
      <c r="C610" t="str" s="38">
        <v>裂口-怪物2</v>
      </c>
      <c r="D610" s="3"/>
      <c r="E610" t="str" s="3">
        <f>F610&amp;(VLOOKUP(G610,编号表!$E$1:$G$8,2,0))&amp;H610&amp;"_"&amp;I610&amp;"_"&amp;J610</f>
        <v>35N5_1_2</v>
      </c>
      <c r="F610" t="n" s="3">
        <v>35</v>
      </c>
      <c r="G610" t="str" s="3">
        <v>怪物</v>
      </c>
      <c r="H610" t="n" s="3">
        <v>5</v>
      </c>
      <c r="I610" t="n" s="3">
        <v>1</v>
      </c>
      <c r="J610" t="n" s="3">
        <v>2</v>
      </c>
      <c r="K610" s="3"/>
      <c r="L610" s="3"/>
      <c r="M610" s="3"/>
      <c r="N610" s="3"/>
      <c r="O610" s="3"/>
      <c r="P610" s="3"/>
      <c r="Q610" s="3"/>
      <c r="R610" s="3"/>
      <c r="S610" t="str" s="17">
        <v>本轮完整刷新挂接；有效坐标注入后验证</v>
      </c>
      <c r="T610" t="n" s="18">
        <v>1047404</v>
      </c>
      <c r="U610"/>
      <c r="V610"/>
      <c r="W610"/>
      <c r="X610"/>
      <c r="Y610"/>
      <c r="Z610"/>
      <c r="AA610"/>
    </row>
    <row r="611" ht="12" customHeight="1" spans="1:20">
      <c r="A611" s="35"/>
      <c r="B611" t="n" s="17">
        <f>70000000+F611*10000+H611*1000+I611*100+J611</f>
        <v>70355103</v>
      </c>
      <c r="C611" t="str" s="38">
        <v>裂口-怪物3</v>
      </c>
      <c r="D611" s="3"/>
      <c r="E611" t="str" s="3">
        <f>F611&amp;(VLOOKUP(G611,编号表!$E$1:$G$8,2,0))&amp;H611&amp;"_"&amp;I611&amp;"_"&amp;J611</f>
        <v>35N5_1_3</v>
      </c>
      <c r="F611" t="n" s="3">
        <v>35</v>
      </c>
      <c r="G611" t="str" s="3">
        <v>怪物</v>
      </c>
      <c r="H611" t="n" s="3">
        <v>5</v>
      </c>
      <c r="I611" t="n" s="3">
        <v>1</v>
      </c>
      <c r="J611" t="n" s="3">
        <v>3</v>
      </c>
      <c r="K611" s="3"/>
      <c r="L611" s="3"/>
      <c r="M611" s="3"/>
      <c r="N611" s="3"/>
      <c r="O611" s="3"/>
      <c r="P611" s="3"/>
      <c r="Q611" s="3"/>
      <c r="R611" s="3"/>
      <c r="S611" t="str" s="17">
        <v>本轮完整刷新挂接；有效坐标注入后验证</v>
      </c>
      <c r="T611" t="n" s="18">
        <v>1047504</v>
      </c>
      <c r="U611"/>
      <c r="V611"/>
      <c r="W611"/>
      <c r="X611"/>
      <c r="Y611"/>
      <c r="Z611"/>
      <c r="AA611"/>
    </row>
    <row r="612" ht="12" customHeight="1" spans="1:20">
      <c r="A612" s="35"/>
      <c r="B612" t="n" s="17">
        <f>70000000+F612*10000+H612*1000+I612*100+J612</f>
        <v>70355201</v>
      </c>
      <c r="C612" t="str" s="38">
        <v>裂口-怪物4</v>
      </c>
      <c r="D612" s="3"/>
      <c r="E612" t="str" s="3">
        <f>F612&amp;(VLOOKUP(G612,编号表!$E$1:$G$8,2,0))&amp;H612&amp;"_"&amp;I612&amp;"_"&amp;J612</f>
        <v>35N5_2_1</v>
      </c>
      <c r="F612" t="n" s="3">
        <v>35</v>
      </c>
      <c r="G612" t="str" s="3">
        <v>怪物</v>
      </c>
      <c r="H612" t="n" s="3">
        <v>5</v>
      </c>
      <c r="I612" t="n" s="3">
        <v>2</v>
      </c>
      <c r="J612" t="n" s="3">
        <v>1</v>
      </c>
      <c r="K612" s="3"/>
      <c r="L612" s="3"/>
      <c r="M612" s="3"/>
      <c r="N612" s="3"/>
      <c r="O612" s="3"/>
      <c r="P612" s="3"/>
      <c r="Q612" s="3"/>
      <c r="R612" s="3"/>
      <c r="S612" t="str" s="17">
        <v>本轮完整刷新挂接；有效坐标注入后验证</v>
      </c>
      <c r="T612" t="n" s="18">
        <v>1900245</v>
      </c>
      <c r="U612"/>
      <c r="V612"/>
      <c r="W612"/>
      <c r="X612"/>
      <c r="Y612"/>
      <c r="Z612"/>
      <c r="AA612"/>
    </row>
    <row r="613" ht="12" customHeight="1" spans="1:20">
      <c r="A613" s="35"/>
      <c r="B613" t="n" s="17">
        <f>70000000+F613*10000+H613*1000+I613*100+J613</f>
        <v>70355202</v>
      </c>
      <c r="C613" t="str" s="38">
        <v>裂口-怪物5</v>
      </c>
      <c r="D613" s="3"/>
      <c r="E613" t="str" s="3">
        <f>F613&amp;(VLOOKUP(G613,编号表!$E$1:$G$8,2,0))&amp;H613&amp;"_"&amp;I613&amp;"_"&amp;J613</f>
        <v>35N5_2_2</v>
      </c>
      <c r="F613" t="n" s="3">
        <v>35</v>
      </c>
      <c r="G613" t="str" s="3">
        <v>怪物</v>
      </c>
      <c r="H613" t="n" s="3">
        <v>5</v>
      </c>
      <c r="I613" t="n" s="3">
        <v>2</v>
      </c>
      <c r="J613" t="n" s="3">
        <v>2</v>
      </c>
      <c r="K613" s="3"/>
      <c r="L613" s="3"/>
      <c r="M613" s="3"/>
      <c r="N613" s="3"/>
      <c r="O613" s="3"/>
      <c r="P613" s="3"/>
      <c r="Q613" s="3"/>
      <c r="R613" s="3"/>
      <c r="S613" t="str" s="17">
        <v>本轮完整刷新挂接；有效坐标注入后验证</v>
      </c>
      <c r="T613" t="n" s="18">
        <v>1900246</v>
      </c>
      <c r="U613"/>
      <c r="V613"/>
      <c r="W613"/>
      <c r="X613"/>
      <c r="Y613"/>
      <c r="Z613"/>
      <c r="AA613"/>
    </row>
    <row r="614" ht="12" customHeight="1" spans="1:20">
      <c r="A614" s="35"/>
      <c r="B614" t="n" s="17">
        <f>70000000+F614*10000+H614*1000+I614*100+J614</f>
        <v>70355203</v>
      </c>
      <c r="C614" t="str" s="38">
        <v>裂口-怪物6</v>
      </c>
      <c r="D614" s="3"/>
      <c r="E614" t="str" s="3">
        <f>F614&amp;(VLOOKUP(G614,编号表!$E$1:$G$8,2,0))&amp;H614&amp;"_"&amp;I614&amp;"_"&amp;J614</f>
        <v>35N5_2_3</v>
      </c>
      <c r="F614" t="n" s="3">
        <v>35</v>
      </c>
      <c r="G614" t="str" s="3">
        <v>怪物</v>
      </c>
      <c r="H614" t="n" s="3">
        <v>5</v>
      </c>
      <c r="I614" t="n" s="3">
        <v>2</v>
      </c>
      <c r="J614" t="n" s="3">
        <v>3</v>
      </c>
      <c r="K614" s="3"/>
      <c r="L614" s="3"/>
      <c r="M614" s="3"/>
      <c r="N614" s="3"/>
      <c r="O614" s="3"/>
      <c r="P614" s="3"/>
      <c r="Q614" s="3"/>
      <c r="R614" s="3"/>
      <c r="S614" s="17"/>
      <c r="T614" s="18"/>
      <c r="U614"/>
      <c r="V614"/>
      <c r="W614"/>
      <c r="X614"/>
      <c r="Y614"/>
      <c r="Z614"/>
      <c r="AA614"/>
    </row>
    <row r="615" ht="12" customHeight="1" spans="1:20">
      <c r="A615" s="35"/>
      <c r="B615" t="n" s="17">
        <f>70000000+F615*10000+H615*1000+I615*100+J615</f>
        <v>70355204</v>
      </c>
      <c r="C615" t="str" s="38">
        <v>裂口-怪物7</v>
      </c>
      <c r="D615" s="3"/>
      <c r="E615" t="str" s="3">
        <f>F615&amp;(VLOOKUP(G615,编号表!$E$1:$G$8,2,0))&amp;H615&amp;"_"&amp;I615&amp;"_"&amp;J615</f>
        <v>35N5_2_4</v>
      </c>
      <c r="F615" t="n" s="3">
        <v>35</v>
      </c>
      <c r="G615" t="str" s="3">
        <v>怪物</v>
      </c>
      <c r="H615" t="n" s="3">
        <v>5</v>
      </c>
      <c r="I615" t="n" s="3">
        <v>2</v>
      </c>
      <c r="J615" t="n" s="3">
        <v>4</v>
      </c>
      <c r="K615" s="3"/>
      <c r="L615" s="3"/>
      <c r="M615" s="3"/>
      <c r="N615" s="3"/>
      <c r="O615" s="3"/>
      <c r="P615" s="3"/>
      <c r="Q615" s="3"/>
      <c r="R615" s="3"/>
      <c r="S615" s="17"/>
      <c r="T615" s="18"/>
      <c r="U615"/>
      <c r="V615"/>
      <c r="W615"/>
      <c r="X615"/>
      <c r="Y615"/>
      <c r="Z615"/>
      <c r="AA615"/>
    </row>
    <row r="616" ht="12" customHeight="1" spans="1:20">
      <c r="A616" s="35"/>
      <c r="B616" t="n" s="17">
        <f>70000000+F616*10000+H616*1000+I616*100+J616</f>
        <v>70355301</v>
      </c>
      <c r="C616" t="str" s="38">
        <v>裂口-怪物8</v>
      </c>
      <c r="D616" s="3"/>
      <c r="E616" t="str" s="3">
        <f>F616&amp;(VLOOKUP(G616,编号表!$E$1:$G$8,2,0))&amp;H616&amp;"_"&amp;I616&amp;"_"&amp;J616</f>
        <v>35N5_3_1</v>
      </c>
      <c r="F616" t="n" s="3">
        <v>35</v>
      </c>
      <c r="G616" t="str" s="3">
        <v>怪物</v>
      </c>
      <c r="H616" t="n" s="3">
        <v>5</v>
      </c>
      <c r="I616" t="n" s="3">
        <v>3</v>
      </c>
      <c r="J616" t="n" s="3">
        <v>1</v>
      </c>
      <c r="K616" s="3"/>
      <c r="L616" s="3"/>
      <c r="M616" s="3"/>
      <c r="N616" s="3"/>
      <c r="O616" s="3"/>
      <c r="P616" s="3"/>
      <c r="Q616" s="3"/>
      <c r="R616" s="3"/>
      <c r="S616" s="17"/>
      <c r="T616" s="18"/>
      <c r="U616"/>
      <c r="V616"/>
      <c r="W616"/>
      <c r="X616"/>
      <c r="Y616"/>
      <c r="Z616"/>
      <c r="AA616"/>
    </row>
    <row r="617" ht="12" customHeight="1" spans="1:20">
      <c r="A617" s="35"/>
      <c r="B617" t="n" s="17">
        <f>70000000+F617*10000+H617*1000+I617*100+J617</f>
        <v>70355302</v>
      </c>
      <c r="C617" t="str" s="38">
        <v>裂口-怪物9</v>
      </c>
      <c r="D617" s="3"/>
      <c r="E617" t="str" s="3">
        <f>F617&amp;(VLOOKUP(G617,编号表!$E$1:$G$8,2,0))&amp;H617&amp;"_"&amp;I617&amp;"_"&amp;J617</f>
        <v>35N5_3_2</v>
      </c>
      <c r="F617" t="n" s="3">
        <v>35</v>
      </c>
      <c r="G617" t="str" s="3">
        <v>怪物</v>
      </c>
      <c r="H617" t="n" s="3">
        <v>5</v>
      </c>
      <c r="I617" t="n" s="3">
        <v>3</v>
      </c>
      <c r="J617" t="n" s="3">
        <v>2</v>
      </c>
      <c r="K617" s="3"/>
      <c r="L617" s="3"/>
      <c r="M617" s="3"/>
      <c r="N617" s="3"/>
      <c r="O617" s="3"/>
      <c r="P617" s="3"/>
      <c r="Q617" s="3"/>
      <c r="R617" s="3"/>
      <c r="S617" s="17"/>
      <c r="T617" s="18"/>
      <c r="U617"/>
      <c r="V617"/>
      <c r="W617"/>
      <c r="X617"/>
      <c r="Y617"/>
      <c r="Z617"/>
      <c r="AA617"/>
    </row>
    <row r="618" ht="12" customHeight="1" spans="1:20">
      <c r="A618" s="35"/>
      <c r="B618" t="n" s="17">
        <f>70000000+F618*10000+H618*1000+I618*100+J618</f>
        <v>70355303</v>
      </c>
      <c r="C618" t="str" s="38">
        <v>裂口-怪物10</v>
      </c>
      <c r="D618" s="3"/>
      <c r="E618" t="str" s="3">
        <f>F618&amp;(VLOOKUP(G618,编号表!$E$1:$G$8,2,0))&amp;H618&amp;"_"&amp;I618&amp;"_"&amp;J618</f>
        <v>35N5_3_3</v>
      </c>
      <c r="F618" t="n" s="3">
        <v>35</v>
      </c>
      <c r="G618" t="str" s="3">
        <v>怪物</v>
      </c>
      <c r="H618" t="n" s="3">
        <v>5</v>
      </c>
      <c r="I618" t="n" s="3">
        <v>3</v>
      </c>
      <c r="J618" t="n" s="3">
        <v>3</v>
      </c>
      <c r="K618" s="3"/>
      <c r="L618" s="3"/>
      <c r="M618" s="3"/>
      <c r="N618" s="3"/>
      <c r="O618" s="3"/>
      <c r="P618" s="3"/>
      <c r="Q618" s="3"/>
      <c r="R618" s="3"/>
      <c r="S618" s="17"/>
      <c r="T618" s="18"/>
      <c r="U618"/>
      <c r="V618"/>
      <c r="W618"/>
      <c r="X618"/>
      <c r="Y618"/>
      <c r="Z618"/>
      <c r="AA618"/>
    </row>
    <row r="619" ht="15" spans="1:20">
      <c r="A619" s="35"/>
      <c r="B619" t="n" s="17">
        <f>70000000+F619*10000+H619*1000+I619*100+J619</f>
        <v>70355001</v>
      </c>
      <c r="C619" t="str" s="39">
        <v>裂口-镜头</v>
      </c>
      <c r="D619" s="3"/>
      <c r="E619" t="str" s="3">
        <f>F619&amp;(VLOOKUP(G619,编号表!$E$1:$G$8,2,0))&amp;H619&amp;"_"&amp;I619&amp;"_"&amp;J619</f>
        <v>35J5_0_1</v>
      </c>
      <c r="F619" t="n" s="3">
        <v>35</v>
      </c>
      <c r="G619" t="str" s="3">
        <v>镜头</v>
      </c>
      <c r="H619" t="n" s="3">
        <v>5</v>
      </c>
      <c r="I619" t="n" s="3">
        <v>0</v>
      </c>
      <c r="J619" t="n" s="3">
        <v>1</v>
      </c>
      <c r="K619" t="n" s="3">
        <v>1</v>
      </c>
      <c r="L619" s="3"/>
      <c r="M619" s="3"/>
      <c r="N619" s="3"/>
      <c r="O619" s="3"/>
      <c r="P619" s="3"/>
      <c r="Q619" s="3"/>
      <c r="R619" s="3"/>
      <c r="S619" s="17"/>
      <c r="T619" s="18"/>
      <c r="U619"/>
      <c r="V619"/>
      <c r="W619"/>
      <c r="X619"/>
      <c r="Y619"/>
      <c r="Z619"/>
      <c r="AA619"/>
    </row>
    <row r="620" ht="15" spans="1:20">
      <c r="A620" s="35"/>
      <c r="B620" t="n" s="17">
        <f>70000000+F620*10000+H620*1000+I620*100+J620</f>
        <v>70351001</v>
      </c>
      <c r="C620" t="str" s="37">
        <v>裂口-传送</v>
      </c>
      <c r="D620" s="3"/>
      <c r="E620" t="str" s="3">
        <f>F620&amp;(VLOOKUP(G620,编号表!$E$1:$G$8,2,0))&amp;H620&amp;"_"&amp;I620&amp;"_"&amp;J620</f>
        <v>35T1_0_1</v>
      </c>
      <c r="F620" t="n" s="3">
        <v>35</v>
      </c>
      <c r="G620" t="str" s="3">
        <v>传送</v>
      </c>
      <c r="H620" t="n" s="3">
        <v>1</v>
      </c>
      <c r="I620" t="n" s="3">
        <v>0</v>
      </c>
      <c r="J620" t="n" s="3">
        <v>1</v>
      </c>
      <c r="K620" s="3"/>
      <c r="L620" t="n" s="3">
        <v>1</v>
      </c>
      <c r="M620" s="3"/>
      <c r="N620" s="3"/>
      <c r="O620" s="3"/>
      <c r="P620" s="3"/>
      <c r="Q620" s="3"/>
      <c r="R620" t="n" s="3">
        <v>70341002</v>
      </c>
      <c r="S620" s="17"/>
      <c r="T620" s="18"/>
      <c r="U620"/>
      <c r="V620"/>
      <c r="W620"/>
      <c r="X620"/>
      <c r="Y620"/>
      <c r="Z620"/>
      <c r="AA620"/>
    </row>
    <row r="621" ht="15" spans="1:20">
      <c r="A621" s="35"/>
      <c r="B621" t="n" s="17">
        <f>70000000+F621*10000+H621*1000+I621*100+J621</f>
        <v>70351002</v>
      </c>
      <c r="C621" t="str" s="37">
        <v>裂口-传送</v>
      </c>
      <c r="D621" s="3"/>
      <c r="E621" t="str" s="3">
        <f>F621&amp;(VLOOKUP(G621,编号表!$E$1:$G$8,2,0))&amp;H621&amp;"_"&amp;I621&amp;"_"&amp;J621</f>
        <v>35T1_0_2</v>
      </c>
      <c r="F621" t="n" s="3">
        <v>35</v>
      </c>
      <c r="G621" t="str" s="3">
        <v>传送</v>
      </c>
      <c r="H621" t="n" s="3">
        <v>1</v>
      </c>
      <c r="I621" t="n" s="3">
        <v>0</v>
      </c>
      <c r="J621" t="n" s="3">
        <v>2</v>
      </c>
      <c r="K621" s="3"/>
      <c r="L621" t="n" s="3">
        <v>1</v>
      </c>
      <c r="M621" s="3"/>
      <c r="N621" s="3"/>
      <c r="O621" s="3"/>
      <c r="P621" s="3"/>
      <c r="Q621" s="3"/>
      <c r="R621" t="n" s="3">
        <v>70361001</v>
      </c>
      <c r="S621" s="17"/>
      <c r="T621" s="18"/>
      <c r="U621"/>
      <c r="V621"/>
      <c r="W621"/>
      <c r="X621"/>
      <c r="Y621"/>
      <c r="Z621"/>
      <c r="AA621"/>
    </row>
    <row r="622" ht="15" spans="1:20">
      <c r="A622" s="35"/>
      <c r="B622" t="n" s="17">
        <f>70000000+F622*10000+H622*1000+I622*100+J622</f>
        <v>70352001</v>
      </c>
      <c r="C622" t="str" s="37">
        <v>裂口-小地图</v>
      </c>
      <c r="D622" s="3"/>
      <c r="E622" t="str" s="3">
        <f>F622&amp;(VLOOKUP(G622,编号表!$E$1:$G$8,2,0))&amp;H622&amp;"_"&amp;I622&amp;"_"&amp;J622</f>
        <v>35D2_0_1</v>
      </c>
      <c r="F622" t="n" s="3">
        <v>35</v>
      </c>
      <c r="G622" t="str" s="3">
        <v>小地图</v>
      </c>
      <c r="H622" t="n" s="3">
        <v>2</v>
      </c>
      <c r="I622" t="n" s="3">
        <v>0</v>
      </c>
      <c r="J622" t="n" s="3">
        <v>1</v>
      </c>
      <c r="K622" s="3"/>
      <c r="L622" s="3"/>
      <c r="M622" t="n" s="3">
        <v>1</v>
      </c>
      <c r="N622" s="3"/>
      <c r="O622" s="3"/>
      <c r="P622" s="3"/>
      <c r="Q622" s="3"/>
      <c r="R622" s="3"/>
      <c r="S622" s="17"/>
      <c r="T622" s="18"/>
      <c r="U622"/>
      <c r="V622"/>
      <c r="W622"/>
      <c r="X622"/>
      <c r="Y622"/>
      <c r="Z622"/>
      <c r="AA622"/>
    </row>
    <row r="623" ht="12" customHeight="1" spans="1:20">
      <c r="A623" s="35"/>
      <c r="B623" t="n" s="17">
        <f>70000000+F623*10000+H623*1000+I623*100+J623</f>
        <v>70365101</v>
      </c>
      <c r="C623" t="str" s="38">
        <v>承影-怪物1</v>
      </c>
      <c r="D623" s="3"/>
      <c r="E623" t="str" s="3">
        <f>F623&amp;(VLOOKUP(G623,编号表!$E$1:$G$8,2,0))&amp;H623&amp;"_"&amp;I623&amp;"_"&amp;J623</f>
        <v>36N5_1_1</v>
      </c>
      <c r="F623" t="n" s="3">
        <v>36</v>
      </c>
      <c r="G623" t="str" s="3">
        <v>怪物</v>
      </c>
      <c r="H623" t="n" s="3">
        <v>5</v>
      </c>
      <c r="I623" t="n" s="3">
        <v>1</v>
      </c>
      <c r="J623" t="n" s="3">
        <v>1</v>
      </c>
      <c r="K623" s="3"/>
      <c r="L623" s="3"/>
      <c r="M623" s="3"/>
      <c r="N623" s="3"/>
      <c r="O623" s="3"/>
      <c r="P623" s="3"/>
      <c r="Q623" s="3"/>
      <c r="R623" s="3"/>
      <c r="S623" t="str" s="17">
        <v>本轮完整刷新挂接；有效坐标注入后验证</v>
      </c>
      <c r="T623" t="n" s="18">
        <v>1048304</v>
      </c>
      <c r="U623"/>
      <c r="V623"/>
      <c r="W623"/>
      <c r="X623"/>
      <c r="Y623"/>
      <c r="Z623"/>
      <c r="AA623"/>
    </row>
    <row r="624" ht="12" customHeight="1" spans="1:20">
      <c r="A624" s="35"/>
      <c r="B624" t="n" s="17">
        <f>70000000+F624*10000+H624*1000+I624*100+J624</f>
        <v>70365102</v>
      </c>
      <c r="C624" t="str" s="38">
        <v>承影-怪物2</v>
      </c>
      <c r="D624" s="3"/>
      <c r="E624" t="str" s="3">
        <f>F624&amp;(VLOOKUP(G624,编号表!$E$1:$G$8,2,0))&amp;H624&amp;"_"&amp;I624&amp;"_"&amp;J624</f>
        <v>36N5_1_2</v>
      </c>
      <c r="F624" t="n" s="3">
        <v>36</v>
      </c>
      <c r="G624" t="str" s="3">
        <v>怪物</v>
      </c>
      <c r="H624" t="n" s="3">
        <v>5</v>
      </c>
      <c r="I624" t="n" s="3">
        <v>1</v>
      </c>
      <c r="J624" t="n" s="3">
        <v>2</v>
      </c>
      <c r="K624" s="3"/>
      <c r="L624" s="3"/>
      <c r="M624" s="3"/>
      <c r="N624" s="3"/>
      <c r="O624" s="3"/>
      <c r="P624" s="3"/>
      <c r="Q624" s="3"/>
      <c r="R624" s="3"/>
      <c r="S624" t="str" s="17">
        <v>本轮完整刷新挂接；有效坐标注入后验证</v>
      </c>
      <c r="T624" t="n" s="18">
        <v>1048103</v>
      </c>
      <c r="U624"/>
      <c r="V624"/>
      <c r="W624"/>
      <c r="X624"/>
      <c r="Y624"/>
      <c r="Z624"/>
      <c r="AA624"/>
    </row>
    <row r="625" ht="12" customHeight="1" spans="1:20">
      <c r="A625" s="35"/>
      <c r="B625" t="n" s="17">
        <f>70000000+F625*10000+H625*1000+I625*100+J625</f>
        <v>70365103</v>
      </c>
      <c r="C625" t="str" s="38">
        <v>承影-怪物3</v>
      </c>
      <c r="D625" s="3"/>
      <c r="E625" t="str" s="3">
        <f>F625&amp;(VLOOKUP(G625,编号表!$E$1:$G$8,2,0))&amp;H625&amp;"_"&amp;I625&amp;"_"&amp;J625</f>
        <v>36N5_1_3</v>
      </c>
      <c r="F625" t="n" s="3">
        <v>36</v>
      </c>
      <c r="G625" t="str" s="3">
        <v>怪物</v>
      </c>
      <c r="H625" t="n" s="3">
        <v>5</v>
      </c>
      <c r="I625" t="n" s="3">
        <v>1</v>
      </c>
      <c r="J625" t="n" s="3">
        <v>3</v>
      </c>
      <c r="K625" s="3"/>
      <c r="L625" s="3"/>
      <c r="M625" s="3"/>
      <c r="N625" s="3"/>
      <c r="O625" s="3"/>
      <c r="P625" s="3"/>
      <c r="Q625" s="3"/>
      <c r="R625" s="3"/>
      <c r="S625" t="str" s="17">
        <v>本轮完整刷新挂接；有效坐标注入后验证</v>
      </c>
      <c r="T625" t="n" s="18">
        <v>1048001</v>
      </c>
      <c r="U625"/>
      <c r="V625"/>
      <c r="W625"/>
      <c r="X625"/>
      <c r="Y625"/>
      <c r="Z625"/>
      <c r="AA625"/>
    </row>
    <row r="626" ht="12" customHeight="1" spans="1:20">
      <c r="A626" s="35"/>
      <c r="B626" t="n" s="17">
        <f>70000000+F626*10000+H626*1000+I626*100+J626</f>
        <v>70365202</v>
      </c>
      <c r="C626" t="str" s="38">
        <v>承影-怪物4</v>
      </c>
      <c r="D626" s="3"/>
      <c r="E626" t="str" s="3">
        <f>F626&amp;(VLOOKUP(G626,编号表!$E$1:$G$8,2,0))&amp;H626&amp;"_"&amp;I626&amp;"_"&amp;J626</f>
        <v>36N5_2_2</v>
      </c>
      <c r="F626" t="n" s="3">
        <v>36</v>
      </c>
      <c r="G626" t="str" s="3">
        <v>怪物</v>
      </c>
      <c r="H626" t="n" s="3">
        <v>5</v>
      </c>
      <c r="I626" t="n" s="3">
        <v>2</v>
      </c>
      <c r="J626" t="n" s="3">
        <v>2</v>
      </c>
      <c r="K626" s="3"/>
      <c r="L626" s="3"/>
      <c r="M626" s="3"/>
      <c r="N626" s="3"/>
      <c r="O626" s="3"/>
      <c r="P626" s="3"/>
      <c r="Q626" s="3"/>
      <c r="R626" s="3"/>
      <c r="S626" s="17"/>
      <c r="T626" s="18"/>
      <c r="U626"/>
      <c r="V626"/>
      <c r="W626"/>
      <c r="X626"/>
      <c r="Y626"/>
      <c r="Z626"/>
      <c r="AA626"/>
    </row>
    <row r="627" ht="12" customHeight="1" spans="1:20">
      <c r="A627" s="35"/>
      <c r="B627" t="n" s="17">
        <f>70000000+F627*10000+H627*1000+I627*100+J627</f>
        <v>70365203</v>
      </c>
      <c r="C627" t="str" s="38">
        <v>承影-怪物5</v>
      </c>
      <c r="D627" s="3"/>
      <c r="E627" t="str" s="3">
        <f>F627&amp;(VLOOKUP(G627,编号表!$E$1:$G$8,2,0))&amp;H627&amp;"_"&amp;I627&amp;"_"&amp;J627</f>
        <v>36N5_2_3</v>
      </c>
      <c r="F627" t="n" s="3">
        <v>36</v>
      </c>
      <c r="G627" t="str" s="3">
        <v>怪物</v>
      </c>
      <c r="H627" t="n" s="3">
        <v>5</v>
      </c>
      <c r="I627" t="n" s="3">
        <v>2</v>
      </c>
      <c r="J627" t="n" s="3">
        <v>3</v>
      </c>
      <c r="K627" s="3"/>
      <c r="L627" s="3"/>
      <c r="M627" s="3"/>
      <c r="N627" s="3"/>
      <c r="O627" s="3"/>
      <c r="P627" s="3"/>
      <c r="Q627" s="3"/>
      <c r="R627" s="3"/>
      <c r="S627" s="17"/>
      <c r="T627" s="18"/>
      <c r="U627"/>
      <c r="V627"/>
      <c r="W627"/>
      <c r="X627"/>
      <c r="Y627"/>
      <c r="Z627"/>
      <c r="AA627"/>
    </row>
    <row r="628" ht="12" customHeight="1" spans="1:20">
      <c r="A628" s="35"/>
      <c r="B628" t="n" s="17">
        <f>70000000+F628*10000+H628*1000+I628*100+J628</f>
        <v>70365204</v>
      </c>
      <c r="C628" t="str" s="38">
        <v>承影-怪物6</v>
      </c>
      <c r="D628" s="3"/>
      <c r="E628" t="str" s="3">
        <f>F628&amp;(VLOOKUP(G628,编号表!$E$1:$G$8,2,0))&amp;H628&amp;"_"&amp;I628&amp;"_"&amp;J628</f>
        <v>36N5_2_4</v>
      </c>
      <c r="F628" t="n" s="3">
        <v>36</v>
      </c>
      <c r="G628" t="str" s="3">
        <v>怪物</v>
      </c>
      <c r="H628" t="n" s="3">
        <v>5</v>
      </c>
      <c r="I628" t="n" s="3">
        <v>2</v>
      </c>
      <c r="J628" t="n" s="3">
        <v>4</v>
      </c>
      <c r="K628" s="3"/>
      <c r="L628" s="3"/>
      <c r="M628" s="3"/>
      <c r="N628" s="3"/>
      <c r="O628" s="3"/>
      <c r="P628" s="3"/>
      <c r="Q628" s="3"/>
      <c r="R628" s="3"/>
      <c r="S628" s="17"/>
      <c r="T628" s="18"/>
      <c r="U628"/>
      <c r="V628"/>
      <c r="W628"/>
      <c r="X628"/>
      <c r="Y628"/>
      <c r="Z628"/>
      <c r="AA628"/>
    </row>
    <row r="629" ht="12" customHeight="1" spans="1:20">
      <c r="A629" s="35"/>
      <c r="B629" t="n" s="17">
        <f>70000000+F629*10000+H629*1000+I629*100+J629</f>
        <v>70365301</v>
      </c>
      <c r="C629" t="str" s="38">
        <v>承影-怪物7</v>
      </c>
      <c r="D629" s="3"/>
      <c r="E629" t="str" s="3">
        <f>F629&amp;(VLOOKUP(G629,编号表!$E$1:$G$8,2,0))&amp;H629&amp;"_"&amp;I629&amp;"_"&amp;J629</f>
        <v>36N5_3_1</v>
      </c>
      <c r="F629" t="n" s="3">
        <v>36</v>
      </c>
      <c r="G629" t="str" s="3">
        <v>怪物</v>
      </c>
      <c r="H629" t="n" s="3">
        <v>5</v>
      </c>
      <c r="I629" t="n" s="3">
        <v>3</v>
      </c>
      <c r="J629" t="n" s="3">
        <v>1</v>
      </c>
      <c r="K629" s="3"/>
      <c r="L629" s="3"/>
      <c r="M629" s="3"/>
      <c r="N629" s="3"/>
      <c r="O629" s="3"/>
      <c r="P629" s="3"/>
      <c r="Q629" s="3"/>
      <c r="R629" s="3"/>
      <c r="S629" s="17"/>
      <c r="T629" s="18"/>
      <c r="U629"/>
      <c r="V629"/>
      <c r="W629"/>
      <c r="X629"/>
      <c r="Y629"/>
      <c r="Z629"/>
      <c r="AA629"/>
    </row>
    <row r="630" ht="12" customHeight="1" spans="1:20">
      <c r="A630" s="35"/>
      <c r="B630" t="n" s="17">
        <f>70000000+F630*10000+H630*1000+I630*100+J630</f>
        <v>70365302</v>
      </c>
      <c r="C630" t="str" s="38">
        <v>承影-怪物8</v>
      </c>
      <c r="D630" s="3"/>
      <c r="E630" t="str" s="3">
        <f>F630&amp;(VLOOKUP(G630,编号表!$E$1:$G$8,2,0))&amp;H630&amp;"_"&amp;I630&amp;"_"&amp;J630</f>
        <v>36N5_3_2</v>
      </c>
      <c r="F630" t="n" s="3">
        <v>36</v>
      </c>
      <c r="G630" t="str" s="3">
        <v>怪物</v>
      </c>
      <c r="H630" t="n" s="3">
        <v>5</v>
      </c>
      <c r="I630" t="n" s="3">
        <v>3</v>
      </c>
      <c r="J630" t="n" s="3">
        <v>2</v>
      </c>
      <c r="K630" s="3"/>
      <c r="L630" s="3"/>
      <c r="M630" s="3"/>
      <c r="N630" s="3"/>
      <c r="O630" s="3"/>
      <c r="P630" s="3"/>
      <c r="Q630" s="3"/>
      <c r="R630" s="3"/>
      <c r="S630" s="17"/>
      <c r="T630" s="18"/>
      <c r="U630"/>
      <c r="V630"/>
      <c r="W630"/>
      <c r="X630"/>
      <c r="Y630"/>
      <c r="Z630"/>
      <c r="AA630"/>
    </row>
    <row r="631" ht="12" customHeight="1" spans="1:20">
      <c r="A631" s="35"/>
      <c r="B631" t="n" s="17">
        <f>70000000+F631*10000+H631*1000+I631*100+J631</f>
        <v>70365303</v>
      </c>
      <c r="C631" t="str" s="38">
        <v>承影-怪物9</v>
      </c>
      <c r="D631" s="3"/>
      <c r="E631" t="str" s="3">
        <f>F631&amp;(VLOOKUP(G631,编号表!$E$1:$G$8,2,0))&amp;H631&amp;"_"&amp;I631&amp;"_"&amp;J631</f>
        <v>36N5_3_3</v>
      </c>
      <c r="F631" t="n" s="3">
        <v>36</v>
      </c>
      <c r="G631" t="str" s="3">
        <v>怪物</v>
      </c>
      <c r="H631" t="n" s="3">
        <v>5</v>
      </c>
      <c r="I631" t="n" s="3">
        <v>3</v>
      </c>
      <c r="J631" t="n" s="3">
        <v>3</v>
      </c>
      <c r="K631" s="3"/>
      <c r="L631" s="3"/>
      <c r="M631" s="3"/>
      <c r="N631" s="3"/>
      <c r="O631" s="3"/>
      <c r="P631" s="3"/>
      <c r="Q631" s="3"/>
      <c r="R631" s="3"/>
      <c r="S631" s="17"/>
      <c r="T631" s="18"/>
      <c r="U631"/>
      <c r="V631"/>
      <c r="W631"/>
      <c r="X631"/>
      <c r="Y631"/>
      <c r="Z631"/>
      <c r="AA631"/>
    </row>
    <row r="632" ht="15" spans="1:20">
      <c r="A632" s="35"/>
      <c r="B632" t="n" s="17">
        <f>70000000+F632*10000+H632*1000+I632*100+J632</f>
        <v>70365001</v>
      </c>
      <c r="C632" t="str" s="39">
        <v>承影-镜头</v>
      </c>
      <c r="D632" s="3"/>
      <c r="E632" t="str" s="3">
        <f>F632&amp;(VLOOKUP(G632,编号表!$E$1:$G$8,2,0))&amp;H632&amp;"_"&amp;I632&amp;"_"&amp;J632</f>
        <v>36J5_0_1</v>
      </c>
      <c r="F632" t="n" s="3">
        <v>36</v>
      </c>
      <c r="G632" t="str" s="3">
        <v>镜头</v>
      </c>
      <c r="H632" t="n" s="3">
        <v>5</v>
      </c>
      <c r="I632" t="n" s="3">
        <v>0</v>
      </c>
      <c r="J632" t="n" s="3">
        <v>1</v>
      </c>
      <c r="K632" t="n" s="3">
        <v>1</v>
      </c>
      <c r="L632" s="3"/>
      <c r="M632" s="3"/>
      <c r="N632" s="3"/>
      <c r="O632" s="3"/>
      <c r="P632" s="3"/>
      <c r="Q632" s="3"/>
      <c r="R632" s="3"/>
      <c r="S632" s="17"/>
      <c r="T632" s="18"/>
      <c r="U632"/>
      <c r="V632"/>
      <c r="W632"/>
      <c r="X632"/>
      <c r="Y632"/>
      <c r="Z632"/>
      <c r="AA632"/>
    </row>
    <row r="633" ht="15" spans="1:20">
      <c r="A633" s="35"/>
      <c r="B633" t="n" s="17">
        <f>70000000+F633*10000+H633*1000+I633*100+J633</f>
        <v>70361001</v>
      </c>
      <c r="C633" t="str" s="37">
        <v>承影-传送</v>
      </c>
      <c r="D633" s="3"/>
      <c r="E633" t="str" s="3">
        <f>F633&amp;(VLOOKUP(G633,编号表!$E$1:$G$8,2,0))&amp;H633&amp;"_"&amp;I633&amp;"_"&amp;J633</f>
        <v>36T1_0_1</v>
      </c>
      <c r="F633" t="n" s="3">
        <v>36</v>
      </c>
      <c r="G633" t="str" s="3">
        <v>传送</v>
      </c>
      <c r="H633" t="n" s="3">
        <v>1</v>
      </c>
      <c r="I633" t="n" s="3">
        <v>0</v>
      </c>
      <c r="J633" t="n" s="3">
        <v>1</v>
      </c>
      <c r="K633" s="3"/>
      <c r="L633" t="n" s="3">
        <v>1</v>
      </c>
      <c r="M633" s="3"/>
      <c r="N633" s="3"/>
      <c r="O633" s="3"/>
      <c r="P633" s="3"/>
      <c r="Q633" s="3"/>
      <c r="R633" t="n" s="3">
        <v>70351002</v>
      </c>
      <c r="S633" s="17"/>
      <c r="T633" s="18"/>
      <c r="U633"/>
      <c r="V633"/>
      <c r="W633"/>
      <c r="X633"/>
      <c r="Y633"/>
      <c r="Z633"/>
      <c r="AA633"/>
    </row>
    <row r="634" ht="15" spans="1:20">
      <c r="A634" s="35"/>
      <c r="B634" t="n" s="17">
        <f>70000000+F634*10000+H634*1000+I634*100+J634</f>
        <v>70361002</v>
      </c>
      <c r="C634" t="str" s="37">
        <v>承影-传送</v>
      </c>
      <c r="D634" s="3"/>
      <c r="E634" t="str" s="3">
        <f>F634&amp;(VLOOKUP(G634,编号表!$E$1:$G$8,2,0))&amp;H634&amp;"_"&amp;I634&amp;"_"&amp;J634</f>
        <v>36T1_0_2</v>
      </c>
      <c r="F634" t="n" s="3">
        <v>36</v>
      </c>
      <c r="G634" t="str" s="3">
        <v>传送</v>
      </c>
      <c r="H634" t="n" s="3">
        <v>1</v>
      </c>
      <c r="I634" t="n" s="3">
        <v>0</v>
      </c>
      <c r="J634" t="n" s="3">
        <v>2</v>
      </c>
      <c r="K634" s="3"/>
      <c r="L634" t="n" s="3">
        <v>1</v>
      </c>
      <c r="M634" s="3"/>
      <c r="N634" s="3"/>
      <c r="O634" s="3"/>
      <c r="P634" s="3"/>
      <c r="Q634" s="3"/>
      <c r="R634" t="n" s="3">
        <v>70371001</v>
      </c>
      <c r="S634" s="17"/>
      <c r="T634" s="18"/>
      <c r="U634"/>
      <c r="V634"/>
      <c r="W634"/>
      <c r="X634"/>
      <c r="Y634"/>
      <c r="Z634"/>
      <c r="AA634"/>
    </row>
    <row r="635" ht="15" spans="1:20">
      <c r="A635" s="35"/>
      <c r="B635" t="n" s="17">
        <f>70000000+F635*10000+H635*1000+I635*100+J635</f>
        <v>70362001</v>
      </c>
      <c r="C635" t="str" s="37">
        <v>承影-小地图</v>
      </c>
      <c r="D635" s="3"/>
      <c r="E635" t="str" s="3">
        <f>F635&amp;(VLOOKUP(G635,编号表!$E$1:$G$8,2,0))&amp;H635&amp;"_"&amp;I635&amp;"_"&amp;J635</f>
        <v>36D2_0_1</v>
      </c>
      <c r="F635" t="n" s="3">
        <v>36</v>
      </c>
      <c r="G635" t="str" s="3">
        <v>小地图</v>
      </c>
      <c r="H635" t="n" s="3">
        <v>2</v>
      </c>
      <c r="I635" t="n" s="3">
        <v>0</v>
      </c>
      <c r="J635" t="n" s="3">
        <v>1</v>
      </c>
      <c r="K635" s="3"/>
      <c r="L635" s="3"/>
      <c r="M635" t="n" s="3">
        <v>1</v>
      </c>
      <c r="N635" s="3"/>
      <c r="O635" s="3"/>
      <c r="P635" s="3"/>
      <c r="Q635" s="3"/>
      <c r="R635" s="3"/>
      <c r="S635" s="17"/>
      <c r="T635" s="18"/>
      <c r="U635"/>
      <c r="V635"/>
      <c r="W635"/>
      <c r="X635"/>
      <c r="Y635"/>
      <c r="Z635"/>
      <c r="AA635"/>
    </row>
    <row r="636" ht="12" customHeight="1" spans="1:20">
      <c r="A636" s="35"/>
      <c r="B636" t="n" s="17">
        <f>70000000+F636*10000+H636*1000+I636*100+J636</f>
        <v>70375101</v>
      </c>
      <c r="C636" t="str" s="38">
        <v>壅浊石-怪物1</v>
      </c>
      <c r="D636" s="3"/>
      <c r="E636" t="str" s="3">
        <f>F636&amp;(VLOOKUP(G636,编号表!$E$1:$G$8,2,0))&amp;H636&amp;"_"&amp;I636&amp;"_"&amp;J636</f>
        <v>37N5_1_1</v>
      </c>
      <c r="F636" t="n" s="3">
        <v>37</v>
      </c>
      <c r="G636" t="str" s="3">
        <v>怪物</v>
      </c>
      <c r="H636" t="n" s="3">
        <v>5</v>
      </c>
      <c r="I636" t="n" s="3">
        <v>1</v>
      </c>
      <c r="J636" t="n" s="3">
        <v>1</v>
      </c>
      <c r="K636" s="3"/>
      <c r="L636" s="3"/>
      <c r="M636" s="3"/>
      <c r="N636" s="3"/>
      <c r="O636" s="3"/>
      <c r="P636" s="3"/>
      <c r="Q636" s="3"/>
      <c r="R636" s="3"/>
      <c r="S636" t="str" s="17">
        <v>本轮完整刷新挂接；有效坐标注入后验证</v>
      </c>
      <c r="T636" t="n" s="18">
        <v>1049304</v>
      </c>
      <c r="U636"/>
      <c r="V636"/>
      <c r="W636"/>
      <c r="X636"/>
      <c r="Y636"/>
      <c r="Z636"/>
      <c r="AA636"/>
    </row>
    <row r="637" ht="12" customHeight="1" spans="1:20">
      <c r="A637" s="35"/>
      <c r="B637" t="n" s="17">
        <f>70000000+F637*10000+H637*1000+I637*100+J637</f>
        <v>70375102</v>
      </c>
      <c r="C637" t="str" s="38">
        <v>壅浊石-怪物2</v>
      </c>
      <c r="D637" s="3"/>
      <c r="E637" t="str" s="3">
        <f>F637&amp;(VLOOKUP(G637,编号表!$E$1:$G$8,2,0))&amp;H637&amp;"_"&amp;I637&amp;"_"&amp;J637</f>
        <v>37N5_1_2</v>
      </c>
      <c r="F637" t="n" s="3">
        <v>37</v>
      </c>
      <c r="G637" t="str" s="3">
        <v>怪物</v>
      </c>
      <c r="H637" t="n" s="3">
        <v>5</v>
      </c>
      <c r="I637" t="n" s="3">
        <v>1</v>
      </c>
      <c r="J637" t="n" s="3">
        <v>2</v>
      </c>
      <c r="K637" s="3"/>
      <c r="L637" s="3"/>
      <c r="M637" s="3"/>
      <c r="N637" s="3"/>
      <c r="O637" s="3"/>
      <c r="P637" s="3"/>
      <c r="Q637" s="3"/>
      <c r="R637" s="3"/>
      <c r="S637" t="str" s="17">
        <v>本轮完整刷新挂接；有效坐标注入后验证</v>
      </c>
      <c r="T637" t="n" s="18">
        <v>1049404</v>
      </c>
      <c r="U637"/>
      <c r="V637"/>
      <c r="W637"/>
      <c r="X637"/>
      <c r="Y637"/>
      <c r="Z637"/>
      <c r="AA637"/>
    </row>
    <row r="638" ht="12" customHeight="1" spans="1:20">
      <c r="A638" s="35"/>
      <c r="B638" t="n" s="17">
        <f>70000000+F638*10000+H638*1000+I638*100+J638</f>
        <v>70375103</v>
      </c>
      <c r="C638" t="str" s="38">
        <v>壅浊石-怪物3</v>
      </c>
      <c r="D638" s="3"/>
      <c r="E638" t="str" s="3">
        <f>F638&amp;(VLOOKUP(G638,编号表!$E$1:$G$8,2,0))&amp;H638&amp;"_"&amp;I638&amp;"_"&amp;J638</f>
        <v>37N5_1_3</v>
      </c>
      <c r="F638" t="n" s="3">
        <v>37</v>
      </c>
      <c r="G638" t="str" s="3">
        <v>怪物</v>
      </c>
      <c r="H638" t="n" s="3">
        <v>5</v>
      </c>
      <c r="I638" t="n" s="3">
        <v>1</v>
      </c>
      <c r="J638" t="n" s="3">
        <v>3</v>
      </c>
      <c r="K638" s="3"/>
      <c r="L638" s="3"/>
      <c r="M638" s="3"/>
      <c r="N638" s="3"/>
      <c r="O638" s="3"/>
      <c r="P638" s="3"/>
      <c r="Q638" s="3"/>
      <c r="R638" s="3"/>
      <c r="S638" t="str" s="17">
        <v>本轮完整刷新挂接；有效坐标注入后验证</v>
      </c>
      <c r="T638" t="n" s="18">
        <v>1049001</v>
      </c>
      <c r="U638"/>
      <c r="V638"/>
      <c r="W638"/>
      <c r="X638"/>
      <c r="Y638"/>
      <c r="Z638"/>
      <c r="AA638"/>
    </row>
    <row r="639" ht="12" customHeight="1" spans="1:20">
      <c r="A639" s="35"/>
      <c r="B639" t="n" s="17">
        <f>70000000+F639*10000+H639*1000+I639*100+J639</f>
        <v>70375201</v>
      </c>
      <c r="C639" t="str" s="38">
        <v>壅浊石-怪物4</v>
      </c>
      <c r="D639" s="3"/>
      <c r="E639" t="str" s="3">
        <f>F639&amp;(VLOOKUP(G639,编号表!$E$1:$G$8,2,0))&amp;H639&amp;"_"&amp;I639&amp;"_"&amp;J639</f>
        <v>37N5_2_1</v>
      </c>
      <c r="F639" t="n" s="3">
        <v>37</v>
      </c>
      <c r="G639" t="str" s="3">
        <v>怪物</v>
      </c>
      <c r="H639" t="n" s="3">
        <v>5</v>
      </c>
      <c r="I639" t="n" s="3">
        <v>2</v>
      </c>
      <c r="J639" t="n" s="3">
        <v>1</v>
      </c>
      <c r="K639" s="3"/>
      <c r="L639" s="3"/>
      <c r="M639" s="3"/>
      <c r="N639" s="3"/>
      <c r="O639" s="3"/>
      <c r="P639" s="3"/>
      <c r="Q639" s="3"/>
      <c r="R639" s="3"/>
      <c r="S639" t="str" s="17">
        <v>本轮完整刷新挂接；有效坐标注入后验证</v>
      </c>
      <c r="T639" t="n" s="18">
        <v>1900247</v>
      </c>
      <c r="U639"/>
      <c r="V639"/>
      <c r="W639"/>
      <c r="X639"/>
      <c r="Y639"/>
      <c r="Z639"/>
      <c r="AA639"/>
    </row>
    <row r="640" ht="12" customHeight="1" spans="1:20">
      <c r="A640" s="35"/>
      <c r="B640" t="n" s="17">
        <f>70000000+F640*10000+H640*1000+I640*100+J640</f>
        <v>70375202</v>
      </c>
      <c r="C640" t="str" s="38">
        <v>壅浊石-怪物5</v>
      </c>
      <c r="D640" s="3"/>
      <c r="E640" t="str" s="3">
        <f>F640&amp;(VLOOKUP(G640,编号表!$E$1:$G$8,2,0))&amp;H640&amp;"_"&amp;I640&amp;"_"&amp;J640</f>
        <v>37N5_2_2</v>
      </c>
      <c r="F640" t="n" s="3">
        <v>37</v>
      </c>
      <c r="G640" t="str" s="3">
        <v>怪物</v>
      </c>
      <c r="H640" t="n" s="3">
        <v>5</v>
      </c>
      <c r="I640" t="n" s="3">
        <v>2</v>
      </c>
      <c r="J640" t="n" s="3">
        <v>2</v>
      </c>
      <c r="K640" s="3"/>
      <c r="L640" s="3"/>
      <c r="M640" s="3"/>
      <c r="N640" s="3"/>
      <c r="O640" s="3"/>
      <c r="P640" s="3"/>
      <c r="Q640" s="3"/>
      <c r="R640" s="3"/>
      <c r="S640" s="17"/>
      <c r="T640" s="18"/>
      <c r="U640"/>
      <c r="V640"/>
      <c r="W640"/>
      <c r="X640"/>
      <c r="Y640"/>
      <c r="Z640"/>
      <c r="AA640"/>
    </row>
    <row r="641" ht="12" customHeight="1" spans="1:20">
      <c r="A641" s="35"/>
      <c r="B641" t="n" s="17">
        <f>70000000+F641*10000+H641*1000+I641*100+J641</f>
        <v>70375203</v>
      </c>
      <c r="C641" t="str" s="38">
        <v>壅浊石-怪物6</v>
      </c>
      <c r="D641" s="3"/>
      <c r="E641" t="str" s="3">
        <f>F641&amp;(VLOOKUP(G641,编号表!$E$1:$G$8,2,0))&amp;H641&amp;"_"&amp;I641&amp;"_"&amp;J641</f>
        <v>37N5_2_3</v>
      </c>
      <c r="F641" t="n" s="3">
        <v>37</v>
      </c>
      <c r="G641" t="str" s="3">
        <v>怪物</v>
      </c>
      <c r="H641" t="n" s="3">
        <v>5</v>
      </c>
      <c r="I641" t="n" s="3">
        <v>2</v>
      </c>
      <c r="J641" t="n" s="3">
        <v>3</v>
      </c>
      <c r="K641" s="3"/>
      <c r="L641" s="3"/>
      <c r="M641" s="3"/>
      <c r="N641" s="3"/>
      <c r="O641" s="3"/>
      <c r="P641" s="3"/>
      <c r="Q641" s="3"/>
      <c r="R641" s="3"/>
      <c r="S641" s="17"/>
      <c r="T641" s="18"/>
      <c r="U641"/>
      <c r="V641"/>
      <c r="W641"/>
      <c r="X641"/>
      <c r="Y641"/>
      <c r="Z641"/>
      <c r="AA641"/>
    </row>
    <row r="642" ht="15" spans="1:20">
      <c r="A642" s="35"/>
      <c r="B642" t="n" s="17">
        <f>70000000+F642*10000+H642*1000+I642*100+J642</f>
        <v>70375001</v>
      </c>
      <c r="C642" t="str" s="39">
        <v>壅浊石-镜头</v>
      </c>
      <c r="D642" s="3"/>
      <c r="E642" t="str" s="3">
        <f>F642&amp;(VLOOKUP(G642,编号表!$E$1:$G$8,2,0))&amp;H642&amp;"_"&amp;I642&amp;"_"&amp;J642</f>
        <v>37J5_0_1</v>
      </c>
      <c r="F642" t="n" s="3">
        <v>37</v>
      </c>
      <c r="G642" t="str" s="3">
        <v>镜头</v>
      </c>
      <c r="H642" t="n" s="3">
        <v>5</v>
      </c>
      <c r="I642" t="n" s="3">
        <v>0</v>
      </c>
      <c r="J642" t="n" s="3">
        <v>1</v>
      </c>
      <c r="K642" t="n" s="3">
        <v>1</v>
      </c>
      <c r="L642" s="3"/>
      <c r="M642" s="3"/>
      <c r="N642" s="3"/>
      <c r="O642" s="3"/>
      <c r="P642" s="3"/>
      <c r="Q642" s="3"/>
      <c r="R642" s="3"/>
      <c r="S642" s="17"/>
      <c r="T642" s="18"/>
      <c r="U642"/>
      <c r="V642"/>
      <c r="W642"/>
      <c r="X642"/>
      <c r="Y642"/>
      <c r="Z642"/>
      <c r="AA642"/>
    </row>
    <row r="643" ht="15" spans="1:20">
      <c r="A643" s="35"/>
      <c r="B643" t="n" s="17">
        <f>70000000+F643*10000+H643*1000+I643*100+J643</f>
        <v>70371001</v>
      </c>
      <c r="C643" t="str" s="37">
        <v>壅浊石-传送</v>
      </c>
      <c r="D643" s="3"/>
      <c r="E643" t="str" s="3">
        <f>F643&amp;(VLOOKUP(G643,编号表!$E$1:$G$8,2,0))&amp;H643&amp;"_"&amp;I643&amp;"_"&amp;J643</f>
        <v>37T1_0_1</v>
      </c>
      <c r="F643" t="n" s="3">
        <v>37</v>
      </c>
      <c r="G643" t="str" s="3">
        <v>传送</v>
      </c>
      <c r="H643" t="n" s="3">
        <v>1</v>
      </c>
      <c r="I643" t="n" s="3">
        <v>0</v>
      </c>
      <c r="J643" t="n" s="3">
        <v>1</v>
      </c>
      <c r="K643" s="3"/>
      <c r="L643" t="n" s="3">
        <v>1</v>
      </c>
      <c r="M643" s="3"/>
      <c r="N643" s="3"/>
      <c r="O643" s="3"/>
      <c r="P643" s="3"/>
      <c r="Q643" s="3"/>
      <c r="R643" t="n" s="3">
        <v>70361002</v>
      </c>
      <c r="S643" s="17"/>
      <c r="T643" s="18"/>
      <c r="U643"/>
      <c r="V643"/>
      <c r="W643"/>
      <c r="X643"/>
      <c r="Y643"/>
      <c r="Z643"/>
      <c r="AA643"/>
    </row>
    <row r="644" ht="15" spans="1:20">
      <c r="A644" s="35"/>
      <c r="B644" t="n" s="17">
        <f>70000000+F644*10000+H644*1000+I644*100+J644</f>
        <v>70371002</v>
      </c>
      <c r="C644" t="str" s="37">
        <v>壅浊石-传送</v>
      </c>
      <c r="D644" s="3"/>
      <c r="E644" t="str" s="3">
        <f>F644&amp;(VLOOKUP(G644,编号表!$E$1:$G$8,2,0))&amp;H644&amp;"_"&amp;I644&amp;"_"&amp;J644</f>
        <v>37T1_0_2</v>
      </c>
      <c r="F644" t="n" s="3">
        <v>37</v>
      </c>
      <c r="G644" t="str" s="3">
        <v>传送</v>
      </c>
      <c r="H644" t="n" s="3">
        <v>1</v>
      </c>
      <c r="I644" t="n" s="3">
        <v>0</v>
      </c>
      <c r="J644" t="n" s="3">
        <v>2</v>
      </c>
      <c r="K644" s="3"/>
      <c r="L644" t="n" s="3">
        <v>1</v>
      </c>
      <c r="M644" s="3"/>
      <c r="N644" s="3"/>
      <c r="O644" s="3"/>
      <c r="P644" s="3"/>
      <c r="Q644" s="3"/>
      <c r="R644" t="n" s="3">
        <v>70381001</v>
      </c>
      <c r="S644" s="17"/>
      <c r="T644" s="18"/>
      <c r="U644"/>
      <c r="V644"/>
      <c r="W644"/>
      <c r="X644"/>
      <c r="Y644"/>
      <c r="Z644"/>
      <c r="AA644"/>
    </row>
    <row r="645" ht="15" spans="1:20">
      <c r="A645" s="35"/>
      <c r="B645" t="n" s="17">
        <f>70000000+F645*10000+H645*1000+I645*100+J645</f>
        <v>70372001</v>
      </c>
      <c r="C645" t="str" s="37">
        <v>壅浊石-小地图</v>
      </c>
      <c r="D645" s="3"/>
      <c r="E645" t="str" s="3">
        <f>F645&amp;(VLOOKUP(G645,编号表!$E$1:$G$8,2,0))&amp;H645&amp;"_"&amp;I645&amp;"_"&amp;J645</f>
        <v>37D2_0_1</v>
      </c>
      <c r="F645" t="n" s="3">
        <v>37</v>
      </c>
      <c r="G645" t="str" s="3">
        <v>小地图</v>
      </c>
      <c r="H645" t="n" s="3">
        <v>2</v>
      </c>
      <c r="I645" t="n" s="3">
        <v>0</v>
      </c>
      <c r="J645" t="n" s="3">
        <v>1</v>
      </c>
      <c r="K645" s="3"/>
      <c r="L645" s="3"/>
      <c r="M645" t="n" s="3">
        <v>1</v>
      </c>
      <c r="N645" s="3"/>
      <c r="O645" s="3"/>
      <c r="P645" s="3"/>
      <c r="Q645" s="3"/>
      <c r="R645" s="3"/>
      <c r="S645" s="17"/>
      <c r="T645" s="18"/>
      <c r="U645"/>
      <c r="V645"/>
      <c r="W645"/>
      <c r="X645"/>
      <c r="Y645"/>
      <c r="Z645"/>
      <c r="AA645"/>
    </row>
    <row r="646" ht="12" customHeight="1" spans="1:20">
      <c r="A646" s="35"/>
      <c r="B646" t="n" s="17">
        <f>70000000+F646*10000+H646*1000+I646*100+J646</f>
        <v>70385001</v>
      </c>
      <c r="C646" t="str" s="39">
        <v>石息-镜头</v>
      </c>
      <c r="D646" s="3"/>
      <c r="E646" t="str" s="3">
        <f>F646&amp;(VLOOKUP(G646,编号表!$E$1:$G$8,2,0))&amp;H646&amp;"_"&amp;I646&amp;"_"&amp;J646</f>
        <v>38J5_0_1</v>
      </c>
      <c r="F646" t="n" s="3">
        <v>38</v>
      </c>
      <c r="G646" t="str" s="3">
        <v>镜头</v>
      </c>
      <c r="H646" t="n" s="3">
        <v>5</v>
      </c>
      <c r="I646" t="n" s="3">
        <v>0</v>
      </c>
      <c r="J646" t="n" s="3">
        <v>1</v>
      </c>
      <c r="K646" t="n" s="3">
        <v>1</v>
      </c>
      <c r="L646" s="3"/>
      <c r="M646" s="3"/>
      <c r="N646" s="3"/>
      <c r="O646" s="3"/>
      <c r="P646" s="3"/>
      <c r="Q646" s="3"/>
      <c r="R646" s="3"/>
      <c r="S646" s="17"/>
      <c r="T646" s="18"/>
      <c r="U646"/>
      <c r="V646"/>
      <c r="W646"/>
      <c r="X646"/>
      <c r="Y646"/>
      <c r="Z646"/>
      <c r="AA646"/>
    </row>
    <row r="647" ht="15" spans="1:20">
      <c r="A647" s="35"/>
      <c r="B647" t="n" s="17">
        <f>70000000+F647*10000+H647*1000+I647*100+J647</f>
        <v>70381001</v>
      </c>
      <c r="C647" t="str" s="37">
        <v>石息-传送</v>
      </c>
      <c r="D647" s="3"/>
      <c r="E647" t="str" s="3">
        <f>F647&amp;(VLOOKUP(G647,编号表!$E$1:$G$8,2,0))&amp;H647&amp;"_"&amp;I647&amp;"_"&amp;J647</f>
        <v>38T1_0_1</v>
      </c>
      <c r="F647" t="n" s="3">
        <v>38</v>
      </c>
      <c r="G647" t="str" s="3">
        <v>传送</v>
      </c>
      <c r="H647" t="n" s="3">
        <v>1</v>
      </c>
      <c r="I647" t="n" s="3">
        <v>0</v>
      </c>
      <c r="J647" t="n" s="3">
        <v>1</v>
      </c>
      <c r="K647" s="3"/>
      <c r="L647" t="n" s="3">
        <v>1</v>
      </c>
      <c r="M647" s="3"/>
      <c r="N647" s="3"/>
      <c r="O647" s="3"/>
      <c r="P647" s="3"/>
      <c r="Q647" s="3"/>
      <c r="R647" t="n" s="3">
        <v>70371002</v>
      </c>
      <c r="S647" s="17"/>
      <c r="T647" s="18"/>
      <c r="U647"/>
      <c r="V647"/>
      <c r="W647"/>
      <c r="X647"/>
      <c r="Y647"/>
      <c r="Z647"/>
      <c r="AA647"/>
    </row>
    <row r="648" ht="15" spans="1:20">
      <c r="A648" s="35"/>
      <c r="B648" t="n" s="17">
        <f>70000000+F648*10000+H648*1000+I648*100+J648</f>
        <v>70381002</v>
      </c>
      <c r="C648" t="str" s="37">
        <v>石息-传送</v>
      </c>
      <c r="D648" s="3"/>
      <c r="E648" t="str" s="3">
        <f>F648&amp;(VLOOKUP(G648,编号表!$E$1:$G$8,2,0))&amp;H648&amp;"_"&amp;I648&amp;"_"&amp;J648</f>
        <v>38T1_0_2</v>
      </c>
      <c r="F648" t="n" s="3">
        <v>38</v>
      </c>
      <c r="G648" t="str" s="3">
        <v>传送</v>
      </c>
      <c r="H648" t="n" s="3">
        <v>1</v>
      </c>
      <c r="I648" t="n" s="3">
        <v>0</v>
      </c>
      <c r="J648" t="n" s="3">
        <v>2</v>
      </c>
      <c r="K648" s="3"/>
      <c r="L648" t="n" s="3">
        <v>1</v>
      </c>
      <c r="M648" s="3"/>
      <c r="N648" s="3"/>
      <c r="O648" s="3"/>
      <c r="P648" s="3"/>
      <c r="Q648" s="3"/>
      <c r="R648" t="n" s="3">
        <v>70391001</v>
      </c>
      <c r="S648" s="17"/>
      <c r="T648" s="18"/>
      <c r="U648"/>
      <c r="V648"/>
      <c r="W648"/>
      <c r="X648"/>
      <c r="Y648"/>
      <c r="Z648"/>
      <c r="AA648"/>
    </row>
    <row r="649" ht="15" spans="1:20">
      <c r="A649" s="35"/>
      <c r="B649" t="n" s="17">
        <f>70000000+F649*10000+H649*1000+I649*100+J649</f>
        <v>70382001</v>
      </c>
      <c r="C649" t="str" s="37">
        <v>石息-小地图</v>
      </c>
      <c r="D649" s="3"/>
      <c r="E649" t="str" s="3">
        <f>F649&amp;(VLOOKUP(G649,编号表!$E$1:$G$8,2,0))&amp;H649&amp;"_"&amp;I649&amp;"_"&amp;J649</f>
        <v>38D2_0_1</v>
      </c>
      <c r="F649" t="n" s="3">
        <v>38</v>
      </c>
      <c r="G649" t="str" s="3">
        <v>小地图</v>
      </c>
      <c r="H649" t="n" s="3">
        <v>2</v>
      </c>
      <c r="I649" t="n" s="3">
        <v>0</v>
      </c>
      <c r="J649" t="n" s="3">
        <v>1</v>
      </c>
      <c r="K649" s="3"/>
      <c r="L649" s="3"/>
      <c r="M649" t="n" s="3">
        <v>1</v>
      </c>
      <c r="N649" s="3"/>
      <c r="O649" s="3"/>
      <c r="P649" s="3"/>
      <c r="Q649" s="3"/>
      <c r="R649" s="3"/>
      <c r="S649" s="17"/>
      <c r="T649" s="18"/>
      <c r="U649"/>
      <c r="V649"/>
      <c r="W649"/>
      <c r="X649"/>
      <c r="Y649"/>
      <c r="Z649"/>
      <c r="AA649"/>
    </row>
    <row r="650" ht="12" customHeight="1" spans="1:20">
      <c r="A650" s="35"/>
      <c r="B650" t="n" s="17">
        <f>70000000+F650*10000+H650*1000+I650*100+J650</f>
        <v>70395101</v>
      </c>
      <c r="C650" t="str" s="38">
        <v>沉岚-怪物1</v>
      </c>
      <c r="D650" s="3"/>
      <c r="E650" t="str" s="3">
        <f>F650&amp;(VLOOKUP(G650,编号表!$E$1:$G$8,2,0))&amp;H650&amp;"_"&amp;I650&amp;"_"&amp;J650</f>
        <v>39N5_1_1</v>
      </c>
      <c r="F650" t="n" s="3">
        <v>39</v>
      </c>
      <c r="G650" t="str" s="3">
        <v>怪物</v>
      </c>
      <c r="H650" t="n" s="3">
        <v>5</v>
      </c>
      <c r="I650" t="n" s="3">
        <v>1</v>
      </c>
      <c r="J650" t="n" s="3">
        <v>1</v>
      </c>
      <c r="K650" s="3"/>
      <c r="L650" s="3"/>
      <c r="M650" s="3"/>
      <c r="N650" s="3"/>
      <c r="O650" s="3"/>
      <c r="P650" s="3"/>
      <c r="Q650" s="3"/>
      <c r="R650" s="3"/>
      <c r="S650" t="str" s="17">
        <v>本轮完整刷新挂接；有效坐标注入后验证</v>
      </c>
      <c r="T650" t="n" s="18">
        <v>1051304</v>
      </c>
      <c r="U650"/>
      <c r="V650"/>
      <c r="W650"/>
      <c r="X650"/>
      <c r="Y650"/>
      <c r="Z650"/>
      <c r="AA650"/>
    </row>
    <row r="651" ht="12" customHeight="1" spans="1:20">
      <c r="A651" s="35"/>
      <c r="B651" t="n" s="17">
        <f>70000000+F651*10000+H651*1000+I651*100+J651</f>
        <v>70395102</v>
      </c>
      <c r="C651" t="str" s="38">
        <v>沉岚-怪物2</v>
      </c>
      <c r="D651" s="3"/>
      <c r="E651" t="str" s="3">
        <f>F651&amp;(VLOOKUP(G651,编号表!$E$1:$G$8,2,0))&amp;H651&amp;"_"&amp;I651&amp;"_"&amp;J651</f>
        <v>39N5_1_2</v>
      </c>
      <c r="F651" t="n" s="3">
        <v>39</v>
      </c>
      <c r="G651" t="str" s="3">
        <v>怪物</v>
      </c>
      <c r="H651" t="n" s="3">
        <v>5</v>
      </c>
      <c r="I651" t="n" s="3">
        <v>1</v>
      </c>
      <c r="J651" t="n" s="3">
        <v>2</v>
      </c>
      <c r="K651" s="3"/>
      <c r="L651" s="3"/>
      <c r="M651" s="3"/>
      <c r="N651" s="3"/>
      <c r="O651" s="3"/>
      <c r="P651" s="3"/>
      <c r="Q651" s="3"/>
      <c r="R651" s="3"/>
      <c r="S651" t="str" s="17">
        <v>本轮完整刷新挂接；有效坐标注入后验证</v>
      </c>
      <c r="T651" t="n" s="18">
        <v>1051404</v>
      </c>
      <c r="U651"/>
      <c r="V651"/>
      <c r="W651"/>
      <c r="X651"/>
      <c r="Y651"/>
      <c r="Z651"/>
      <c r="AA651"/>
    </row>
    <row r="652" ht="12" customHeight="1" spans="1:20">
      <c r="A652" s="35"/>
      <c r="B652" t="n" s="17">
        <f>70000000+F652*10000+H652*1000+I652*100+J652</f>
        <v>70395103</v>
      </c>
      <c r="C652" t="str" s="38">
        <v>沉岚-怪物3</v>
      </c>
      <c r="D652" s="3"/>
      <c r="E652" t="str" s="3">
        <f>F652&amp;(VLOOKUP(G652,编号表!$E$1:$G$8,2,0))&amp;H652&amp;"_"&amp;I652&amp;"_"&amp;J652</f>
        <v>39N5_1_3</v>
      </c>
      <c r="F652" t="n" s="3">
        <v>39</v>
      </c>
      <c r="G652" t="str" s="3">
        <v>怪物</v>
      </c>
      <c r="H652" t="n" s="3">
        <v>5</v>
      </c>
      <c r="I652" t="n" s="3">
        <v>1</v>
      </c>
      <c r="J652" t="n" s="3">
        <v>3</v>
      </c>
      <c r="K652" s="3"/>
      <c r="L652" s="3"/>
      <c r="M652" s="3"/>
      <c r="N652" s="3"/>
      <c r="O652" s="3"/>
      <c r="P652" s="3"/>
      <c r="Q652" s="3"/>
      <c r="R652" s="3"/>
      <c r="S652" t="str" s="17">
        <v>本轮完整刷新挂接；有效坐标注入后验证</v>
      </c>
      <c r="T652" t="n" s="18">
        <v>1051103</v>
      </c>
      <c r="U652"/>
      <c r="V652"/>
      <c r="W652"/>
      <c r="X652"/>
      <c r="Y652"/>
      <c r="Z652"/>
      <c r="AA652"/>
    </row>
    <row r="653" ht="12" customHeight="1" spans="1:20">
      <c r="A653" s="35"/>
      <c r="B653" t="n" s="17">
        <f>70000000+F653*10000+H653*1000+I653*100+J653</f>
        <v>70395104</v>
      </c>
      <c r="C653" t="str" s="38">
        <v>沉岚-怪物4</v>
      </c>
      <c r="D653" s="3"/>
      <c r="E653" t="str" s="3">
        <f>F653&amp;(VLOOKUP(G653,编号表!$E$1:$G$8,2,0))&amp;H653&amp;"_"&amp;I653&amp;"_"&amp;J653</f>
        <v>39N5_1_4</v>
      </c>
      <c r="F653" t="n" s="3">
        <v>39</v>
      </c>
      <c r="G653" t="str" s="3">
        <v>怪物</v>
      </c>
      <c r="H653" t="n" s="3">
        <v>5</v>
      </c>
      <c r="I653" t="n" s="3">
        <v>1</v>
      </c>
      <c r="J653" t="n" s="3">
        <v>4</v>
      </c>
      <c r="K653" s="3"/>
      <c r="L653" s="3"/>
      <c r="M653" s="3"/>
      <c r="N653" s="3"/>
      <c r="O653" s="3"/>
      <c r="P653" s="3"/>
      <c r="Q653" s="3"/>
      <c r="R653" s="3"/>
      <c r="S653" s="17"/>
      <c r="T653" s="18"/>
      <c r="U653"/>
      <c r="V653"/>
      <c r="W653"/>
      <c r="X653"/>
      <c r="Y653"/>
      <c r="Z653"/>
      <c r="AA653"/>
    </row>
    <row r="654" ht="12" customHeight="1" spans="1:20">
      <c r="A654" s="35"/>
      <c r="B654" t="n" s="17">
        <f>70000000+F654*10000+H654*1000+I654*100+J654</f>
        <v>70395105</v>
      </c>
      <c r="C654" t="str" s="38">
        <v>沉岚-怪物5</v>
      </c>
      <c r="D654" s="3"/>
      <c r="E654" t="str" s="3">
        <f>F654&amp;(VLOOKUP(G654,编号表!$E$1:$G$8,2,0))&amp;H654&amp;"_"&amp;I654&amp;"_"&amp;J654</f>
        <v>39N5_1_5</v>
      </c>
      <c r="F654" t="n" s="3">
        <v>39</v>
      </c>
      <c r="G654" t="str" s="3">
        <v>怪物</v>
      </c>
      <c r="H654" t="n" s="3">
        <v>5</v>
      </c>
      <c r="I654" t="n" s="3">
        <v>1</v>
      </c>
      <c r="J654" t="n" s="3">
        <v>5</v>
      </c>
      <c r="K654" s="3"/>
      <c r="L654" s="3"/>
      <c r="M654" s="3"/>
      <c r="N654" s="3"/>
      <c r="O654" s="3"/>
      <c r="P654" s="3"/>
      <c r="Q654" s="3"/>
      <c r="R654" s="3"/>
      <c r="S654" s="17"/>
      <c r="T654" s="18"/>
      <c r="U654"/>
      <c r="V654"/>
      <c r="W654"/>
      <c r="X654"/>
      <c r="Y654"/>
      <c r="Z654"/>
      <c r="AA654"/>
    </row>
    <row r="655" ht="12" customHeight="1" spans="1:20">
      <c r="A655" s="35"/>
      <c r="B655" t="n" s="17">
        <f>70000000+F655*10000+H655*1000+I655*100+J655</f>
        <v>70395201</v>
      </c>
      <c r="C655" t="str" s="38">
        <v>沉岚-怪物6</v>
      </c>
      <c r="D655" s="3"/>
      <c r="E655" t="str" s="3">
        <f>F655&amp;(VLOOKUP(G655,编号表!$E$1:$G$8,2,0))&amp;H655&amp;"_"&amp;I655&amp;"_"&amp;J655</f>
        <v>39N5_2_1</v>
      </c>
      <c r="F655" t="n" s="3">
        <v>39</v>
      </c>
      <c r="G655" t="str" s="3">
        <v>怪物</v>
      </c>
      <c r="H655" t="n" s="3">
        <v>5</v>
      </c>
      <c r="I655" t="n" s="3">
        <v>2</v>
      </c>
      <c r="J655" t="n" s="3">
        <v>1</v>
      </c>
      <c r="K655" s="3"/>
      <c r="L655" s="3"/>
      <c r="M655" s="3"/>
      <c r="N655" s="3"/>
      <c r="O655" s="3"/>
      <c r="P655" s="3"/>
      <c r="Q655" s="3"/>
      <c r="R655" s="3"/>
      <c r="S655" s="17"/>
      <c r="T655" s="18"/>
      <c r="U655"/>
      <c r="V655"/>
      <c r="W655"/>
      <c r="X655"/>
      <c r="Y655"/>
      <c r="Z655"/>
      <c r="AA655"/>
    </row>
    <row r="656" ht="12" customHeight="1" spans="1:20">
      <c r="A656" s="35"/>
      <c r="B656" t="n" s="17">
        <f>70000000+F656*10000+H656*1000+I656*100+J656</f>
        <v>70395202</v>
      </c>
      <c r="C656" t="str" s="38">
        <v>沉岚-怪物7</v>
      </c>
      <c r="D656" s="3"/>
      <c r="E656" t="str" s="3">
        <f>F656&amp;(VLOOKUP(G656,编号表!$E$1:$G$8,2,0))&amp;H656&amp;"_"&amp;I656&amp;"_"&amp;J656</f>
        <v>39N5_2_2</v>
      </c>
      <c r="F656" t="n" s="3">
        <v>39</v>
      </c>
      <c r="G656" t="str" s="3">
        <v>怪物</v>
      </c>
      <c r="H656" t="n" s="3">
        <v>5</v>
      </c>
      <c r="I656" t="n" s="3">
        <v>2</v>
      </c>
      <c r="J656" t="n" s="3">
        <v>2</v>
      </c>
      <c r="K656" s="3"/>
      <c r="L656" s="3"/>
      <c r="M656" s="3"/>
      <c r="N656" s="3"/>
      <c r="O656" s="3"/>
      <c r="P656" s="3"/>
      <c r="Q656" s="3"/>
      <c r="R656" s="3"/>
      <c r="S656" s="17"/>
      <c r="T656" s="18"/>
      <c r="U656"/>
      <c r="V656"/>
      <c r="W656"/>
      <c r="X656"/>
      <c r="Y656"/>
      <c r="Z656"/>
      <c r="AA656"/>
    </row>
    <row r="657" ht="12" customHeight="1" spans="1:20">
      <c r="A657" s="35"/>
      <c r="B657" t="n" s="17">
        <f>70000000+F657*10000+H657*1000+I657*100+J657</f>
        <v>70395301</v>
      </c>
      <c r="C657" t="str" s="38">
        <v>沉岚-怪物8</v>
      </c>
      <c r="D657" s="3"/>
      <c r="E657" t="str" s="3">
        <f>F657&amp;(VLOOKUP(G657,编号表!$E$1:$G$8,2,0))&amp;H657&amp;"_"&amp;I657&amp;"_"&amp;J657</f>
        <v>39N5_3_1</v>
      </c>
      <c r="F657" t="n" s="3">
        <v>39</v>
      </c>
      <c r="G657" t="str" s="3">
        <v>怪物</v>
      </c>
      <c r="H657" t="n" s="3">
        <v>5</v>
      </c>
      <c r="I657" t="n" s="3">
        <v>3</v>
      </c>
      <c r="J657" t="n" s="3">
        <v>1</v>
      </c>
      <c r="K657" s="3"/>
      <c r="L657" s="3"/>
      <c r="M657" s="3"/>
      <c r="N657" s="3"/>
      <c r="O657" s="3"/>
      <c r="P657" s="3"/>
      <c r="Q657" s="3"/>
      <c r="R657" s="3"/>
      <c r="S657" s="17"/>
      <c r="T657" s="18"/>
      <c r="U657"/>
      <c r="V657"/>
      <c r="W657"/>
      <c r="X657"/>
      <c r="Y657"/>
      <c r="Z657"/>
      <c r="AA657"/>
    </row>
    <row r="658" ht="12" customHeight="1" spans="1:20">
      <c r="A658" s="35"/>
      <c r="B658" t="n" s="17">
        <f>70000000+F658*10000+H658*1000+I658*100+J658</f>
        <v>70395302</v>
      </c>
      <c r="C658" t="str" s="38">
        <v>沉岚-怪物9</v>
      </c>
      <c r="D658" s="3"/>
      <c r="E658" t="str" s="3">
        <f>F658&amp;(VLOOKUP(G658,编号表!$E$1:$G$8,2,0))&amp;H658&amp;"_"&amp;I658&amp;"_"&amp;J658</f>
        <v>39N5_3_2</v>
      </c>
      <c r="F658" t="n" s="3">
        <v>39</v>
      </c>
      <c r="G658" t="str" s="3">
        <v>怪物</v>
      </c>
      <c r="H658" t="n" s="3">
        <v>5</v>
      </c>
      <c r="I658" t="n" s="3">
        <v>3</v>
      </c>
      <c r="J658" t="n" s="3">
        <v>2</v>
      </c>
      <c r="K658" s="3"/>
      <c r="L658" s="3"/>
      <c r="M658" s="3"/>
      <c r="N658" s="3"/>
      <c r="O658" s="3"/>
      <c r="P658" s="3"/>
      <c r="Q658" s="3"/>
      <c r="R658" s="3"/>
      <c r="S658" s="17"/>
      <c r="T658" s="18"/>
      <c r="U658"/>
      <c r="V658"/>
      <c r="W658"/>
      <c r="X658"/>
      <c r="Y658"/>
      <c r="Z658"/>
      <c r="AA658"/>
    </row>
    <row r="659" ht="12" customHeight="1" spans="1:20">
      <c r="A659" s="35"/>
      <c r="B659" t="n" s="17">
        <f>70000000+F659*10000+H659*1000+I659*100+J659</f>
        <v>70395303</v>
      </c>
      <c r="C659" t="str" s="38">
        <v>沉岚-怪物10</v>
      </c>
      <c r="D659" s="3"/>
      <c r="E659" t="str" s="3">
        <f>F659&amp;(VLOOKUP(G659,编号表!$E$1:$G$8,2,0))&amp;H659&amp;"_"&amp;I659&amp;"_"&amp;J659</f>
        <v>39N5_3_3</v>
      </c>
      <c r="F659" t="n" s="3">
        <v>39</v>
      </c>
      <c r="G659" t="str" s="3">
        <v>怪物</v>
      </c>
      <c r="H659" t="n" s="3">
        <v>5</v>
      </c>
      <c r="I659" t="n" s="3">
        <v>3</v>
      </c>
      <c r="J659" t="n" s="3">
        <v>3</v>
      </c>
      <c r="K659" s="3"/>
      <c r="L659" s="3"/>
      <c r="M659" s="3"/>
      <c r="N659" s="3"/>
      <c r="O659" s="3"/>
      <c r="P659" s="3"/>
      <c r="Q659" s="3"/>
      <c r="R659" s="3"/>
      <c r="S659" s="17"/>
      <c r="T659" s="18"/>
      <c r="U659"/>
      <c r="V659"/>
      <c r="W659"/>
      <c r="X659"/>
      <c r="Y659"/>
      <c r="Z659"/>
      <c r="AA659"/>
    </row>
    <row r="660" ht="12" customHeight="1" spans="1:20">
      <c r="A660" s="35"/>
      <c r="B660" t="n" s="17">
        <f>70000000+F660*10000+H660*1000+I660*100+J660</f>
        <v>70395401</v>
      </c>
      <c r="C660" t="str" s="38">
        <v>沉岚-怪物11</v>
      </c>
      <c r="D660" s="3"/>
      <c r="E660" t="str" s="3">
        <f>F660&amp;(VLOOKUP(G660,编号表!$E$1:$G$8,2,0))&amp;H660&amp;"_"&amp;I660&amp;"_"&amp;J660</f>
        <v>39N5_4_1</v>
      </c>
      <c r="F660" t="n" s="3">
        <v>39</v>
      </c>
      <c r="G660" t="str" s="3">
        <v>怪物</v>
      </c>
      <c r="H660" t="n" s="3">
        <v>5</v>
      </c>
      <c r="I660" t="n" s="3">
        <v>4</v>
      </c>
      <c r="J660" t="n" s="3">
        <v>1</v>
      </c>
      <c r="K660" s="3"/>
      <c r="L660" s="3"/>
      <c r="M660" s="3"/>
      <c r="N660" s="3"/>
      <c r="O660" s="3"/>
      <c r="P660" s="3"/>
      <c r="Q660" s="3"/>
      <c r="R660" s="3"/>
      <c r="S660" s="17"/>
      <c r="T660" s="18"/>
      <c r="U660"/>
      <c r="V660"/>
      <c r="W660"/>
      <c r="X660"/>
      <c r="Y660"/>
      <c r="Z660"/>
      <c r="AA660"/>
    </row>
    <row r="661" ht="12" customHeight="1" spans="1:20">
      <c r="A661" s="35"/>
      <c r="B661" t="n" s="17">
        <f>70000000+F661*10000+H661*1000+I661*100+J661</f>
        <v>70395402</v>
      </c>
      <c r="C661" t="str" s="38">
        <v>沉岚-怪物12</v>
      </c>
      <c r="D661" s="3"/>
      <c r="E661" t="str" s="3">
        <f>F661&amp;(VLOOKUP(G661,编号表!$E$1:$G$8,2,0))&amp;H661&amp;"_"&amp;I661&amp;"_"&amp;J661</f>
        <v>39N5_4_2</v>
      </c>
      <c r="F661" t="n" s="3">
        <v>39</v>
      </c>
      <c r="G661" t="str" s="3">
        <v>怪物</v>
      </c>
      <c r="H661" t="n" s="3">
        <v>5</v>
      </c>
      <c r="I661" t="n" s="3">
        <v>4</v>
      </c>
      <c r="J661" t="n" s="3">
        <v>2</v>
      </c>
      <c r="K661" s="3"/>
      <c r="L661" s="3"/>
      <c r="M661" s="3"/>
      <c r="N661" s="3"/>
      <c r="O661" s="3"/>
      <c r="P661" s="3"/>
      <c r="Q661" s="3"/>
      <c r="R661" s="3"/>
      <c r="S661" s="17"/>
      <c r="T661" s="18"/>
      <c r="U661"/>
      <c r="V661"/>
      <c r="W661"/>
      <c r="X661"/>
      <c r="Y661"/>
      <c r="Z661"/>
      <c r="AA661"/>
    </row>
    <row r="662" ht="15" spans="1:20">
      <c r="A662" s="35"/>
      <c r="B662" t="n" s="17">
        <f>70000000+F662*10000+H662*1000+I662*100+J662</f>
        <v>70395001</v>
      </c>
      <c r="C662" t="str" s="39">
        <v>沉岚-镜头</v>
      </c>
      <c r="D662" s="3"/>
      <c r="E662" t="str" s="3">
        <f>F662&amp;(VLOOKUP(G662,编号表!$E$1:$G$8,2,0))&amp;H662&amp;"_"&amp;I662&amp;"_"&amp;J662</f>
        <v>39J5_0_1</v>
      </c>
      <c r="F662" t="n" s="3">
        <v>39</v>
      </c>
      <c r="G662" t="str" s="3">
        <v>镜头</v>
      </c>
      <c r="H662" t="n" s="3">
        <v>5</v>
      </c>
      <c r="I662" t="n" s="3">
        <v>0</v>
      </c>
      <c r="J662" t="n" s="3">
        <v>1</v>
      </c>
      <c r="K662" t="n" s="3">
        <v>1</v>
      </c>
      <c r="L662" s="3"/>
      <c r="M662" s="3"/>
      <c r="N662" s="3"/>
      <c r="O662" s="3"/>
      <c r="P662" s="3"/>
      <c r="Q662" s="3"/>
      <c r="R662" s="3"/>
      <c r="S662" s="17"/>
      <c r="T662" s="18"/>
      <c r="U662"/>
      <c r="V662"/>
      <c r="W662"/>
      <c r="X662"/>
      <c r="Y662"/>
      <c r="Z662"/>
      <c r="AA662"/>
    </row>
    <row r="663" ht="15" spans="1:20">
      <c r="A663" s="35"/>
      <c r="B663" t="n" s="17">
        <f>70000000+F663*10000+H663*1000+I663*100+J663</f>
        <v>70391001</v>
      </c>
      <c r="C663" t="str" s="37">
        <v>沉岚-传送</v>
      </c>
      <c r="D663" s="3"/>
      <c r="E663" t="str" s="3">
        <f>F663&amp;(VLOOKUP(G663,编号表!$E$1:$G$8,2,0))&amp;H663&amp;"_"&amp;I663&amp;"_"&amp;J663</f>
        <v>39T1_0_1</v>
      </c>
      <c r="F663" t="n" s="3">
        <v>39</v>
      </c>
      <c r="G663" t="str" s="3">
        <v>传送</v>
      </c>
      <c r="H663" t="n" s="3">
        <v>1</v>
      </c>
      <c r="I663" t="n" s="3">
        <v>0</v>
      </c>
      <c r="J663" t="n" s="3">
        <v>1</v>
      </c>
      <c r="K663" s="3"/>
      <c r="L663" t="n" s="3">
        <v>1</v>
      </c>
      <c r="M663" s="3"/>
      <c r="N663" s="3"/>
      <c r="O663" s="3"/>
      <c r="P663" s="3"/>
      <c r="Q663" s="3"/>
      <c r="R663" t="n" s="3">
        <v>70381002</v>
      </c>
      <c r="S663" s="17"/>
      <c r="T663" s="18"/>
      <c r="U663"/>
      <c r="V663"/>
      <c r="W663"/>
      <c r="X663"/>
      <c r="Y663"/>
      <c r="Z663"/>
      <c r="AA663"/>
    </row>
    <row r="664" ht="15" spans="1:20">
      <c r="A664" s="35"/>
      <c r="B664" t="n" s="17">
        <f>70000000+F664*10000+H664*1000+I664*100+J664</f>
        <v>70391002</v>
      </c>
      <c r="C664" t="str" s="37">
        <v>沉岚-传送</v>
      </c>
      <c r="D664" s="3"/>
      <c r="E664" t="str" s="3">
        <f>F664&amp;(VLOOKUP(G664,编号表!$E$1:$G$8,2,0))&amp;H664&amp;"_"&amp;I664&amp;"_"&amp;J664</f>
        <v>39T1_0_2</v>
      </c>
      <c r="F664" t="n" s="3">
        <v>39</v>
      </c>
      <c r="G664" t="str" s="3">
        <v>传送</v>
      </c>
      <c r="H664" t="n" s="3">
        <v>1</v>
      </c>
      <c r="I664" t="n" s="3">
        <v>0</v>
      </c>
      <c r="J664" t="n" s="3">
        <v>2</v>
      </c>
      <c r="K664" s="3"/>
      <c r="L664" t="n" s="3">
        <v>1</v>
      </c>
      <c r="M664" s="3"/>
      <c r="N664" s="3"/>
      <c r="O664" s="3"/>
      <c r="P664" s="3"/>
      <c r="Q664" s="3"/>
      <c r="R664" t="n" s="3">
        <v>70401001</v>
      </c>
      <c r="S664" s="17"/>
      <c r="T664" s="18"/>
      <c r="U664"/>
      <c r="V664"/>
      <c r="W664"/>
      <c r="X664"/>
      <c r="Y664"/>
      <c r="Z664"/>
      <c r="AA664"/>
    </row>
    <row r="665" ht="15" spans="1:20">
      <c r="A665" s="35"/>
      <c r="B665" t="n" s="17">
        <f>70000000+F665*10000+H665*1000+I665*100+J665</f>
        <v>70392001</v>
      </c>
      <c r="C665" t="str" s="37">
        <v>沉岚-小地图</v>
      </c>
      <c r="D665" s="3"/>
      <c r="E665" t="str" s="3">
        <f>F665&amp;(VLOOKUP(G665,编号表!$E$1:$G$8,2,0))&amp;H665&amp;"_"&amp;I665&amp;"_"&amp;J665</f>
        <v>39D2_0_1</v>
      </c>
      <c r="F665" t="n" s="3">
        <v>39</v>
      </c>
      <c r="G665" t="str" s="3">
        <v>小地图</v>
      </c>
      <c r="H665" t="n" s="3">
        <v>2</v>
      </c>
      <c r="I665" t="n" s="3">
        <v>0</v>
      </c>
      <c r="J665" t="n" s="3">
        <v>1</v>
      </c>
      <c r="K665" s="3"/>
      <c r="L665" s="3"/>
      <c r="M665" t="n" s="3">
        <v>1</v>
      </c>
      <c r="N665" s="3"/>
      <c r="O665" s="3"/>
      <c r="P665" s="3"/>
      <c r="Q665" s="3"/>
      <c r="R665" s="3"/>
      <c r="S665" s="17"/>
      <c r="T665" s="18"/>
      <c r="U665"/>
      <c r="V665"/>
      <c r="W665"/>
      <c r="X665"/>
      <c r="Y665"/>
      <c r="Z665"/>
      <c r="AA665"/>
    </row>
    <row r="666" ht="12" customHeight="1" spans="1:20">
      <c r="A666" s="35"/>
      <c r="B666" t="n" s="17">
        <f>70000000+F666*10000+H666*1000+I666*100+J666</f>
        <v>70405101</v>
      </c>
      <c r="C666" t="str" s="38">
        <v>悬晖-怪物1</v>
      </c>
      <c r="D666" s="3"/>
      <c r="E666" t="str" s="3">
        <f>F666&amp;(VLOOKUP(G666,编号表!$E$1:$G$8,2,0))&amp;H666&amp;"_"&amp;I666&amp;"_"&amp;J666</f>
        <v>40N5_1_1</v>
      </c>
      <c r="F666" t="n" s="3">
        <v>40</v>
      </c>
      <c r="G666" t="str" s="3">
        <v>怪物</v>
      </c>
      <c r="H666" t="n" s="3">
        <v>5</v>
      </c>
      <c r="I666" t="n" s="3">
        <v>1</v>
      </c>
      <c r="J666" t="n" s="3">
        <v>1</v>
      </c>
      <c r="K666" s="3"/>
      <c r="L666" s="3"/>
      <c r="M666" s="3"/>
      <c r="N666" s="3"/>
      <c r="O666" s="3"/>
      <c r="P666" s="3"/>
      <c r="Q666" s="3"/>
      <c r="R666" s="3"/>
      <c r="S666" t="str" s="17">
        <v>本轮完整刷新挂接；有效坐标注入后验证</v>
      </c>
      <c r="T666" t="n" s="18">
        <v>1052304</v>
      </c>
      <c r="U666"/>
      <c r="V666"/>
      <c r="W666"/>
      <c r="X666"/>
      <c r="Y666"/>
      <c r="Z666"/>
      <c r="AA666"/>
    </row>
    <row r="667" ht="12" customHeight="1" spans="1:20">
      <c r="A667" s="35"/>
      <c r="B667" t="n" s="17">
        <f>70000000+F667*10000+H667*1000+I667*100+J667</f>
        <v>70405102</v>
      </c>
      <c r="C667" t="str" s="38">
        <v>悬晖-怪物2</v>
      </c>
      <c r="D667" s="3"/>
      <c r="E667" t="str" s="3">
        <f>F667&amp;(VLOOKUP(G667,编号表!$E$1:$G$8,2,0))&amp;H667&amp;"_"&amp;I667&amp;"_"&amp;J667</f>
        <v>40N5_1_2</v>
      </c>
      <c r="F667" t="n" s="3">
        <v>40</v>
      </c>
      <c r="G667" t="str" s="3">
        <v>怪物</v>
      </c>
      <c r="H667" t="n" s="3">
        <v>5</v>
      </c>
      <c r="I667" t="n" s="3">
        <v>1</v>
      </c>
      <c r="J667" t="n" s="3">
        <v>2</v>
      </c>
      <c r="K667" s="3"/>
      <c r="L667" s="3"/>
      <c r="M667" s="3"/>
      <c r="N667" s="3"/>
      <c r="O667" s="3"/>
      <c r="P667" s="3"/>
      <c r="Q667" s="3"/>
      <c r="R667" s="3"/>
      <c r="S667" t="str" s="17">
        <v>本轮完整刷新挂接；有效坐标注入后验证</v>
      </c>
      <c r="T667" t="n" s="18">
        <v>1052103</v>
      </c>
      <c r="U667"/>
      <c r="V667"/>
      <c r="W667"/>
      <c r="X667"/>
      <c r="Y667"/>
      <c r="Z667"/>
      <c r="AA667"/>
    </row>
    <row r="668" ht="12" customHeight="1" spans="1:20">
      <c r="A668" s="35"/>
      <c r="B668" t="n" s="17">
        <f>70000000+F668*10000+H668*1000+I668*100+J668</f>
        <v>70405103</v>
      </c>
      <c r="C668" t="str" s="38">
        <v>悬晖-怪物3</v>
      </c>
      <c r="D668" s="3"/>
      <c r="E668" t="str" s="3">
        <f>F668&amp;(VLOOKUP(G668,编号表!$E$1:$G$8,2,0))&amp;H668&amp;"_"&amp;I668&amp;"_"&amp;J668</f>
        <v>40N5_1_3</v>
      </c>
      <c r="F668" t="n" s="3">
        <v>40</v>
      </c>
      <c r="G668" t="str" s="3">
        <v>怪物</v>
      </c>
      <c r="H668" t="n" s="3">
        <v>5</v>
      </c>
      <c r="I668" t="n" s="3">
        <v>1</v>
      </c>
      <c r="J668" t="n" s="3">
        <v>3</v>
      </c>
      <c r="K668" s="3"/>
      <c r="L668" s="3"/>
      <c r="M668" s="3"/>
      <c r="N668" s="3"/>
      <c r="O668" s="3"/>
      <c r="P668" s="3"/>
      <c r="Q668" s="3"/>
      <c r="R668" s="3"/>
      <c r="S668" t="str" s="17">
        <v>本轮完整刷新挂接；有效坐标注入后验证</v>
      </c>
      <c r="T668" t="n" s="18">
        <v>1052001</v>
      </c>
      <c r="U668"/>
      <c r="V668"/>
      <c r="W668"/>
      <c r="X668"/>
      <c r="Y668"/>
      <c r="Z668"/>
      <c r="AA668"/>
    </row>
    <row r="669" ht="12" customHeight="1" spans="1:20">
      <c r="A669" s="35"/>
      <c r="B669" t="n" s="17">
        <f>70000000+F669*10000+H669*1000+I669*100+J669</f>
        <v>70405104</v>
      </c>
      <c r="C669" t="str" s="38">
        <v>悬晖-怪物4</v>
      </c>
      <c r="D669" s="3"/>
      <c r="E669" t="str" s="3">
        <f>F669&amp;(VLOOKUP(G669,编号表!$E$1:$G$8,2,0))&amp;H669&amp;"_"&amp;I669&amp;"_"&amp;J669</f>
        <v>40N5_1_4</v>
      </c>
      <c r="F669" t="n" s="3">
        <v>40</v>
      </c>
      <c r="G669" t="str" s="3">
        <v>怪物</v>
      </c>
      <c r="H669" t="n" s="3">
        <v>5</v>
      </c>
      <c r="I669" t="n" s="3">
        <v>1</v>
      </c>
      <c r="J669" t="n" s="3">
        <v>4</v>
      </c>
      <c r="K669" s="3"/>
      <c r="L669" s="3"/>
      <c r="M669" s="3"/>
      <c r="N669" s="3"/>
      <c r="O669" s="3"/>
      <c r="P669" s="3"/>
      <c r="Q669" s="3"/>
      <c r="R669" s="3"/>
      <c r="S669" s="17"/>
      <c r="T669" s="18"/>
      <c r="U669"/>
      <c r="V669"/>
      <c r="W669"/>
      <c r="X669"/>
      <c r="Y669"/>
      <c r="Z669"/>
      <c r="AA669"/>
    </row>
    <row r="670" ht="12" customHeight="1" spans="1:20">
      <c r="A670" s="35"/>
      <c r="B670" t="n" s="17">
        <f>70000000+F670*10000+H670*1000+I670*100+J670</f>
        <v>70405201</v>
      </c>
      <c r="C670" t="str" s="38">
        <v>悬晖-怪物5</v>
      </c>
      <c r="D670" s="3"/>
      <c r="E670" t="str" s="3">
        <f>F670&amp;(VLOOKUP(G670,编号表!$E$1:$G$8,2,0))&amp;H670&amp;"_"&amp;I670&amp;"_"&amp;J670</f>
        <v>40N5_2_1</v>
      </c>
      <c r="F670" t="n" s="3">
        <v>40</v>
      </c>
      <c r="G670" t="str" s="3">
        <v>怪物</v>
      </c>
      <c r="H670" t="n" s="3">
        <v>5</v>
      </c>
      <c r="I670" t="n" s="3">
        <v>2</v>
      </c>
      <c r="J670" t="n" s="3">
        <v>1</v>
      </c>
      <c r="K670" s="3"/>
      <c r="L670" s="3"/>
      <c r="M670" s="3"/>
      <c r="N670" s="3"/>
      <c r="O670" s="3"/>
      <c r="P670" s="3"/>
      <c r="Q670" s="3"/>
      <c r="R670" s="3"/>
      <c r="S670" s="17"/>
      <c r="T670" s="18"/>
      <c r="U670"/>
      <c r="V670"/>
      <c r="W670"/>
      <c r="X670"/>
      <c r="Y670"/>
      <c r="Z670"/>
      <c r="AA670"/>
    </row>
    <row r="671" ht="12" customHeight="1" spans="1:20">
      <c r="A671" s="35"/>
      <c r="B671" t="n" s="17">
        <f>70000000+F671*10000+H671*1000+I671*100+J671</f>
        <v>70405202</v>
      </c>
      <c r="C671" t="str" s="38">
        <v>悬晖-怪物6</v>
      </c>
      <c r="D671" s="3"/>
      <c r="E671" t="str" s="3">
        <f>F671&amp;(VLOOKUP(G671,编号表!$E$1:$G$8,2,0))&amp;H671&amp;"_"&amp;I671&amp;"_"&amp;J671</f>
        <v>40N5_2_2</v>
      </c>
      <c r="F671" t="n" s="3">
        <v>40</v>
      </c>
      <c r="G671" t="str" s="3">
        <v>怪物</v>
      </c>
      <c r="H671" t="n" s="3">
        <v>5</v>
      </c>
      <c r="I671" t="n" s="3">
        <v>2</v>
      </c>
      <c r="J671" t="n" s="3">
        <v>2</v>
      </c>
      <c r="K671" s="3"/>
      <c r="L671" s="3"/>
      <c r="M671" s="3"/>
      <c r="N671" s="3"/>
      <c r="O671" s="3"/>
      <c r="P671" s="3"/>
      <c r="Q671" s="3"/>
      <c r="R671" s="3"/>
      <c r="S671" s="17"/>
      <c r="T671" s="18"/>
      <c r="U671"/>
      <c r="V671"/>
      <c r="W671"/>
      <c r="X671"/>
      <c r="Y671"/>
      <c r="Z671"/>
      <c r="AA671"/>
    </row>
    <row r="672" ht="12" customHeight="1" spans="1:20">
      <c r="A672" s="35"/>
      <c r="B672" t="n" s="17">
        <f>70000000+F672*10000+H672*1000+I672*100+J672</f>
        <v>70405203</v>
      </c>
      <c r="C672" t="str" s="38">
        <v>悬晖-怪物7</v>
      </c>
      <c r="D672" s="3"/>
      <c r="E672" t="str" s="3">
        <f>F672&amp;(VLOOKUP(G672,编号表!$E$1:$G$8,2,0))&amp;H672&amp;"_"&amp;I672&amp;"_"&amp;J672</f>
        <v>40N5_2_3</v>
      </c>
      <c r="F672" t="n" s="3">
        <v>40</v>
      </c>
      <c r="G672" t="str" s="3">
        <v>怪物</v>
      </c>
      <c r="H672" t="n" s="3">
        <v>5</v>
      </c>
      <c r="I672" t="n" s="3">
        <v>2</v>
      </c>
      <c r="J672" t="n" s="3">
        <v>3</v>
      </c>
      <c r="K672" s="3"/>
      <c r="L672" s="3"/>
      <c r="M672" s="3"/>
      <c r="N672" s="3"/>
      <c r="O672" s="3"/>
      <c r="P672" s="3"/>
      <c r="Q672" s="3"/>
      <c r="R672" s="3"/>
      <c r="S672" s="17"/>
      <c r="T672" s="18"/>
      <c r="U672"/>
      <c r="V672"/>
      <c r="W672"/>
      <c r="X672"/>
      <c r="Y672"/>
      <c r="Z672"/>
      <c r="AA672"/>
    </row>
    <row r="673" ht="12" customHeight="1" spans="1:20">
      <c r="A673" s="35"/>
      <c r="B673" t="n" s="17">
        <f>70000000+F673*10000+H673*1000+I673*100+J673</f>
        <v>70405204</v>
      </c>
      <c r="C673" t="str" s="38">
        <v>悬晖-怪物8</v>
      </c>
      <c r="D673" s="3"/>
      <c r="E673" t="str" s="3">
        <f>F673&amp;(VLOOKUP(G673,编号表!$E$1:$G$8,2,0))&amp;H673&amp;"_"&amp;I673&amp;"_"&amp;J673</f>
        <v>40N5_2_4</v>
      </c>
      <c r="F673" t="n" s="3">
        <v>40</v>
      </c>
      <c r="G673" t="str" s="3">
        <v>怪物</v>
      </c>
      <c r="H673" t="n" s="3">
        <v>5</v>
      </c>
      <c r="I673" t="n" s="3">
        <v>2</v>
      </c>
      <c r="J673" t="n" s="3">
        <v>4</v>
      </c>
      <c r="K673" s="3"/>
      <c r="L673" s="3"/>
      <c r="M673" s="3"/>
      <c r="N673" s="3"/>
      <c r="O673" s="3"/>
      <c r="P673" s="3"/>
      <c r="Q673" s="3"/>
      <c r="R673" s="3"/>
      <c r="S673" s="17"/>
      <c r="T673" s="18"/>
      <c r="U673"/>
      <c r="V673"/>
      <c r="W673"/>
      <c r="X673"/>
      <c r="Y673"/>
      <c r="Z673"/>
      <c r="AA673"/>
    </row>
    <row r="674" ht="12" customHeight="1" spans="1:20">
      <c r="A674" s="35"/>
      <c r="B674" t="n" s="17">
        <f>70000000+F674*10000+H674*1000+I674*100+J674</f>
        <v>70405301</v>
      </c>
      <c r="C674" t="str" s="38">
        <v>悬晖-怪物9</v>
      </c>
      <c r="D674" s="3"/>
      <c r="E674" t="str" s="3">
        <f>F674&amp;(VLOOKUP(G674,编号表!$E$1:$G$8,2,0))&amp;H674&amp;"_"&amp;I674&amp;"_"&amp;J674</f>
        <v>40N5_3_1</v>
      </c>
      <c r="F674" t="n" s="3">
        <v>40</v>
      </c>
      <c r="G674" t="str" s="3">
        <v>怪物</v>
      </c>
      <c r="H674" t="n" s="3">
        <v>5</v>
      </c>
      <c r="I674" t="n" s="3">
        <v>3</v>
      </c>
      <c r="J674" t="n" s="3">
        <v>1</v>
      </c>
      <c r="K674" s="3"/>
      <c r="L674" s="3"/>
      <c r="M674" s="3"/>
      <c r="N674" s="3"/>
      <c r="O674" s="3"/>
      <c r="P674" s="3"/>
      <c r="Q674" s="3"/>
      <c r="R674" s="3"/>
      <c r="S674" s="17"/>
      <c r="T674" s="18"/>
      <c r="U674"/>
      <c r="V674"/>
      <c r="W674"/>
      <c r="X674"/>
      <c r="Y674"/>
      <c r="Z674"/>
      <c r="AA674"/>
    </row>
    <row r="675" ht="12" customHeight="1" spans="1:20">
      <c r="A675" s="35"/>
      <c r="B675" t="n" s="17">
        <f>70000000+F675*10000+H675*1000+I675*100+J675</f>
        <v>70405302</v>
      </c>
      <c r="C675" t="str" s="38">
        <v>悬晖-怪物10</v>
      </c>
      <c r="D675" s="3"/>
      <c r="E675" t="str" s="3">
        <f>F675&amp;(VLOOKUP(G675,编号表!$E$1:$G$8,2,0))&amp;H675&amp;"_"&amp;I675&amp;"_"&amp;J675</f>
        <v>40N5_3_2</v>
      </c>
      <c r="F675" t="n" s="3">
        <v>40</v>
      </c>
      <c r="G675" t="str" s="3">
        <v>怪物</v>
      </c>
      <c r="H675" t="n" s="3">
        <v>5</v>
      </c>
      <c r="I675" t="n" s="3">
        <v>3</v>
      </c>
      <c r="J675" t="n" s="3">
        <v>2</v>
      </c>
      <c r="K675" s="3"/>
      <c r="L675" s="3"/>
      <c r="M675" s="3"/>
      <c r="N675" s="3"/>
      <c r="O675" s="3"/>
      <c r="P675" s="3"/>
      <c r="Q675" s="3"/>
      <c r="R675" s="3"/>
      <c r="S675" s="17"/>
      <c r="T675" s="18"/>
      <c r="U675"/>
      <c r="V675"/>
      <c r="W675"/>
      <c r="X675"/>
      <c r="Y675"/>
      <c r="Z675"/>
      <c r="AA675"/>
    </row>
    <row r="676" ht="12" customHeight="1" spans="1:20">
      <c r="A676" s="35"/>
      <c r="B676" t="n" s="17">
        <f>70000000+F676*10000+H676*1000+I676*100+J676</f>
        <v>70405303</v>
      </c>
      <c r="C676" t="str" s="38">
        <v>悬晖-怪物11</v>
      </c>
      <c r="D676" s="3"/>
      <c r="E676" t="str" s="3">
        <f>F676&amp;(VLOOKUP(G676,编号表!$E$1:$G$8,2,0))&amp;H676&amp;"_"&amp;I676&amp;"_"&amp;J676</f>
        <v>40N5_3_3</v>
      </c>
      <c r="F676" t="n" s="3">
        <v>40</v>
      </c>
      <c r="G676" t="str" s="3">
        <v>怪物</v>
      </c>
      <c r="H676" t="n" s="3">
        <v>5</v>
      </c>
      <c r="I676" t="n" s="3">
        <v>3</v>
      </c>
      <c r="J676" t="n" s="3">
        <v>3</v>
      </c>
      <c r="K676" s="3"/>
      <c r="L676" s="3"/>
      <c r="M676" s="3"/>
      <c r="N676" s="3"/>
      <c r="O676" s="3"/>
      <c r="P676" s="3"/>
      <c r="Q676" s="3"/>
      <c r="R676" s="3"/>
      <c r="S676" s="17"/>
      <c r="T676" s="18"/>
      <c r="U676"/>
      <c r="V676"/>
      <c r="W676"/>
      <c r="X676"/>
      <c r="Y676"/>
      <c r="Z676"/>
      <c r="AA676"/>
    </row>
    <row r="677" ht="12" customHeight="1" spans="1:20">
      <c r="A677" s="35"/>
      <c r="B677" t="n" s="17">
        <f>70000000+F677*10000+H677*1000+I677*100+J677</f>
        <v>70405304</v>
      </c>
      <c r="C677" t="str" s="38">
        <v>悬晖-怪物12</v>
      </c>
      <c r="D677" s="3"/>
      <c r="E677" t="str" s="3">
        <f>F677&amp;(VLOOKUP(G677,编号表!$E$1:$G$8,2,0))&amp;H677&amp;"_"&amp;I677&amp;"_"&amp;J677</f>
        <v>40N5_3_4</v>
      </c>
      <c r="F677" t="n" s="3">
        <v>40</v>
      </c>
      <c r="G677" t="str" s="3">
        <v>怪物</v>
      </c>
      <c r="H677" t="n" s="3">
        <v>5</v>
      </c>
      <c r="I677" t="n" s="3">
        <v>3</v>
      </c>
      <c r="J677" t="n" s="3">
        <v>4</v>
      </c>
      <c r="K677" s="3"/>
      <c r="L677" s="3"/>
      <c r="M677" s="3"/>
      <c r="N677" s="3"/>
      <c r="O677" s="3"/>
      <c r="P677" s="3"/>
      <c r="Q677" s="3"/>
      <c r="R677" s="3"/>
      <c r="S677" s="17"/>
      <c r="T677" s="18"/>
      <c r="U677"/>
      <c r="V677"/>
      <c r="W677"/>
      <c r="X677"/>
      <c r="Y677"/>
      <c r="Z677"/>
      <c r="AA677"/>
    </row>
    <row r="678" ht="15" spans="1:20">
      <c r="A678" s="35"/>
      <c r="B678" t="n" s="17">
        <f>70000000+F678*10000+H678*1000+I678*100+J678</f>
        <v>70405001</v>
      </c>
      <c r="C678" t="str" s="39">
        <v>悬晖-镜头</v>
      </c>
      <c r="D678" s="3"/>
      <c r="E678" t="str" s="3">
        <f>F678&amp;(VLOOKUP(G678,编号表!$E$1:$G$8,2,0))&amp;H678&amp;"_"&amp;I678&amp;"_"&amp;J678</f>
        <v>40J5_0_1</v>
      </c>
      <c r="F678" t="n" s="3">
        <v>40</v>
      </c>
      <c r="G678" t="str" s="3">
        <v>镜头</v>
      </c>
      <c r="H678" t="n" s="3">
        <v>5</v>
      </c>
      <c r="I678" t="n" s="3">
        <v>0</v>
      </c>
      <c r="J678" t="n" s="3">
        <v>1</v>
      </c>
      <c r="K678" t="n" s="3">
        <v>1</v>
      </c>
      <c r="L678" s="3"/>
      <c r="M678" s="3"/>
      <c r="N678" s="3"/>
      <c r="O678" s="3"/>
      <c r="P678" s="3"/>
      <c r="Q678" s="3"/>
      <c r="R678" s="3"/>
      <c r="S678" s="17"/>
      <c r="T678" s="18"/>
      <c r="U678"/>
      <c r="V678"/>
      <c r="W678"/>
      <c r="X678"/>
      <c r="Y678"/>
      <c r="Z678"/>
      <c r="AA678"/>
    </row>
    <row r="679" ht="15" spans="1:20">
      <c r="A679" s="35"/>
      <c r="B679" t="n" s="17">
        <f>70000000+F679*10000+H679*1000+I679*100+J679</f>
        <v>70401001</v>
      </c>
      <c r="C679" t="str" s="37">
        <v>悬晖-传送</v>
      </c>
      <c r="D679" s="3"/>
      <c r="E679" t="str" s="3">
        <f>F679&amp;(VLOOKUP(G679,编号表!$E$1:$G$8,2,0))&amp;H679&amp;"_"&amp;I679&amp;"_"&amp;J679</f>
        <v>40T1_0_1</v>
      </c>
      <c r="F679" t="n" s="3">
        <v>40</v>
      </c>
      <c r="G679" t="str" s="3">
        <v>传送</v>
      </c>
      <c r="H679" t="n" s="3">
        <v>1</v>
      </c>
      <c r="I679" t="n" s="3">
        <v>0</v>
      </c>
      <c r="J679" t="n" s="3">
        <v>1</v>
      </c>
      <c r="K679" s="3"/>
      <c r="L679" t="n" s="3">
        <v>1</v>
      </c>
      <c r="M679" s="3"/>
      <c r="N679" s="3"/>
      <c r="O679" s="3"/>
      <c r="P679" s="3"/>
      <c r="Q679" s="3"/>
      <c r="R679" t="n" s="3">
        <v>70391002</v>
      </c>
      <c r="S679" s="17"/>
      <c r="T679" s="18"/>
      <c r="U679"/>
      <c r="V679"/>
      <c r="W679"/>
      <c r="X679"/>
      <c r="Y679"/>
      <c r="Z679"/>
      <c r="AA679"/>
    </row>
    <row r="680" ht="15" spans="1:20">
      <c r="A680" s="35"/>
      <c r="B680" t="n" s="17">
        <f>70000000+F680*10000+H680*1000+I680*100+J680</f>
        <v>70401002</v>
      </c>
      <c r="C680" t="str" s="37">
        <v>悬晖-传送</v>
      </c>
      <c r="D680" s="3"/>
      <c r="E680" t="str" s="3">
        <f>F680&amp;(VLOOKUP(G680,编号表!$E$1:$G$8,2,0))&amp;H680&amp;"_"&amp;I680&amp;"_"&amp;J680</f>
        <v>40T1_0_2</v>
      </c>
      <c r="F680" t="n" s="3">
        <v>40</v>
      </c>
      <c r="G680" t="str" s="3">
        <v>传送</v>
      </c>
      <c r="H680" t="n" s="3">
        <v>1</v>
      </c>
      <c r="I680" t="n" s="3">
        <v>0</v>
      </c>
      <c r="J680" t="n" s="3">
        <v>2</v>
      </c>
      <c r="K680" s="3"/>
      <c r="L680" t="n" s="3">
        <v>1</v>
      </c>
      <c r="M680" s="3"/>
      <c r="N680" s="3"/>
      <c r="O680" s="3"/>
      <c r="P680" s="3"/>
      <c r="Q680" s="3"/>
      <c r="R680" t="n" s="3">
        <v>70411001</v>
      </c>
      <c r="S680" s="17"/>
      <c r="T680" s="18"/>
      <c r="U680"/>
      <c r="V680"/>
      <c r="W680"/>
      <c r="X680"/>
      <c r="Y680"/>
      <c r="Z680"/>
      <c r="AA680"/>
    </row>
    <row r="681" ht="15" spans="1:20">
      <c r="A681" s="35"/>
      <c r="B681" t="n" s="17">
        <f>70000000+F681*10000+H681*1000+I681*100+J681</f>
        <v>70402001</v>
      </c>
      <c r="C681" t="str" s="37">
        <v>悬晖-小地图</v>
      </c>
      <c r="D681" s="3"/>
      <c r="E681" t="str" s="3">
        <f>F681&amp;(VLOOKUP(G681,编号表!$E$1:$G$8,2,0))&amp;H681&amp;"_"&amp;I681&amp;"_"&amp;J681</f>
        <v>40D2_0_1</v>
      </c>
      <c r="F681" t="n" s="3">
        <v>40</v>
      </c>
      <c r="G681" t="str" s="3">
        <v>小地图</v>
      </c>
      <c r="H681" t="n" s="3">
        <v>2</v>
      </c>
      <c r="I681" t="n" s="3">
        <v>0</v>
      </c>
      <c r="J681" t="n" s="3">
        <v>1</v>
      </c>
      <c r="K681" s="3"/>
      <c r="L681" s="3"/>
      <c r="M681" t="n" s="3">
        <v>1</v>
      </c>
      <c r="N681" s="3"/>
      <c r="O681" s="3"/>
      <c r="P681" s="3"/>
      <c r="Q681" s="3"/>
      <c r="R681" s="3"/>
      <c r="S681" s="17"/>
      <c r="T681" s="18"/>
      <c r="U681"/>
      <c r="V681"/>
      <c r="W681"/>
      <c r="X681"/>
      <c r="Y681"/>
      <c r="Z681"/>
      <c r="AA681"/>
    </row>
    <row r="682" ht="12" customHeight="1" spans="1:20">
      <c r="A682" s="35"/>
      <c r="B682" t="n" s="17">
        <f>70000000+F682*10000+H682*1000+I682*100+J682</f>
        <v>70415101</v>
      </c>
      <c r="C682" t="str" s="38">
        <v>隐翳-怪物1</v>
      </c>
      <c r="D682" s="3"/>
      <c r="E682" t="str" s="3">
        <f>F682&amp;(VLOOKUP(G682,编号表!$E$1:$G$8,2,0))&amp;H682&amp;"_"&amp;I682&amp;"_"&amp;J682</f>
        <v>41N5_1_1</v>
      </c>
      <c r="F682" t="n" s="3">
        <v>41</v>
      </c>
      <c r="G682" t="str" s="3">
        <v>怪物</v>
      </c>
      <c r="H682" t="n" s="3">
        <v>5</v>
      </c>
      <c r="I682" t="n" s="3">
        <v>1</v>
      </c>
      <c r="J682" t="n" s="3">
        <v>1</v>
      </c>
      <c r="K682" s="3"/>
      <c r="L682" s="3"/>
      <c r="M682" s="3"/>
      <c r="N682" s="3"/>
      <c r="O682" s="3"/>
      <c r="P682" s="3"/>
      <c r="Q682" s="3"/>
      <c r="R682" s="3"/>
      <c r="S682" t="str" s="17">
        <v>本轮完整刷新挂接；有效坐标注入后验证</v>
      </c>
      <c r="T682" t="n" s="18">
        <v>1053304</v>
      </c>
      <c r="U682"/>
      <c r="V682"/>
      <c r="W682"/>
      <c r="X682"/>
      <c r="Y682"/>
      <c r="Z682"/>
      <c r="AA682"/>
    </row>
    <row r="683" ht="12" customHeight="1" spans="1:20">
      <c r="A683" s="35"/>
      <c r="B683" t="n" s="17">
        <f>70000000+F683*10000+H683*1000+I683*100+J683</f>
        <v>70415102</v>
      </c>
      <c r="C683" t="str" s="38">
        <v>隐翳-怪物2</v>
      </c>
      <c r="D683" s="3"/>
      <c r="E683" t="str" s="3">
        <f>F683&amp;(VLOOKUP(G683,编号表!$E$1:$G$8,2,0))&amp;H683&amp;"_"&amp;I683&amp;"_"&amp;J683</f>
        <v>41N5_1_2</v>
      </c>
      <c r="F683" t="n" s="3">
        <v>41</v>
      </c>
      <c r="G683" t="str" s="3">
        <v>怪物</v>
      </c>
      <c r="H683" t="n" s="3">
        <v>5</v>
      </c>
      <c r="I683" t="n" s="3">
        <v>1</v>
      </c>
      <c r="J683" t="n" s="3">
        <v>2</v>
      </c>
      <c r="K683" s="3"/>
      <c r="L683" s="3"/>
      <c r="M683" s="3"/>
      <c r="N683" s="3"/>
      <c r="O683" s="3"/>
      <c r="P683" s="3"/>
      <c r="Q683" s="3"/>
      <c r="R683" s="3"/>
      <c r="S683" t="str" s="17">
        <v>本轮完整刷新挂接；有效坐标注入后验证</v>
      </c>
      <c r="T683" t="n" s="18">
        <v>1053404</v>
      </c>
      <c r="U683"/>
      <c r="V683"/>
      <c r="W683"/>
      <c r="X683"/>
      <c r="Y683"/>
      <c r="Z683"/>
      <c r="AA683"/>
    </row>
    <row r="684" ht="12" customHeight="1" spans="1:20">
      <c r="A684" s="35"/>
      <c r="B684" t="n" s="17">
        <f>70000000+F684*10000+H684*1000+I684*100+J684</f>
        <v>70415103</v>
      </c>
      <c r="C684" t="str" s="38">
        <v>隐翳-怪物3</v>
      </c>
      <c r="D684" s="3"/>
      <c r="E684" t="str" s="3">
        <f>F684&amp;(VLOOKUP(G684,编号表!$E$1:$G$8,2,0))&amp;H684&amp;"_"&amp;I684&amp;"_"&amp;J684</f>
        <v>41N5_1_3</v>
      </c>
      <c r="F684" t="n" s="3">
        <v>41</v>
      </c>
      <c r="G684" t="str" s="3">
        <v>怪物</v>
      </c>
      <c r="H684" t="n" s="3">
        <v>5</v>
      </c>
      <c r="I684" t="n" s="3">
        <v>1</v>
      </c>
      <c r="J684" t="n" s="3">
        <v>3</v>
      </c>
      <c r="K684" s="3"/>
      <c r="L684" s="3"/>
      <c r="M684" s="3"/>
      <c r="N684" s="3"/>
      <c r="O684" s="3"/>
      <c r="P684" s="3"/>
      <c r="Q684" s="3"/>
      <c r="R684" s="3"/>
      <c r="S684" t="str" s="17">
        <v>本轮完整刷新挂接；有效坐标注入后验证</v>
      </c>
      <c r="T684" t="n" s="18">
        <v>1053103</v>
      </c>
      <c r="U684"/>
      <c r="V684"/>
      <c r="W684"/>
      <c r="X684"/>
      <c r="Y684"/>
      <c r="Z684"/>
      <c r="AA684"/>
    </row>
    <row r="685" ht="12" customHeight="1" spans="1:20">
      <c r="A685" s="35"/>
      <c r="B685" t="n" s="17">
        <f>70000000+F685*10000+H685*1000+I685*100+J685</f>
        <v>70415104</v>
      </c>
      <c r="C685" t="str" s="38">
        <v>隐翳-怪物4</v>
      </c>
      <c r="D685" s="3"/>
      <c r="E685" t="str" s="3">
        <f>F685&amp;(VLOOKUP(G685,编号表!$E$1:$G$8,2,0))&amp;H685&amp;"_"&amp;I685&amp;"_"&amp;J685</f>
        <v>41N5_1_4</v>
      </c>
      <c r="F685" t="n" s="3">
        <v>41</v>
      </c>
      <c r="G685" t="str" s="3">
        <v>怪物</v>
      </c>
      <c r="H685" t="n" s="3">
        <v>5</v>
      </c>
      <c r="I685" t="n" s="3">
        <v>1</v>
      </c>
      <c r="J685" t="n" s="3">
        <v>4</v>
      </c>
      <c r="K685" s="3"/>
      <c r="L685" s="3"/>
      <c r="M685" s="3"/>
      <c r="N685" s="3"/>
      <c r="O685" s="3"/>
      <c r="P685" s="3"/>
      <c r="Q685" s="3"/>
      <c r="R685" s="3"/>
      <c r="S685" t="str" s="17">
        <v>本轮完整刷新挂接；有效坐标注入后验证</v>
      </c>
      <c r="T685" t="n" s="18">
        <v>1053001</v>
      </c>
      <c r="U685"/>
      <c r="V685"/>
      <c r="W685"/>
      <c r="X685"/>
      <c r="Y685"/>
      <c r="Z685"/>
      <c r="AA685"/>
    </row>
    <row r="686" ht="12" customHeight="1" spans="1:20">
      <c r="A686" s="35"/>
      <c r="B686" t="n" s="17">
        <f>70000000+F686*10000+H686*1000+I686*100+J686</f>
        <v>70415201</v>
      </c>
      <c r="C686" t="str" s="38">
        <v>隐翳-怪物5</v>
      </c>
      <c r="D686" s="3"/>
      <c r="E686" t="str" s="3">
        <f>F686&amp;(VLOOKUP(G686,编号表!$E$1:$G$8,2,0))&amp;H686&amp;"_"&amp;I686&amp;"_"&amp;J686</f>
        <v>41N5_2_1</v>
      </c>
      <c r="F686" t="n" s="3">
        <v>41</v>
      </c>
      <c r="G686" t="str" s="3">
        <v>怪物</v>
      </c>
      <c r="H686" t="n" s="3">
        <v>5</v>
      </c>
      <c r="I686" t="n" s="3">
        <v>2</v>
      </c>
      <c r="J686" t="n" s="3">
        <v>1</v>
      </c>
      <c r="K686" s="3"/>
      <c r="L686" s="3"/>
      <c r="M686" s="3"/>
      <c r="N686" s="3"/>
      <c r="O686" s="3"/>
      <c r="P686" s="3"/>
      <c r="Q686" s="3"/>
      <c r="R686" s="3"/>
      <c r="S686" s="17"/>
      <c r="T686" s="18"/>
      <c r="U686"/>
      <c r="V686"/>
      <c r="W686"/>
      <c r="X686"/>
      <c r="Y686"/>
      <c r="Z686"/>
      <c r="AA686"/>
    </row>
    <row r="687" ht="12" customHeight="1" spans="1:20">
      <c r="A687" s="35"/>
      <c r="B687" t="n" s="17">
        <f>70000000+F687*10000+H687*1000+I687*100+J687</f>
        <v>70415202</v>
      </c>
      <c r="C687" t="str" s="38">
        <v>隐翳-怪物6</v>
      </c>
      <c r="D687" s="3"/>
      <c r="E687" t="str" s="3">
        <f>F687&amp;(VLOOKUP(G687,编号表!$E$1:$G$8,2,0))&amp;H687&amp;"_"&amp;I687&amp;"_"&amp;J687</f>
        <v>41N5_2_2</v>
      </c>
      <c r="F687" t="n" s="3">
        <v>41</v>
      </c>
      <c r="G687" t="str" s="3">
        <v>怪物</v>
      </c>
      <c r="H687" t="n" s="3">
        <v>5</v>
      </c>
      <c r="I687" t="n" s="3">
        <v>2</v>
      </c>
      <c r="J687" t="n" s="3">
        <v>2</v>
      </c>
      <c r="K687" s="3"/>
      <c r="L687" s="3"/>
      <c r="M687" s="3"/>
      <c r="N687" s="3"/>
      <c r="O687" s="3"/>
      <c r="P687" s="3"/>
      <c r="Q687" s="3"/>
      <c r="R687" s="3"/>
      <c r="S687" s="17"/>
      <c r="T687" s="18"/>
      <c r="U687"/>
      <c r="V687"/>
      <c r="W687"/>
      <c r="X687"/>
      <c r="Y687"/>
      <c r="Z687"/>
      <c r="AA687"/>
    </row>
    <row r="688" ht="12" customHeight="1" spans="1:20">
      <c r="A688" s="35"/>
      <c r="B688" t="n" s="17">
        <f>70000000+F688*10000+H688*1000+I688*100+J688</f>
        <v>70415203</v>
      </c>
      <c r="C688" t="str" s="38">
        <v>隐翳-怪物7</v>
      </c>
      <c r="D688" s="3"/>
      <c r="E688" t="str" s="3">
        <f>F688&amp;(VLOOKUP(G688,编号表!$E$1:$G$8,2,0))&amp;H688&amp;"_"&amp;I688&amp;"_"&amp;J688</f>
        <v>41N5_2_3</v>
      </c>
      <c r="F688" t="n" s="3">
        <v>41</v>
      </c>
      <c r="G688" t="str" s="3">
        <v>怪物</v>
      </c>
      <c r="H688" t="n" s="3">
        <v>5</v>
      </c>
      <c r="I688" t="n" s="3">
        <v>2</v>
      </c>
      <c r="J688" t="n" s="3">
        <v>3</v>
      </c>
      <c r="K688" s="3"/>
      <c r="L688" s="3"/>
      <c r="M688" s="3"/>
      <c r="N688" s="3"/>
      <c r="O688" s="3"/>
      <c r="P688" s="3"/>
      <c r="Q688" s="3"/>
      <c r="R688" s="3"/>
      <c r="S688" s="17"/>
      <c r="T688" s="18"/>
      <c r="U688"/>
      <c r="V688"/>
      <c r="W688"/>
      <c r="X688"/>
      <c r="Y688"/>
      <c r="Z688"/>
      <c r="AA688"/>
    </row>
    <row r="689" ht="12" customHeight="1" spans="1:20">
      <c r="A689" s="35"/>
      <c r="B689" t="n" s="17">
        <f>70000000+F689*10000+H689*1000+I689*100+J689</f>
        <v>70415301</v>
      </c>
      <c r="C689" t="str" s="38">
        <v>隐翳-怪物8</v>
      </c>
      <c r="D689" s="3"/>
      <c r="E689" t="str" s="3">
        <f>F689&amp;(VLOOKUP(G689,编号表!$E$1:$G$8,2,0))&amp;H689&amp;"_"&amp;I689&amp;"_"&amp;J689</f>
        <v>41N5_3_1</v>
      </c>
      <c r="F689" t="n" s="3">
        <v>41</v>
      </c>
      <c r="G689" t="str" s="3">
        <v>怪物</v>
      </c>
      <c r="H689" t="n" s="3">
        <v>5</v>
      </c>
      <c r="I689" t="n" s="3">
        <v>3</v>
      </c>
      <c r="J689" t="n" s="3">
        <v>1</v>
      </c>
      <c r="K689" s="3"/>
      <c r="L689" s="3"/>
      <c r="M689" s="3"/>
      <c r="N689" s="3"/>
      <c r="O689" s="3"/>
      <c r="P689" s="3"/>
      <c r="Q689" s="3"/>
      <c r="R689" s="3"/>
      <c r="S689" s="17"/>
      <c r="T689" s="18"/>
      <c r="U689"/>
      <c r="V689"/>
      <c r="W689"/>
      <c r="X689"/>
      <c r="Y689"/>
      <c r="Z689"/>
      <c r="AA689"/>
    </row>
    <row r="690" ht="12" customHeight="1" spans="1:20">
      <c r="A690" s="35"/>
      <c r="B690" t="n" s="17">
        <f>70000000+F690*10000+H690*1000+I690*100+J690</f>
        <v>70415302</v>
      </c>
      <c r="C690" t="str" s="38">
        <v>隐翳-怪物9</v>
      </c>
      <c r="D690" s="3"/>
      <c r="E690" t="str" s="3">
        <f>F690&amp;(VLOOKUP(G690,编号表!$E$1:$G$8,2,0))&amp;H690&amp;"_"&amp;I690&amp;"_"&amp;J690</f>
        <v>41N5_3_2</v>
      </c>
      <c r="F690" t="n" s="3">
        <v>41</v>
      </c>
      <c r="G690" t="str" s="3">
        <v>怪物</v>
      </c>
      <c r="H690" t="n" s="3">
        <v>5</v>
      </c>
      <c r="I690" t="n" s="3">
        <v>3</v>
      </c>
      <c r="J690" t="n" s="3">
        <v>2</v>
      </c>
      <c r="K690" s="3"/>
      <c r="L690" s="3"/>
      <c r="M690" s="3"/>
      <c r="N690" s="3"/>
      <c r="O690" s="3"/>
      <c r="P690" s="3"/>
      <c r="Q690" s="3"/>
      <c r="R690" s="3"/>
      <c r="S690" s="17"/>
      <c r="T690" s="18"/>
      <c r="U690"/>
      <c r="V690"/>
      <c r="W690"/>
      <c r="X690"/>
      <c r="Y690"/>
      <c r="Z690"/>
      <c r="AA690"/>
    </row>
    <row r="691" ht="12" customHeight="1" spans="1:20">
      <c r="A691" s="35"/>
      <c r="B691" t="n" s="17">
        <f>70000000+F691*10000+H691*1000+I691*100+J691</f>
        <v>70415303</v>
      </c>
      <c r="C691" t="str" s="38">
        <v>隐翳-怪物10</v>
      </c>
      <c r="D691" s="3"/>
      <c r="E691" t="str" s="3">
        <f>F691&amp;(VLOOKUP(G691,编号表!$E$1:$G$8,2,0))&amp;H691&amp;"_"&amp;I691&amp;"_"&amp;J691</f>
        <v>41N5_3_3</v>
      </c>
      <c r="F691" t="n" s="3">
        <v>41</v>
      </c>
      <c r="G691" t="str" s="3">
        <v>怪物</v>
      </c>
      <c r="H691" t="n" s="3">
        <v>5</v>
      </c>
      <c r="I691" t="n" s="3">
        <v>3</v>
      </c>
      <c r="J691" t="n" s="3">
        <v>3</v>
      </c>
      <c r="K691" s="3"/>
      <c r="L691" s="3"/>
      <c r="M691" s="3"/>
      <c r="N691" s="3"/>
      <c r="O691" s="3"/>
      <c r="P691" s="3"/>
      <c r="Q691" s="3"/>
      <c r="R691" s="3"/>
      <c r="S691" s="17"/>
      <c r="T691" s="18"/>
      <c r="U691"/>
      <c r="V691"/>
      <c r="W691"/>
      <c r="X691"/>
      <c r="Y691"/>
      <c r="Z691"/>
      <c r="AA691"/>
    </row>
    <row r="692" ht="12" customHeight="1" spans="1:20">
      <c r="A692" s="35"/>
      <c r="B692" t="n" s="17">
        <f>70000000+F692*10000+H692*1000+I692*100+J692</f>
        <v>70415304</v>
      </c>
      <c r="C692" t="str" s="38">
        <v>隐翳-怪物11</v>
      </c>
      <c r="D692" s="3"/>
      <c r="E692" t="str" s="3">
        <f>F692&amp;(VLOOKUP(G692,编号表!$E$1:$G$8,2,0))&amp;H692&amp;"_"&amp;I692&amp;"_"&amp;J692</f>
        <v>41N5_3_4</v>
      </c>
      <c r="F692" t="n" s="3">
        <v>41</v>
      </c>
      <c r="G692" t="str" s="3">
        <v>怪物</v>
      </c>
      <c r="H692" t="n" s="3">
        <v>5</v>
      </c>
      <c r="I692" t="n" s="3">
        <v>3</v>
      </c>
      <c r="J692" t="n" s="3">
        <v>4</v>
      </c>
      <c r="K692" s="3"/>
      <c r="L692" s="3"/>
      <c r="M692" s="3"/>
      <c r="N692" s="3"/>
      <c r="O692" s="3"/>
      <c r="P692" s="3"/>
      <c r="Q692" s="3"/>
      <c r="R692" s="3"/>
      <c r="S692" s="17"/>
      <c r="T692" s="18"/>
      <c r="U692"/>
      <c r="V692"/>
      <c r="W692"/>
      <c r="X692"/>
      <c r="Y692"/>
      <c r="Z692"/>
      <c r="AA692"/>
    </row>
    <row r="693" ht="15" spans="1:20">
      <c r="A693" s="35"/>
      <c r="B693" t="n" s="17">
        <f>70000000+F693*10000+H693*1000+I693*100+J693</f>
        <v>70415001</v>
      </c>
      <c r="C693" t="str" s="39">
        <v>隐翳-镜头</v>
      </c>
      <c r="D693" s="3"/>
      <c r="E693" t="str" s="3">
        <f>F693&amp;(VLOOKUP(G693,编号表!$E$1:$G$8,2,0))&amp;H693&amp;"_"&amp;I693&amp;"_"&amp;J693</f>
        <v>41J5_0_1</v>
      </c>
      <c r="F693" t="n" s="3">
        <v>41</v>
      </c>
      <c r="G693" t="str" s="3">
        <v>镜头</v>
      </c>
      <c r="H693" t="n" s="3">
        <v>5</v>
      </c>
      <c r="I693" t="n" s="3">
        <v>0</v>
      </c>
      <c r="J693" t="n" s="3">
        <v>1</v>
      </c>
      <c r="K693" t="n" s="3">
        <v>1</v>
      </c>
      <c r="L693" s="3"/>
      <c r="M693" s="3"/>
      <c r="N693" s="3"/>
      <c r="O693" s="3"/>
      <c r="P693" s="3"/>
      <c r="Q693" s="3"/>
      <c r="R693" s="3"/>
      <c r="S693" s="17"/>
      <c r="T693" s="18"/>
      <c r="U693"/>
      <c r="V693"/>
      <c r="W693"/>
      <c r="X693"/>
      <c r="Y693"/>
      <c r="Z693"/>
      <c r="AA693"/>
    </row>
    <row r="694" ht="15" spans="1:20">
      <c r="A694" s="35"/>
      <c r="B694" t="n" s="17">
        <f>70000000+F694*10000+H694*1000+I694*100+J694</f>
        <v>70411001</v>
      </c>
      <c r="C694" t="str" s="37">
        <v>隐翳-传送</v>
      </c>
      <c r="D694" s="3"/>
      <c r="E694" t="str" s="3">
        <f>F694&amp;(VLOOKUP(G694,编号表!$E$1:$G$8,2,0))&amp;H694&amp;"_"&amp;I694&amp;"_"&amp;J694</f>
        <v>41T1_0_1</v>
      </c>
      <c r="F694" t="n" s="3">
        <v>41</v>
      </c>
      <c r="G694" t="str" s="3">
        <v>传送</v>
      </c>
      <c r="H694" t="n" s="3">
        <v>1</v>
      </c>
      <c r="I694" t="n" s="3">
        <v>0</v>
      </c>
      <c r="J694" t="n" s="3">
        <v>1</v>
      </c>
      <c r="K694" s="3"/>
      <c r="L694" t="n" s="3">
        <v>1</v>
      </c>
      <c r="M694" s="3"/>
      <c r="N694" s="3"/>
      <c r="O694" s="3"/>
      <c r="P694" s="3"/>
      <c r="Q694" s="3"/>
      <c r="R694" t="n" s="3">
        <v>70401002</v>
      </c>
      <c r="S694" s="17"/>
      <c r="T694" s="18"/>
      <c r="U694"/>
      <c r="V694"/>
      <c r="W694"/>
      <c r="X694"/>
      <c r="Y694"/>
      <c r="Z694"/>
      <c r="AA694"/>
    </row>
    <row r="695" ht="15" spans="1:20">
      <c r="A695" s="35"/>
      <c r="B695" t="n" s="17">
        <f>70000000+F695*10000+H695*1000+I695*100+J695</f>
        <v>70411002</v>
      </c>
      <c r="C695" t="str" s="37">
        <v>隐翳-传送</v>
      </c>
      <c r="D695" s="3"/>
      <c r="E695" t="str" s="3">
        <f>F695&amp;(VLOOKUP(G695,编号表!$E$1:$G$8,2,0))&amp;H695&amp;"_"&amp;I695&amp;"_"&amp;J695</f>
        <v>41T1_0_2</v>
      </c>
      <c r="F695" t="n" s="3">
        <v>41</v>
      </c>
      <c r="G695" t="str" s="3">
        <v>传送</v>
      </c>
      <c r="H695" t="n" s="3">
        <v>1</v>
      </c>
      <c r="I695" t="n" s="3">
        <v>0</v>
      </c>
      <c r="J695" t="n" s="3">
        <v>2</v>
      </c>
      <c r="K695" s="3"/>
      <c r="L695" t="n" s="3">
        <v>1</v>
      </c>
      <c r="M695" s="3"/>
      <c r="N695" s="3"/>
      <c r="O695" s="3"/>
      <c r="P695" s="3"/>
      <c r="Q695" s="3"/>
      <c r="R695" t="n" s="3">
        <v>70421001</v>
      </c>
      <c r="S695" s="17"/>
      <c r="T695" s="18"/>
      <c r="U695"/>
      <c r="V695"/>
      <c r="W695"/>
      <c r="X695"/>
      <c r="Y695"/>
      <c r="Z695"/>
      <c r="AA695"/>
    </row>
    <row r="696" ht="15" spans="1:20">
      <c r="A696" s="35"/>
      <c r="B696" t="n" s="17">
        <f>70000000+F696*10000+H696*1000+I696*100+J696</f>
        <v>70412001</v>
      </c>
      <c r="C696" t="str" s="37">
        <v>隐翳-小地图</v>
      </c>
      <c r="D696" s="3"/>
      <c r="E696" t="str" s="3">
        <f>F696&amp;(VLOOKUP(G696,编号表!$E$1:$G$8,2,0))&amp;H696&amp;"_"&amp;I696&amp;"_"&amp;J696</f>
        <v>41D2_0_1</v>
      </c>
      <c r="F696" t="n" s="3">
        <v>41</v>
      </c>
      <c r="G696" t="str" s="3">
        <v>小地图</v>
      </c>
      <c r="H696" t="n" s="3">
        <v>2</v>
      </c>
      <c r="I696" t="n" s="3">
        <v>0</v>
      </c>
      <c r="J696" t="n" s="3">
        <v>1</v>
      </c>
      <c r="K696" s="3"/>
      <c r="L696" s="3"/>
      <c r="M696" t="n" s="3">
        <v>1</v>
      </c>
      <c r="N696" s="3"/>
      <c r="O696" s="3"/>
      <c r="P696" s="3"/>
      <c r="Q696" s="3"/>
      <c r="R696" s="3"/>
      <c r="S696" s="17"/>
      <c r="T696" s="18"/>
      <c r="U696"/>
      <c r="V696"/>
      <c r="W696"/>
      <c r="X696"/>
      <c r="Y696"/>
      <c r="Z696"/>
      <c r="AA696"/>
    </row>
    <row r="697" ht="12" customHeight="1" spans="1:20">
      <c r="A697" s="35"/>
      <c r="B697" t="n" s="17">
        <f>70000000+F697*10000+H697*1000+I697*100+J697</f>
        <v>70425101</v>
      </c>
      <c r="C697" t="str" s="38">
        <v>云根露-采集物1</v>
      </c>
      <c r="D697" s="3"/>
      <c r="E697" t="str" s="3">
        <f>F697&amp;(VLOOKUP(G697,编号表!$E$1:$G$8,2,0))&amp;H697&amp;"_"&amp;I697&amp;"_"&amp;J697</f>
        <v>42C5_1_1</v>
      </c>
      <c r="F697" t="n" s="3">
        <v>42</v>
      </c>
      <c r="G697" t="str" s="3">
        <v>采集物</v>
      </c>
      <c r="H697" t="n" s="3">
        <v>5</v>
      </c>
      <c r="I697" t="n" s="3">
        <v>1</v>
      </c>
      <c r="J697" t="n" s="3">
        <v>1</v>
      </c>
      <c r="K697" s="3"/>
      <c r="L697" s="3"/>
      <c r="M697" s="3"/>
      <c r="N697" s="3"/>
      <c r="O697" s="3"/>
      <c r="P697" s="3"/>
      <c r="Q697" s="3"/>
      <c r="R697" s="3"/>
      <c r="S697" s="17"/>
      <c r="T697" s="18"/>
      <c r="U697"/>
      <c r="V697"/>
      <c r="W697"/>
      <c r="X697"/>
      <c r="Y697"/>
      <c r="Z697"/>
      <c r="AA697"/>
    </row>
    <row r="698" ht="12" customHeight="1" spans="1:20">
      <c r="A698" s="35"/>
      <c r="B698" t="n" s="17">
        <f>70000000+F698*10000+H698*1000+I698*100+J698</f>
        <v>70425102</v>
      </c>
      <c r="C698" t="str" s="38">
        <v>云根露-采集物2</v>
      </c>
      <c r="D698" s="3"/>
      <c r="E698" t="str" s="3">
        <f>F698&amp;(VLOOKUP(G698,编号表!$E$1:$G$8,2,0))&amp;H698&amp;"_"&amp;I698&amp;"_"&amp;J698</f>
        <v>42C5_1_2</v>
      </c>
      <c r="F698" t="n" s="3">
        <v>42</v>
      </c>
      <c r="G698" t="str" s="3">
        <v>采集物</v>
      </c>
      <c r="H698" t="n" s="3">
        <v>5</v>
      </c>
      <c r="I698" t="n" s="3">
        <v>1</v>
      </c>
      <c r="J698" t="n" s="3">
        <v>2</v>
      </c>
      <c r="K698" s="3"/>
      <c r="L698" s="3"/>
      <c r="M698" s="3"/>
      <c r="N698" s="3"/>
      <c r="O698" s="3"/>
      <c r="P698" s="3"/>
      <c r="Q698" s="3"/>
      <c r="R698" s="3"/>
      <c r="S698" s="17"/>
      <c r="T698" s="18"/>
      <c r="U698"/>
      <c r="V698"/>
      <c r="W698"/>
      <c r="X698"/>
      <c r="Y698"/>
      <c r="Z698"/>
      <c r="AA698"/>
    </row>
    <row r="699" ht="12" customHeight="1" spans="1:20">
      <c r="A699" s="35"/>
      <c r="B699" t="n" s="17">
        <f>70000000+F699*10000+H699*1000+I699*100+J699</f>
        <v>70425103</v>
      </c>
      <c r="C699" t="str" s="38">
        <v>云根露-采集物3</v>
      </c>
      <c r="D699" s="3"/>
      <c r="E699" t="str" s="3">
        <f>F699&amp;(VLOOKUP(G699,编号表!$E$1:$G$8,2,0))&amp;H699&amp;"_"&amp;I699&amp;"_"&amp;J699</f>
        <v>42C5_1_3</v>
      </c>
      <c r="F699" t="n" s="3">
        <v>42</v>
      </c>
      <c r="G699" t="str" s="3">
        <v>采集物</v>
      </c>
      <c r="H699" t="n" s="3">
        <v>5</v>
      </c>
      <c r="I699" t="n" s="3">
        <v>1</v>
      </c>
      <c r="J699" t="n" s="3">
        <v>3</v>
      </c>
      <c r="K699" s="3"/>
      <c r="L699" s="3"/>
      <c r="M699" s="3"/>
      <c r="N699" s="3"/>
      <c r="O699" s="3"/>
      <c r="P699" s="3"/>
      <c r="Q699" s="3"/>
      <c r="R699" s="3"/>
      <c r="S699" s="17"/>
      <c r="T699" s="18"/>
      <c r="U699"/>
      <c r="V699"/>
      <c r="W699"/>
      <c r="X699"/>
      <c r="Y699"/>
      <c r="Z699"/>
      <c r="AA699"/>
    </row>
    <row r="700" ht="12" customHeight="1" spans="1:20">
      <c r="A700" s="35"/>
      <c r="B700" t="n" s="17">
        <f>70000000+F700*10000+H700*1000+I700*100+J700</f>
        <v>70425104</v>
      </c>
      <c r="C700" t="str" s="38">
        <v>云根露-采集物4</v>
      </c>
      <c r="D700" s="3"/>
      <c r="E700" t="str" s="3">
        <f>F700&amp;(VLOOKUP(G700,编号表!$E$1:$G$8,2,0))&amp;H700&amp;"_"&amp;I700&amp;"_"&amp;J700</f>
        <v>42C5_1_4</v>
      </c>
      <c r="F700" t="n" s="3">
        <v>42</v>
      </c>
      <c r="G700" t="str" s="3">
        <v>采集物</v>
      </c>
      <c r="H700" t="n" s="3">
        <v>5</v>
      </c>
      <c r="I700" t="n" s="3">
        <v>1</v>
      </c>
      <c r="J700" t="n" s="3">
        <v>4</v>
      </c>
      <c r="K700" s="3"/>
      <c r="L700" s="3"/>
      <c r="M700" s="3"/>
      <c r="N700" s="3"/>
      <c r="O700" s="3"/>
      <c r="P700" s="3"/>
      <c r="Q700" s="3"/>
      <c r="R700" s="3"/>
      <c r="S700" s="17"/>
      <c r="T700" s="18"/>
      <c r="U700"/>
      <c r="V700"/>
      <c r="W700"/>
      <c r="X700"/>
      <c r="Y700"/>
      <c r="Z700"/>
      <c r="AA700"/>
    </row>
    <row r="701" ht="12" customHeight="1" spans="1:20">
      <c r="A701" s="35"/>
      <c r="B701" t="n" s="17">
        <f>70000000+F701*10000+H701*1000+I701*100+J701</f>
        <v>70425105</v>
      </c>
      <c r="C701" t="str" s="38">
        <v>云根露-采集物5</v>
      </c>
      <c r="D701" s="3"/>
      <c r="E701" t="str" s="3">
        <f>F701&amp;(VLOOKUP(G701,编号表!$E$1:$G$8,2,0))&amp;H701&amp;"_"&amp;I701&amp;"_"&amp;J701</f>
        <v>42C5_1_5</v>
      </c>
      <c r="F701" t="n" s="3">
        <v>42</v>
      </c>
      <c r="G701" t="str" s="3">
        <v>采集物</v>
      </c>
      <c r="H701" t="n" s="3">
        <v>5</v>
      </c>
      <c r="I701" t="n" s="3">
        <v>1</v>
      </c>
      <c r="J701" t="n" s="3">
        <v>5</v>
      </c>
      <c r="K701" s="3"/>
      <c r="L701" s="3"/>
      <c r="M701" s="3"/>
      <c r="N701" s="3"/>
      <c r="O701" s="3"/>
      <c r="P701" s="3"/>
      <c r="Q701" s="3"/>
      <c r="R701" s="3"/>
      <c r="S701" s="17"/>
      <c r="T701" s="18"/>
      <c r="U701"/>
      <c r="V701"/>
      <c r="W701"/>
      <c r="X701"/>
      <c r="Y701"/>
      <c r="Z701"/>
      <c r="AA701"/>
    </row>
    <row r="702" ht="12" customHeight="1" spans="1:20">
      <c r="A702" s="35"/>
      <c r="B702" t="n" s="17">
        <f>70000000+F702*10000+H702*1000+I702*100+J702</f>
        <v>70425201</v>
      </c>
      <c r="C702" t="str" s="38">
        <v>云根露-采集物6</v>
      </c>
      <c r="D702" s="3"/>
      <c r="E702" t="str" s="3">
        <f>F702&amp;(VLOOKUP(G702,编号表!$E$1:$G$8,2,0))&amp;H702&amp;"_"&amp;I702&amp;"_"&amp;J702</f>
        <v>42C5_2_1</v>
      </c>
      <c r="F702" t="n" s="3">
        <v>42</v>
      </c>
      <c r="G702" t="str" s="3">
        <v>采集物</v>
      </c>
      <c r="H702" t="n" s="3">
        <v>5</v>
      </c>
      <c r="I702" t="n" s="3">
        <v>2</v>
      </c>
      <c r="J702" t="n" s="3">
        <v>1</v>
      </c>
      <c r="K702" s="3"/>
      <c r="L702" s="3"/>
      <c r="M702" s="3"/>
      <c r="N702" s="3"/>
      <c r="O702" s="3"/>
      <c r="P702" s="3"/>
      <c r="Q702" s="3"/>
      <c r="R702" s="3"/>
      <c r="S702" s="17"/>
      <c r="T702" s="18"/>
      <c r="U702"/>
      <c r="V702"/>
      <c r="W702"/>
      <c r="X702"/>
      <c r="Y702"/>
      <c r="Z702"/>
      <c r="AA702"/>
    </row>
    <row r="703" ht="15" spans="1:20">
      <c r="A703" s="35"/>
      <c r="B703" t="n" s="17">
        <f>70000000+F703*10000+H703*1000+I703*100+J703</f>
        <v>70425001</v>
      </c>
      <c r="C703" t="str" s="39">
        <v>云根露-镜头</v>
      </c>
      <c r="D703" s="3"/>
      <c r="E703" t="str" s="3">
        <f>F703&amp;(VLOOKUP(G703,编号表!$E$1:$G$8,2,0))&amp;H703&amp;"_"&amp;I703&amp;"_"&amp;J703</f>
        <v>42J5_0_1</v>
      </c>
      <c r="F703" t="n" s="3">
        <v>42</v>
      </c>
      <c r="G703" t="str" s="3">
        <v>镜头</v>
      </c>
      <c r="H703" t="n" s="3">
        <v>5</v>
      </c>
      <c r="I703" t="n" s="3">
        <v>0</v>
      </c>
      <c r="J703" t="n" s="3">
        <v>1</v>
      </c>
      <c r="K703" t="n" s="3">
        <v>1</v>
      </c>
      <c r="L703" s="3"/>
      <c r="M703" s="3"/>
      <c r="N703" s="3"/>
      <c r="O703" s="3"/>
      <c r="P703" s="3"/>
      <c r="Q703" s="3"/>
      <c r="R703" s="3"/>
      <c r="S703" s="17"/>
      <c r="T703" s="18"/>
      <c r="U703"/>
      <c r="V703"/>
      <c r="W703"/>
      <c r="X703"/>
      <c r="Y703"/>
      <c r="Z703"/>
      <c r="AA703"/>
    </row>
    <row r="704" ht="15" spans="1:20">
      <c r="A704" s="35"/>
      <c r="B704" t="n" s="17">
        <f>70000000+F704*10000+H704*1000+I704*100+J704</f>
        <v>70421001</v>
      </c>
      <c r="C704" t="str" s="37">
        <v>云根露-传送</v>
      </c>
      <c r="D704" s="3"/>
      <c r="E704" t="str" s="3">
        <f>F704&amp;(VLOOKUP(G704,编号表!$E$1:$G$8,2,0))&amp;H704&amp;"_"&amp;I704&amp;"_"&amp;J704</f>
        <v>42T1_0_1</v>
      </c>
      <c r="F704" t="n" s="3">
        <v>42</v>
      </c>
      <c r="G704" t="str" s="3">
        <v>传送</v>
      </c>
      <c r="H704" t="n" s="3">
        <v>1</v>
      </c>
      <c r="I704" t="n" s="3">
        <v>0</v>
      </c>
      <c r="J704" t="n" s="3">
        <v>1</v>
      </c>
      <c r="K704" s="3"/>
      <c r="L704" t="n" s="3">
        <v>1</v>
      </c>
      <c r="M704" s="3"/>
      <c r="N704" s="3"/>
      <c r="O704" s="3"/>
      <c r="P704" s="3"/>
      <c r="Q704" s="3"/>
      <c r="R704" t="n" s="3">
        <v>70411002</v>
      </c>
      <c r="S704" s="17"/>
      <c r="T704" s="18"/>
      <c r="U704"/>
      <c r="V704"/>
      <c r="W704"/>
      <c r="X704"/>
      <c r="Y704"/>
      <c r="Z704"/>
      <c r="AA704"/>
    </row>
    <row r="705" ht="15" spans="1:20">
      <c r="A705" s="35"/>
      <c r="B705" t="n" s="17">
        <f>70000000+F705*10000+H705*1000+I705*100+J705</f>
        <v>70421002</v>
      </c>
      <c r="C705" t="str" s="37">
        <v>云根露-传送</v>
      </c>
      <c r="D705" s="3"/>
      <c r="E705" t="str" s="3">
        <f>F705&amp;(VLOOKUP(G705,编号表!$E$1:$G$8,2,0))&amp;H705&amp;"_"&amp;I705&amp;"_"&amp;J705</f>
        <v>42T1_0_2</v>
      </c>
      <c r="F705" t="n" s="3">
        <v>42</v>
      </c>
      <c r="G705" t="str" s="3">
        <v>传送</v>
      </c>
      <c r="H705" t="n" s="3">
        <v>1</v>
      </c>
      <c r="I705" t="n" s="3">
        <v>0</v>
      </c>
      <c r="J705" t="n" s="3">
        <v>2</v>
      </c>
      <c r="K705" s="3"/>
      <c r="L705" t="n" s="3">
        <v>1</v>
      </c>
      <c r="M705" s="3"/>
      <c r="N705" s="3"/>
      <c r="O705" s="3"/>
      <c r="P705" s="3"/>
      <c r="Q705" s="3"/>
      <c r="R705" t="n" s="3">
        <v>70431001</v>
      </c>
      <c r="S705" s="17"/>
      <c r="T705" s="18"/>
      <c r="U705"/>
      <c r="V705"/>
      <c r="W705"/>
      <c r="X705"/>
      <c r="Y705"/>
      <c r="Z705"/>
      <c r="AA705"/>
    </row>
    <row r="706" ht="15" spans="1:20">
      <c r="A706" s="35"/>
      <c r="B706" t="n" s="17">
        <f>70000000+F706*10000+H706*1000+I706*100+J706</f>
        <v>70422001</v>
      </c>
      <c r="C706" t="str" s="37">
        <v>云根露-小地图</v>
      </c>
      <c r="D706" s="3"/>
      <c r="E706" t="str" s="3">
        <f>F706&amp;(VLOOKUP(G706,编号表!$E$1:$G$8,2,0))&amp;H706&amp;"_"&amp;I706&amp;"_"&amp;J706</f>
        <v>42D2_0_1</v>
      </c>
      <c r="F706" t="n" s="3">
        <v>42</v>
      </c>
      <c r="G706" t="str" s="3">
        <v>小地图</v>
      </c>
      <c r="H706" t="n" s="3">
        <v>2</v>
      </c>
      <c r="I706" t="n" s="3">
        <v>0</v>
      </c>
      <c r="J706" t="n" s="3">
        <v>1</v>
      </c>
      <c r="K706" s="3"/>
      <c r="L706" s="3"/>
      <c r="M706" t="n" s="3">
        <v>1</v>
      </c>
      <c r="N706" s="3"/>
      <c r="O706" s="3"/>
      <c r="P706" s="3"/>
      <c r="Q706" s="3"/>
      <c r="R706" s="3"/>
      <c r="S706" s="17"/>
      <c r="T706" s="18"/>
      <c r="U706"/>
      <c r="V706"/>
      <c r="W706"/>
      <c r="X706"/>
      <c r="Y706"/>
      <c r="Z706"/>
      <c r="AA706"/>
    </row>
    <row r="707" ht="12" customHeight="1" spans="1:20">
      <c r="A707" s="35"/>
      <c r="B707" t="n" s="17">
        <f>70000000+F707*10000+H707*1000+I707*100+J707</f>
        <v>70435101</v>
      </c>
      <c r="C707" t="str" s="38">
        <v>风痕苔生-采集物1</v>
      </c>
      <c r="D707" s="3"/>
      <c r="E707" t="str" s="3">
        <f>F707&amp;(VLOOKUP(G707,编号表!$E$1:$G$8,2,0))&amp;H707&amp;"_"&amp;I707&amp;"_"&amp;J707</f>
        <v>43C5_1_1</v>
      </c>
      <c r="F707" t="n" s="3">
        <v>43</v>
      </c>
      <c r="G707" t="str" s="3">
        <v>采集物</v>
      </c>
      <c r="H707" t="n" s="3">
        <v>5</v>
      </c>
      <c r="I707" t="n" s="3">
        <v>1</v>
      </c>
      <c r="J707" t="n" s="3">
        <v>1</v>
      </c>
      <c r="K707" s="3"/>
      <c r="L707" s="3"/>
      <c r="M707" s="3"/>
      <c r="N707" s="3"/>
      <c r="O707" s="3"/>
      <c r="P707" s="3"/>
      <c r="Q707" s="3"/>
      <c r="R707" s="3"/>
      <c r="S707" s="17"/>
      <c r="T707" s="18"/>
      <c r="U707"/>
      <c r="V707"/>
      <c r="W707"/>
      <c r="X707"/>
      <c r="Y707"/>
      <c r="Z707"/>
      <c r="AA707"/>
    </row>
    <row r="708" ht="12" customHeight="1" spans="1:20">
      <c r="A708" s="35"/>
      <c r="B708" t="n" s="17">
        <f>70000000+F708*10000+H708*1000+I708*100+J708</f>
        <v>70435102</v>
      </c>
      <c r="C708" t="str" s="38">
        <v>风痕苔生-采集物2</v>
      </c>
      <c r="D708" s="3"/>
      <c r="E708" t="str" s="3">
        <f>F708&amp;(VLOOKUP(G708,编号表!$E$1:$G$8,2,0))&amp;H708&amp;"_"&amp;I708&amp;"_"&amp;J708</f>
        <v>43C5_1_2</v>
      </c>
      <c r="F708" t="n" s="3">
        <v>43</v>
      </c>
      <c r="G708" t="str" s="3">
        <v>采集物</v>
      </c>
      <c r="H708" t="n" s="3">
        <v>5</v>
      </c>
      <c r="I708" t="n" s="3">
        <v>1</v>
      </c>
      <c r="J708" t="n" s="3">
        <v>2</v>
      </c>
      <c r="K708" s="3"/>
      <c r="L708" s="3"/>
      <c r="M708" s="3"/>
      <c r="N708" s="3"/>
      <c r="O708" s="3"/>
      <c r="P708" s="3"/>
      <c r="Q708" s="3"/>
      <c r="R708" s="3"/>
      <c r="S708" s="17"/>
      <c r="T708" s="18"/>
      <c r="U708"/>
      <c r="V708"/>
      <c r="W708"/>
      <c r="X708"/>
      <c r="Y708"/>
      <c r="Z708"/>
      <c r="AA708"/>
    </row>
    <row r="709" ht="12" customHeight="1" spans="1:20">
      <c r="A709" s="35"/>
      <c r="B709" t="n" s="17">
        <f>70000000+F709*10000+H709*1000+I709*100+J709</f>
        <v>70435103</v>
      </c>
      <c r="C709" t="str" s="38">
        <v>风痕苔生-采集物3</v>
      </c>
      <c r="D709" s="3"/>
      <c r="E709" t="str" s="3">
        <f>F709&amp;(VLOOKUP(G709,编号表!$E$1:$G$8,2,0))&amp;H709&amp;"_"&amp;I709&amp;"_"&amp;J709</f>
        <v>43C5_1_3</v>
      </c>
      <c r="F709" t="n" s="3">
        <v>43</v>
      </c>
      <c r="G709" t="str" s="3">
        <v>采集物</v>
      </c>
      <c r="H709" t="n" s="3">
        <v>5</v>
      </c>
      <c r="I709" t="n" s="3">
        <v>1</v>
      </c>
      <c r="J709" t="n" s="3">
        <v>3</v>
      </c>
      <c r="K709" s="3"/>
      <c r="L709" s="3"/>
      <c r="M709" s="3"/>
      <c r="N709" s="3"/>
      <c r="O709" s="3"/>
      <c r="P709" s="3"/>
      <c r="Q709" s="3"/>
      <c r="R709" s="3"/>
      <c r="S709" s="17"/>
      <c r="T709" s="18"/>
      <c r="U709"/>
      <c r="V709"/>
      <c r="W709"/>
      <c r="X709"/>
      <c r="Y709"/>
      <c r="Z709"/>
      <c r="AA709"/>
    </row>
    <row r="710" ht="12" customHeight="1" spans="1:20">
      <c r="A710" s="35"/>
      <c r="B710" t="n" s="17">
        <f>70000000+F710*10000+H710*1000+I710*100+J710</f>
        <v>70435104</v>
      </c>
      <c r="C710" t="str" s="38">
        <v>风痕苔生-采集物4</v>
      </c>
      <c r="D710" s="3"/>
      <c r="E710" t="str" s="3">
        <f>F710&amp;(VLOOKUP(G710,编号表!$E$1:$G$8,2,0))&amp;H710&amp;"_"&amp;I710&amp;"_"&amp;J710</f>
        <v>43C5_1_4</v>
      </c>
      <c r="F710" t="n" s="3">
        <v>43</v>
      </c>
      <c r="G710" t="str" s="3">
        <v>采集物</v>
      </c>
      <c r="H710" t="n" s="3">
        <v>5</v>
      </c>
      <c r="I710" t="n" s="3">
        <v>1</v>
      </c>
      <c r="J710" t="n" s="3">
        <v>4</v>
      </c>
      <c r="K710" s="3"/>
      <c r="L710" s="3"/>
      <c r="M710" s="3"/>
      <c r="N710" s="3"/>
      <c r="O710" s="3"/>
      <c r="P710" s="3"/>
      <c r="Q710" s="3"/>
      <c r="R710" s="3"/>
      <c r="S710" s="17"/>
      <c r="T710" s="18"/>
      <c r="U710"/>
      <c r="V710"/>
      <c r="W710"/>
      <c r="X710"/>
      <c r="Y710"/>
      <c r="Z710"/>
      <c r="AA710"/>
    </row>
    <row r="711" ht="12" customHeight="1" spans="1:20">
      <c r="A711" s="35"/>
      <c r="B711" t="n" s="17">
        <f>70000000+F711*10000+H711*1000+I711*100+J711</f>
        <v>70435201</v>
      </c>
      <c r="C711" t="str" s="38">
        <v>风痕苔生-采集物5</v>
      </c>
      <c r="D711" s="3"/>
      <c r="E711" t="str" s="3">
        <f>F711&amp;(VLOOKUP(G711,编号表!$E$1:$G$8,2,0))&amp;H711&amp;"_"&amp;I711&amp;"_"&amp;J711</f>
        <v>43C5_2_1</v>
      </c>
      <c r="F711" t="n" s="3">
        <v>43</v>
      </c>
      <c r="G711" t="str" s="3">
        <v>采集物</v>
      </c>
      <c r="H711" t="n" s="3">
        <v>5</v>
      </c>
      <c r="I711" t="n" s="3">
        <v>2</v>
      </c>
      <c r="J711" t="n" s="3">
        <v>1</v>
      </c>
      <c r="K711" s="3"/>
      <c r="L711" s="3"/>
      <c r="M711" s="3"/>
      <c r="N711" s="3"/>
      <c r="O711" s="3"/>
      <c r="P711" s="3"/>
      <c r="Q711" s="3"/>
      <c r="R711" s="3"/>
      <c r="S711" s="17"/>
      <c r="T711" s="18"/>
      <c r="U711"/>
      <c r="V711"/>
      <c r="W711"/>
      <c r="X711"/>
      <c r="Y711"/>
      <c r="Z711"/>
      <c r="AA711"/>
    </row>
    <row r="712" ht="12" customHeight="1" spans="1:20">
      <c r="A712" s="35"/>
      <c r="B712" t="n" s="17">
        <f>70000000+F712*10000+H712*1000+I712*100+J712</f>
        <v>70435202</v>
      </c>
      <c r="C712" t="str" s="38">
        <v>风痕苔生-采集物6</v>
      </c>
      <c r="D712" s="3"/>
      <c r="E712" t="str" s="3">
        <f>F712&amp;(VLOOKUP(G712,编号表!$E$1:$G$8,2,0))&amp;H712&amp;"_"&amp;I712&amp;"_"&amp;J712</f>
        <v>43C5_2_2</v>
      </c>
      <c r="F712" t="n" s="3">
        <v>43</v>
      </c>
      <c r="G712" t="str" s="3">
        <v>采集物</v>
      </c>
      <c r="H712" t="n" s="3">
        <v>5</v>
      </c>
      <c r="I712" t="n" s="3">
        <v>2</v>
      </c>
      <c r="J712" t="n" s="3">
        <v>2</v>
      </c>
      <c r="K712" s="3"/>
      <c r="L712" s="3"/>
      <c r="M712" s="3"/>
      <c r="N712" s="3"/>
      <c r="O712" s="3"/>
      <c r="P712" s="3"/>
      <c r="Q712" s="3"/>
      <c r="R712" s="3"/>
      <c r="S712" s="17"/>
      <c r="T712" s="18"/>
      <c r="U712"/>
      <c r="V712"/>
      <c r="W712"/>
      <c r="X712"/>
      <c r="Y712"/>
      <c r="Z712"/>
      <c r="AA712"/>
    </row>
    <row r="713" ht="15" spans="1:20">
      <c r="A713" s="35"/>
      <c r="B713" t="n" s="17">
        <f>70000000+F713*10000+H713*1000+I713*100+J713</f>
        <v>70435001</v>
      </c>
      <c r="C713" t="str" s="39">
        <v>风痕苔生-镜头</v>
      </c>
      <c r="D713" s="3"/>
      <c r="E713" t="str" s="3">
        <f>F713&amp;(VLOOKUP(G713,编号表!$E$1:$G$8,2,0))&amp;H713&amp;"_"&amp;I713&amp;"_"&amp;J713</f>
        <v>43J5_0_1</v>
      </c>
      <c r="F713" t="n" s="3">
        <v>43</v>
      </c>
      <c r="G713" t="str" s="3">
        <v>镜头</v>
      </c>
      <c r="H713" t="n" s="3">
        <v>5</v>
      </c>
      <c r="I713" t="n" s="3">
        <v>0</v>
      </c>
      <c r="J713" t="n" s="3">
        <v>1</v>
      </c>
      <c r="K713" t="n" s="3">
        <v>1</v>
      </c>
      <c r="L713" s="3"/>
      <c r="M713" s="3"/>
      <c r="N713" s="3"/>
      <c r="O713" s="3"/>
      <c r="P713" s="3"/>
      <c r="Q713" s="3"/>
      <c r="R713" s="3"/>
      <c r="S713" s="17"/>
      <c r="T713" s="18"/>
      <c r="U713"/>
      <c r="V713"/>
      <c r="W713"/>
      <c r="X713"/>
      <c r="Y713"/>
      <c r="Z713"/>
      <c r="AA713"/>
    </row>
    <row r="714" ht="15" spans="1:20">
      <c r="A714" s="35"/>
      <c r="B714" t="n" s="17">
        <f>70000000+F714*10000+H714*1000+I714*100+J714</f>
        <v>70431001</v>
      </c>
      <c r="C714" t="str" s="37">
        <v>风痕苔生-传送</v>
      </c>
      <c r="D714" s="3"/>
      <c r="E714" t="str" s="3">
        <f>F714&amp;(VLOOKUP(G714,编号表!$E$1:$G$8,2,0))&amp;H714&amp;"_"&amp;I714&amp;"_"&amp;J714</f>
        <v>43T1_0_1</v>
      </c>
      <c r="F714" t="n" s="3">
        <v>43</v>
      </c>
      <c r="G714" t="str" s="3">
        <v>传送</v>
      </c>
      <c r="H714" t="n" s="3">
        <v>1</v>
      </c>
      <c r="I714" t="n" s="3">
        <v>0</v>
      </c>
      <c r="J714" t="n" s="3">
        <v>1</v>
      </c>
      <c r="K714" s="3"/>
      <c r="L714" t="n" s="3">
        <v>1</v>
      </c>
      <c r="M714" s="3"/>
      <c r="N714" s="3"/>
      <c r="O714" s="3"/>
      <c r="P714" s="3"/>
      <c r="Q714" s="3"/>
      <c r="R714" t="n" s="3">
        <v>70421002</v>
      </c>
      <c r="S714" s="17"/>
      <c r="T714" s="18"/>
      <c r="U714"/>
      <c r="V714"/>
      <c r="W714"/>
      <c r="X714"/>
      <c r="Y714"/>
      <c r="Z714"/>
      <c r="AA714"/>
    </row>
    <row r="715" ht="15" spans="1:20">
      <c r="A715" s="35"/>
      <c r="B715" t="n" s="17">
        <f>70000000+F715*10000+H715*1000+I715*100+J715</f>
        <v>70431002</v>
      </c>
      <c r="C715" t="str" s="37">
        <v>风痕苔生-传送</v>
      </c>
      <c r="D715" s="3"/>
      <c r="E715" t="str" s="3">
        <f>F715&amp;(VLOOKUP(G715,编号表!$E$1:$G$8,2,0))&amp;H715&amp;"_"&amp;I715&amp;"_"&amp;J715</f>
        <v>43T1_0_2</v>
      </c>
      <c r="F715" t="n" s="3">
        <v>43</v>
      </c>
      <c r="G715" t="str" s="3">
        <v>传送</v>
      </c>
      <c r="H715" t="n" s="3">
        <v>1</v>
      </c>
      <c r="I715" t="n" s="3">
        <v>0</v>
      </c>
      <c r="J715" t="n" s="3">
        <v>2</v>
      </c>
      <c r="K715" s="3"/>
      <c r="L715" t="n" s="3">
        <v>1</v>
      </c>
      <c r="M715" s="3"/>
      <c r="N715" s="3"/>
      <c r="O715" s="3"/>
      <c r="P715" s="3"/>
      <c r="Q715" s="3"/>
      <c r="R715" t="n" s="3">
        <v>70441001</v>
      </c>
      <c r="S715" s="17"/>
      <c r="T715" s="18"/>
      <c r="U715"/>
      <c r="V715"/>
      <c r="W715"/>
      <c r="X715"/>
      <c r="Y715"/>
      <c r="Z715"/>
      <c r="AA715"/>
    </row>
    <row r="716" ht="15" spans="1:20">
      <c r="A716" s="35"/>
      <c r="B716" t="n" s="17">
        <f>70000000+F716*10000+H716*1000+I716*100+J716</f>
        <v>70432001</v>
      </c>
      <c r="C716" t="str" s="37">
        <v>风痕苔生-小地图</v>
      </c>
      <c r="D716" s="3"/>
      <c r="E716" t="str" s="3">
        <f>F716&amp;(VLOOKUP(G716,编号表!$E$1:$G$8,2,0))&amp;H716&amp;"_"&amp;I716&amp;"_"&amp;J716</f>
        <v>43D2_0_1</v>
      </c>
      <c r="F716" t="n" s="3">
        <v>43</v>
      </c>
      <c r="G716" t="str" s="3">
        <v>小地图</v>
      </c>
      <c r="H716" t="n" s="3">
        <v>2</v>
      </c>
      <c r="I716" t="n" s="3">
        <v>0</v>
      </c>
      <c r="J716" t="n" s="3">
        <v>1</v>
      </c>
      <c r="K716" s="3"/>
      <c r="L716" s="3"/>
      <c r="M716" t="n" s="3">
        <v>1</v>
      </c>
      <c r="N716" s="3"/>
      <c r="O716" s="3"/>
      <c r="P716" s="3"/>
      <c r="Q716" s="3"/>
      <c r="R716" s="3"/>
      <c r="S716" s="17"/>
      <c r="T716" s="18"/>
      <c r="U716"/>
      <c r="V716"/>
      <c r="W716"/>
      <c r="X716"/>
      <c r="Y716"/>
      <c r="Z716"/>
      <c r="AA716"/>
    </row>
    <row r="717" ht="12" customHeight="1" spans="1:20">
      <c r="A717" s="35"/>
      <c r="B717" t="n" s="17">
        <f>70000000+F717*10000+H717*1000+I717*100+J717</f>
        <v>70445101</v>
      </c>
      <c r="C717" t="str" s="38">
        <v>涓台窦-怪物1</v>
      </c>
      <c r="D717" s="3"/>
      <c r="E717" t="str" s="3">
        <f>F717&amp;(VLOOKUP(G717,编号表!$E$1:$G$8,2,0))&amp;H717&amp;"_"&amp;I717&amp;"_"&amp;J717</f>
        <v>44N5_1_1</v>
      </c>
      <c r="F717" t="n" s="3">
        <v>44</v>
      </c>
      <c r="G717" t="str" s="3">
        <v>怪物</v>
      </c>
      <c r="H717" t="n" s="3">
        <v>5</v>
      </c>
      <c r="I717" t="n" s="3">
        <v>1</v>
      </c>
      <c r="J717" t="n" s="3">
        <v>1</v>
      </c>
      <c r="K717" s="3"/>
      <c r="L717" s="3"/>
      <c r="M717" s="3"/>
      <c r="N717" s="3"/>
      <c r="O717" s="3"/>
      <c r="P717" s="3"/>
      <c r="Q717" s="3"/>
      <c r="R717" s="3"/>
      <c r="S717" t="str" s="17">
        <v>本轮完整刷新挂接；有效坐标注入后验证</v>
      </c>
      <c r="T717" t="n" s="18">
        <v>1056304</v>
      </c>
      <c r="U717"/>
      <c r="V717"/>
      <c r="W717"/>
      <c r="X717"/>
      <c r="Y717"/>
      <c r="Z717"/>
      <c r="AA717"/>
    </row>
    <row r="718" ht="12" customHeight="1" spans="1:20">
      <c r="A718" s="35"/>
      <c r="B718" t="n" s="17">
        <f>70000000+F718*10000+H718*1000+I718*100+J718</f>
        <v>70445102</v>
      </c>
      <c r="C718" t="str" s="38">
        <v>涓台窦-怪物2</v>
      </c>
      <c r="D718" s="3"/>
      <c r="E718" t="str" s="3">
        <f>F718&amp;(VLOOKUP(G718,编号表!$E$1:$G$8,2,0))&amp;H718&amp;"_"&amp;I718&amp;"_"&amp;J718</f>
        <v>44N5_1_2</v>
      </c>
      <c r="F718" t="n" s="3">
        <v>44</v>
      </c>
      <c r="G718" t="str" s="3">
        <v>怪物</v>
      </c>
      <c r="H718" t="n" s="3">
        <v>5</v>
      </c>
      <c r="I718" t="n" s="3">
        <v>1</v>
      </c>
      <c r="J718" t="n" s="3">
        <v>2</v>
      </c>
      <c r="K718" s="3"/>
      <c r="L718" s="3"/>
      <c r="M718" s="3"/>
      <c r="N718" s="3"/>
      <c r="O718" s="3"/>
      <c r="P718" s="3"/>
      <c r="Q718" s="3"/>
      <c r="R718" s="3"/>
      <c r="S718" t="str" s="17">
        <v>本轮完整刷新挂接；有效坐标注入后验证</v>
      </c>
      <c r="T718" t="n" s="18">
        <v>1056404</v>
      </c>
      <c r="U718"/>
      <c r="V718"/>
      <c r="W718"/>
      <c r="X718"/>
      <c r="Y718"/>
      <c r="Z718"/>
      <c r="AA718"/>
    </row>
    <row r="719" ht="12" customHeight="1" spans="1:20">
      <c r="A719" s="35"/>
      <c r="B719" t="n" s="17">
        <f>70000000+F719*10000+H719*1000+I719*100+J719</f>
        <v>70445103</v>
      </c>
      <c r="C719" t="str" s="38">
        <v>涓台窦-怪物3</v>
      </c>
      <c r="D719" s="3"/>
      <c r="E719" t="str" s="3">
        <f>F719&amp;(VLOOKUP(G719,编号表!$E$1:$G$8,2,0))&amp;H719&amp;"_"&amp;I719&amp;"_"&amp;J719</f>
        <v>44N5_1_3</v>
      </c>
      <c r="F719" t="n" s="3">
        <v>44</v>
      </c>
      <c r="G719" t="str" s="3">
        <v>怪物</v>
      </c>
      <c r="H719" t="n" s="3">
        <v>5</v>
      </c>
      <c r="I719" t="n" s="3">
        <v>1</v>
      </c>
      <c r="J719" t="n" s="3">
        <v>3</v>
      </c>
      <c r="K719" s="3"/>
      <c r="L719" s="3"/>
      <c r="M719" s="3"/>
      <c r="N719" s="3"/>
      <c r="O719" s="3"/>
      <c r="P719" s="3"/>
      <c r="Q719" s="3"/>
      <c r="R719" s="3"/>
      <c r="S719" t="str" s="17">
        <v>本轮完整刷新挂接；有效坐标注入后验证</v>
      </c>
      <c r="T719" t="n" s="18">
        <v>1056103</v>
      </c>
      <c r="U719"/>
      <c r="V719"/>
      <c r="W719"/>
      <c r="X719"/>
      <c r="Y719"/>
      <c r="Z719"/>
      <c r="AA719"/>
    </row>
    <row r="720" ht="12" customHeight="1" spans="1:20">
      <c r="A720" s="35"/>
      <c r="B720" t="n" s="17">
        <f>70000000+F720*10000+H720*1000+I720*100+J720</f>
        <v>70445104</v>
      </c>
      <c r="C720" t="str" s="38">
        <v>涓台窦-怪物4</v>
      </c>
      <c r="D720" s="3"/>
      <c r="E720" t="str" s="3">
        <f>F720&amp;(VLOOKUP(G720,编号表!$E$1:$G$8,2,0))&amp;H720&amp;"_"&amp;I720&amp;"_"&amp;J720</f>
        <v>44N5_1_4</v>
      </c>
      <c r="F720" t="n" s="3">
        <v>44</v>
      </c>
      <c r="G720" t="str" s="3">
        <v>怪物</v>
      </c>
      <c r="H720" t="n" s="3">
        <v>5</v>
      </c>
      <c r="I720" t="n" s="3">
        <v>1</v>
      </c>
      <c r="J720" t="n" s="3">
        <v>4</v>
      </c>
      <c r="K720" s="3"/>
      <c r="L720" s="3"/>
      <c r="M720" s="3"/>
      <c r="N720" s="3"/>
      <c r="O720" s="3"/>
      <c r="P720" s="3"/>
      <c r="Q720" s="3"/>
      <c r="R720" s="3"/>
      <c r="S720" t="str" s="17">
        <v>本轮完整刷新挂接；有效坐标注入后验证</v>
      </c>
      <c r="T720" t="n" s="18">
        <v>1056001</v>
      </c>
      <c r="U720"/>
      <c r="V720"/>
      <c r="W720"/>
      <c r="X720"/>
      <c r="Y720"/>
      <c r="Z720"/>
      <c r="AA720"/>
    </row>
    <row r="721" ht="12" customHeight="1" spans="1:20">
      <c r="A721" s="35"/>
      <c r="B721" t="n" s="17">
        <f>70000000+F721*10000+H721*1000+I721*100+J721</f>
        <v>70445201</v>
      </c>
      <c r="C721" t="str" s="38">
        <v>涓台窦-怪物5</v>
      </c>
      <c r="D721" s="3"/>
      <c r="E721" t="str" s="3">
        <f>F721&amp;(VLOOKUP(G721,编号表!$E$1:$G$8,2,0))&amp;H721&amp;"_"&amp;I721&amp;"_"&amp;J721</f>
        <v>44N5_2_1</v>
      </c>
      <c r="F721" t="n" s="3">
        <v>44</v>
      </c>
      <c r="G721" t="str" s="3">
        <v>怪物</v>
      </c>
      <c r="H721" t="n" s="3">
        <v>5</v>
      </c>
      <c r="I721" t="n" s="3">
        <v>2</v>
      </c>
      <c r="J721" t="n" s="3">
        <v>1</v>
      </c>
      <c r="K721" s="3"/>
      <c r="L721" s="3"/>
      <c r="M721" s="3"/>
      <c r="N721" s="3"/>
      <c r="O721" s="3"/>
      <c r="P721" s="3"/>
      <c r="Q721" s="3"/>
      <c r="R721" s="3"/>
      <c r="S721" s="17"/>
      <c r="T721" s="18"/>
      <c r="U721"/>
      <c r="V721"/>
      <c r="W721"/>
      <c r="X721"/>
      <c r="Y721"/>
      <c r="Z721"/>
      <c r="AA721"/>
    </row>
    <row r="722" ht="12" customHeight="1" spans="1:20">
      <c r="A722" s="35"/>
      <c r="B722" t="n" s="17">
        <f>70000000+F722*10000+H722*1000+I722*100+J722</f>
        <v>70445202</v>
      </c>
      <c r="C722" t="str" s="38">
        <v>涓台窦-怪物6</v>
      </c>
      <c r="D722" s="3"/>
      <c r="E722" t="str" s="3">
        <f>F722&amp;(VLOOKUP(G722,编号表!$E$1:$G$8,2,0))&amp;H722&amp;"_"&amp;I722&amp;"_"&amp;J722</f>
        <v>44N5_2_2</v>
      </c>
      <c r="F722" t="n" s="3">
        <v>44</v>
      </c>
      <c r="G722" t="str" s="3">
        <v>怪物</v>
      </c>
      <c r="H722" t="n" s="3">
        <v>5</v>
      </c>
      <c r="I722" t="n" s="3">
        <v>2</v>
      </c>
      <c r="J722" t="n" s="3">
        <v>2</v>
      </c>
      <c r="K722" s="3"/>
      <c r="L722" s="3"/>
      <c r="M722" s="3"/>
      <c r="N722" s="3"/>
      <c r="O722" s="3"/>
      <c r="P722" s="3"/>
      <c r="Q722" s="3"/>
      <c r="R722" s="3"/>
      <c r="S722" s="17"/>
      <c r="T722" s="18"/>
      <c r="U722"/>
      <c r="V722"/>
      <c r="W722"/>
      <c r="X722"/>
      <c r="Y722"/>
      <c r="Z722"/>
      <c r="AA722"/>
    </row>
    <row r="723" ht="12" customHeight="1" spans="1:20">
      <c r="A723" s="35"/>
      <c r="B723" t="n" s="17">
        <f>70000000+F723*10000+H723*1000+I723*100+J723</f>
        <v>70445301</v>
      </c>
      <c r="C723" t="str" s="38">
        <v>涓台窦-怪物7</v>
      </c>
      <c r="D723" s="3"/>
      <c r="E723" t="str" s="3">
        <f>F723&amp;(VLOOKUP(G723,编号表!$E$1:$G$8,2,0))&amp;H723&amp;"_"&amp;I723&amp;"_"&amp;J723</f>
        <v>44N5_3_1</v>
      </c>
      <c r="F723" t="n" s="3">
        <v>44</v>
      </c>
      <c r="G723" t="str" s="3">
        <v>怪物</v>
      </c>
      <c r="H723" t="n" s="3">
        <v>5</v>
      </c>
      <c r="I723" t="n" s="3">
        <v>3</v>
      </c>
      <c r="J723" t="n" s="3">
        <v>1</v>
      </c>
      <c r="K723" s="3"/>
      <c r="L723" s="3"/>
      <c r="M723" s="3"/>
      <c r="N723" s="3"/>
      <c r="O723" s="3"/>
      <c r="P723" s="3"/>
      <c r="Q723" s="3"/>
      <c r="R723" s="3"/>
      <c r="S723" s="17"/>
      <c r="T723" s="18"/>
      <c r="U723"/>
      <c r="V723"/>
      <c r="W723"/>
      <c r="X723"/>
      <c r="Y723"/>
      <c r="Z723"/>
      <c r="AA723"/>
    </row>
    <row r="724" ht="12" customHeight="1" spans="1:20">
      <c r="A724" s="35"/>
      <c r="B724" t="n" s="17">
        <f>70000000+F724*10000+H724*1000+I724*100+J724</f>
        <v>70445302</v>
      </c>
      <c r="C724" t="str" s="38">
        <v>涓台窦-怪物8</v>
      </c>
      <c r="D724" s="3"/>
      <c r="E724" t="str" s="3">
        <f>F724&amp;(VLOOKUP(G724,编号表!$E$1:$G$8,2,0))&amp;H724&amp;"_"&amp;I724&amp;"_"&amp;J724</f>
        <v>44N5_3_2</v>
      </c>
      <c r="F724" t="n" s="3">
        <v>44</v>
      </c>
      <c r="G724" t="str" s="3">
        <v>怪物</v>
      </c>
      <c r="H724" t="n" s="3">
        <v>5</v>
      </c>
      <c r="I724" t="n" s="3">
        <v>3</v>
      </c>
      <c r="J724" t="n" s="3">
        <v>2</v>
      </c>
      <c r="K724" s="3"/>
      <c r="L724" s="3"/>
      <c r="M724" s="3"/>
      <c r="N724" s="3"/>
      <c r="O724" s="3"/>
      <c r="P724" s="3"/>
      <c r="Q724" s="3"/>
      <c r="R724" s="3"/>
      <c r="S724" s="17"/>
      <c r="T724" s="18"/>
      <c r="U724"/>
      <c r="V724"/>
      <c r="W724"/>
      <c r="X724"/>
      <c r="Y724"/>
      <c r="Z724"/>
      <c r="AA724"/>
    </row>
    <row r="725" ht="12" customHeight="1" spans="1:20">
      <c r="A725" s="35"/>
      <c r="B725" t="n" s="17">
        <f>70000000+F725*10000+H725*1000+I725*100+J725</f>
        <v>70445303</v>
      </c>
      <c r="C725" t="str" s="38">
        <v>涓台窦-怪物9</v>
      </c>
      <c r="D725" s="3"/>
      <c r="E725" t="str" s="3">
        <f>F725&amp;(VLOOKUP(G725,编号表!$E$1:$G$8,2,0))&amp;H725&amp;"_"&amp;I725&amp;"_"&amp;J725</f>
        <v>44N5_3_3</v>
      </c>
      <c r="F725" t="n" s="3">
        <v>44</v>
      </c>
      <c r="G725" t="str" s="3">
        <v>怪物</v>
      </c>
      <c r="H725" t="n" s="3">
        <v>5</v>
      </c>
      <c r="I725" t="n" s="3">
        <v>3</v>
      </c>
      <c r="J725" t="n" s="3">
        <v>3</v>
      </c>
      <c r="K725" s="3"/>
      <c r="L725" s="3"/>
      <c r="M725" s="3"/>
      <c r="N725" s="3"/>
      <c r="O725" s="3"/>
      <c r="P725" s="3"/>
      <c r="Q725" s="3"/>
      <c r="R725" s="3"/>
      <c r="S725" s="17"/>
      <c r="T725" s="18"/>
      <c r="U725"/>
      <c r="V725"/>
      <c r="W725"/>
      <c r="X725"/>
      <c r="Y725"/>
      <c r="Z725"/>
      <c r="AA725"/>
    </row>
    <row r="726" ht="15" spans="1:20">
      <c r="A726" s="35"/>
      <c r="B726" t="n" s="17">
        <f>70000000+F726*10000+H726*1000+I726*100+J726</f>
        <v>70445001</v>
      </c>
      <c r="C726" t="str" s="39">
        <v>涓台窦-镜头</v>
      </c>
      <c r="D726" s="3"/>
      <c r="E726" t="str" s="3">
        <f>F726&amp;(VLOOKUP(G726,编号表!$E$1:$G$8,2,0))&amp;H726&amp;"_"&amp;I726&amp;"_"&amp;J726</f>
        <v>44J5_0_1</v>
      </c>
      <c r="F726" t="n" s="3">
        <v>44</v>
      </c>
      <c r="G726" t="str" s="3">
        <v>镜头</v>
      </c>
      <c r="H726" t="n" s="3">
        <v>5</v>
      </c>
      <c r="I726" t="n" s="3">
        <v>0</v>
      </c>
      <c r="J726" t="n" s="3">
        <v>1</v>
      </c>
      <c r="K726" t="n" s="3">
        <v>1</v>
      </c>
      <c r="L726" s="3"/>
      <c r="M726" s="3"/>
      <c r="N726" s="3"/>
      <c r="O726" s="3"/>
      <c r="P726" s="3"/>
      <c r="Q726" s="3"/>
      <c r="R726" s="3"/>
      <c r="S726" s="17"/>
      <c r="T726" s="18"/>
      <c r="U726"/>
      <c r="V726"/>
      <c r="W726"/>
      <c r="X726"/>
      <c r="Y726"/>
      <c r="Z726"/>
      <c r="AA726"/>
    </row>
    <row r="727" ht="15" spans="1:20">
      <c r="A727" s="35"/>
      <c r="B727" t="n" s="17">
        <f>70000000+F727*10000+H727*1000+I727*100+J727</f>
        <v>70441001</v>
      </c>
      <c r="C727" t="str" s="37">
        <v>涓台窦-传送</v>
      </c>
      <c r="D727" s="3"/>
      <c r="E727" t="str" s="3">
        <f>F727&amp;(VLOOKUP(G727,编号表!$E$1:$G$8,2,0))&amp;H727&amp;"_"&amp;I727&amp;"_"&amp;J727</f>
        <v>44T1_0_1</v>
      </c>
      <c r="F727" t="n" s="3">
        <v>44</v>
      </c>
      <c r="G727" t="str" s="3">
        <v>传送</v>
      </c>
      <c r="H727" t="n" s="3">
        <v>1</v>
      </c>
      <c r="I727" t="n" s="3">
        <v>0</v>
      </c>
      <c r="J727" t="n" s="3">
        <v>1</v>
      </c>
      <c r="K727" s="3"/>
      <c r="L727" t="n" s="3">
        <v>1</v>
      </c>
      <c r="M727" s="3"/>
      <c r="N727" s="3"/>
      <c r="O727" s="3"/>
      <c r="P727" s="3"/>
      <c r="Q727" s="3"/>
      <c r="R727" t="n" s="3">
        <v>70431002</v>
      </c>
      <c r="S727" s="17"/>
      <c r="T727" s="18"/>
      <c r="U727"/>
      <c r="V727"/>
      <c r="W727"/>
      <c r="X727"/>
      <c r="Y727"/>
      <c r="Z727"/>
      <c r="AA727"/>
    </row>
    <row r="728" ht="15" spans="1:20">
      <c r="A728" s="35"/>
      <c r="B728" t="n" s="17">
        <f>70000000+F728*10000+H728*1000+I728*100+J728</f>
        <v>70441002</v>
      </c>
      <c r="C728" t="str" s="37">
        <v>涓台窦-传送</v>
      </c>
      <c r="D728" s="3"/>
      <c r="E728" t="str" s="3">
        <f>F728&amp;(VLOOKUP(G728,编号表!$E$1:$G$8,2,0))&amp;H728&amp;"_"&amp;I728&amp;"_"&amp;J728</f>
        <v>44T1_0_2</v>
      </c>
      <c r="F728" t="n" s="3">
        <v>44</v>
      </c>
      <c r="G728" t="str" s="3">
        <v>传送</v>
      </c>
      <c r="H728" t="n" s="3">
        <v>1</v>
      </c>
      <c r="I728" t="n" s="3">
        <v>0</v>
      </c>
      <c r="J728" t="n" s="3">
        <v>2</v>
      </c>
      <c r="K728" s="3"/>
      <c r="L728" t="n" s="3">
        <v>1</v>
      </c>
      <c r="M728" s="3"/>
      <c r="N728" s="3"/>
      <c r="O728" s="3"/>
      <c r="P728" s="3"/>
      <c r="Q728" s="3"/>
      <c r="R728" t="n" s="3">
        <v>70451001</v>
      </c>
      <c r="S728" s="17"/>
      <c r="T728" s="18"/>
      <c r="U728"/>
      <c r="V728"/>
      <c r="W728"/>
      <c r="X728"/>
      <c r="Y728"/>
      <c r="Z728"/>
      <c r="AA728"/>
    </row>
    <row r="729" ht="15" spans="1:20">
      <c r="A729" s="35"/>
      <c r="B729" t="n" s="17">
        <f>70000000+F729*10000+H729*1000+I729*100+J729</f>
        <v>70442001</v>
      </c>
      <c r="C729" t="str" s="37">
        <v>涓台窦-小地图</v>
      </c>
      <c r="D729" s="3"/>
      <c r="E729" t="str" s="3">
        <f>F729&amp;(VLOOKUP(G729,编号表!$E$1:$G$8,2,0))&amp;H729&amp;"_"&amp;I729&amp;"_"&amp;J729</f>
        <v>44D2_0_1</v>
      </c>
      <c r="F729" t="n" s="3">
        <v>44</v>
      </c>
      <c r="G729" t="str" s="3">
        <v>小地图</v>
      </c>
      <c r="H729" t="n" s="3">
        <v>2</v>
      </c>
      <c r="I729" t="n" s="3">
        <v>0</v>
      </c>
      <c r="J729" t="n" s="3">
        <v>1</v>
      </c>
      <c r="K729" s="3"/>
      <c r="L729" s="3"/>
      <c r="M729" t="n" s="3">
        <v>1</v>
      </c>
      <c r="N729" s="3"/>
      <c r="O729" s="3"/>
      <c r="P729" s="3"/>
      <c r="Q729" s="3"/>
      <c r="R729" s="3"/>
      <c r="S729" s="17"/>
      <c r="T729" s="18"/>
      <c r="U729"/>
      <c r="V729"/>
      <c r="W729"/>
      <c r="X729"/>
      <c r="Y729"/>
      <c r="Z729"/>
      <c r="AA729"/>
    </row>
    <row r="730" ht="12" customHeight="1" spans="1:20">
      <c r="A730" s="35"/>
      <c r="B730" t="n" s="17">
        <f>70000000+F730*10000+H730*1000+I730*100+J730</f>
        <v>70455101</v>
      </c>
      <c r="C730" t="str" s="38">
        <v>孔收暮影-怪物1</v>
      </c>
      <c r="D730" s="3"/>
      <c r="E730" t="str" s="3">
        <f>F730&amp;(VLOOKUP(G730,编号表!$E$1:$G$8,2,0))&amp;H730&amp;"_"&amp;I730&amp;"_"&amp;J730</f>
        <v>45N5_1_1</v>
      </c>
      <c r="F730" t="n" s="3">
        <v>45</v>
      </c>
      <c r="G730" t="str" s="3">
        <v>怪物</v>
      </c>
      <c r="H730" t="n" s="3">
        <v>5</v>
      </c>
      <c r="I730" t="n" s="3">
        <v>1</v>
      </c>
      <c r="J730" t="n" s="3">
        <v>1</v>
      </c>
      <c r="K730" s="3"/>
      <c r="L730" s="3"/>
      <c r="M730" s="3"/>
      <c r="N730" s="3"/>
      <c r="O730" s="3"/>
      <c r="P730" s="3"/>
      <c r="Q730" s="3"/>
      <c r="R730" s="3"/>
      <c r="S730" t="str" s="17">
        <v>本轮完整刷新挂接；有效坐标注入后验证</v>
      </c>
      <c r="T730" t="n" s="18">
        <v>1057304</v>
      </c>
      <c r="U730"/>
      <c r="V730"/>
      <c r="W730"/>
      <c r="X730"/>
      <c r="Y730"/>
      <c r="Z730"/>
      <c r="AA730"/>
    </row>
    <row r="731" ht="12" customHeight="1" spans="1:20">
      <c r="A731" s="35"/>
      <c r="B731" t="n" s="17">
        <f>70000000+F731*10000+H731*1000+I731*100+J731</f>
        <v>70455102</v>
      </c>
      <c r="C731" t="str" s="38">
        <v>孔收暮影-怪物2</v>
      </c>
      <c r="D731" s="3"/>
      <c r="E731" t="str" s="3">
        <f>F731&amp;(VLOOKUP(G731,编号表!$E$1:$G$8,2,0))&amp;H731&amp;"_"&amp;I731&amp;"_"&amp;J731</f>
        <v>45N5_1_2</v>
      </c>
      <c r="F731" t="n" s="3">
        <v>45</v>
      </c>
      <c r="G731" t="str" s="3">
        <v>怪物</v>
      </c>
      <c r="H731" t="n" s="3">
        <v>5</v>
      </c>
      <c r="I731" t="n" s="3">
        <v>1</v>
      </c>
      <c r="J731" t="n" s="3">
        <v>2</v>
      </c>
      <c r="K731" s="3"/>
      <c r="L731" s="3"/>
      <c r="M731" s="3"/>
      <c r="N731" s="3"/>
      <c r="O731" s="3"/>
      <c r="P731" s="3"/>
      <c r="Q731" s="3"/>
      <c r="R731" s="3"/>
      <c r="S731" t="str" s="17">
        <v>本轮完整刷新挂接；有效坐标注入后验证</v>
      </c>
      <c r="T731" t="n" s="18">
        <v>1057404</v>
      </c>
      <c r="U731"/>
      <c r="V731"/>
      <c r="W731"/>
      <c r="X731"/>
      <c r="Y731"/>
      <c r="Z731"/>
      <c r="AA731"/>
    </row>
    <row r="732" ht="12" customHeight="1" spans="1:20">
      <c r="A732" s="35"/>
      <c r="B732" t="n" s="17">
        <f>70000000+F732*10000+H732*1000+I732*100+J732</f>
        <v>70455103</v>
      </c>
      <c r="C732" t="str" s="38">
        <v>孔收暮影-怪物3</v>
      </c>
      <c r="D732" s="3"/>
      <c r="E732" t="str" s="3">
        <f>F732&amp;(VLOOKUP(G732,编号表!$E$1:$G$8,2,0))&amp;H732&amp;"_"&amp;I732&amp;"_"&amp;J732</f>
        <v>45N5_1_3</v>
      </c>
      <c r="F732" t="n" s="3">
        <v>45</v>
      </c>
      <c r="G732" t="str" s="3">
        <v>怪物</v>
      </c>
      <c r="H732" t="n" s="3">
        <v>5</v>
      </c>
      <c r="I732" t="n" s="3">
        <v>1</v>
      </c>
      <c r="J732" t="n" s="3">
        <v>3</v>
      </c>
      <c r="K732" s="3"/>
      <c r="L732" s="3"/>
      <c r="M732" s="3"/>
      <c r="N732" s="3"/>
      <c r="O732" s="3"/>
      <c r="P732" s="3"/>
      <c r="Q732" s="3"/>
      <c r="R732" s="3"/>
      <c r="S732" t="str" s="17">
        <v>本轮完整刷新挂接；有效坐标注入后验证</v>
      </c>
      <c r="T732" t="n" s="18">
        <v>1057103</v>
      </c>
      <c r="U732"/>
      <c r="V732"/>
      <c r="W732"/>
      <c r="X732"/>
      <c r="Y732"/>
      <c r="Z732"/>
      <c r="AA732"/>
    </row>
    <row r="733" ht="12" customHeight="1" spans="1:20">
      <c r="A733" s="35"/>
      <c r="B733" t="n" s="17">
        <f>70000000+F733*10000+H733*1000+I733*100+J733</f>
        <v>70455104</v>
      </c>
      <c r="C733" t="str" s="38">
        <v>孔收暮影-怪物4</v>
      </c>
      <c r="D733" s="3"/>
      <c r="E733" t="str" s="3">
        <f>F733&amp;(VLOOKUP(G733,编号表!$E$1:$G$8,2,0))&amp;H733&amp;"_"&amp;I733&amp;"_"&amp;J733</f>
        <v>45N5_1_4</v>
      </c>
      <c r="F733" t="n" s="3">
        <v>45</v>
      </c>
      <c r="G733" t="str" s="3">
        <v>怪物</v>
      </c>
      <c r="H733" t="n" s="3">
        <v>5</v>
      </c>
      <c r="I733" t="n" s="3">
        <v>1</v>
      </c>
      <c r="J733" t="n" s="3">
        <v>4</v>
      </c>
      <c r="K733" s="3"/>
      <c r="L733" s="3"/>
      <c r="M733" s="3"/>
      <c r="N733" s="3"/>
      <c r="O733" s="3"/>
      <c r="P733" s="3"/>
      <c r="Q733" s="3"/>
      <c r="R733" s="3"/>
      <c r="S733" t="str" s="17">
        <v>本轮完整刷新挂接；有效坐标注入后验证</v>
      </c>
      <c r="T733" t="n" s="18">
        <v>1057001</v>
      </c>
      <c r="U733"/>
      <c r="V733"/>
      <c r="W733"/>
      <c r="X733"/>
      <c r="Y733"/>
      <c r="Z733"/>
      <c r="AA733"/>
    </row>
    <row r="734" ht="12" customHeight="1" spans="1:20">
      <c r="A734" s="35"/>
      <c r="B734" t="n" s="17">
        <f>70000000+F734*10000+H734*1000+I734*100+J734</f>
        <v>70455201</v>
      </c>
      <c r="C734" t="str" s="38">
        <v>孔收暮影-怪物5</v>
      </c>
      <c r="D734" s="3"/>
      <c r="E734" t="str" s="3">
        <f>F734&amp;(VLOOKUP(G734,编号表!$E$1:$G$8,2,0))&amp;H734&amp;"_"&amp;I734&amp;"_"&amp;J734</f>
        <v>45N5_2_1</v>
      </c>
      <c r="F734" t="n" s="3">
        <v>45</v>
      </c>
      <c r="G734" t="str" s="3">
        <v>怪物</v>
      </c>
      <c r="H734" t="n" s="3">
        <v>5</v>
      </c>
      <c r="I734" t="n" s="3">
        <v>2</v>
      </c>
      <c r="J734" t="n" s="3">
        <v>1</v>
      </c>
      <c r="K734" s="3"/>
      <c r="L734" s="3"/>
      <c r="M734" s="3"/>
      <c r="N734" s="3"/>
      <c r="O734" s="3"/>
      <c r="P734" s="3"/>
      <c r="Q734" s="3"/>
      <c r="R734" s="3"/>
      <c r="S734" s="17"/>
      <c r="T734" s="18"/>
      <c r="U734"/>
      <c r="V734"/>
      <c r="W734"/>
      <c r="X734"/>
      <c r="Y734"/>
      <c r="Z734"/>
      <c r="AA734"/>
    </row>
    <row r="735" ht="12" customHeight="1" spans="1:20">
      <c r="A735" s="35"/>
      <c r="B735" t="n" s="17">
        <f>70000000+F735*10000+H735*1000+I735*100+J735</f>
        <v>70455202</v>
      </c>
      <c r="C735" t="str" s="38">
        <v>孔收暮影-怪物6</v>
      </c>
      <c r="D735" s="3"/>
      <c r="E735" t="str" s="3">
        <f>F735&amp;(VLOOKUP(G735,编号表!$E$1:$G$8,2,0))&amp;H735&amp;"_"&amp;I735&amp;"_"&amp;J735</f>
        <v>45N5_2_2</v>
      </c>
      <c r="F735" t="n" s="3">
        <v>45</v>
      </c>
      <c r="G735" t="str" s="3">
        <v>怪物</v>
      </c>
      <c r="H735" t="n" s="3">
        <v>5</v>
      </c>
      <c r="I735" t="n" s="3">
        <v>2</v>
      </c>
      <c r="J735" t="n" s="3">
        <v>2</v>
      </c>
      <c r="K735" s="3"/>
      <c r="L735" s="3"/>
      <c r="M735" s="3"/>
      <c r="N735" s="3"/>
      <c r="O735" s="3"/>
      <c r="P735" s="3"/>
      <c r="Q735" s="3"/>
      <c r="R735" s="3"/>
      <c r="S735" s="17"/>
      <c r="T735" s="18"/>
      <c r="U735"/>
      <c r="V735"/>
      <c r="W735"/>
      <c r="X735"/>
      <c r="Y735"/>
      <c r="Z735"/>
      <c r="AA735"/>
    </row>
    <row r="736" ht="12" customHeight="1" spans="1:20">
      <c r="A736" s="35"/>
      <c r="B736" t="n" s="17">
        <f>70000000+F736*10000+H736*1000+I736*100+J736</f>
        <v>70455203</v>
      </c>
      <c r="C736" t="str" s="38">
        <v>孔收暮影-怪物7</v>
      </c>
      <c r="D736" s="3"/>
      <c r="E736" t="str" s="3">
        <f>F736&amp;(VLOOKUP(G736,编号表!$E$1:$G$8,2,0))&amp;H736&amp;"_"&amp;I736&amp;"_"&amp;J736</f>
        <v>45N5_2_3</v>
      </c>
      <c r="F736" t="n" s="3">
        <v>45</v>
      </c>
      <c r="G736" t="str" s="3">
        <v>怪物</v>
      </c>
      <c r="H736" t="n" s="3">
        <v>5</v>
      </c>
      <c r="I736" t="n" s="3">
        <v>2</v>
      </c>
      <c r="J736" t="n" s="3">
        <v>3</v>
      </c>
      <c r="K736" s="3"/>
      <c r="L736" s="3"/>
      <c r="M736" s="3"/>
      <c r="N736" s="3"/>
      <c r="O736" s="3"/>
      <c r="P736" s="3"/>
      <c r="Q736" s="3"/>
      <c r="R736" s="3"/>
      <c r="S736" s="17"/>
      <c r="T736" s="18"/>
      <c r="U736"/>
      <c r="V736"/>
      <c r="W736"/>
      <c r="X736"/>
      <c r="Y736"/>
      <c r="Z736"/>
      <c r="AA736"/>
    </row>
    <row r="737" ht="12" customHeight="1" spans="1:20">
      <c r="A737" s="35"/>
      <c r="B737" t="n" s="17">
        <f>70000000+F737*10000+H737*1000+I737*100+J737</f>
        <v>70455204</v>
      </c>
      <c r="C737" t="str" s="38">
        <v>孔收暮影-怪物8</v>
      </c>
      <c r="D737" s="3"/>
      <c r="E737" t="str" s="3">
        <f>F737&amp;(VLOOKUP(G737,编号表!$E$1:$G$8,2,0))&amp;H737&amp;"_"&amp;I737&amp;"_"&amp;J737</f>
        <v>45N5_2_4</v>
      </c>
      <c r="F737" t="n" s="3">
        <v>45</v>
      </c>
      <c r="G737" t="str" s="3">
        <v>怪物</v>
      </c>
      <c r="H737" t="n" s="3">
        <v>5</v>
      </c>
      <c r="I737" t="n" s="3">
        <v>2</v>
      </c>
      <c r="J737" t="n" s="3">
        <v>4</v>
      </c>
      <c r="K737" s="3"/>
      <c r="L737" s="3"/>
      <c r="M737" s="3"/>
      <c r="N737" s="3"/>
      <c r="O737" s="3"/>
      <c r="P737" s="3"/>
      <c r="Q737" s="3"/>
      <c r="R737" s="3"/>
      <c r="S737" s="17"/>
      <c r="T737" s="18"/>
      <c r="U737"/>
      <c r="V737"/>
      <c r="W737"/>
      <c r="X737"/>
      <c r="Y737"/>
      <c r="Z737"/>
      <c r="AA737"/>
    </row>
    <row r="738" ht="12" customHeight="1" spans="1:20">
      <c r="A738" s="35"/>
      <c r="B738" t="n" s="17">
        <f>70000000+F738*10000+H738*1000+I738*100+J738</f>
        <v>70455301</v>
      </c>
      <c r="C738" t="str" s="38">
        <v>孔收暮影-怪物9</v>
      </c>
      <c r="D738" s="3"/>
      <c r="E738" t="str" s="3">
        <f>F738&amp;(VLOOKUP(G738,编号表!$E$1:$G$8,2,0))&amp;H738&amp;"_"&amp;I738&amp;"_"&amp;J738</f>
        <v>45N5_3_1</v>
      </c>
      <c r="F738" t="n" s="3">
        <v>45</v>
      </c>
      <c r="G738" t="str" s="3">
        <v>怪物</v>
      </c>
      <c r="H738" t="n" s="3">
        <v>5</v>
      </c>
      <c r="I738" t="n" s="3">
        <v>3</v>
      </c>
      <c r="J738" t="n" s="3">
        <v>1</v>
      </c>
      <c r="K738" s="3"/>
      <c r="L738" s="3"/>
      <c r="M738" s="3"/>
      <c r="N738" s="3"/>
      <c r="O738" s="3"/>
      <c r="P738" s="3"/>
      <c r="Q738" s="3"/>
      <c r="R738" s="3"/>
      <c r="S738" s="17"/>
      <c r="T738" s="18"/>
      <c r="U738"/>
      <c r="V738"/>
      <c r="W738"/>
      <c r="X738"/>
      <c r="Y738"/>
      <c r="Z738"/>
      <c r="AA738"/>
    </row>
    <row r="739" ht="12" customHeight="1" spans="1:20">
      <c r="A739" s="35"/>
      <c r="B739" t="n" s="17">
        <f>70000000+F739*10000+H739*1000+I739*100+J739</f>
        <v>70455302</v>
      </c>
      <c r="C739" t="str" s="38">
        <v>孔收暮影-怪物10</v>
      </c>
      <c r="D739" s="3"/>
      <c r="E739" t="str" s="3">
        <f>F739&amp;(VLOOKUP(G739,编号表!$E$1:$G$8,2,0))&amp;H739&amp;"_"&amp;I739&amp;"_"&amp;J739</f>
        <v>45N5_3_2</v>
      </c>
      <c r="F739" t="n" s="3">
        <v>45</v>
      </c>
      <c r="G739" t="str" s="3">
        <v>怪物</v>
      </c>
      <c r="H739" t="n" s="3">
        <v>5</v>
      </c>
      <c r="I739" t="n" s="3">
        <v>3</v>
      </c>
      <c r="J739" t="n" s="3">
        <v>2</v>
      </c>
      <c r="K739" s="3"/>
      <c r="L739" s="3"/>
      <c r="M739" s="3"/>
      <c r="N739" s="3"/>
      <c r="O739" s="3"/>
      <c r="P739" s="3"/>
      <c r="Q739" s="3"/>
      <c r="R739" s="3"/>
      <c r="S739" s="17"/>
      <c r="T739" s="18"/>
      <c r="U739"/>
      <c r="V739"/>
      <c r="W739"/>
      <c r="X739"/>
      <c r="Y739"/>
      <c r="Z739"/>
      <c r="AA739"/>
    </row>
    <row r="740" ht="12" customHeight="1" spans="1:20">
      <c r="A740" s="35"/>
      <c r="B740" t="n" s="17">
        <f>70000000+F740*10000+H740*1000+I740*100+J740</f>
        <v>70455303</v>
      </c>
      <c r="C740" t="str" s="38">
        <v>孔收暮影-怪物11</v>
      </c>
      <c r="D740" s="3"/>
      <c r="E740" t="str" s="3">
        <f>F740&amp;(VLOOKUP(G740,编号表!$E$1:$G$8,2,0))&amp;H740&amp;"_"&amp;I740&amp;"_"&amp;J740</f>
        <v>45N5_3_3</v>
      </c>
      <c r="F740" t="n" s="3">
        <v>45</v>
      </c>
      <c r="G740" t="str" s="3">
        <v>怪物</v>
      </c>
      <c r="H740" t="n" s="3">
        <v>5</v>
      </c>
      <c r="I740" t="n" s="3">
        <v>3</v>
      </c>
      <c r="J740" t="n" s="3">
        <v>3</v>
      </c>
      <c r="K740" s="3"/>
      <c r="L740" s="3"/>
      <c r="M740" s="3"/>
      <c r="N740" s="3"/>
      <c r="O740" s="3"/>
      <c r="P740" s="3"/>
      <c r="Q740" s="3"/>
      <c r="R740" s="3"/>
      <c r="S740" s="17"/>
      <c r="T740" s="18"/>
      <c r="U740"/>
      <c r="V740"/>
      <c r="W740"/>
      <c r="X740"/>
      <c r="Y740"/>
      <c r="Z740"/>
      <c r="AA740"/>
    </row>
    <row r="741" ht="15" spans="1:20">
      <c r="A741" s="35"/>
      <c r="B741" t="n" s="17">
        <f>70000000+F741*10000+H741*1000+I741*100+J741</f>
        <v>70455001</v>
      </c>
      <c r="C741" t="str" s="39">
        <v>孔收暮影-镜头</v>
      </c>
      <c r="D741" s="3"/>
      <c r="E741" t="str" s="3">
        <f>F741&amp;(VLOOKUP(G741,编号表!$E$1:$G$8,2,0))&amp;H741&amp;"_"&amp;I741&amp;"_"&amp;J741</f>
        <v>45J5_0_1</v>
      </c>
      <c r="F741" t="n" s="3">
        <v>45</v>
      </c>
      <c r="G741" t="str" s="3">
        <v>镜头</v>
      </c>
      <c r="H741" t="n" s="3">
        <v>5</v>
      </c>
      <c r="I741" t="n" s="3">
        <v>0</v>
      </c>
      <c r="J741" t="n" s="3">
        <v>1</v>
      </c>
      <c r="K741" t="n" s="3">
        <v>1</v>
      </c>
      <c r="L741" s="3"/>
      <c r="M741" s="3"/>
      <c r="N741" s="3"/>
      <c r="O741" s="3"/>
      <c r="P741" s="3"/>
      <c r="Q741" s="3"/>
      <c r="R741" s="3"/>
      <c r="S741" s="17"/>
      <c r="T741" s="18"/>
      <c r="U741"/>
      <c r="V741"/>
      <c r="W741"/>
      <c r="X741"/>
      <c r="Y741"/>
      <c r="Z741"/>
      <c r="AA741"/>
    </row>
    <row r="742" ht="15" spans="1:20">
      <c r="A742" s="35"/>
      <c r="B742" t="n" s="17">
        <f>70000000+F742*10000+H742*1000+I742*100+J742</f>
        <v>70451001</v>
      </c>
      <c r="C742" t="str" s="37">
        <v>孔收暮影-传送</v>
      </c>
      <c r="D742" s="3"/>
      <c r="E742" t="str" s="3">
        <f>F742&amp;(VLOOKUP(G742,编号表!$E$1:$G$8,2,0))&amp;H742&amp;"_"&amp;I742&amp;"_"&amp;J742</f>
        <v>45T1_0_1</v>
      </c>
      <c r="F742" t="n" s="3">
        <v>45</v>
      </c>
      <c r="G742" t="str" s="3">
        <v>传送</v>
      </c>
      <c r="H742" t="n" s="3">
        <v>1</v>
      </c>
      <c r="I742" t="n" s="3">
        <v>0</v>
      </c>
      <c r="J742" t="n" s="3">
        <v>1</v>
      </c>
      <c r="K742" s="3"/>
      <c r="L742" t="n" s="3">
        <v>1</v>
      </c>
      <c r="M742" s="3"/>
      <c r="N742" s="3"/>
      <c r="O742" s="3"/>
      <c r="P742" s="3"/>
      <c r="Q742" s="3"/>
      <c r="R742" t="n" s="3">
        <v>70441002</v>
      </c>
      <c r="S742" s="17"/>
      <c r="T742" s="18"/>
      <c r="U742"/>
      <c r="V742"/>
      <c r="W742"/>
      <c r="X742"/>
      <c r="Y742"/>
      <c r="Z742"/>
      <c r="AA742"/>
    </row>
    <row r="743" ht="15" spans="1:20">
      <c r="A743" s="35"/>
      <c r="B743" t="n" s="17">
        <f>70000000+F743*10000+H743*1000+I743*100+J743</f>
        <v>70451002</v>
      </c>
      <c r="C743" t="str" s="37">
        <v>孔收暮影-传送</v>
      </c>
      <c r="D743" s="3"/>
      <c r="E743" t="str" s="3">
        <f>F743&amp;(VLOOKUP(G743,编号表!$E$1:$G$8,2,0))&amp;H743&amp;"_"&amp;I743&amp;"_"&amp;J743</f>
        <v>45T1_0_2</v>
      </c>
      <c r="F743" t="n" s="3">
        <v>45</v>
      </c>
      <c r="G743" t="str" s="3">
        <v>传送</v>
      </c>
      <c r="H743" t="n" s="3">
        <v>1</v>
      </c>
      <c r="I743" t="n" s="3">
        <v>0</v>
      </c>
      <c r="J743" t="n" s="3">
        <v>2</v>
      </c>
      <c r="K743" s="3"/>
      <c r="L743" t="n" s="3">
        <v>1</v>
      </c>
      <c r="M743" s="3"/>
      <c r="N743" s="3"/>
      <c r="O743" s="3"/>
      <c r="P743" s="3"/>
      <c r="Q743" s="3"/>
      <c r="R743" t="n" s="3">
        <v>70461001</v>
      </c>
      <c r="S743" s="17"/>
      <c r="T743" s="18"/>
      <c r="U743"/>
      <c r="V743"/>
      <c r="W743"/>
      <c r="X743"/>
      <c r="Y743"/>
      <c r="Z743"/>
      <c r="AA743"/>
    </row>
    <row r="744" ht="15" spans="1:20">
      <c r="A744" s="35"/>
      <c r="B744" t="n" s="17">
        <f>70000000+F744*10000+H744*1000+I744*100+J744</f>
        <v>70452001</v>
      </c>
      <c r="C744" t="str" s="37">
        <v>孔收暮影-小地图</v>
      </c>
      <c r="D744" s="3"/>
      <c r="E744" t="str" s="3">
        <f>F744&amp;(VLOOKUP(G744,编号表!$E$1:$G$8,2,0))&amp;H744&amp;"_"&amp;I744&amp;"_"&amp;J744</f>
        <v>45D2_0_1</v>
      </c>
      <c r="F744" t="n" s="3">
        <v>45</v>
      </c>
      <c r="G744" t="str" s="3">
        <v>小地图</v>
      </c>
      <c r="H744" t="n" s="3">
        <v>2</v>
      </c>
      <c r="I744" t="n" s="3">
        <v>0</v>
      </c>
      <c r="J744" t="n" s="3">
        <v>1</v>
      </c>
      <c r="K744" s="3"/>
      <c r="L744" s="3"/>
      <c r="M744" t="n" s="3">
        <v>1</v>
      </c>
      <c r="N744" s="3"/>
      <c r="O744" s="3"/>
      <c r="P744" s="3"/>
      <c r="Q744" s="3"/>
      <c r="R744" s="3"/>
      <c r="S744" s="17"/>
      <c r="T744" s="18"/>
      <c r="U744"/>
      <c r="V744"/>
      <c r="W744"/>
      <c r="X744"/>
      <c r="Y744"/>
      <c r="Z744"/>
      <c r="AA744"/>
    </row>
    <row r="745" s="17" customFormat="1" ht="15" spans="1:20">
      <c r="A745" s="35"/>
      <c r="B745" t="n" s="17">
        <f>70000000+F745*10000+H745*1000+I745*100+J745</f>
        <v>70465101</v>
      </c>
      <c r="C745" t="str" s="40">
        <v>雾黯岩-怪物1</v>
      </c>
      <c r="D745" s="3"/>
      <c r="E745" t="str" s="3">
        <f>F745&amp;(VLOOKUP(G745,编号表!$E$1:$G$8,2,0))&amp;H745&amp;"_"&amp;I745&amp;"_"&amp;J745</f>
        <v>46N5_1_1</v>
      </c>
      <c r="F745" t="n" s="3">
        <v>46</v>
      </c>
      <c r="G745" t="str" s="3">
        <v>怪物</v>
      </c>
      <c r="H745" t="n" s="3">
        <v>5</v>
      </c>
      <c r="I745" t="n" s="3">
        <v>1</v>
      </c>
      <c r="J745" t="n" s="3">
        <v>1</v>
      </c>
      <c r="K745" s="3"/>
      <c r="L745" s="3"/>
      <c r="M745" s="3"/>
      <c r="N745" s="3"/>
      <c r="O745" s="3"/>
      <c r="P745" s="3"/>
      <c r="Q745" s="3"/>
      <c r="R745" s="3"/>
      <c r="S745" t="str" s="17">
        <v>本轮完整刷新挂接；有效坐标注入后验证</v>
      </c>
      <c r="T745" t="n" s="18">
        <v>1058304</v>
      </c>
      <c r="U745"/>
      <c r="V745"/>
      <c r="W745"/>
      <c r="X745"/>
      <c r="Y745"/>
      <c r="Z745"/>
      <c r="AA745"/>
    </row>
    <row r="746" s="17" customFormat="1" ht="15" spans="1:20">
      <c r="A746" s="35"/>
      <c r="B746" t="n" s="17">
        <f>70000000+F746*10000+H746*1000+I746*100+J746</f>
        <v>70465102</v>
      </c>
      <c r="C746" t="str" s="40">
        <v>雾黯岩-怪物2</v>
      </c>
      <c r="D746" s="3"/>
      <c r="E746" t="str" s="3">
        <f>F746&amp;(VLOOKUP(G746,编号表!$E$1:$G$8,2,0))&amp;H746&amp;"_"&amp;I746&amp;"_"&amp;J746</f>
        <v>46N5_1_2</v>
      </c>
      <c r="F746" t="n" s="3">
        <v>46</v>
      </c>
      <c r="G746" t="str" s="3">
        <v>怪物</v>
      </c>
      <c r="H746" t="n" s="3">
        <v>5</v>
      </c>
      <c r="I746" t="n" s="3">
        <v>1</v>
      </c>
      <c r="J746" t="n" s="3">
        <v>2</v>
      </c>
      <c r="K746" s="3"/>
      <c r="L746" s="3"/>
      <c r="M746" s="3"/>
      <c r="N746" s="3"/>
      <c r="O746" s="3"/>
      <c r="P746" s="3"/>
      <c r="Q746" s="3"/>
      <c r="R746" s="3"/>
      <c r="S746" t="str" s="17">
        <v>本轮完整刷新挂接；有效坐标注入后验证</v>
      </c>
      <c r="T746" t="n" s="18">
        <v>1058102</v>
      </c>
      <c r="U746"/>
      <c r="V746"/>
      <c r="W746"/>
      <c r="X746"/>
      <c r="Y746"/>
      <c r="Z746"/>
      <c r="AA746"/>
    </row>
    <row r="747" s="17" customFormat="1" ht="15" spans="1:20">
      <c r="A747" s="35"/>
      <c r="B747" t="n" s="17">
        <f>70000000+F747*10000+H747*1000+I747*100+J747</f>
        <v>70465201</v>
      </c>
      <c r="C747" t="str" s="40">
        <v>雾黯岩-怪物3</v>
      </c>
      <c r="D747" s="3"/>
      <c r="E747" t="str" s="3">
        <f>F747&amp;(VLOOKUP(G747,编号表!$E$1:$G$8,2,0))&amp;H747&amp;"_"&amp;I747&amp;"_"&amp;J747</f>
        <v>46N5_2_1</v>
      </c>
      <c r="F747" t="n" s="3">
        <v>46</v>
      </c>
      <c r="G747" t="str" s="3">
        <v>怪物</v>
      </c>
      <c r="H747" t="n" s="3">
        <v>5</v>
      </c>
      <c r="I747" t="n" s="3">
        <v>2</v>
      </c>
      <c r="J747" t="n" s="3">
        <v>1</v>
      </c>
      <c r="K747" s="3"/>
      <c r="L747" s="3"/>
      <c r="M747" s="3"/>
      <c r="N747" s="3"/>
      <c r="O747" s="3"/>
      <c r="P747" s="3"/>
      <c r="Q747" s="3"/>
      <c r="R747" s="3"/>
      <c r="S747" t="str" s="17">
        <v>本轮完整刷新挂接；有效坐标注入后验证</v>
      </c>
      <c r="T747" t="n" s="18">
        <v>1058001</v>
      </c>
      <c r="U747"/>
      <c r="V747"/>
      <c r="W747"/>
      <c r="X747"/>
      <c r="Y747"/>
      <c r="Z747"/>
      <c r="AA747"/>
    </row>
    <row r="748" s="17" customFormat="1" ht="15" spans="1:20">
      <c r="A748" s="35"/>
      <c r="B748" t="n" s="17">
        <f>70000000+F748*10000+H748*1000+I748*100+J748</f>
        <v>70465202</v>
      </c>
      <c r="C748" t="str" s="40">
        <v>雾黯岩-怪物4</v>
      </c>
      <c r="D748" s="3"/>
      <c r="E748" t="str" s="3">
        <f>F748&amp;(VLOOKUP(G748,编号表!$E$1:$G$8,2,0))&amp;H748&amp;"_"&amp;I748&amp;"_"&amp;J748</f>
        <v>46N5_2_2</v>
      </c>
      <c r="F748" t="n" s="3">
        <v>46</v>
      </c>
      <c r="G748" t="str" s="3">
        <v>怪物</v>
      </c>
      <c r="H748" t="n" s="3">
        <v>5</v>
      </c>
      <c r="I748" t="n" s="3">
        <v>2</v>
      </c>
      <c r="J748" t="n" s="3">
        <v>2</v>
      </c>
      <c r="K748" s="3"/>
      <c r="L748" s="3"/>
      <c r="M748" s="3"/>
      <c r="N748" s="3"/>
      <c r="O748" s="3"/>
      <c r="P748" s="3"/>
      <c r="Q748" s="3"/>
      <c r="R748" s="3"/>
      <c r="S748" s="17"/>
      <c r="T748" s="18"/>
      <c r="U748"/>
      <c r="V748"/>
      <c r="W748"/>
      <c r="X748"/>
      <c r="Y748"/>
      <c r="Z748"/>
      <c r="AA748"/>
    </row>
    <row r="749" s="17" customFormat="1" ht="15" spans="1:20">
      <c r="A749" s="35"/>
      <c r="B749" t="n" s="17">
        <f>70000000+F749*10000+H749*1000+I749*100+J749</f>
        <v>70465203</v>
      </c>
      <c r="C749" t="str" s="40">
        <v>雾黯岩-怪物5</v>
      </c>
      <c r="D749" s="3"/>
      <c r="E749" t="str" s="3">
        <f>F749&amp;(VLOOKUP(G749,编号表!$E$1:$G$8,2,0))&amp;H749&amp;"_"&amp;I749&amp;"_"&amp;J749</f>
        <v>46N5_2_3</v>
      </c>
      <c r="F749" t="n" s="3">
        <v>46</v>
      </c>
      <c r="G749" t="str" s="3">
        <v>怪物</v>
      </c>
      <c r="H749" t="n" s="3">
        <v>5</v>
      </c>
      <c r="I749" t="n" s="3">
        <v>2</v>
      </c>
      <c r="J749" t="n" s="3">
        <v>3</v>
      </c>
      <c r="K749" s="3"/>
      <c r="L749" s="3"/>
      <c r="M749" s="3"/>
      <c r="N749" s="3"/>
      <c r="O749" s="3"/>
      <c r="P749" s="3"/>
      <c r="Q749" s="3"/>
      <c r="R749" s="3"/>
      <c r="S749" s="17"/>
      <c r="T749" s="18"/>
      <c r="U749"/>
      <c r="V749"/>
      <c r="W749"/>
      <c r="X749"/>
      <c r="Y749"/>
      <c r="Z749"/>
      <c r="AA749"/>
    </row>
    <row r="750" ht="15" spans="1:20">
      <c r="A750" s="35"/>
      <c r="B750" t="n" s="17">
        <f>70000000+F750*10000+H750*1000+I750*100+J750</f>
        <v>70465001</v>
      </c>
      <c r="C750" t="str" s="39">
        <v>雾黯岩-镜头</v>
      </c>
      <c r="D750" s="3"/>
      <c r="E750" t="str" s="3">
        <f>F750&amp;(VLOOKUP(G750,编号表!$E$1:$G$8,2,0))&amp;H750&amp;"_"&amp;I750&amp;"_"&amp;J750</f>
        <v>46J5_0_1</v>
      </c>
      <c r="F750" t="n" s="3">
        <v>46</v>
      </c>
      <c r="G750" t="str" s="3">
        <v>镜头</v>
      </c>
      <c r="H750" t="n" s="3">
        <v>5</v>
      </c>
      <c r="I750" t="n" s="3">
        <v>0</v>
      </c>
      <c r="J750" t="n" s="3">
        <v>1</v>
      </c>
      <c r="K750" t="n" s="3">
        <v>1</v>
      </c>
      <c r="L750" s="3"/>
      <c r="M750" s="3"/>
      <c r="N750" s="3"/>
      <c r="O750" s="3"/>
      <c r="P750" s="3"/>
      <c r="Q750" s="3"/>
      <c r="R750" s="3"/>
      <c r="S750" s="17"/>
      <c r="T750" s="18"/>
      <c r="U750"/>
      <c r="V750"/>
      <c r="W750"/>
      <c r="X750"/>
      <c r="Y750"/>
      <c r="Z750"/>
      <c r="AA750"/>
    </row>
    <row r="751" ht="15" spans="1:20">
      <c r="A751" s="35"/>
      <c r="B751" t="n" s="17">
        <f>70000000+F751*10000+H751*1000+I751*100+J751</f>
        <v>70461001</v>
      </c>
      <c r="C751" t="str" s="37">
        <v>雾黯岩-传送</v>
      </c>
      <c r="D751" s="3"/>
      <c r="E751" t="str" s="3">
        <f>F751&amp;(VLOOKUP(G751,编号表!$E$1:$G$8,2,0))&amp;H751&amp;"_"&amp;I751&amp;"_"&amp;J751</f>
        <v>46T1_0_1</v>
      </c>
      <c r="F751" t="n" s="3">
        <v>46</v>
      </c>
      <c r="G751" t="str" s="3">
        <v>传送</v>
      </c>
      <c r="H751" t="n" s="3">
        <v>1</v>
      </c>
      <c r="I751" t="n" s="3">
        <v>0</v>
      </c>
      <c r="J751" t="n" s="3">
        <v>1</v>
      </c>
      <c r="K751" s="3"/>
      <c r="L751" t="n" s="3">
        <v>1</v>
      </c>
      <c r="M751" s="3"/>
      <c r="N751" s="3"/>
      <c r="O751" s="3"/>
      <c r="P751" s="3"/>
      <c r="Q751" s="3"/>
      <c r="R751" t="n" s="3">
        <v>70451002</v>
      </c>
      <c r="S751" s="17"/>
      <c r="T751" s="18"/>
      <c r="U751"/>
      <c r="V751"/>
      <c r="W751"/>
      <c r="X751"/>
      <c r="Y751"/>
      <c r="Z751"/>
      <c r="AA751"/>
    </row>
    <row r="752" ht="15" spans="1:20">
      <c r="A752" s="35"/>
      <c r="B752" t="n" s="17">
        <f>70000000+F752*10000+H752*1000+I752*100+J752</f>
        <v>70461002</v>
      </c>
      <c r="C752" t="str" s="37">
        <v>雾黯岩-传送</v>
      </c>
      <c r="D752" s="3"/>
      <c r="E752" t="str" s="3">
        <f>F752&amp;(VLOOKUP(G752,编号表!$E$1:$G$8,2,0))&amp;H752&amp;"_"&amp;I752&amp;"_"&amp;J752</f>
        <v>46T1_0_2</v>
      </c>
      <c r="F752" t="n" s="3">
        <v>46</v>
      </c>
      <c r="G752" t="str" s="3">
        <v>传送</v>
      </c>
      <c r="H752" t="n" s="3">
        <v>1</v>
      </c>
      <c r="I752" t="n" s="3">
        <v>0</v>
      </c>
      <c r="J752" t="n" s="3">
        <v>2</v>
      </c>
      <c r="K752" s="3"/>
      <c r="L752" t="n" s="3">
        <v>1</v>
      </c>
      <c r="M752" s="3"/>
      <c r="N752" s="3"/>
      <c r="O752" s="3"/>
      <c r="P752" s="3"/>
      <c r="Q752" s="3"/>
      <c r="R752" t="n" s="3">
        <v>70016204</v>
      </c>
      <c r="S752" s="17"/>
      <c r="T752" s="18"/>
      <c r="U752"/>
      <c r="V752"/>
      <c r="W752"/>
      <c r="X752"/>
      <c r="Y752"/>
      <c r="Z752"/>
      <c r="AA752"/>
    </row>
    <row r="753" ht="15" spans="1:20">
      <c r="A753" s="35"/>
      <c r="B753" t="n" s="17">
        <f>70000000+F753*10000+H753*1000+I753*100+J753</f>
        <v>70462001</v>
      </c>
      <c r="C753" t="str" s="37">
        <v>雾黯岩-小地图</v>
      </c>
      <c r="D753" s="3"/>
      <c r="E753" t="str" s="3">
        <f>F753&amp;(VLOOKUP(G753,编号表!$E$1:$G$8,2,0))&amp;H753&amp;"_"&amp;I753&amp;"_"&amp;J753</f>
        <v>46D2_0_1</v>
      </c>
      <c r="F753" t="n" s="3">
        <v>46</v>
      </c>
      <c r="G753" t="str" s="3">
        <v>小地图</v>
      </c>
      <c r="H753" t="n" s="3">
        <v>2</v>
      </c>
      <c r="I753" t="n" s="3">
        <v>0</v>
      </c>
      <c r="J753" t="n" s="3">
        <v>1</v>
      </c>
      <c r="K753" s="3"/>
      <c r="L753" s="3"/>
      <c r="M753" t="n" s="3">
        <v>1</v>
      </c>
      <c r="N753" s="3"/>
      <c r="O753" s="3"/>
      <c r="P753" s="3"/>
      <c r="Q753" s="3"/>
      <c r="R753" s="3"/>
      <c r="S753" s="17"/>
      <c r="T753" s="18"/>
      <c r="U753"/>
      <c r="V753"/>
      <c r="W753"/>
      <c r="X753"/>
      <c r="Y753"/>
      <c r="Z753"/>
      <c r="AA753"/>
    </row>
    <row r="754" ht="15" spans="1:20">
      <c r="A754" s="35"/>
      <c r="B754" t="n" s="17">
        <f>70000000+F754*10000+H754*1000+I754*100+J754</f>
        <v>70475001</v>
      </c>
      <c r="C754" t="str" s="39">
        <v>风候-镜头</v>
      </c>
      <c r="D754" s="3"/>
      <c r="E754" t="str" s="3">
        <f>F754&amp;(VLOOKUP(G754,编号表!$E$1:$G$8,2,0))&amp;H754&amp;"_"&amp;I754&amp;"_"&amp;J754</f>
        <v>47J5_0_1</v>
      </c>
      <c r="F754" t="n" s="3">
        <v>47</v>
      </c>
      <c r="G754" t="str" s="3">
        <v>镜头</v>
      </c>
      <c r="H754" t="n" s="3">
        <v>5</v>
      </c>
      <c r="I754" t="n" s="3">
        <v>0</v>
      </c>
      <c r="J754" t="n" s="3">
        <v>1</v>
      </c>
      <c r="K754" t="n" s="3">
        <v>1</v>
      </c>
      <c r="L754" s="3"/>
      <c r="M754" s="3"/>
      <c r="N754" s="3"/>
      <c r="O754" s="3"/>
      <c r="P754" s="3"/>
      <c r="Q754" s="3"/>
      <c r="R754" s="3"/>
      <c r="S754" s="17"/>
      <c r="T754" s="18"/>
      <c r="U754"/>
      <c r="V754"/>
      <c r="W754"/>
      <c r="X754"/>
      <c r="Y754"/>
      <c r="Z754"/>
      <c r="AA754"/>
    </row>
    <row r="755" ht="15" spans="1:20">
      <c r="A755" s="35"/>
      <c r="B755" t="n" s="17">
        <f>70000000+F755*10000+H755*1000+I755*100+J755</f>
        <v>70471001</v>
      </c>
      <c r="C755" t="str" s="37">
        <v>风候-传送</v>
      </c>
      <c r="D755" s="3"/>
      <c r="E755" t="str" s="3">
        <f>F755&amp;(VLOOKUP(G755,编号表!$E$1:$G$8,2,0))&amp;H755&amp;"_"&amp;I755&amp;"_"&amp;J755</f>
        <v>47T1_0_1</v>
      </c>
      <c r="F755" t="n" s="3">
        <v>47</v>
      </c>
      <c r="G755" t="str" s="3">
        <v>传送</v>
      </c>
      <c r="H755" t="n" s="3">
        <v>1</v>
      </c>
      <c r="I755" t="n" s="3">
        <v>0</v>
      </c>
      <c r="J755" t="n" s="3">
        <v>1</v>
      </c>
      <c r="K755" s="3"/>
      <c r="L755" t="n" s="3">
        <v>1</v>
      </c>
      <c r="M755" s="3"/>
      <c r="N755" s="3"/>
      <c r="O755" s="3"/>
      <c r="P755" s="3"/>
      <c r="Q755" s="3"/>
      <c r="R755" t="n" s="3">
        <v>70016204</v>
      </c>
      <c r="S755" s="17"/>
      <c r="T755" s="18"/>
      <c r="U755"/>
      <c r="V755"/>
      <c r="W755"/>
      <c r="X755"/>
      <c r="Y755"/>
      <c r="Z755"/>
      <c r="AA755"/>
    </row>
    <row r="756" ht="15" spans="1:20">
      <c r="A756" s="35"/>
      <c r="B756" t="n" s="17">
        <f>70000000+F756*10000+H756*1000+I756*100+J756</f>
        <v>70471002</v>
      </c>
      <c r="C756" t="str" s="37">
        <v>风候-传送</v>
      </c>
      <c r="D756" s="3"/>
      <c r="E756" t="str" s="3">
        <f>F756&amp;(VLOOKUP(G756,编号表!$E$1:$G$8,2,0))&amp;H756&amp;"_"&amp;I756&amp;"_"&amp;J756</f>
        <v>47T1_0_2</v>
      </c>
      <c r="F756" t="n" s="3">
        <v>47</v>
      </c>
      <c r="G756" t="str" s="3">
        <v>传送</v>
      </c>
      <c r="H756" t="n" s="3">
        <v>1</v>
      </c>
      <c r="I756" t="n" s="3">
        <v>0</v>
      </c>
      <c r="J756" t="n" s="3">
        <v>2</v>
      </c>
      <c r="K756" s="3"/>
      <c r="L756" t="n" s="3">
        <v>1</v>
      </c>
      <c r="M756" s="3"/>
      <c r="N756" s="3"/>
      <c r="O756" s="3"/>
      <c r="P756" s="3"/>
      <c r="Q756" s="3"/>
      <c r="R756" t="n" s="3">
        <v>70481001</v>
      </c>
      <c r="S756" s="17"/>
      <c r="T756" s="18"/>
      <c r="U756"/>
      <c r="V756"/>
      <c r="W756"/>
      <c r="X756"/>
      <c r="Y756"/>
      <c r="Z756"/>
      <c r="AA756"/>
    </row>
    <row r="757" ht="15" spans="1:20">
      <c r="A757" s="35"/>
      <c r="B757" t="n" s="17">
        <f>70000000+F757*10000+H757*1000+I757*100+J757</f>
        <v>70472001</v>
      </c>
      <c r="C757" t="str" s="37">
        <v>风候-小地图</v>
      </c>
      <c r="D757" s="3"/>
      <c r="E757" t="str" s="3">
        <f>F757&amp;(VLOOKUP(G757,编号表!$E$1:$G$8,2,0))&amp;H757&amp;"_"&amp;I757&amp;"_"&amp;J757</f>
        <v>47D2_0_1</v>
      </c>
      <c r="F757" t="n" s="3">
        <v>47</v>
      </c>
      <c r="G757" t="str" s="3">
        <v>小地图</v>
      </c>
      <c r="H757" t="n" s="3">
        <v>2</v>
      </c>
      <c r="I757" t="n" s="3">
        <v>0</v>
      </c>
      <c r="J757" t="n" s="3">
        <v>1</v>
      </c>
      <c r="K757" s="3"/>
      <c r="L757" s="3"/>
      <c r="M757" t="n" s="3">
        <v>1</v>
      </c>
      <c r="N757" s="3"/>
      <c r="O757" s="3"/>
      <c r="P757" s="3"/>
      <c r="Q757" s="3"/>
      <c r="R757" s="3"/>
      <c r="S757" s="17"/>
      <c r="T757" s="18"/>
      <c r="U757"/>
      <c r="V757"/>
      <c r="W757"/>
      <c r="X757"/>
      <c r="Y757"/>
      <c r="Z757"/>
      <c r="AA757"/>
    </row>
    <row r="758" s="17" customFormat="1" ht="15" spans="1:20">
      <c r="A758" s="35"/>
      <c r="B758" t="n" s="17">
        <f>70000000+F758*10000+H758*1000+I758*100+J758</f>
        <v>70485101</v>
      </c>
      <c r="C758" t="str" s="40">
        <v>雪檐古兽-怪物1</v>
      </c>
      <c r="D758" s="3"/>
      <c r="E758" t="str" s="3">
        <f>F758&amp;(VLOOKUP(G758,编号表!$E$1:$G$8,2,0))&amp;H758&amp;"_"&amp;I758&amp;"_"&amp;J758</f>
        <v>48N5_1_1</v>
      </c>
      <c r="F758" t="n" s="3">
        <v>48</v>
      </c>
      <c r="G758" t="str" s="3">
        <v>怪物</v>
      </c>
      <c r="H758" t="n" s="3">
        <v>5</v>
      </c>
      <c r="I758" t="n" s="3">
        <v>1</v>
      </c>
      <c r="J758" t="n" s="3">
        <v>1</v>
      </c>
      <c r="K758" s="3"/>
      <c r="L758" s="3"/>
      <c r="M758" s="3"/>
      <c r="N758" s="3"/>
      <c r="O758" s="3"/>
      <c r="P758" s="3"/>
      <c r="Q758" s="3"/>
      <c r="R758" s="3"/>
      <c r="S758" t="str" s="17">
        <v>本轮完整刷新挂接；有效坐标注入后验证</v>
      </c>
      <c r="T758" t="n" s="18">
        <v>1064001</v>
      </c>
      <c r="U758"/>
      <c r="V758"/>
      <c r="W758"/>
      <c r="X758"/>
      <c r="Y758"/>
      <c r="Z758"/>
      <c r="AA758"/>
    </row>
    <row r="759" s="17" customFormat="1" ht="15" spans="1:20">
      <c r="A759" s="35"/>
      <c r="B759" t="n" s="17">
        <f>70000000+F759*10000+H759*1000+I759*100+J759</f>
        <v>70485102</v>
      </c>
      <c r="C759" t="str" s="40">
        <v>雪檐古兽-怪物2</v>
      </c>
      <c r="D759" s="3"/>
      <c r="E759" t="str" s="3">
        <f>F759&amp;(VLOOKUP(G759,编号表!$E$1:$G$8,2,0))&amp;H759&amp;"_"&amp;I759&amp;"_"&amp;J759</f>
        <v>48N5_1_2</v>
      </c>
      <c r="F759" t="n" s="3">
        <v>48</v>
      </c>
      <c r="G759" t="str" s="3">
        <v>怪物</v>
      </c>
      <c r="H759" t="n" s="3">
        <v>5</v>
      </c>
      <c r="I759" t="n" s="3">
        <v>1</v>
      </c>
      <c r="J759" t="n" s="3">
        <v>2</v>
      </c>
      <c r="K759" s="3"/>
      <c r="L759" s="3"/>
      <c r="M759" s="3"/>
      <c r="N759" s="3"/>
      <c r="O759" s="3"/>
      <c r="P759" s="3"/>
      <c r="Q759" s="3"/>
      <c r="R759" s="3"/>
      <c r="S759" t="str" s="17">
        <v>本轮完整刷新挂接；有效坐标注入后验证</v>
      </c>
      <c r="T759" t="n" s="18">
        <v>1064304</v>
      </c>
      <c r="U759"/>
      <c r="V759"/>
      <c r="W759"/>
      <c r="X759"/>
      <c r="Y759"/>
      <c r="Z759"/>
      <c r="AA759"/>
    </row>
    <row r="760" s="17" customFormat="1" ht="15" spans="1:20">
      <c r="A760" s="35"/>
      <c r="B760" t="n" s="17">
        <f>70000000+F760*10000+H760*1000+I760*100+J760</f>
        <v>70485103</v>
      </c>
      <c r="C760" t="str" s="40">
        <v>雪檐古兽-怪物3</v>
      </c>
      <c r="D760" s="3"/>
      <c r="E760" t="str" s="3">
        <f>F760&amp;(VLOOKUP(G760,编号表!$E$1:$G$8,2,0))&amp;H760&amp;"_"&amp;I760&amp;"_"&amp;J760</f>
        <v>48N5_1_3</v>
      </c>
      <c r="F760" t="n" s="3">
        <v>48</v>
      </c>
      <c r="G760" t="str" s="3">
        <v>怪物</v>
      </c>
      <c r="H760" t="n" s="3">
        <v>5</v>
      </c>
      <c r="I760" t="n" s="3">
        <v>1</v>
      </c>
      <c r="J760" t="n" s="3">
        <v>3</v>
      </c>
      <c r="K760" s="3"/>
      <c r="L760" s="3"/>
      <c r="M760" s="3"/>
      <c r="N760" s="3"/>
      <c r="O760" s="3"/>
      <c r="P760" s="3"/>
      <c r="Q760" s="3"/>
      <c r="R760" s="3"/>
      <c r="S760" t="str" s="17">
        <v>本轮完整刷新挂接；有效坐标注入后验证</v>
      </c>
      <c r="T760" t="n" s="18">
        <v>1064103</v>
      </c>
      <c r="U760"/>
      <c r="V760"/>
      <c r="W760"/>
      <c r="X760"/>
      <c r="Y760"/>
      <c r="Z760"/>
      <c r="AA760"/>
    </row>
    <row r="761" s="17" customFormat="1" ht="15" spans="1:20">
      <c r="A761" s="35"/>
      <c r="B761" t="n" s="17">
        <f>70000000+F761*10000+H761*1000+I761*100+J761</f>
        <v>70485201</v>
      </c>
      <c r="C761" t="str" s="40">
        <v>雪檐古兽-怪物4</v>
      </c>
      <c r="D761" s="3"/>
      <c r="E761" t="str" s="3">
        <f>F761&amp;(VLOOKUP(G761,编号表!$E$1:$G$8,2,0))&amp;H761&amp;"_"&amp;I761&amp;"_"&amp;J761</f>
        <v>48N5_2_1</v>
      </c>
      <c r="F761" t="n" s="3">
        <v>48</v>
      </c>
      <c r="G761" t="str" s="3">
        <v>怪物</v>
      </c>
      <c r="H761" t="n" s="3">
        <v>5</v>
      </c>
      <c r="I761" t="n" s="3">
        <v>2</v>
      </c>
      <c r="J761" t="n" s="3">
        <v>1</v>
      </c>
      <c r="K761" s="3"/>
      <c r="L761" s="3"/>
      <c r="M761" s="3"/>
      <c r="N761" s="3"/>
      <c r="O761" s="3"/>
      <c r="P761" s="3"/>
      <c r="Q761" s="3"/>
      <c r="R761" s="3"/>
      <c r="S761" t="str" s="17">
        <v>本轮完整刷新挂接；有效坐标注入后验证</v>
      </c>
      <c r="T761" t="n" s="18">
        <v>1064504</v>
      </c>
      <c r="U761"/>
      <c r="V761"/>
      <c r="W761"/>
      <c r="X761"/>
      <c r="Y761"/>
      <c r="Z761"/>
      <c r="AA761"/>
    </row>
    <row r="762" s="17" customFormat="1" ht="15" spans="1:20">
      <c r="A762" s="35"/>
      <c r="B762" t="n" s="17">
        <f>70000000+F762*10000+H762*1000+I762*100+J762</f>
        <v>70485202</v>
      </c>
      <c r="C762" t="str" s="40">
        <v>雪檐古兽-怪物5</v>
      </c>
      <c r="D762" s="3"/>
      <c r="E762" t="str" s="3">
        <f>F762&amp;(VLOOKUP(G762,编号表!$E$1:$G$8,2,0))&amp;H762&amp;"_"&amp;I762&amp;"_"&amp;J762</f>
        <v>48N5_2_2</v>
      </c>
      <c r="F762" t="n" s="3">
        <v>48</v>
      </c>
      <c r="G762" t="str" s="3">
        <v>怪物</v>
      </c>
      <c r="H762" t="n" s="3">
        <v>5</v>
      </c>
      <c r="I762" t="n" s="3">
        <v>2</v>
      </c>
      <c r="J762" t="n" s="3">
        <v>2</v>
      </c>
      <c r="K762" s="3"/>
      <c r="L762" s="3"/>
      <c r="M762" s="3"/>
      <c r="N762" s="3"/>
      <c r="O762" s="3"/>
      <c r="P762" s="3"/>
      <c r="Q762" s="3"/>
      <c r="R762" s="3"/>
      <c r="S762" t="str" s="17">
        <v>本轮完整刷新挂接；有效坐标注入后验证</v>
      </c>
      <c r="T762" t="n" s="18">
        <v>1064604</v>
      </c>
      <c r="U762"/>
      <c r="V762"/>
      <c r="W762"/>
      <c r="X762"/>
      <c r="Y762"/>
      <c r="Z762"/>
      <c r="AA762"/>
    </row>
    <row r="763" s="17" customFormat="1" ht="15" spans="1:20">
      <c r="A763" s="35"/>
      <c r="B763" t="n" s="17">
        <f>70000000+F763*10000+H763*1000+I763*100+J763</f>
        <v>70485203</v>
      </c>
      <c r="C763" t="str" s="40">
        <v>雪檐古兽-怪物6</v>
      </c>
      <c r="D763" s="3"/>
      <c r="E763" t="str" s="3">
        <f>F763&amp;(VLOOKUP(G763,编号表!$E$1:$G$8,2,0))&amp;H763&amp;"_"&amp;I763&amp;"_"&amp;J763</f>
        <v>48N5_2_3</v>
      </c>
      <c r="F763" t="n" s="3">
        <v>48</v>
      </c>
      <c r="G763" t="str" s="3">
        <v>怪物</v>
      </c>
      <c r="H763" t="n" s="3">
        <v>5</v>
      </c>
      <c r="I763" t="n" s="3">
        <v>2</v>
      </c>
      <c r="J763" t="n" s="3">
        <v>3</v>
      </c>
      <c r="K763" s="3"/>
      <c r="L763" s="3"/>
      <c r="M763" s="3"/>
      <c r="N763" s="3"/>
      <c r="O763" s="3"/>
      <c r="P763" s="3"/>
      <c r="Q763" s="3"/>
      <c r="R763" s="3"/>
      <c r="S763" s="17"/>
      <c r="T763" s="18"/>
      <c r="U763"/>
      <c r="V763"/>
      <c r="W763"/>
      <c r="X763"/>
      <c r="Y763"/>
      <c r="Z763"/>
      <c r="AA763"/>
    </row>
    <row r="764" s="17" customFormat="1" ht="15" spans="1:20">
      <c r="A764" s="35"/>
      <c r="B764" t="n" s="17">
        <f>70000000+F764*10000+H764*1000+I764*100+J764</f>
        <v>70485301</v>
      </c>
      <c r="C764" t="str" s="40">
        <v>雪檐古兽-怪物7</v>
      </c>
      <c r="D764" s="3"/>
      <c r="E764" t="str" s="3">
        <f>F764&amp;(VLOOKUP(G764,编号表!$E$1:$G$8,2,0))&amp;H764&amp;"_"&amp;I764&amp;"_"&amp;J764</f>
        <v>48N5_3_1</v>
      </c>
      <c r="F764" t="n" s="3">
        <v>48</v>
      </c>
      <c r="G764" t="str" s="3">
        <v>怪物</v>
      </c>
      <c r="H764" t="n" s="3">
        <v>5</v>
      </c>
      <c r="I764" t="n" s="3">
        <v>3</v>
      </c>
      <c r="J764" t="n" s="3">
        <v>1</v>
      </c>
      <c r="K764" s="3"/>
      <c r="L764" s="3"/>
      <c r="M764" s="3"/>
      <c r="N764" s="3"/>
      <c r="O764" s="3"/>
      <c r="P764" s="3"/>
      <c r="Q764" s="3"/>
      <c r="R764" s="3"/>
      <c r="S764" s="17"/>
      <c r="T764" s="18"/>
      <c r="U764"/>
      <c r="V764"/>
      <c r="W764"/>
      <c r="X764"/>
      <c r="Y764"/>
      <c r="Z764"/>
      <c r="AA764"/>
    </row>
    <row r="765" s="17" customFormat="1" ht="15" spans="1:20">
      <c r="A765" s="35"/>
      <c r="B765" t="n" s="17">
        <f>70000000+F765*10000+H765*1000+I765*100+J765</f>
        <v>70485302</v>
      </c>
      <c r="C765" t="str" s="40">
        <v>雪檐古兽-怪物8</v>
      </c>
      <c r="D765" s="3"/>
      <c r="E765" t="str" s="3">
        <f>F765&amp;(VLOOKUP(G765,编号表!$E$1:$G$8,2,0))&amp;H765&amp;"_"&amp;I765&amp;"_"&amp;J765</f>
        <v>48N5_3_2</v>
      </c>
      <c r="F765" t="n" s="3">
        <v>48</v>
      </c>
      <c r="G765" t="str" s="3">
        <v>怪物</v>
      </c>
      <c r="H765" t="n" s="3">
        <v>5</v>
      </c>
      <c r="I765" t="n" s="3">
        <v>3</v>
      </c>
      <c r="J765" t="n" s="3">
        <v>2</v>
      </c>
      <c r="K765" s="3"/>
      <c r="L765" s="3"/>
      <c r="M765" s="3"/>
      <c r="N765" s="3"/>
      <c r="O765" s="3"/>
      <c r="P765" s="3"/>
      <c r="Q765" s="3"/>
      <c r="R765" s="3"/>
      <c r="S765" s="17"/>
      <c r="T765" s="18"/>
      <c r="U765"/>
      <c r="V765"/>
      <c r="W765"/>
      <c r="X765"/>
      <c r="Y765"/>
      <c r="Z765"/>
      <c r="AA765"/>
    </row>
    <row r="766" s="17" customFormat="1" ht="15" spans="1:20">
      <c r="A766" s="35"/>
      <c r="B766" t="n" s="17">
        <f>70000000+F766*10000+H766*1000+I766*100+J766</f>
        <v>70485401</v>
      </c>
      <c r="C766" t="str" s="40">
        <v>雪檐古兽-怪物9</v>
      </c>
      <c r="D766" s="3"/>
      <c r="E766" t="str" s="3">
        <f>F766&amp;(VLOOKUP(G766,编号表!$E$1:$G$8,2,0))&amp;H766&amp;"_"&amp;I766&amp;"_"&amp;J766</f>
        <v>48N5_4_1</v>
      </c>
      <c r="F766" t="n" s="3">
        <v>48</v>
      </c>
      <c r="G766" t="str" s="3">
        <v>怪物</v>
      </c>
      <c r="H766" t="n" s="3">
        <v>5</v>
      </c>
      <c r="I766" t="n" s="3">
        <v>4</v>
      </c>
      <c r="J766" t="n" s="3">
        <v>1</v>
      </c>
      <c r="K766" s="3"/>
      <c r="L766" s="3"/>
      <c r="M766" s="3"/>
      <c r="N766" s="3"/>
      <c r="O766" s="3"/>
      <c r="P766" s="3"/>
      <c r="Q766" s="3"/>
      <c r="R766" s="3"/>
      <c r="S766" s="17"/>
      <c r="T766" s="18"/>
      <c r="U766"/>
      <c r="V766"/>
      <c r="W766"/>
      <c r="X766"/>
      <c r="Y766"/>
      <c r="Z766"/>
      <c r="AA766"/>
    </row>
    <row r="767" s="17" customFormat="1" ht="15" spans="1:20">
      <c r="A767" s="35"/>
      <c r="B767" t="n" s="17">
        <f>70000000+F767*10000+H767*1000+I767*100+J767</f>
        <v>70485402</v>
      </c>
      <c r="C767" t="str" s="40">
        <v>雪檐古兽-怪物10</v>
      </c>
      <c r="D767" s="3"/>
      <c r="E767" t="str" s="3">
        <f>F767&amp;(VLOOKUP(G767,编号表!$E$1:$G$8,2,0))&amp;H767&amp;"_"&amp;I767&amp;"_"&amp;J767</f>
        <v>48N5_4_2</v>
      </c>
      <c r="F767" t="n" s="3">
        <v>48</v>
      </c>
      <c r="G767" t="str" s="3">
        <v>怪物</v>
      </c>
      <c r="H767" t="n" s="3">
        <v>5</v>
      </c>
      <c r="I767" t="n" s="3">
        <v>4</v>
      </c>
      <c r="J767" t="n" s="3">
        <v>2</v>
      </c>
      <c r="K767" s="3"/>
      <c r="L767" s="3"/>
      <c r="M767" s="3"/>
      <c r="N767" s="3"/>
      <c r="O767" s="3"/>
      <c r="P767" s="3"/>
      <c r="Q767" s="3"/>
      <c r="R767" s="3"/>
      <c r="S767" s="17"/>
      <c r="T767" s="18"/>
      <c r="U767"/>
      <c r="V767"/>
      <c r="W767"/>
      <c r="X767"/>
      <c r="Y767"/>
      <c r="Z767"/>
      <c r="AA767"/>
    </row>
    <row r="768" s="17" customFormat="1" ht="15" spans="1:20">
      <c r="A768" s="35"/>
      <c r="B768" t="n" s="17">
        <f>70000000+F768*10000+H768*1000+I768*100+J768</f>
        <v>70485403</v>
      </c>
      <c r="C768" t="str" s="40">
        <v>雪檐古兽-怪物11</v>
      </c>
      <c r="D768" s="3"/>
      <c r="E768" t="str" s="3">
        <f>F768&amp;(VLOOKUP(G768,编号表!$E$1:$G$8,2,0))&amp;H768&amp;"_"&amp;I768&amp;"_"&amp;J768</f>
        <v>48N5_4_3</v>
      </c>
      <c r="F768" t="n" s="3">
        <v>48</v>
      </c>
      <c r="G768" t="str" s="3">
        <v>怪物</v>
      </c>
      <c r="H768" t="n" s="3">
        <v>5</v>
      </c>
      <c r="I768" t="n" s="3">
        <v>4</v>
      </c>
      <c r="J768" t="n" s="3">
        <v>3</v>
      </c>
      <c r="K768" s="3"/>
      <c r="L768" s="3"/>
      <c r="M768" s="3"/>
      <c r="N768" s="3"/>
      <c r="O768" s="3"/>
      <c r="P768" s="3"/>
      <c r="Q768" s="3"/>
      <c r="R768" s="3"/>
      <c r="S768" s="17"/>
      <c r="T768" s="18"/>
      <c r="U768"/>
      <c r="V768"/>
      <c r="W768"/>
      <c r="X768"/>
      <c r="Y768"/>
      <c r="Z768"/>
      <c r="AA768"/>
    </row>
    <row r="769" ht="15" spans="1:20">
      <c r="A769" s="35"/>
      <c r="B769" t="n" s="17">
        <f>70000000+F769*10000+H769*1000+I769*100+J769</f>
        <v>70485001</v>
      </c>
      <c r="C769" t="str" s="39">
        <v>雪檐古兽-镜头</v>
      </c>
      <c r="D769" s="3"/>
      <c r="E769" t="str" s="3">
        <f>F769&amp;(VLOOKUP(G769,编号表!$E$1:$G$8,2,0))&amp;H769&amp;"_"&amp;I769&amp;"_"&amp;J769</f>
        <v>48J5_0_1</v>
      </c>
      <c r="F769" t="n" s="3">
        <v>48</v>
      </c>
      <c r="G769" t="str" s="3">
        <v>镜头</v>
      </c>
      <c r="H769" t="n" s="3">
        <v>5</v>
      </c>
      <c r="I769" t="n" s="3">
        <v>0</v>
      </c>
      <c r="J769" t="n" s="3">
        <v>1</v>
      </c>
      <c r="K769" t="n" s="3">
        <v>1</v>
      </c>
      <c r="L769" s="3"/>
      <c r="M769" s="3"/>
      <c r="N769" s="3"/>
      <c r="O769" s="3"/>
      <c r="P769" s="3"/>
      <c r="Q769" s="3"/>
      <c r="R769" s="3"/>
      <c r="S769" s="17"/>
      <c r="T769" s="18"/>
      <c r="U769"/>
      <c r="V769"/>
      <c r="W769"/>
      <c r="X769"/>
      <c r="Y769"/>
      <c r="Z769"/>
      <c r="AA769"/>
    </row>
    <row r="770" ht="15" spans="1:20">
      <c r="A770" s="35"/>
      <c r="B770" t="n" s="17">
        <f>70000000+F770*10000+H770*1000+I770*100+J770</f>
        <v>70481001</v>
      </c>
      <c r="C770" t="str" s="37">
        <v>雪檐古兽-传送</v>
      </c>
      <c r="D770" s="3"/>
      <c r="E770" t="str" s="3">
        <f>F770&amp;(VLOOKUP(G770,编号表!$E$1:$G$8,2,0))&amp;H770&amp;"_"&amp;I770&amp;"_"&amp;J770</f>
        <v>48T1_0_1</v>
      </c>
      <c r="F770" t="n" s="3">
        <v>48</v>
      </c>
      <c r="G770" t="str" s="3">
        <v>传送</v>
      </c>
      <c r="H770" t="n" s="3">
        <v>1</v>
      </c>
      <c r="I770" t="n" s="3">
        <v>0</v>
      </c>
      <c r="J770" t="n" s="3">
        <v>1</v>
      </c>
      <c r="K770" s="3"/>
      <c r="L770" t="n" s="3">
        <v>1</v>
      </c>
      <c r="M770" s="3"/>
      <c r="N770" s="3"/>
      <c r="O770" s="3"/>
      <c r="P770" s="3"/>
      <c r="Q770" s="3"/>
      <c r="R770" t="n" s="3">
        <v>70471002</v>
      </c>
      <c r="S770" s="17"/>
      <c r="T770" s="18"/>
      <c r="U770"/>
      <c r="V770"/>
      <c r="W770"/>
      <c r="X770"/>
      <c r="Y770"/>
      <c r="Z770"/>
      <c r="AA770"/>
    </row>
    <row r="771" ht="15" spans="1:20">
      <c r="A771" s="35"/>
      <c r="B771" t="n" s="17">
        <f>70000000+F771*10000+H771*1000+I771*100+J771</f>
        <v>70481002</v>
      </c>
      <c r="C771" t="str" s="37">
        <v>雪檐古兽-传送</v>
      </c>
      <c r="D771" s="3"/>
      <c r="E771" t="str" s="3">
        <f>F771&amp;(VLOOKUP(G771,编号表!$E$1:$G$8,2,0))&amp;H771&amp;"_"&amp;I771&amp;"_"&amp;J771</f>
        <v>48T1_0_2</v>
      </c>
      <c r="F771" t="n" s="3">
        <v>48</v>
      </c>
      <c r="G771" t="str" s="3">
        <v>传送</v>
      </c>
      <c r="H771" t="n" s="3">
        <v>1</v>
      </c>
      <c r="I771" t="n" s="3">
        <v>0</v>
      </c>
      <c r="J771" t="n" s="3">
        <v>2</v>
      </c>
      <c r="K771" s="3"/>
      <c r="L771" t="n" s="3">
        <v>1</v>
      </c>
      <c r="M771" s="3"/>
      <c r="N771" s="3"/>
      <c r="O771" s="3"/>
      <c r="P771" s="3"/>
      <c r="Q771" s="3"/>
      <c r="R771" t="n" s="3">
        <v>70491001</v>
      </c>
      <c r="S771" s="17"/>
      <c r="T771" s="18"/>
      <c r="U771"/>
      <c r="V771"/>
      <c r="W771"/>
      <c r="X771"/>
      <c r="Y771"/>
      <c r="Z771"/>
      <c r="AA771"/>
    </row>
    <row r="772" ht="15" spans="1:20">
      <c r="A772" s="35"/>
      <c r="B772" t="n" s="17">
        <f>70000000+F772*10000+H772*1000+I772*100+J772</f>
        <v>70482001</v>
      </c>
      <c r="C772" t="str" s="37">
        <v>雪檐古兽-小地图</v>
      </c>
      <c r="D772" s="3"/>
      <c r="E772" t="str" s="3">
        <f>F772&amp;(VLOOKUP(G772,编号表!$E$1:$G$8,2,0))&amp;H772&amp;"_"&amp;I772&amp;"_"&amp;J772</f>
        <v>48D2_0_1</v>
      </c>
      <c r="F772" t="n" s="3">
        <v>48</v>
      </c>
      <c r="G772" t="str" s="3">
        <v>小地图</v>
      </c>
      <c r="H772" t="n" s="3">
        <v>2</v>
      </c>
      <c r="I772" t="n" s="3">
        <v>0</v>
      </c>
      <c r="J772" t="n" s="3">
        <v>1</v>
      </c>
      <c r="K772" s="3"/>
      <c r="L772" s="3"/>
      <c r="M772" t="n" s="3">
        <v>1</v>
      </c>
      <c r="N772" s="3"/>
      <c r="O772" s="3"/>
      <c r="P772" s="3"/>
      <c r="Q772" s="3"/>
      <c r="R772" s="3"/>
      <c r="S772" s="17"/>
      <c r="T772" s="18"/>
      <c r="U772"/>
      <c r="V772"/>
      <c r="W772"/>
      <c r="X772"/>
      <c r="Y772"/>
      <c r="Z772"/>
      <c r="AA772"/>
    </row>
    <row r="773" s="17" customFormat="1" ht="15" spans="1:20">
      <c r="A773" s="35"/>
      <c r="B773" t="n" s="17">
        <f>70000000+F773*10000+H773*1000+I773*100+J773</f>
        <v>70495101</v>
      </c>
      <c r="C773" t="str" s="40">
        <v>霰砾坡-怪物1</v>
      </c>
      <c r="D773" s="3"/>
      <c r="E773" t="str" s="3">
        <f>F773&amp;(VLOOKUP(G773,编号表!$E$1:$G$8,2,0))&amp;H773&amp;"_"&amp;I773&amp;"_"&amp;J773</f>
        <v>49N5_1_1</v>
      </c>
      <c r="F773" t="n" s="3">
        <v>49</v>
      </c>
      <c r="G773" t="str" s="3">
        <v>怪物</v>
      </c>
      <c r="H773" t="n" s="3">
        <v>5</v>
      </c>
      <c r="I773" t="n" s="3">
        <v>1</v>
      </c>
      <c r="J773" t="n" s="3">
        <v>1</v>
      </c>
      <c r="K773" s="3"/>
      <c r="L773" s="3"/>
      <c r="M773" s="3"/>
      <c r="N773" s="3"/>
      <c r="O773" s="3"/>
      <c r="P773" s="3"/>
      <c r="Q773" s="3"/>
      <c r="R773" s="3"/>
      <c r="S773" t="str" s="17">
        <v>本轮完整刷新挂接；有效坐标注入后验证</v>
      </c>
      <c r="T773" t="n" s="18">
        <v>1065103</v>
      </c>
      <c r="U773"/>
      <c r="V773"/>
      <c r="W773"/>
      <c r="X773"/>
      <c r="Y773"/>
      <c r="Z773"/>
      <c r="AA773"/>
    </row>
    <row r="774" s="17" customFormat="1" ht="15" spans="1:20">
      <c r="A774" s="35"/>
      <c r="B774" t="n" s="17">
        <f>70000000+F774*10000+H774*1000+I774*100+J774</f>
        <v>70495102</v>
      </c>
      <c r="C774" t="str" s="40">
        <v>霰砾坡-怪物2</v>
      </c>
      <c r="D774" s="3"/>
      <c r="E774" t="str" s="3">
        <f>F774&amp;(VLOOKUP(G774,编号表!$E$1:$G$8,2,0))&amp;H774&amp;"_"&amp;I774&amp;"_"&amp;J774</f>
        <v>49N5_1_2</v>
      </c>
      <c r="F774" t="n" s="3">
        <v>49</v>
      </c>
      <c r="G774" t="str" s="3">
        <v>怪物</v>
      </c>
      <c r="H774" t="n" s="3">
        <v>5</v>
      </c>
      <c r="I774" t="n" s="3">
        <v>1</v>
      </c>
      <c r="J774" t="n" s="3">
        <v>2</v>
      </c>
      <c r="K774" s="3"/>
      <c r="L774" s="3"/>
      <c r="M774" s="3"/>
      <c r="N774" s="3"/>
      <c r="O774" s="3"/>
      <c r="P774" s="3"/>
      <c r="Q774" s="3"/>
      <c r="R774" s="3"/>
      <c r="S774" t="str" s="17">
        <v>本轮完整刷新挂接；有效坐标注入后验证</v>
      </c>
      <c r="T774" t="n" s="18">
        <v>1065303</v>
      </c>
      <c r="U774"/>
      <c r="V774"/>
      <c r="W774"/>
      <c r="X774"/>
      <c r="Y774"/>
      <c r="Z774"/>
      <c r="AA774"/>
    </row>
    <row r="775" s="17" customFormat="1" ht="15" spans="1:20">
      <c r="A775" s="35"/>
      <c r="B775" t="n" s="17">
        <f>70000000+F775*10000+H775*1000+I775*100+J775</f>
        <v>70495103</v>
      </c>
      <c r="C775" t="str" s="40">
        <v>霰砾坡-怪物3</v>
      </c>
      <c r="D775" s="3"/>
      <c r="E775" t="str" s="3">
        <f>F775&amp;(VLOOKUP(G775,编号表!$E$1:$G$8,2,0))&amp;H775&amp;"_"&amp;I775&amp;"_"&amp;J775</f>
        <v>49N5_1_3</v>
      </c>
      <c r="F775" t="n" s="3">
        <v>49</v>
      </c>
      <c r="G775" t="str" s="3">
        <v>怪物</v>
      </c>
      <c r="H775" t="n" s="3">
        <v>5</v>
      </c>
      <c r="I775" t="n" s="3">
        <v>1</v>
      </c>
      <c r="J775" t="n" s="3">
        <v>3</v>
      </c>
      <c r="K775" s="3"/>
      <c r="L775" s="3"/>
      <c r="M775" s="3"/>
      <c r="N775" s="3"/>
      <c r="O775" s="3"/>
      <c r="P775" s="3"/>
      <c r="Q775" s="3"/>
      <c r="R775" s="3"/>
      <c r="S775" t="str" s="17">
        <v>本轮完整刷新挂接；有效坐标注入后验证</v>
      </c>
      <c r="T775" t="n" s="18">
        <v>1065404</v>
      </c>
      <c r="U775"/>
      <c r="V775"/>
      <c r="W775"/>
      <c r="X775"/>
      <c r="Y775"/>
      <c r="Z775"/>
      <c r="AA775"/>
    </row>
    <row r="776" s="17" customFormat="1" ht="15" spans="1:20">
      <c r="A776" s="35"/>
      <c r="B776" t="n" s="17">
        <f>70000000+F776*10000+H776*1000+I776*100+J776</f>
        <v>70495104</v>
      </c>
      <c r="C776" t="str" s="40">
        <v>霰砾坡-怪物4</v>
      </c>
      <c r="D776" s="3"/>
      <c r="E776" t="str" s="3">
        <f>F776&amp;(VLOOKUP(G776,编号表!$E$1:$G$8,2,0))&amp;H776&amp;"_"&amp;I776&amp;"_"&amp;J776</f>
        <v>49N5_1_4</v>
      </c>
      <c r="F776" t="n" s="3">
        <v>49</v>
      </c>
      <c r="G776" t="str" s="3">
        <v>怪物</v>
      </c>
      <c r="H776" t="n" s="3">
        <v>5</v>
      </c>
      <c r="I776" t="n" s="3">
        <v>1</v>
      </c>
      <c r="J776" t="n" s="3">
        <v>4</v>
      </c>
      <c r="K776" s="3"/>
      <c r="L776" s="3"/>
      <c r="M776" s="3"/>
      <c r="N776" s="3"/>
      <c r="O776" s="3"/>
      <c r="P776" s="3"/>
      <c r="Q776" s="3"/>
      <c r="R776" s="3"/>
      <c r="S776" t="str" s="17">
        <v>本轮完整刷新挂接；有效坐标注入后验证</v>
      </c>
      <c r="T776" t="n" s="18">
        <v>1065504</v>
      </c>
      <c r="U776"/>
      <c r="V776"/>
      <c r="W776"/>
      <c r="X776"/>
      <c r="Y776"/>
      <c r="Z776"/>
      <c r="AA776"/>
    </row>
    <row r="777" s="17" customFormat="1" ht="15" spans="1:20">
      <c r="A777" s="35"/>
      <c r="B777" t="n" s="17">
        <f>70000000+F777*10000+H777*1000+I777*100+J777</f>
        <v>70495201</v>
      </c>
      <c r="C777" t="str" s="40">
        <v>霰砾坡-怪物5</v>
      </c>
      <c r="D777" s="3"/>
      <c r="E777" t="str" s="3">
        <f>F777&amp;(VLOOKUP(G777,编号表!$E$1:$G$8,2,0))&amp;H777&amp;"_"&amp;I777&amp;"_"&amp;J777</f>
        <v>49N5_2_1</v>
      </c>
      <c r="F777" t="n" s="3">
        <v>49</v>
      </c>
      <c r="G777" t="str" s="3">
        <v>怪物</v>
      </c>
      <c r="H777" t="n" s="3">
        <v>5</v>
      </c>
      <c r="I777" t="n" s="3">
        <v>2</v>
      </c>
      <c r="J777" t="n" s="3">
        <v>1</v>
      </c>
      <c r="K777" s="3"/>
      <c r="L777" s="3"/>
      <c r="M777" s="3"/>
      <c r="N777" s="3"/>
      <c r="O777" s="3"/>
      <c r="P777" s="3"/>
      <c r="Q777" s="3"/>
      <c r="R777" s="3"/>
      <c r="S777" t="str" s="17">
        <v>本轮完整刷新挂接；有效坐标注入后验证</v>
      </c>
      <c r="T777" t="n" s="18">
        <v>1065604</v>
      </c>
      <c r="U777"/>
      <c r="V777"/>
      <c r="W777"/>
      <c r="X777"/>
      <c r="Y777"/>
      <c r="Z777"/>
      <c r="AA777"/>
    </row>
    <row r="778" s="17" customFormat="1" ht="15" spans="1:20">
      <c r="A778" s="35"/>
      <c r="B778" t="n" s="17">
        <f>70000000+F778*10000+H778*1000+I778*100+J778</f>
        <v>70495202</v>
      </c>
      <c r="C778" t="str" s="40">
        <v>霰砾坡-怪物6</v>
      </c>
      <c r="D778" s="3"/>
      <c r="E778" t="str" s="3">
        <f>F778&amp;(VLOOKUP(G778,编号表!$E$1:$G$8,2,0))&amp;H778&amp;"_"&amp;I778&amp;"_"&amp;J778</f>
        <v>49N5_2_2</v>
      </c>
      <c r="F778" t="n" s="3">
        <v>49</v>
      </c>
      <c r="G778" t="str" s="3">
        <v>怪物</v>
      </c>
      <c r="H778" t="n" s="3">
        <v>5</v>
      </c>
      <c r="I778" t="n" s="3">
        <v>2</v>
      </c>
      <c r="J778" t="n" s="3">
        <v>2</v>
      </c>
      <c r="K778" s="3"/>
      <c r="L778" s="3"/>
      <c r="M778" s="3"/>
      <c r="N778" s="3"/>
      <c r="O778" s="3"/>
      <c r="P778" s="3"/>
      <c r="Q778" s="3"/>
      <c r="R778" s="3"/>
      <c r="S778" s="17"/>
      <c r="T778" s="18"/>
      <c r="U778"/>
      <c r="V778"/>
      <c r="W778"/>
      <c r="X778"/>
      <c r="Y778"/>
      <c r="Z778"/>
      <c r="AA778"/>
    </row>
    <row r="779" s="17" customFormat="1" ht="15" spans="1:20">
      <c r="A779" s="35"/>
      <c r="B779" t="n" s="17">
        <f>70000000+F779*10000+H779*1000+I779*100+J779</f>
        <v>70495203</v>
      </c>
      <c r="C779" t="str" s="40">
        <v>霰砾坡-怪物7</v>
      </c>
      <c r="D779" s="3"/>
      <c r="E779" t="str" s="3">
        <f>F779&amp;(VLOOKUP(G779,编号表!$E$1:$G$8,2,0))&amp;H779&amp;"_"&amp;I779&amp;"_"&amp;J779</f>
        <v>49N5_2_3</v>
      </c>
      <c r="F779" t="n" s="3">
        <v>49</v>
      </c>
      <c r="G779" t="str" s="3">
        <v>怪物</v>
      </c>
      <c r="H779" t="n" s="3">
        <v>5</v>
      </c>
      <c r="I779" t="n" s="3">
        <v>2</v>
      </c>
      <c r="J779" t="n" s="3">
        <v>3</v>
      </c>
      <c r="K779" s="3"/>
      <c r="L779" s="3"/>
      <c r="M779" s="3"/>
      <c r="N779" s="3"/>
      <c r="O779" s="3"/>
      <c r="P779" s="3"/>
      <c r="Q779" s="3"/>
      <c r="R779" s="3"/>
      <c r="S779" s="17"/>
      <c r="T779" s="18"/>
      <c r="U779"/>
      <c r="V779"/>
      <c r="W779"/>
      <c r="X779"/>
      <c r="Y779"/>
      <c r="Z779"/>
      <c r="AA779"/>
    </row>
    <row r="780" s="17" customFormat="1" ht="15" spans="1:20">
      <c r="A780" s="35"/>
      <c r="B780" t="n" s="17">
        <f>70000000+F780*10000+H780*1000+I780*100+J780</f>
        <v>70495301</v>
      </c>
      <c r="C780" t="str" s="40">
        <v>霰砾坡-怪物8</v>
      </c>
      <c r="D780" s="3"/>
      <c r="E780" t="str" s="3">
        <f>F780&amp;(VLOOKUP(G780,编号表!$E$1:$G$8,2,0))&amp;H780&amp;"_"&amp;I780&amp;"_"&amp;J780</f>
        <v>49N5_3_1</v>
      </c>
      <c r="F780" t="n" s="3">
        <v>49</v>
      </c>
      <c r="G780" t="str" s="3">
        <v>怪物</v>
      </c>
      <c r="H780" t="n" s="3">
        <v>5</v>
      </c>
      <c r="I780" t="n" s="3">
        <v>3</v>
      </c>
      <c r="J780" t="n" s="3">
        <v>1</v>
      </c>
      <c r="K780" s="3"/>
      <c r="L780" s="3"/>
      <c r="M780" s="3"/>
      <c r="N780" s="3"/>
      <c r="O780" s="3"/>
      <c r="P780" s="3"/>
      <c r="Q780" s="3"/>
      <c r="R780" s="3"/>
      <c r="S780" s="17"/>
      <c r="T780" s="18"/>
      <c r="U780"/>
      <c r="V780"/>
      <c r="W780"/>
      <c r="X780"/>
      <c r="Y780"/>
      <c r="Z780"/>
      <c r="AA780"/>
    </row>
    <row r="781" s="17" customFormat="1" ht="15" spans="1:20">
      <c r="A781" s="35"/>
      <c r="B781" t="n" s="17">
        <f>70000000+F781*10000+H781*1000+I781*100+J781</f>
        <v>70495302</v>
      </c>
      <c r="C781" t="str" s="40">
        <v>霰砾坡-怪物9</v>
      </c>
      <c r="D781" s="3"/>
      <c r="E781" t="str" s="3">
        <f>F781&amp;(VLOOKUP(G781,编号表!$E$1:$G$8,2,0))&amp;H781&amp;"_"&amp;I781&amp;"_"&amp;J781</f>
        <v>49N5_3_2</v>
      </c>
      <c r="F781" t="n" s="3">
        <v>49</v>
      </c>
      <c r="G781" t="str" s="3">
        <v>怪物</v>
      </c>
      <c r="H781" t="n" s="3">
        <v>5</v>
      </c>
      <c r="I781" t="n" s="3">
        <v>3</v>
      </c>
      <c r="J781" t="n" s="3">
        <v>2</v>
      </c>
      <c r="K781" s="3"/>
      <c r="L781" s="3"/>
      <c r="M781" s="3"/>
      <c r="N781" s="3"/>
      <c r="O781" s="3"/>
      <c r="P781" s="3"/>
      <c r="Q781" s="3"/>
      <c r="R781" s="3"/>
      <c r="S781" s="17"/>
      <c r="T781" s="18"/>
      <c r="U781"/>
      <c r="V781"/>
      <c r="W781"/>
      <c r="X781"/>
      <c r="Y781"/>
      <c r="Z781"/>
      <c r="AA781"/>
    </row>
    <row r="782" s="17" customFormat="1" ht="15" spans="1:20">
      <c r="A782" s="35"/>
      <c r="B782" t="n" s="17">
        <f>70000000+F782*10000+H782*1000+I782*100+J782</f>
        <v>70495303</v>
      </c>
      <c r="C782" t="str" s="40">
        <v>霰砾坡-怪物10</v>
      </c>
      <c r="D782" s="3"/>
      <c r="E782" t="str" s="3">
        <f>F782&amp;(VLOOKUP(G782,编号表!$E$1:$G$8,2,0))&amp;H782&amp;"_"&amp;I782&amp;"_"&amp;J782</f>
        <v>49N5_3_3</v>
      </c>
      <c r="F782" t="n" s="3">
        <v>49</v>
      </c>
      <c r="G782" t="str" s="3">
        <v>怪物</v>
      </c>
      <c r="H782" t="n" s="3">
        <v>5</v>
      </c>
      <c r="I782" t="n" s="3">
        <v>3</v>
      </c>
      <c r="J782" t="n" s="3">
        <v>3</v>
      </c>
      <c r="K782" s="3"/>
      <c r="L782" s="3"/>
      <c r="M782" s="3"/>
      <c r="N782" s="3"/>
      <c r="O782" s="3"/>
      <c r="P782" s="3"/>
      <c r="Q782" s="3"/>
      <c r="R782" s="3"/>
      <c r="S782" s="17"/>
      <c r="T782" s="18"/>
      <c r="U782"/>
      <c r="V782"/>
      <c r="W782"/>
      <c r="X782"/>
      <c r="Y782"/>
      <c r="Z782"/>
      <c r="AA782"/>
    </row>
    <row r="783" s="17" customFormat="1" ht="15" spans="1:20">
      <c r="A783" s="35"/>
      <c r="B783" t="n" s="17">
        <f>70000000+F783*10000+H783*1000+I783*100+J783</f>
        <v>70495304</v>
      </c>
      <c r="C783" t="str" s="40">
        <v>霰砾坡-怪物11</v>
      </c>
      <c r="D783" s="3"/>
      <c r="E783" t="str" s="3">
        <f>F783&amp;(VLOOKUP(G783,编号表!$E$1:$G$8,2,0))&amp;H783&amp;"_"&amp;I783&amp;"_"&amp;J783</f>
        <v>49N5_3_4</v>
      </c>
      <c r="F783" t="n" s="3">
        <v>49</v>
      </c>
      <c r="G783" t="str" s="3">
        <v>怪物</v>
      </c>
      <c r="H783" t="n" s="3">
        <v>5</v>
      </c>
      <c r="I783" t="n" s="3">
        <v>3</v>
      </c>
      <c r="J783" t="n" s="3">
        <v>4</v>
      </c>
      <c r="K783" s="3"/>
      <c r="L783" s="3"/>
      <c r="M783" s="3"/>
      <c r="N783" s="3"/>
      <c r="O783" s="3"/>
      <c r="P783" s="3"/>
      <c r="Q783" s="3"/>
      <c r="R783" s="3"/>
      <c r="S783" s="17"/>
      <c r="T783" s="18"/>
      <c r="U783"/>
      <c r="V783"/>
      <c r="W783"/>
      <c r="X783"/>
      <c r="Y783"/>
      <c r="Z783"/>
      <c r="AA783"/>
    </row>
    <row r="784" ht="15" spans="1:20">
      <c r="A784" s="35"/>
      <c r="B784" t="n" s="17">
        <f>70000000+F784*10000+H784*1000+I784*100+J784</f>
        <v>70495001</v>
      </c>
      <c r="C784" t="str" s="39">
        <v>霰砾坡-镜头</v>
      </c>
      <c r="D784" s="3"/>
      <c r="E784" t="str" s="3">
        <f>F784&amp;(VLOOKUP(G784,编号表!$E$1:$G$8,2,0))&amp;H784&amp;"_"&amp;I784&amp;"_"&amp;J784</f>
        <v>49J5_0_1</v>
      </c>
      <c r="F784" t="n" s="3">
        <v>49</v>
      </c>
      <c r="G784" t="str" s="3">
        <v>镜头</v>
      </c>
      <c r="H784" t="n" s="3">
        <v>5</v>
      </c>
      <c r="I784" t="n" s="3">
        <v>0</v>
      </c>
      <c r="J784" t="n" s="3">
        <v>1</v>
      </c>
      <c r="K784" t="n" s="3">
        <v>1</v>
      </c>
      <c r="L784" s="3"/>
      <c r="M784" s="3"/>
      <c r="N784" s="3"/>
      <c r="O784" s="3"/>
      <c r="P784" s="3"/>
      <c r="Q784" s="3"/>
      <c r="R784" s="3"/>
      <c r="S784" s="17"/>
      <c r="T784" s="18"/>
      <c r="U784"/>
      <c r="V784"/>
      <c r="W784"/>
      <c r="X784"/>
      <c r="Y784"/>
      <c r="Z784"/>
      <c r="AA784"/>
    </row>
    <row r="785" ht="15" spans="1:20">
      <c r="A785" s="35"/>
      <c r="B785" t="n" s="17">
        <f>70000000+F785*10000+H785*1000+I785*100+J785</f>
        <v>70491001</v>
      </c>
      <c r="C785" t="str" s="37">
        <v>霰砾坡-传送</v>
      </c>
      <c r="D785" s="3"/>
      <c r="E785" t="str" s="3">
        <f>F785&amp;(VLOOKUP(G785,编号表!$E$1:$G$8,2,0))&amp;H785&amp;"_"&amp;I785&amp;"_"&amp;J785</f>
        <v>49T1_0_1</v>
      </c>
      <c r="F785" t="n" s="3">
        <v>49</v>
      </c>
      <c r="G785" t="str" s="3">
        <v>传送</v>
      </c>
      <c r="H785" t="n" s="3">
        <v>1</v>
      </c>
      <c r="I785" t="n" s="3">
        <v>0</v>
      </c>
      <c r="J785" t="n" s="3">
        <v>1</v>
      </c>
      <c r="K785" s="3"/>
      <c r="L785" t="n" s="3">
        <v>1</v>
      </c>
      <c r="M785" s="3"/>
      <c r="N785" s="3"/>
      <c r="O785" s="3"/>
      <c r="P785" s="3"/>
      <c r="Q785" s="3"/>
      <c r="R785" t="n" s="3">
        <v>70481002</v>
      </c>
      <c r="S785" s="17"/>
      <c r="T785" s="18"/>
      <c r="U785"/>
      <c r="V785"/>
      <c r="W785"/>
      <c r="X785"/>
      <c r="Y785"/>
      <c r="Z785"/>
      <c r="AA785"/>
    </row>
    <row r="786" ht="15" spans="1:20">
      <c r="A786" s="35"/>
      <c r="B786" t="n" s="17">
        <f>70000000+F786*10000+H786*1000+I786*100+J786</f>
        <v>70491002</v>
      </c>
      <c r="C786" t="str" s="37">
        <v>霰砾坡-传送</v>
      </c>
      <c r="D786" s="3"/>
      <c r="E786" t="str" s="3">
        <f>F786&amp;(VLOOKUP(G786,编号表!$E$1:$G$8,2,0))&amp;H786&amp;"_"&amp;I786&amp;"_"&amp;J786</f>
        <v>49T1_0_2</v>
      </c>
      <c r="F786" t="n" s="3">
        <v>49</v>
      </c>
      <c r="G786" t="str" s="3">
        <v>传送</v>
      </c>
      <c r="H786" t="n" s="3">
        <v>1</v>
      </c>
      <c r="I786" t="n" s="3">
        <v>0</v>
      </c>
      <c r="J786" t="n" s="3">
        <v>2</v>
      </c>
      <c r="K786" s="3"/>
      <c r="L786" t="n" s="3">
        <v>1</v>
      </c>
      <c r="M786" s="3"/>
      <c r="N786" s="3"/>
      <c r="O786" s="3"/>
      <c r="P786" s="3"/>
      <c r="Q786" s="3"/>
      <c r="R786" t="n" s="3">
        <v>70501001</v>
      </c>
      <c r="S786" s="17"/>
      <c r="T786" s="18"/>
      <c r="U786"/>
      <c r="V786"/>
      <c r="W786"/>
      <c r="X786"/>
      <c r="Y786"/>
      <c r="Z786"/>
      <c r="AA786"/>
    </row>
    <row r="787" ht="15" spans="1:20">
      <c r="A787" s="35"/>
      <c r="B787" t="n" s="17">
        <f>70000000+F787*10000+H787*1000+I787*100+J787</f>
        <v>70492001</v>
      </c>
      <c r="C787" t="str" s="37">
        <v>霰砾坡-小地图</v>
      </c>
      <c r="D787" s="3"/>
      <c r="E787" t="str" s="3">
        <f>F787&amp;(VLOOKUP(G787,编号表!$E$1:$G$8,2,0))&amp;H787&amp;"_"&amp;I787&amp;"_"&amp;J787</f>
        <v>49D2_0_1</v>
      </c>
      <c r="F787" t="n" s="3">
        <v>49</v>
      </c>
      <c r="G787" t="str" s="3">
        <v>小地图</v>
      </c>
      <c r="H787" t="n" s="3">
        <v>2</v>
      </c>
      <c r="I787" t="n" s="3">
        <v>0</v>
      </c>
      <c r="J787" t="n" s="3">
        <v>1</v>
      </c>
      <c r="K787" s="3"/>
      <c r="L787" s="3"/>
      <c r="M787" t="n" s="3">
        <v>1</v>
      </c>
      <c r="N787" s="3"/>
      <c r="O787" s="3"/>
      <c r="P787" s="3"/>
      <c r="Q787" s="3"/>
      <c r="R787" s="3"/>
      <c r="S787" s="17"/>
      <c r="T787" s="18"/>
      <c r="U787"/>
      <c r="V787"/>
      <c r="W787"/>
      <c r="X787"/>
      <c r="Y787"/>
      <c r="Z787"/>
      <c r="AA787"/>
    </row>
    <row r="788" s="17" customFormat="1" ht="15" spans="1:20">
      <c r="A788" s="35"/>
      <c r="B788" t="n" s="17">
        <f>70000000+F788*10000+H788*1000+I788*100+J788</f>
        <v>70505101</v>
      </c>
      <c r="C788" t="str" s="40">
        <v>融口初声-怪物1</v>
      </c>
      <c r="D788" s="3"/>
      <c r="E788" t="str" s="3">
        <f>F788&amp;(VLOOKUP(G788,编号表!$E$1:$G$8,2,0))&amp;H788&amp;"_"&amp;I788&amp;"_"&amp;J788</f>
        <v>50N5_1_1</v>
      </c>
      <c r="F788" t="n" s="3">
        <v>50</v>
      </c>
      <c r="G788" t="str" s="3">
        <v>怪物</v>
      </c>
      <c r="H788" t="n" s="3">
        <v>5</v>
      </c>
      <c r="I788" t="n" s="3">
        <v>1</v>
      </c>
      <c r="J788" t="n" s="3">
        <v>1</v>
      </c>
      <c r="K788" s="3"/>
      <c r="L788" s="3"/>
      <c r="M788" s="3"/>
      <c r="N788" s="3"/>
      <c r="O788" s="3"/>
      <c r="P788" s="3"/>
      <c r="Q788" s="3"/>
      <c r="R788" s="3"/>
      <c r="S788" t="str" s="17">
        <v>本轮完整刷新挂接；有效坐标注入后验证</v>
      </c>
      <c r="T788" t="n" s="18">
        <v>1061103</v>
      </c>
      <c r="U788"/>
      <c r="V788"/>
      <c r="W788"/>
      <c r="X788"/>
      <c r="Y788"/>
      <c r="Z788"/>
      <c r="AA788"/>
    </row>
    <row r="789" s="17" customFormat="1" ht="15" spans="1:20">
      <c r="A789" s="35"/>
      <c r="B789" t="n" s="17">
        <f>70000000+F789*10000+H789*1000+I789*100+J789</f>
        <v>70505102</v>
      </c>
      <c r="C789" t="str" s="40">
        <v>融口初声-怪物2</v>
      </c>
      <c r="D789" s="3"/>
      <c r="E789" t="str" s="3">
        <f>F789&amp;(VLOOKUP(G789,编号表!$E$1:$G$8,2,0))&amp;H789&amp;"_"&amp;I789&amp;"_"&amp;J789</f>
        <v>50N5_1_2</v>
      </c>
      <c r="F789" t="n" s="3">
        <v>50</v>
      </c>
      <c r="G789" t="str" s="3">
        <v>怪物</v>
      </c>
      <c r="H789" t="n" s="3">
        <v>5</v>
      </c>
      <c r="I789" t="n" s="3">
        <v>1</v>
      </c>
      <c r="J789" t="n" s="3">
        <v>2</v>
      </c>
      <c r="K789" s="3"/>
      <c r="L789" s="3"/>
      <c r="M789" s="3"/>
      <c r="N789" s="3"/>
      <c r="O789" s="3"/>
      <c r="P789" s="3"/>
      <c r="Q789" s="3"/>
      <c r="R789" s="3"/>
      <c r="S789" t="str" s="17">
        <v>本轮完整刷新挂接；有效坐标注入后验证</v>
      </c>
      <c r="T789" t="n" s="18">
        <v>1061001</v>
      </c>
      <c r="U789"/>
      <c r="V789"/>
      <c r="W789"/>
      <c r="X789"/>
      <c r="Y789"/>
      <c r="Z789"/>
      <c r="AA789"/>
    </row>
    <row r="790" s="17" customFormat="1" ht="15" spans="1:20">
      <c r="A790" s="35"/>
      <c r="B790" t="n" s="17">
        <f>70000000+F790*10000+H790*1000+I790*100+J790</f>
        <v>70505201</v>
      </c>
      <c r="C790" t="str" s="40">
        <v>融口初声-怪物3</v>
      </c>
      <c r="D790" s="3"/>
      <c r="E790" t="str" s="3">
        <f>F790&amp;(VLOOKUP(G790,编号表!$E$1:$G$8,2,0))&amp;H790&amp;"_"&amp;I790&amp;"_"&amp;J790</f>
        <v>50N5_2_1</v>
      </c>
      <c r="F790" t="n" s="3">
        <v>50</v>
      </c>
      <c r="G790" t="str" s="3">
        <v>怪物</v>
      </c>
      <c r="H790" t="n" s="3">
        <v>5</v>
      </c>
      <c r="I790" t="n" s="3">
        <v>2</v>
      </c>
      <c r="J790" t="n" s="3">
        <v>1</v>
      </c>
      <c r="K790" s="3"/>
      <c r="L790" s="3"/>
      <c r="M790" s="3"/>
      <c r="N790" s="3"/>
      <c r="O790" s="3"/>
      <c r="P790" s="3"/>
      <c r="Q790" s="3"/>
      <c r="R790" s="3"/>
      <c r="S790" t="str" s="17">
        <v>本轮完整刷新挂接；有效坐标注入后验证</v>
      </c>
      <c r="T790" t="n" s="18">
        <v>1061404</v>
      </c>
      <c r="U790"/>
      <c r="V790"/>
      <c r="W790"/>
      <c r="X790"/>
      <c r="Y790"/>
      <c r="Z790"/>
      <c r="AA790"/>
    </row>
    <row r="791" s="17" customFormat="1" ht="15" spans="1:20">
      <c r="A791" s="35"/>
      <c r="B791" t="n" s="17">
        <f>70000000+F791*10000+H791*1000+I791*100+J791</f>
        <v>70505202</v>
      </c>
      <c r="C791" t="str" s="40">
        <v>融口初声-怪物4</v>
      </c>
      <c r="D791" s="3"/>
      <c r="E791" t="str" s="3">
        <f>F791&amp;(VLOOKUP(G791,编号表!$E$1:$G$8,2,0))&amp;H791&amp;"_"&amp;I791&amp;"_"&amp;J791</f>
        <v>50N5_2_2</v>
      </c>
      <c r="F791" t="n" s="3">
        <v>50</v>
      </c>
      <c r="G791" t="str" s="3">
        <v>怪物</v>
      </c>
      <c r="H791" t="n" s="3">
        <v>5</v>
      </c>
      <c r="I791" t="n" s="3">
        <v>2</v>
      </c>
      <c r="J791" t="n" s="3">
        <v>2</v>
      </c>
      <c r="K791" s="3"/>
      <c r="L791" s="3"/>
      <c r="M791" s="3"/>
      <c r="N791" s="3"/>
      <c r="O791" s="3"/>
      <c r="P791" s="3"/>
      <c r="Q791" s="3"/>
      <c r="R791" s="3"/>
      <c r="S791" t="str" s="17">
        <v>本轮完整刷新挂接；有效坐标注入后验证</v>
      </c>
      <c r="T791" t="n" s="18">
        <v>1061504</v>
      </c>
      <c r="U791"/>
      <c r="V791"/>
      <c r="W791"/>
      <c r="X791"/>
      <c r="Y791"/>
      <c r="Z791"/>
      <c r="AA791"/>
    </row>
    <row r="792" s="17" customFormat="1" ht="15" spans="1:20">
      <c r="A792" s="35"/>
      <c r="B792" t="n" s="17">
        <f>70000000+F792*10000+H792*1000+I792*100+J792</f>
        <v>70505203</v>
      </c>
      <c r="C792" t="str" s="40">
        <v>融口初声-怪物5</v>
      </c>
      <c r="D792" s="3"/>
      <c r="E792" t="str" s="3">
        <f>F792&amp;(VLOOKUP(G792,编号表!$E$1:$G$8,2,0))&amp;H792&amp;"_"&amp;I792&amp;"_"&amp;J792</f>
        <v>50N5_2_3</v>
      </c>
      <c r="F792" t="n" s="3">
        <v>50</v>
      </c>
      <c r="G792" t="str" s="3">
        <v>怪物</v>
      </c>
      <c r="H792" t="n" s="3">
        <v>5</v>
      </c>
      <c r="I792" t="n" s="3">
        <v>2</v>
      </c>
      <c r="J792" t="n" s="3">
        <v>3</v>
      </c>
      <c r="K792" s="3"/>
      <c r="L792" s="3"/>
      <c r="M792" s="3"/>
      <c r="N792" s="3"/>
      <c r="O792" s="3"/>
      <c r="P792" s="3"/>
      <c r="Q792" s="3"/>
      <c r="R792" s="3"/>
      <c r="S792" s="17"/>
      <c r="T792" s="18"/>
      <c r="U792"/>
      <c r="V792"/>
      <c r="W792"/>
      <c r="X792"/>
      <c r="Y792"/>
      <c r="Z792"/>
      <c r="AA792"/>
    </row>
    <row r="793" s="17" customFormat="1" ht="15" spans="1:20">
      <c r="A793" s="35"/>
      <c r="B793" t="n" s="17">
        <f>70000000+F793*10000+H793*1000+I793*100+J793</f>
        <v>70505301</v>
      </c>
      <c r="C793" t="str" s="40">
        <v>融口初声-怪物6</v>
      </c>
      <c r="D793" s="3"/>
      <c r="E793" t="str" s="3">
        <f>F793&amp;(VLOOKUP(G793,编号表!$E$1:$G$8,2,0))&amp;H793&amp;"_"&amp;I793&amp;"_"&amp;J793</f>
        <v>50N5_3_1</v>
      </c>
      <c r="F793" t="n" s="3">
        <v>50</v>
      </c>
      <c r="G793" t="str" s="3">
        <v>怪物</v>
      </c>
      <c r="H793" t="n" s="3">
        <v>5</v>
      </c>
      <c r="I793" t="n" s="3">
        <v>3</v>
      </c>
      <c r="J793" t="n" s="3">
        <v>1</v>
      </c>
      <c r="K793" s="3"/>
      <c r="L793" s="3"/>
      <c r="M793" s="3"/>
      <c r="N793" s="3"/>
      <c r="O793" s="3"/>
      <c r="P793" s="3"/>
      <c r="Q793" s="3"/>
      <c r="R793" s="3"/>
      <c r="S793" s="17"/>
      <c r="T793" s="18"/>
      <c r="U793"/>
      <c r="V793"/>
      <c r="W793"/>
      <c r="X793"/>
      <c r="Y793"/>
      <c r="Z793"/>
      <c r="AA793"/>
    </row>
    <row r="794" s="17" customFormat="1" ht="15" spans="1:20">
      <c r="A794" s="35"/>
      <c r="B794" t="n" s="17">
        <f>70000000+F794*10000+H794*1000+I794*100+J794</f>
        <v>70505302</v>
      </c>
      <c r="C794" t="str" s="40">
        <v>融口初声-怪物7</v>
      </c>
      <c r="D794" s="3"/>
      <c r="E794" t="str" s="3">
        <f>F794&amp;(VLOOKUP(G794,编号表!$E$1:$G$8,2,0))&amp;H794&amp;"_"&amp;I794&amp;"_"&amp;J794</f>
        <v>50N5_3_2</v>
      </c>
      <c r="F794" t="n" s="3">
        <v>50</v>
      </c>
      <c r="G794" t="str" s="3">
        <v>怪物</v>
      </c>
      <c r="H794" t="n" s="3">
        <v>5</v>
      </c>
      <c r="I794" t="n" s="3">
        <v>3</v>
      </c>
      <c r="J794" t="n" s="3">
        <v>2</v>
      </c>
      <c r="K794" s="3"/>
      <c r="L794" s="3"/>
      <c r="M794" s="3"/>
      <c r="N794" s="3"/>
      <c r="O794" s="3"/>
      <c r="P794" s="3"/>
      <c r="Q794" s="3"/>
      <c r="R794" s="3"/>
      <c r="S794" s="17"/>
      <c r="T794" s="18"/>
      <c r="U794"/>
      <c r="V794"/>
      <c r="W794"/>
      <c r="X794"/>
      <c r="Y794"/>
      <c r="Z794"/>
      <c r="AA794"/>
    </row>
    <row r="795" s="17" customFormat="1" ht="15" spans="1:20">
      <c r="A795" s="35"/>
      <c r="B795" t="n" s="17">
        <f>70000000+F795*10000+H795*1000+I795*100+J795</f>
        <v>70505303</v>
      </c>
      <c r="C795" t="str" s="40">
        <v>融口初声-怪物8</v>
      </c>
      <c r="D795" s="3"/>
      <c r="E795" t="str" s="3">
        <f>F795&amp;(VLOOKUP(G795,编号表!$E$1:$G$8,2,0))&amp;H795&amp;"_"&amp;I795&amp;"_"&amp;J795</f>
        <v>50N5_3_3</v>
      </c>
      <c r="F795" t="n" s="3">
        <v>50</v>
      </c>
      <c r="G795" t="str" s="3">
        <v>怪物</v>
      </c>
      <c r="H795" t="n" s="3">
        <v>5</v>
      </c>
      <c r="I795" t="n" s="3">
        <v>3</v>
      </c>
      <c r="J795" t="n" s="3">
        <v>3</v>
      </c>
      <c r="K795" s="3"/>
      <c r="L795" s="3"/>
      <c r="M795" s="3"/>
      <c r="N795" s="3"/>
      <c r="O795" s="3"/>
      <c r="P795" s="3"/>
      <c r="Q795" s="3"/>
      <c r="R795" s="3"/>
      <c r="S795" s="17"/>
      <c r="T795" s="18"/>
      <c r="U795"/>
      <c r="V795"/>
      <c r="W795"/>
      <c r="X795"/>
      <c r="Y795"/>
      <c r="Z795"/>
      <c r="AA795"/>
    </row>
    <row r="796" s="17" customFormat="1" ht="15" spans="1:20">
      <c r="A796" s="35"/>
      <c r="B796" t="n" s="17">
        <f>70000000+F796*10000+H796*1000+I796*100+J796</f>
        <v>70505304</v>
      </c>
      <c r="C796" t="str" s="40">
        <v>融口初声-怪物9</v>
      </c>
      <c r="D796" s="3"/>
      <c r="E796" t="str" s="3">
        <f>F796&amp;(VLOOKUP(G796,编号表!$E$1:$G$8,2,0))&amp;H796&amp;"_"&amp;I796&amp;"_"&amp;J796</f>
        <v>50N5_3_4</v>
      </c>
      <c r="F796" t="n" s="3">
        <v>50</v>
      </c>
      <c r="G796" t="str" s="3">
        <v>怪物</v>
      </c>
      <c r="H796" t="n" s="3">
        <v>5</v>
      </c>
      <c r="I796" t="n" s="3">
        <v>3</v>
      </c>
      <c r="J796" t="n" s="3">
        <v>4</v>
      </c>
      <c r="K796" s="3"/>
      <c r="L796" s="3"/>
      <c r="M796" s="3"/>
      <c r="N796" s="3"/>
      <c r="O796" s="3"/>
      <c r="P796" s="3"/>
      <c r="Q796" s="3"/>
      <c r="R796" s="3"/>
      <c r="S796" s="17"/>
      <c r="T796" s="18"/>
      <c r="U796"/>
      <c r="V796"/>
      <c r="W796"/>
      <c r="X796"/>
      <c r="Y796"/>
      <c r="Z796"/>
      <c r="AA796"/>
    </row>
    <row r="797" ht="15" spans="1:20">
      <c r="A797" s="35"/>
      <c r="B797" t="n" s="17">
        <f>70000000+F797*10000+H797*1000+I797*100+J797</f>
        <v>70505001</v>
      </c>
      <c r="C797" t="str" s="39">
        <v>融口初声-镜头</v>
      </c>
      <c r="D797" s="3"/>
      <c r="E797" t="str" s="3">
        <f>F797&amp;(VLOOKUP(G797,编号表!$E$1:$G$8,2,0))&amp;H797&amp;"_"&amp;I797&amp;"_"&amp;J797</f>
        <v>50J5_0_1</v>
      </c>
      <c r="F797" t="n" s="3">
        <v>50</v>
      </c>
      <c r="G797" t="str" s="3">
        <v>镜头</v>
      </c>
      <c r="H797" t="n" s="3">
        <v>5</v>
      </c>
      <c r="I797" t="n" s="3">
        <v>0</v>
      </c>
      <c r="J797" t="n" s="3">
        <v>1</v>
      </c>
      <c r="K797" t="n" s="3">
        <v>1</v>
      </c>
      <c r="L797" s="3"/>
      <c r="M797" s="3"/>
      <c r="N797" s="3"/>
      <c r="O797" s="3"/>
      <c r="P797" s="3"/>
      <c r="Q797" s="3"/>
      <c r="R797" s="3"/>
      <c r="S797" s="17"/>
      <c r="T797" s="18"/>
      <c r="U797"/>
      <c r="V797"/>
      <c r="W797"/>
      <c r="X797"/>
      <c r="Y797"/>
      <c r="Z797"/>
      <c r="AA797"/>
    </row>
    <row r="798" ht="15" spans="1:20">
      <c r="A798" s="35"/>
      <c r="B798" t="n" s="17">
        <f>70000000+F798*10000+H798*1000+I798*100+J798</f>
        <v>70501001</v>
      </c>
      <c r="C798" t="str" s="37">
        <v>融口初声-传送</v>
      </c>
      <c r="D798" s="3"/>
      <c r="E798" t="str" s="3">
        <f>F798&amp;(VLOOKUP(G798,编号表!$E$1:$G$8,2,0))&amp;H798&amp;"_"&amp;I798&amp;"_"&amp;J798</f>
        <v>50T1_0_1</v>
      </c>
      <c r="F798" t="n" s="3">
        <v>50</v>
      </c>
      <c r="G798" t="str" s="3">
        <v>传送</v>
      </c>
      <c r="H798" t="n" s="3">
        <v>1</v>
      </c>
      <c r="I798" t="n" s="3">
        <v>0</v>
      </c>
      <c r="J798" t="n" s="3">
        <v>1</v>
      </c>
      <c r="K798" s="3"/>
      <c r="L798" t="n" s="3">
        <v>1</v>
      </c>
      <c r="M798" s="3"/>
      <c r="N798" s="3"/>
      <c r="O798" s="3"/>
      <c r="P798" s="3"/>
      <c r="Q798" s="3"/>
      <c r="R798" t="n" s="3">
        <v>70491002</v>
      </c>
      <c r="S798" s="17"/>
      <c r="T798" s="18"/>
      <c r="U798"/>
      <c r="V798"/>
      <c r="W798"/>
      <c r="X798"/>
      <c r="Y798"/>
      <c r="Z798"/>
      <c r="AA798"/>
    </row>
    <row r="799" ht="15" spans="1:20">
      <c r="A799" s="35"/>
      <c r="B799" t="n" s="17">
        <f>70000000+F799*10000+H799*1000+I799*100+J799</f>
        <v>70501002</v>
      </c>
      <c r="C799" t="str" s="37">
        <v>融口初声-传送</v>
      </c>
      <c r="D799" s="3"/>
      <c r="E799" t="str" s="3">
        <f>F799&amp;(VLOOKUP(G799,编号表!$E$1:$G$8,2,0))&amp;H799&amp;"_"&amp;I799&amp;"_"&amp;J799</f>
        <v>50T1_0_2</v>
      </c>
      <c r="F799" t="n" s="3">
        <v>50</v>
      </c>
      <c r="G799" t="str" s="3">
        <v>传送</v>
      </c>
      <c r="H799" t="n" s="3">
        <v>1</v>
      </c>
      <c r="I799" t="n" s="3">
        <v>0</v>
      </c>
      <c r="J799" t="n" s="3">
        <v>2</v>
      </c>
      <c r="K799" s="3"/>
      <c r="L799" t="n" s="3">
        <v>1</v>
      </c>
      <c r="M799" s="3"/>
      <c r="N799" s="3"/>
      <c r="O799" s="3"/>
      <c r="P799" s="3"/>
      <c r="Q799" s="3"/>
      <c r="R799" t="n" s="3">
        <v>70511001</v>
      </c>
      <c r="S799" s="17"/>
      <c r="T799" s="18"/>
      <c r="U799"/>
      <c r="V799"/>
      <c r="W799"/>
      <c r="X799"/>
      <c r="Y799"/>
      <c r="Z799"/>
      <c r="AA799"/>
    </row>
    <row r="800" ht="15" spans="1:20">
      <c r="A800" s="35"/>
      <c r="B800" t="n" s="17">
        <f>70000000+F800*10000+H800*1000+I800*100+J800</f>
        <v>70502001</v>
      </c>
      <c r="C800" t="str" s="37">
        <v>融口初声-小地图</v>
      </c>
      <c r="D800" s="3"/>
      <c r="E800" t="str" s="3">
        <f>F800&amp;(VLOOKUP(G800,编号表!$E$1:$G$8,2,0))&amp;H800&amp;"_"&amp;I800&amp;"_"&amp;J800</f>
        <v>50D2_0_1</v>
      </c>
      <c r="F800" t="n" s="3">
        <v>50</v>
      </c>
      <c r="G800" t="str" s="3">
        <v>小地图</v>
      </c>
      <c r="H800" t="n" s="3">
        <v>2</v>
      </c>
      <c r="I800" t="n" s="3">
        <v>0</v>
      </c>
      <c r="J800" t="n" s="3">
        <v>1</v>
      </c>
      <c r="K800" s="3"/>
      <c r="L800" s="3"/>
      <c r="M800" t="n" s="3">
        <v>1</v>
      </c>
      <c r="N800" s="3"/>
      <c r="O800" s="3"/>
      <c r="P800" s="3"/>
      <c r="Q800" s="3"/>
      <c r="R800" s="3"/>
      <c r="S800" s="17"/>
      <c r="T800" s="18"/>
      <c r="U800"/>
      <c r="V800"/>
      <c r="W800"/>
      <c r="X800"/>
      <c r="Y800"/>
      <c r="Z800"/>
      <c r="AA800"/>
    </row>
    <row r="801" s="17" customFormat="1" ht="15" spans="1:20">
      <c r="A801" s="35"/>
      <c r="B801" t="n" s="17">
        <f>70000000+F801*10000+H801*1000+I801*100+J801</f>
        <v>70515101</v>
      </c>
      <c r="C801" t="str" s="40">
        <v>凇覆苔痕-怪物1</v>
      </c>
      <c r="D801" s="3"/>
      <c r="E801" t="str" s="3">
        <f>F801&amp;(VLOOKUP(G801,编号表!$E$1:$G$8,2,0))&amp;H801&amp;"_"&amp;I801&amp;"_"&amp;J801</f>
        <v>51N5_1_1</v>
      </c>
      <c r="F801" t="n" s="3">
        <v>51</v>
      </c>
      <c r="G801" t="str" s="3">
        <v>怪物</v>
      </c>
      <c r="H801" t="n" s="3">
        <v>5</v>
      </c>
      <c r="I801" t="n" s="3">
        <v>1</v>
      </c>
      <c r="J801" t="n" s="3">
        <v>1</v>
      </c>
      <c r="K801" s="3"/>
      <c r="L801" s="3"/>
      <c r="M801" s="3"/>
      <c r="N801" s="3"/>
      <c r="O801" s="3"/>
      <c r="P801" s="3"/>
      <c r="Q801" s="3"/>
      <c r="R801" s="3"/>
      <c r="S801" t="str" s="17">
        <v>本轮完整刷新挂接；有效坐标注入后验证</v>
      </c>
      <c r="T801" t="n" s="18">
        <v>1062101</v>
      </c>
      <c r="U801"/>
      <c r="V801"/>
      <c r="W801"/>
      <c r="X801"/>
      <c r="Y801"/>
      <c r="Z801"/>
      <c r="AA801"/>
    </row>
    <row r="802" s="17" customFormat="1" ht="15" spans="1:20">
      <c r="A802" s="35"/>
      <c r="B802" t="n" s="17">
        <f>70000000+F802*10000+H802*1000+I802*100+J802</f>
        <v>70515102</v>
      </c>
      <c r="C802" t="str" s="40">
        <v>凇覆苔痕-怪物2</v>
      </c>
      <c r="D802" s="3"/>
      <c r="E802" t="str" s="3">
        <f>F802&amp;(VLOOKUP(G802,编号表!$E$1:$G$8,2,0))&amp;H802&amp;"_"&amp;I802&amp;"_"&amp;J802</f>
        <v>51N5_1_2</v>
      </c>
      <c r="F802" t="n" s="3">
        <v>51</v>
      </c>
      <c r="G802" t="str" s="3">
        <v>怪物</v>
      </c>
      <c r="H802" t="n" s="3">
        <v>5</v>
      </c>
      <c r="I802" t="n" s="3">
        <v>1</v>
      </c>
      <c r="J802" t="n" s="3">
        <v>2</v>
      </c>
      <c r="K802" s="3"/>
      <c r="L802" s="3"/>
      <c r="M802" s="3"/>
      <c r="N802" s="3"/>
      <c r="O802" s="3"/>
      <c r="P802" s="3"/>
      <c r="Q802" s="3"/>
      <c r="R802" s="3"/>
      <c r="S802" t="str" s="17">
        <v>本轮完整刷新挂接；有效坐标注入后验证</v>
      </c>
      <c r="T802" t="n" s="18">
        <v>1062304</v>
      </c>
      <c r="U802"/>
      <c r="V802"/>
      <c r="W802"/>
      <c r="X802"/>
      <c r="Y802"/>
      <c r="Z802"/>
      <c r="AA802"/>
    </row>
    <row r="803" s="17" customFormat="1" ht="15" spans="1:20">
      <c r="A803" s="35"/>
      <c r="B803" t="n" s="17">
        <f>70000000+F803*10000+H803*1000+I803*100+J803</f>
        <v>70515103</v>
      </c>
      <c r="C803" t="str" s="40">
        <v>凇覆苔痕-怪物3</v>
      </c>
      <c r="D803" s="3"/>
      <c r="E803" t="str" s="3">
        <f>F803&amp;(VLOOKUP(G803,编号表!$E$1:$G$8,2,0))&amp;H803&amp;"_"&amp;I803&amp;"_"&amp;J803</f>
        <v>51N5_1_3</v>
      </c>
      <c r="F803" t="n" s="3">
        <v>51</v>
      </c>
      <c r="G803" t="str" s="3">
        <v>怪物</v>
      </c>
      <c r="H803" t="n" s="3">
        <v>5</v>
      </c>
      <c r="I803" t="n" s="3">
        <v>1</v>
      </c>
      <c r="J803" t="n" s="3">
        <v>3</v>
      </c>
      <c r="K803" s="3"/>
      <c r="L803" s="3"/>
      <c r="M803" s="3"/>
      <c r="N803" s="3"/>
      <c r="O803" s="3"/>
      <c r="P803" s="3"/>
      <c r="Q803" s="3"/>
      <c r="R803" s="3"/>
      <c r="S803" t="str" s="17">
        <v>本轮完整刷新挂接；有效坐标注入后验证</v>
      </c>
      <c r="T803" t="n" s="18">
        <v>1062404</v>
      </c>
      <c r="U803"/>
      <c r="V803"/>
      <c r="W803"/>
      <c r="X803"/>
      <c r="Y803"/>
      <c r="Z803"/>
      <c r="AA803"/>
    </row>
    <row r="804" s="17" customFormat="1" ht="15" spans="1:20">
      <c r="A804" s="35"/>
      <c r="B804" t="n" s="17">
        <f>70000000+F804*10000+H804*1000+I804*100+J804</f>
        <v>70515104</v>
      </c>
      <c r="C804" t="str" s="40">
        <v>凇覆苔痕-怪物4</v>
      </c>
      <c r="D804" s="3"/>
      <c r="E804" t="str" s="3">
        <f>F804&amp;(VLOOKUP(G804,编号表!$E$1:$G$8,2,0))&amp;H804&amp;"_"&amp;I804&amp;"_"&amp;J804</f>
        <v>51N5_1_4</v>
      </c>
      <c r="F804" t="n" s="3">
        <v>51</v>
      </c>
      <c r="G804" t="str" s="3">
        <v>怪物</v>
      </c>
      <c r="H804" t="n" s="3">
        <v>5</v>
      </c>
      <c r="I804" t="n" s="3">
        <v>1</v>
      </c>
      <c r="J804" t="n" s="3">
        <v>4</v>
      </c>
      <c r="K804" s="3"/>
      <c r="L804" s="3"/>
      <c r="M804" s="3"/>
      <c r="N804" s="3"/>
      <c r="O804" s="3"/>
      <c r="P804" s="3"/>
      <c r="Q804" s="3"/>
      <c r="R804" s="3"/>
      <c r="S804" t="str" s="17">
        <v>本轮完整刷新挂接；有效坐标注入后验证</v>
      </c>
      <c r="T804" t="n" s="18">
        <v>1062504</v>
      </c>
      <c r="U804"/>
      <c r="V804"/>
      <c r="W804"/>
      <c r="X804"/>
      <c r="Y804"/>
      <c r="Z804"/>
      <c r="AA804"/>
    </row>
    <row r="805" s="17" customFormat="1" ht="15" spans="1:20">
      <c r="A805" s="35"/>
      <c r="B805" t="n" s="17">
        <f>70000000+F805*10000+H805*1000+I805*100+J805</f>
        <v>70515201</v>
      </c>
      <c r="C805" t="str" s="40">
        <v>凇覆苔痕-怪物5</v>
      </c>
      <c r="D805" s="3"/>
      <c r="E805" t="str" s="3">
        <f>F805&amp;(VLOOKUP(G805,编号表!$E$1:$G$8,2,0))&amp;H805&amp;"_"&amp;I805&amp;"_"&amp;J805</f>
        <v>51N5_2_1</v>
      </c>
      <c r="F805" t="n" s="3">
        <v>51</v>
      </c>
      <c r="G805" t="str" s="3">
        <v>怪物</v>
      </c>
      <c r="H805" t="n" s="3">
        <v>5</v>
      </c>
      <c r="I805" t="n" s="3">
        <v>2</v>
      </c>
      <c r="J805" t="n" s="3">
        <v>1</v>
      </c>
      <c r="K805" s="3"/>
      <c r="L805" s="3"/>
      <c r="M805" s="3"/>
      <c r="N805" s="3"/>
      <c r="O805" s="3"/>
      <c r="P805" s="3"/>
      <c r="Q805" s="3"/>
      <c r="R805" s="3"/>
      <c r="S805" t="str" s="17">
        <v>本轮完整刷新挂接；有效坐标注入后验证</v>
      </c>
      <c r="T805" t="n" s="18">
        <v>1062604</v>
      </c>
      <c r="U805"/>
      <c r="V805"/>
      <c r="W805"/>
      <c r="X805"/>
      <c r="Y805"/>
      <c r="Z805"/>
      <c r="AA805"/>
    </row>
    <row r="806" s="17" customFormat="1" ht="15" spans="1:20">
      <c r="A806" s="35"/>
      <c r="B806" t="n" s="17">
        <f>70000000+F806*10000+H806*1000+I806*100+J806</f>
        <v>70515202</v>
      </c>
      <c r="C806" t="str" s="40">
        <v>凇覆苔痕-怪物6</v>
      </c>
      <c r="D806" s="3"/>
      <c r="E806" t="str" s="3">
        <f>F806&amp;(VLOOKUP(G806,编号表!$E$1:$G$8,2,0))&amp;H806&amp;"_"&amp;I806&amp;"_"&amp;J806</f>
        <v>51N5_2_2</v>
      </c>
      <c r="F806" t="n" s="3">
        <v>51</v>
      </c>
      <c r="G806" t="str" s="3">
        <v>怪物</v>
      </c>
      <c r="H806" t="n" s="3">
        <v>5</v>
      </c>
      <c r="I806" t="n" s="3">
        <v>2</v>
      </c>
      <c r="J806" t="n" s="3">
        <v>2</v>
      </c>
      <c r="K806" s="3"/>
      <c r="L806" s="3"/>
      <c r="M806" s="3"/>
      <c r="N806" s="3"/>
      <c r="O806" s="3"/>
      <c r="P806" s="3"/>
      <c r="Q806" s="3"/>
      <c r="R806" s="3"/>
      <c r="S806" s="17"/>
      <c r="T806" s="18"/>
      <c r="U806"/>
      <c r="V806"/>
      <c r="W806"/>
      <c r="X806"/>
      <c r="Y806"/>
      <c r="Z806"/>
      <c r="AA806"/>
    </row>
    <row r="807" s="17" customFormat="1" ht="15" spans="1:20">
      <c r="A807" s="35"/>
      <c r="B807" t="n" s="17">
        <f>70000000+F807*10000+H807*1000+I807*100+J807</f>
        <v>70515203</v>
      </c>
      <c r="C807" t="str" s="40">
        <v>凇覆苔痕-怪物7</v>
      </c>
      <c r="D807" s="3"/>
      <c r="E807" t="str" s="3">
        <f>F807&amp;(VLOOKUP(G807,编号表!$E$1:$G$8,2,0))&amp;H807&amp;"_"&amp;I807&amp;"_"&amp;J807</f>
        <v>51N5_2_3</v>
      </c>
      <c r="F807" t="n" s="3">
        <v>51</v>
      </c>
      <c r="G807" t="str" s="3">
        <v>怪物</v>
      </c>
      <c r="H807" t="n" s="3">
        <v>5</v>
      </c>
      <c r="I807" t="n" s="3">
        <v>2</v>
      </c>
      <c r="J807" t="n" s="3">
        <v>3</v>
      </c>
      <c r="K807" s="3"/>
      <c r="L807" s="3"/>
      <c r="M807" s="3"/>
      <c r="N807" s="3"/>
      <c r="O807" s="3"/>
      <c r="P807" s="3"/>
      <c r="Q807" s="3"/>
      <c r="R807" s="3"/>
      <c r="S807" s="17"/>
      <c r="T807" s="18"/>
      <c r="U807"/>
      <c r="V807"/>
      <c r="W807"/>
      <c r="X807"/>
      <c r="Y807"/>
      <c r="Z807"/>
      <c r="AA807"/>
    </row>
    <row r="808" ht="15" spans="1:20">
      <c r="A808" s="35"/>
      <c r="B808" t="n" s="17">
        <f>70000000+F808*10000+H808*1000+I808*100+J808</f>
        <v>70515001</v>
      </c>
      <c r="C808" t="str" s="39">
        <v>凇覆苔痕-镜头</v>
      </c>
      <c r="D808" s="3"/>
      <c r="E808" t="str" s="3">
        <f>F808&amp;(VLOOKUP(G808,编号表!$E$1:$G$8,2,0))&amp;H808&amp;"_"&amp;I808&amp;"_"&amp;J808</f>
        <v>51J5_0_1</v>
      </c>
      <c r="F808" t="n" s="3">
        <v>51</v>
      </c>
      <c r="G808" t="str" s="3">
        <v>镜头</v>
      </c>
      <c r="H808" t="n" s="3">
        <v>5</v>
      </c>
      <c r="I808" t="n" s="3">
        <v>0</v>
      </c>
      <c r="J808" t="n" s="3">
        <v>1</v>
      </c>
      <c r="K808" t="n" s="3">
        <v>1</v>
      </c>
      <c r="L808" s="3"/>
      <c r="M808" s="3"/>
      <c r="N808" s="3"/>
      <c r="O808" s="3"/>
      <c r="P808" s="3"/>
      <c r="Q808" s="3"/>
      <c r="R808" s="3"/>
      <c r="S808" s="17"/>
      <c r="T808" s="18"/>
      <c r="U808"/>
      <c r="V808"/>
      <c r="W808"/>
      <c r="X808"/>
      <c r="Y808"/>
      <c r="Z808"/>
      <c r="AA808"/>
    </row>
    <row r="809" ht="15" spans="1:20">
      <c r="A809" s="35"/>
      <c r="B809" t="n" s="17">
        <f>70000000+F809*10000+H809*1000+I809*100+J809</f>
        <v>70511001</v>
      </c>
      <c r="C809" t="str" s="37">
        <v>凇覆苔痕-传送</v>
      </c>
      <c r="D809" s="3"/>
      <c r="E809" t="str" s="3">
        <f>F809&amp;(VLOOKUP(G809,编号表!$E$1:$G$8,2,0))&amp;H809&amp;"_"&amp;I809&amp;"_"&amp;J809</f>
        <v>51T1_0_1</v>
      </c>
      <c r="F809" t="n" s="3">
        <v>51</v>
      </c>
      <c r="G809" t="str" s="3">
        <v>传送</v>
      </c>
      <c r="H809" t="n" s="3">
        <v>1</v>
      </c>
      <c r="I809" t="n" s="3">
        <v>0</v>
      </c>
      <c r="J809" t="n" s="3">
        <v>1</v>
      </c>
      <c r="K809" s="3"/>
      <c r="L809" t="n" s="3">
        <v>1</v>
      </c>
      <c r="M809" s="3"/>
      <c r="N809" s="3"/>
      <c r="O809" s="3"/>
      <c r="P809" s="3"/>
      <c r="Q809" s="3"/>
      <c r="R809" t="n" s="3">
        <v>70501002</v>
      </c>
      <c r="S809" s="17"/>
      <c r="T809" s="18"/>
      <c r="U809"/>
      <c r="V809"/>
      <c r="W809"/>
      <c r="X809"/>
      <c r="Y809"/>
      <c r="Z809"/>
      <c r="AA809"/>
    </row>
    <row r="810" ht="15" spans="1:20">
      <c r="A810" s="35"/>
      <c r="B810" t="n" s="17">
        <f>70000000+F810*10000+H810*1000+I810*100+J810</f>
        <v>70511002</v>
      </c>
      <c r="C810" t="str" s="37">
        <v>凇覆苔痕-传送</v>
      </c>
      <c r="D810" s="3"/>
      <c r="E810" t="str" s="3">
        <f>F810&amp;(VLOOKUP(G810,编号表!$E$1:$G$8,2,0))&amp;H810&amp;"_"&amp;I810&amp;"_"&amp;J810</f>
        <v>51T1_0_2</v>
      </c>
      <c r="F810" t="n" s="3">
        <v>51</v>
      </c>
      <c r="G810" t="str" s="3">
        <v>传送</v>
      </c>
      <c r="H810" t="n" s="3">
        <v>1</v>
      </c>
      <c r="I810" t="n" s="3">
        <v>0</v>
      </c>
      <c r="J810" t="n" s="3">
        <v>2</v>
      </c>
      <c r="K810" s="3"/>
      <c r="L810" t="n" s="3">
        <v>1</v>
      </c>
      <c r="M810" s="3"/>
      <c r="N810" s="3"/>
      <c r="O810" s="3"/>
      <c r="P810" s="3"/>
      <c r="Q810" s="3"/>
      <c r="R810" t="n" s="3">
        <v>70521001</v>
      </c>
      <c r="S810" s="17"/>
      <c r="T810" s="18"/>
      <c r="U810"/>
      <c r="V810"/>
      <c r="W810"/>
      <c r="X810"/>
      <c r="Y810"/>
      <c r="Z810"/>
      <c r="AA810"/>
    </row>
    <row r="811" ht="15" spans="1:20">
      <c r="A811" s="35"/>
      <c r="B811" t="n" s="17">
        <f>70000000+F811*10000+H811*1000+I811*100+J811</f>
        <v>70512001</v>
      </c>
      <c r="C811" t="str" s="37">
        <v>凇覆苔痕-小地图</v>
      </c>
      <c r="D811" s="3"/>
      <c r="E811" t="str" s="3">
        <f>F811&amp;(VLOOKUP(G811,编号表!$E$1:$G$8,2,0))&amp;H811&amp;"_"&amp;I811&amp;"_"&amp;J811</f>
        <v>51D2_0_1</v>
      </c>
      <c r="F811" t="n" s="3">
        <v>51</v>
      </c>
      <c r="G811" t="str" s="3">
        <v>小地图</v>
      </c>
      <c r="H811" t="n" s="3">
        <v>2</v>
      </c>
      <c r="I811" t="n" s="3">
        <v>0</v>
      </c>
      <c r="J811" t="n" s="3">
        <v>1</v>
      </c>
      <c r="K811" s="3"/>
      <c r="L811" s="3"/>
      <c r="M811" t="n" s="3">
        <v>1</v>
      </c>
      <c r="N811" s="3"/>
      <c r="O811" s="3"/>
      <c r="P811" s="3"/>
      <c r="Q811" s="3"/>
      <c r="R811" s="3"/>
      <c r="S811" s="17"/>
      <c r="T811" s="18"/>
      <c r="U811"/>
      <c r="V811"/>
      <c r="W811"/>
      <c r="X811"/>
      <c r="Y811"/>
      <c r="Z811"/>
      <c r="AA811"/>
    </row>
    <row r="812" s="17" customFormat="1" ht="15" spans="1:20">
      <c r="A812" s="35"/>
      <c r="B812" t="n" s="17">
        <f>70000000+F812*10000+H812*1000+I812*100+J812</f>
        <v>70525101</v>
      </c>
      <c r="C812" t="str" s="40">
        <v>寒水迟芽-怪物1</v>
      </c>
      <c r="D812" s="3"/>
      <c r="E812" t="str" s="3">
        <f>F812&amp;(VLOOKUP(G812,编号表!$E$1:$G$8,2,0))&amp;H812&amp;"_"&amp;I812&amp;"_"&amp;J812</f>
        <v>52N5_1_1</v>
      </c>
      <c r="F812" t="n" s="3">
        <v>52</v>
      </c>
      <c r="G812" t="str" s="3">
        <v>怪物</v>
      </c>
      <c r="H812" t="n" s="3">
        <v>5</v>
      </c>
      <c r="I812" t="n" s="3">
        <v>1</v>
      </c>
      <c r="J812" t="n" s="3">
        <v>1</v>
      </c>
      <c r="K812" s="3"/>
      <c r="L812" s="3"/>
      <c r="M812" s="3"/>
      <c r="N812" s="3"/>
      <c r="O812" s="3"/>
      <c r="P812" s="3"/>
      <c r="Q812" s="3"/>
      <c r="R812" s="3"/>
      <c r="S812" t="str" s="17">
        <v>本轮完整刷新挂接；有效坐标注入后验证</v>
      </c>
      <c r="T812" t="n" s="18">
        <v>1059103</v>
      </c>
      <c r="U812"/>
      <c r="V812"/>
      <c r="W812"/>
      <c r="X812"/>
      <c r="Y812"/>
      <c r="Z812"/>
      <c r="AA812"/>
    </row>
    <row r="813" s="17" customFormat="1" ht="15" spans="1:20">
      <c r="A813" s="35"/>
      <c r="B813" t="n" s="17">
        <f>70000000+F813*10000+H813*1000+I813*100+J813</f>
        <v>70525102</v>
      </c>
      <c r="C813" t="str" s="40">
        <v>寒水迟芽-怪物2</v>
      </c>
      <c r="D813" s="3"/>
      <c r="E813" t="str" s="3">
        <f>F813&amp;(VLOOKUP(G813,编号表!$E$1:$G$8,2,0))&amp;H813&amp;"_"&amp;I813&amp;"_"&amp;J813</f>
        <v>52N5_1_2</v>
      </c>
      <c r="F813" t="n" s="3">
        <v>52</v>
      </c>
      <c r="G813" t="str" s="3">
        <v>怪物</v>
      </c>
      <c r="H813" t="n" s="3">
        <v>5</v>
      </c>
      <c r="I813" t="n" s="3">
        <v>1</v>
      </c>
      <c r="J813" t="n" s="3">
        <v>2</v>
      </c>
      <c r="K813" s="3"/>
      <c r="L813" s="3"/>
      <c r="M813" s="3"/>
      <c r="N813" s="3"/>
      <c r="O813" s="3"/>
      <c r="P813" s="3"/>
      <c r="Q813" s="3"/>
      <c r="R813" s="3"/>
      <c r="S813" t="str" s="17">
        <v>本轮完整刷新挂接；有效坐标注入后验证</v>
      </c>
      <c r="T813" t="n" s="18">
        <v>1059304</v>
      </c>
      <c r="U813"/>
      <c r="V813"/>
      <c r="W813"/>
      <c r="X813"/>
      <c r="Y813"/>
      <c r="Z813"/>
      <c r="AA813"/>
    </row>
    <row r="814" s="17" customFormat="1" ht="15" spans="1:20">
      <c r="A814" s="35"/>
      <c r="B814" t="n" s="17">
        <f>70000000+F814*10000+H814*1000+I814*100+J814</f>
        <v>70525103</v>
      </c>
      <c r="C814" t="str" s="40">
        <v>寒水迟芽-怪物3</v>
      </c>
      <c r="D814" s="3"/>
      <c r="E814" t="str" s="3">
        <f>F814&amp;(VLOOKUP(G814,编号表!$E$1:$G$8,2,0))&amp;H814&amp;"_"&amp;I814&amp;"_"&amp;J814</f>
        <v>52N5_1_3</v>
      </c>
      <c r="F814" t="n" s="3">
        <v>52</v>
      </c>
      <c r="G814" t="str" s="3">
        <v>怪物</v>
      </c>
      <c r="H814" t="n" s="3">
        <v>5</v>
      </c>
      <c r="I814" t="n" s="3">
        <v>1</v>
      </c>
      <c r="J814" t="n" s="3">
        <v>3</v>
      </c>
      <c r="K814" s="3"/>
      <c r="L814" s="3"/>
      <c r="M814" s="3"/>
      <c r="N814" s="3"/>
      <c r="O814" s="3"/>
      <c r="P814" s="3"/>
      <c r="Q814" s="3"/>
      <c r="R814" s="3"/>
      <c r="S814" t="str" s="17">
        <v>本轮完整刷新挂接；有效坐标注入后验证</v>
      </c>
      <c r="T814" t="n" s="18">
        <v>1059404</v>
      </c>
      <c r="U814"/>
      <c r="V814"/>
      <c r="W814"/>
      <c r="X814"/>
      <c r="Y814"/>
      <c r="Z814"/>
      <c r="AA814"/>
    </row>
    <row r="815" s="17" customFormat="1" ht="15" spans="1:20">
      <c r="A815" s="35"/>
      <c r="B815" t="n" s="17">
        <f>70000000+F815*10000+H815*1000+I815*100+J815</f>
        <v>70525201</v>
      </c>
      <c r="C815" t="str" s="40">
        <v>寒水迟芽-怪物4</v>
      </c>
      <c r="D815" s="3"/>
      <c r="E815" t="str" s="3">
        <f>F815&amp;(VLOOKUP(G815,编号表!$E$1:$G$8,2,0))&amp;H815&amp;"_"&amp;I815&amp;"_"&amp;J815</f>
        <v>52N5_2_1</v>
      </c>
      <c r="F815" t="n" s="3">
        <v>52</v>
      </c>
      <c r="G815" t="str" s="3">
        <v>怪物</v>
      </c>
      <c r="H815" t="n" s="3">
        <v>5</v>
      </c>
      <c r="I815" t="n" s="3">
        <v>2</v>
      </c>
      <c r="J815" t="n" s="3">
        <v>1</v>
      </c>
      <c r="K815" s="3"/>
      <c r="L815" s="3"/>
      <c r="M815" s="3"/>
      <c r="N815" s="3"/>
      <c r="O815" s="3"/>
      <c r="P815" s="3"/>
      <c r="Q815" s="3"/>
      <c r="R815" s="3"/>
      <c r="S815" t="str" s="17">
        <v>本轮完整刷新挂接；有效坐标注入后验证</v>
      </c>
      <c r="T815" t="n" s="18">
        <v>1059503</v>
      </c>
      <c r="U815"/>
      <c r="V815"/>
      <c r="W815"/>
      <c r="X815"/>
      <c r="Y815"/>
      <c r="Z815"/>
      <c r="AA815"/>
    </row>
    <row r="816" s="17" customFormat="1" ht="15" spans="1:20">
      <c r="A816" s="35"/>
      <c r="B816" t="n" s="17">
        <f>70000000+F816*10000+H816*1000+I816*100+J816</f>
        <v>70525202</v>
      </c>
      <c r="C816" t="str" s="40">
        <v>寒水迟芽-怪物5</v>
      </c>
      <c r="D816" s="3"/>
      <c r="E816" t="str" s="3">
        <f>F816&amp;(VLOOKUP(G816,编号表!$E$1:$G$8,2,0))&amp;H816&amp;"_"&amp;I816&amp;"_"&amp;J816</f>
        <v>52N5_2_2</v>
      </c>
      <c r="F816" t="n" s="3">
        <v>52</v>
      </c>
      <c r="G816" t="str" s="3">
        <v>怪物</v>
      </c>
      <c r="H816" t="n" s="3">
        <v>5</v>
      </c>
      <c r="I816" t="n" s="3">
        <v>2</v>
      </c>
      <c r="J816" t="n" s="3">
        <v>2</v>
      </c>
      <c r="K816" s="3"/>
      <c r="L816" s="3"/>
      <c r="M816" s="3"/>
      <c r="N816" s="3"/>
      <c r="O816" s="3"/>
      <c r="P816" s="3"/>
      <c r="Q816" s="3"/>
      <c r="R816" s="3"/>
      <c r="S816" t="str" s="17">
        <v>本轮完整刷新挂接；有效坐标注入后验证</v>
      </c>
      <c r="T816" t="n" s="18">
        <v>1059604</v>
      </c>
      <c r="U816"/>
      <c r="V816"/>
      <c r="W816"/>
      <c r="X816"/>
      <c r="Y816"/>
      <c r="Z816"/>
      <c r="AA816"/>
    </row>
    <row r="817" s="17" customFormat="1" ht="15" spans="1:20">
      <c r="A817" s="35"/>
      <c r="B817" t="n" s="17">
        <f>70000000+F817*10000+H817*1000+I817*100+J817</f>
        <v>70525203</v>
      </c>
      <c r="C817" t="str" s="40">
        <v>寒水迟芽-怪物6</v>
      </c>
      <c r="D817" s="3"/>
      <c r="E817" t="str" s="3">
        <f>F817&amp;(VLOOKUP(G817,编号表!$E$1:$G$8,2,0))&amp;H817&amp;"_"&amp;I817&amp;"_"&amp;J817</f>
        <v>52N5_2_3</v>
      </c>
      <c r="F817" t="n" s="3">
        <v>52</v>
      </c>
      <c r="G817" t="str" s="3">
        <v>怪物</v>
      </c>
      <c r="H817" t="n" s="3">
        <v>5</v>
      </c>
      <c r="I817" t="n" s="3">
        <v>2</v>
      </c>
      <c r="J817" t="n" s="3">
        <v>3</v>
      </c>
      <c r="K817" s="3"/>
      <c r="L817" s="3"/>
      <c r="M817" s="3"/>
      <c r="N817" s="3"/>
      <c r="O817" s="3"/>
      <c r="P817" s="3"/>
      <c r="Q817" s="3"/>
      <c r="R817" s="3"/>
      <c r="S817" s="17"/>
      <c r="T817" s="18"/>
      <c r="U817"/>
      <c r="V817"/>
      <c r="W817"/>
      <c r="X817"/>
      <c r="Y817"/>
      <c r="Z817"/>
      <c r="AA817"/>
    </row>
    <row r="818" ht="15" spans="1:20">
      <c r="A818" s="35"/>
      <c r="B818" t="n" s="17">
        <f>70000000+F818*10000+H818*1000+I818*100+J818</f>
        <v>70525001</v>
      </c>
      <c r="C818" t="str" s="39">
        <v>寒水迟芽-镜头</v>
      </c>
      <c r="D818" s="3"/>
      <c r="E818" t="str" s="3">
        <f>F818&amp;(VLOOKUP(G818,编号表!$E$1:$G$8,2,0))&amp;H818&amp;"_"&amp;I818&amp;"_"&amp;J818</f>
        <v>52J5_0_1</v>
      </c>
      <c r="F818" t="n" s="3">
        <v>52</v>
      </c>
      <c r="G818" t="str" s="3">
        <v>镜头</v>
      </c>
      <c r="H818" t="n" s="3">
        <v>5</v>
      </c>
      <c r="I818" t="n" s="3">
        <v>0</v>
      </c>
      <c r="J818" t="n" s="3">
        <v>1</v>
      </c>
      <c r="K818" t="n" s="3">
        <v>1</v>
      </c>
      <c r="L818" s="3"/>
      <c r="M818" s="3"/>
      <c r="N818" s="3"/>
      <c r="O818" s="3"/>
      <c r="P818" s="3"/>
      <c r="Q818" s="3"/>
      <c r="R818" s="3"/>
      <c r="S818" s="17"/>
      <c r="T818" s="18"/>
      <c r="U818"/>
      <c r="V818"/>
      <c r="W818"/>
      <c r="X818"/>
      <c r="Y818"/>
      <c r="Z818"/>
      <c r="AA818"/>
    </row>
    <row r="819" ht="15" spans="1:20">
      <c r="A819" s="35"/>
      <c r="B819" t="n" s="17">
        <f>70000000+F819*10000+H819*1000+I819*100+J819</f>
        <v>70521001</v>
      </c>
      <c r="C819" t="str" s="37">
        <v>寒水迟芽-传送</v>
      </c>
      <c r="D819" s="3"/>
      <c r="E819" t="str" s="3">
        <f>F819&amp;(VLOOKUP(G819,编号表!$E$1:$G$8,2,0))&amp;H819&amp;"_"&amp;I819&amp;"_"&amp;J819</f>
        <v>52T1_0_1</v>
      </c>
      <c r="F819" t="n" s="3">
        <v>52</v>
      </c>
      <c r="G819" t="str" s="3">
        <v>传送</v>
      </c>
      <c r="H819" t="n" s="3">
        <v>1</v>
      </c>
      <c r="I819" t="n" s="3">
        <v>0</v>
      </c>
      <c r="J819" t="n" s="3">
        <v>1</v>
      </c>
      <c r="K819" s="3"/>
      <c r="L819" t="n" s="3">
        <v>1</v>
      </c>
      <c r="M819" s="3"/>
      <c r="N819" s="3"/>
      <c r="O819" s="3"/>
      <c r="P819" s="3"/>
      <c r="Q819" s="3"/>
      <c r="R819" t="n" s="3">
        <v>70511002</v>
      </c>
      <c r="S819" s="17"/>
      <c r="T819" s="18"/>
      <c r="U819"/>
      <c r="V819"/>
      <c r="W819"/>
      <c r="X819"/>
      <c r="Y819"/>
      <c r="Z819"/>
      <c r="AA819"/>
    </row>
    <row r="820" ht="15" spans="1:20">
      <c r="A820" s="35"/>
      <c r="B820" t="n" s="17">
        <f>70000000+F820*10000+H820*1000+I820*100+J820</f>
        <v>70521002</v>
      </c>
      <c r="C820" t="str" s="37">
        <v>寒水迟芽-传送</v>
      </c>
      <c r="D820" s="3"/>
      <c r="E820" t="str" s="3">
        <f>F820&amp;(VLOOKUP(G820,编号表!$E$1:$G$8,2,0))&amp;H820&amp;"_"&amp;I820&amp;"_"&amp;J820</f>
        <v>52T1_0_2</v>
      </c>
      <c r="F820" t="n" s="3">
        <v>52</v>
      </c>
      <c r="G820" t="str" s="3">
        <v>传送</v>
      </c>
      <c r="H820" t="n" s="3">
        <v>1</v>
      </c>
      <c r="I820" t="n" s="3">
        <v>0</v>
      </c>
      <c r="J820" t="n" s="3">
        <v>2</v>
      </c>
      <c r="K820" s="3"/>
      <c r="L820" t="n" s="3">
        <v>1</v>
      </c>
      <c r="M820" s="3"/>
      <c r="N820" s="3"/>
      <c r="O820" s="3"/>
      <c r="P820" s="3"/>
      <c r="Q820" s="3"/>
      <c r="R820" t="n" s="3">
        <v>70531001</v>
      </c>
      <c r="S820" s="17"/>
      <c r="T820" s="18"/>
      <c r="U820"/>
      <c r="V820"/>
      <c r="W820"/>
      <c r="X820"/>
      <c r="Y820"/>
      <c r="Z820"/>
      <c r="AA820"/>
    </row>
    <row r="821" ht="15" spans="1:20">
      <c r="A821" s="35"/>
      <c r="B821" t="n" s="17">
        <f>70000000+F821*10000+H821*1000+I821*100+J821</f>
        <v>70522001</v>
      </c>
      <c r="C821" t="str" s="37">
        <v>寒水迟芽-小地图</v>
      </c>
      <c r="D821" s="3"/>
      <c r="E821" t="str" s="3">
        <f>F821&amp;(VLOOKUP(G821,编号表!$E$1:$G$8,2,0))&amp;H821&amp;"_"&amp;I821&amp;"_"&amp;J821</f>
        <v>52D2_0_1</v>
      </c>
      <c r="F821" t="n" s="3">
        <v>52</v>
      </c>
      <c r="G821" t="str" s="3">
        <v>小地图</v>
      </c>
      <c r="H821" t="n" s="3">
        <v>2</v>
      </c>
      <c r="I821" t="n" s="3">
        <v>0</v>
      </c>
      <c r="J821" t="n" s="3">
        <v>1</v>
      </c>
      <c r="K821" s="3"/>
      <c r="L821" s="3"/>
      <c r="M821" t="n" s="3">
        <v>1</v>
      </c>
      <c r="N821" s="3"/>
      <c r="O821" s="3"/>
      <c r="P821" s="3"/>
      <c r="Q821" s="3"/>
      <c r="R821" s="3"/>
      <c r="S821" s="17"/>
      <c r="T821" s="18"/>
      <c r="U821"/>
      <c r="V821"/>
      <c r="W821"/>
      <c r="X821"/>
      <c r="Y821"/>
      <c r="Z821"/>
      <c r="AA821"/>
    </row>
    <row r="822" s="17" customFormat="1" ht="15" spans="1:20">
      <c r="A822" s="35"/>
      <c r="B822" t="n" s="17">
        <f>70000000+F822*10000+H822*1000+I822*100+J822</f>
        <v>70535101</v>
      </c>
      <c r="C822" t="str" s="40">
        <v>鞍窍-采集物1</v>
      </c>
      <c r="D822" s="3"/>
      <c r="E822" t="str" s="3">
        <f>F822&amp;(VLOOKUP(G822,编号表!$E$1:$G$8,2,0))&amp;H822&amp;"_"&amp;I822&amp;"_"&amp;J822</f>
        <v>53C5_1_1</v>
      </c>
      <c r="F822" t="n" s="3">
        <v>53</v>
      </c>
      <c r="G822" t="str" s="3">
        <v>采集物</v>
      </c>
      <c r="H822" t="n" s="3">
        <v>5</v>
      </c>
      <c r="I822" t="n" s="3">
        <v>1</v>
      </c>
      <c r="J822" t="n" s="3">
        <v>1</v>
      </c>
      <c r="K822" s="3"/>
      <c r="L822" s="3"/>
      <c r="M822" s="3"/>
      <c r="N822" s="3"/>
      <c r="O822" s="3"/>
      <c r="P822" s="3"/>
      <c r="Q822" s="3"/>
      <c r="R822" s="3"/>
      <c r="S822" s="17"/>
      <c r="T822" s="18"/>
      <c r="U822"/>
      <c r="V822"/>
      <c r="W822"/>
      <c r="X822"/>
      <c r="Y822"/>
      <c r="Z822"/>
      <c r="AA822"/>
    </row>
    <row r="823" s="17" customFormat="1" ht="15" spans="1:20">
      <c r="A823" s="35"/>
      <c r="B823" t="n" s="17">
        <f>70000000+F823*10000+H823*1000+I823*100+J823</f>
        <v>70535102</v>
      </c>
      <c r="C823" t="str" s="40">
        <v>鞍窍-采集物2</v>
      </c>
      <c r="D823" s="3"/>
      <c r="E823" t="str" s="3">
        <f>F823&amp;(VLOOKUP(G823,编号表!$E$1:$G$8,2,0))&amp;H823&amp;"_"&amp;I823&amp;"_"&amp;J823</f>
        <v>53C5_1_2</v>
      </c>
      <c r="F823" t="n" s="3">
        <v>53</v>
      </c>
      <c r="G823" t="str" s="3">
        <v>采集物</v>
      </c>
      <c r="H823" t="n" s="3">
        <v>5</v>
      </c>
      <c r="I823" t="n" s="3">
        <v>1</v>
      </c>
      <c r="J823" t="n" s="3">
        <v>2</v>
      </c>
      <c r="K823" s="3"/>
      <c r="L823" s="3"/>
      <c r="M823" s="3"/>
      <c r="N823" s="3"/>
      <c r="O823" s="3"/>
      <c r="P823" s="3"/>
      <c r="Q823" s="3"/>
      <c r="R823" s="3"/>
      <c r="S823" s="17"/>
      <c r="T823" s="18"/>
      <c r="U823"/>
      <c r="V823"/>
      <c r="W823"/>
      <c r="X823"/>
      <c r="Y823"/>
      <c r="Z823"/>
      <c r="AA823"/>
    </row>
    <row r="824" s="17" customFormat="1" ht="15" spans="1:20">
      <c r="A824" s="35"/>
      <c r="B824" t="n" s="17">
        <f>70000000+F824*10000+H824*1000+I824*100+J824</f>
        <v>70535103</v>
      </c>
      <c r="C824" t="str" s="40">
        <v>鞍窍-采集物3</v>
      </c>
      <c r="D824" s="3"/>
      <c r="E824" t="str" s="3">
        <f>F824&amp;(VLOOKUP(G824,编号表!$E$1:$G$8,2,0))&amp;H824&amp;"_"&amp;I824&amp;"_"&amp;J824</f>
        <v>53C5_1_3</v>
      </c>
      <c r="F824" t="n" s="3">
        <v>53</v>
      </c>
      <c r="G824" t="str" s="3">
        <v>采集物</v>
      </c>
      <c r="H824" t="n" s="3">
        <v>5</v>
      </c>
      <c r="I824" t="n" s="3">
        <v>1</v>
      </c>
      <c r="J824" t="n" s="3">
        <v>3</v>
      </c>
      <c r="K824" s="3"/>
      <c r="L824" s="3"/>
      <c r="M824" s="3"/>
      <c r="N824" s="3"/>
      <c r="O824" s="3"/>
      <c r="P824" s="3"/>
      <c r="Q824" s="3"/>
      <c r="R824" s="3"/>
      <c r="S824" s="17"/>
      <c r="T824" s="18"/>
      <c r="U824"/>
      <c r="V824"/>
      <c r="W824"/>
      <c r="X824"/>
      <c r="Y824"/>
      <c r="Z824"/>
      <c r="AA824"/>
    </row>
    <row r="825" s="17" customFormat="1" ht="15" spans="1:20">
      <c r="A825" s="35"/>
      <c r="B825" t="n" s="17">
        <f>70000000+F825*10000+H825*1000+I825*100+J825</f>
        <v>70535201</v>
      </c>
      <c r="C825" t="str" s="40">
        <v>鞍窍-采集物4</v>
      </c>
      <c r="D825" s="3"/>
      <c r="E825" t="str" s="3">
        <f>F825&amp;(VLOOKUP(G825,编号表!$E$1:$G$8,2,0))&amp;H825&amp;"_"&amp;I825&amp;"_"&amp;J825</f>
        <v>53C5_2_1</v>
      </c>
      <c r="F825" t="n" s="3">
        <v>53</v>
      </c>
      <c r="G825" t="str" s="3">
        <v>采集物</v>
      </c>
      <c r="H825" t="n" s="3">
        <v>5</v>
      </c>
      <c r="I825" t="n" s="3">
        <v>2</v>
      </c>
      <c r="J825" t="n" s="3">
        <v>1</v>
      </c>
      <c r="K825" s="3"/>
      <c r="L825" s="3"/>
      <c r="M825" s="3"/>
      <c r="N825" s="3"/>
      <c r="O825" s="3"/>
      <c r="P825" s="3"/>
      <c r="Q825" s="3"/>
      <c r="R825" s="3"/>
      <c r="S825" s="17"/>
      <c r="T825" s="18"/>
      <c r="U825"/>
      <c r="V825"/>
      <c r="W825"/>
      <c r="X825"/>
      <c r="Y825"/>
      <c r="Z825"/>
      <c r="AA825"/>
    </row>
    <row r="826" s="17" customFormat="1" ht="15" spans="1:20">
      <c r="A826" s="35"/>
      <c r="B826" t="n" s="17">
        <f>70000000+F826*10000+H826*1000+I826*100+J826</f>
        <v>70535202</v>
      </c>
      <c r="C826" t="str" s="40">
        <v>鞍窍-采集物5</v>
      </c>
      <c r="D826" s="3"/>
      <c r="E826" t="str" s="3">
        <f>F826&amp;(VLOOKUP(G826,编号表!$E$1:$G$8,2,0))&amp;H826&amp;"_"&amp;I826&amp;"_"&amp;J826</f>
        <v>53C5_2_2</v>
      </c>
      <c r="F826" t="n" s="3">
        <v>53</v>
      </c>
      <c r="G826" t="str" s="3">
        <v>采集物</v>
      </c>
      <c r="H826" t="n" s="3">
        <v>5</v>
      </c>
      <c r="I826" t="n" s="3">
        <v>2</v>
      </c>
      <c r="J826" t="n" s="3">
        <v>2</v>
      </c>
      <c r="K826" s="3"/>
      <c r="L826" s="3"/>
      <c r="M826" s="3"/>
      <c r="N826" s="3"/>
      <c r="O826" s="3"/>
      <c r="P826" s="3"/>
      <c r="Q826" s="3"/>
      <c r="R826" s="3"/>
      <c r="S826" s="17"/>
      <c r="T826" s="18"/>
      <c r="U826"/>
      <c r="V826"/>
      <c r="W826"/>
      <c r="X826"/>
      <c r="Y826"/>
      <c r="Z826"/>
      <c r="AA826"/>
    </row>
    <row r="827" s="17" customFormat="1" ht="15" spans="1:20">
      <c r="A827" s="35"/>
      <c r="B827" t="n" s="17">
        <f>70000000+F827*10000+H827*1000+I827*100+J827</f>
        <v>70535203</v>
      </c>
      <c r="C827" t="str" s="40">
        <v>鞍窍-采集物6</v>
      </c>
      <c r="D827" s="3"/>
      <c r="E827" t="str" s="3">
        <f>F827&amp;(VLOOKUP(G827,编号表!$E$1:$G$8,2,0))&amp;H827&amp;"_"&amp;I827&amp;"_"&amp;J827</f>
        <v>53C5_2_3</v>
      </c>
      <c r="F827" t="n" s="3">
        <v>53</v>
      </c>
      <c r="G827" t="str" s="3">
        <v>采集物</v>
      </c>
      <c r="H827" t="n" s="3">
        <v>5</v>
      </c>
      <c r="I827" t="n" s="3">
        <v>2</v>
      </c>
      <c r="J827" t="n" s="3">
        <v>3</v>
      </c>
      <c r="K827" s="3"/>
      <c r="L827" s="3"/>
      <c r="M827" s="3"/>
      <c r="N827" s="3"/>
      <c r="O827" s="3"/>
      <c r="P827" s="3"/>
      <c r="Q827" s="3"/>
      <c r="R827" s="3"/>
      <c r="S827" s="17"/>
      <c r="T827" s="18"/>
      <c r="U827"/>
      <c r="V827"/>
      <c r="W827"/>
      <c r="X827"/>
      <c r="Y827"/>
      <c r="Z827"/>
      <c r="AA827"/>
    </row>
    <row r="828" s="17" customFormat="1" ht="15" spans="1:20">
      <c r="A828" s="35"/>
      <c r="B828" t="n" s="17">
        <f>70000000+F828*10000+H828*1000+I828*100+J828</f>
        <v>70535204</v>
      </c>
      <c r="C828" t="str" s="40">
        <v>鞍窍-采集物7</v>
      </c>
      <c r="D828" s="3"/>
      <c r="E828" t="str" s="3">
        <f>F828&amp;(VLOOKUP(G828,编号表!$E$1:$G$8,2,0))&amp;H828&amp;"_"&amp;I828&amp;"_"&amp;J828</f>
        <v>53C5_2_4</v>
      </c>
      <c r="F828" t="n" s="3">
        <v>53</v>
      </c>
      <c r="G828" t="str" s="3">
        <v>采集物</v>
      </c>
      <c r="H828" t="n" s="3">
        <v>5</v>
      </c>
      <c r="I828" t="n" s="3">
        <v>2</v>
      </c>
      <c r="J828" t="n" s="3">
        <v>4</v>
      </c>
      <c r="K828" s="3"/>
      <c r="L828" s="3"/>
      <c r="M828" s="3"/>
      <c r="N828" s="3"/>
      <c r="O828" s="3"/>
      <c r="P828" s="3"/>
      <c r="Q828" s="3"/>
      <c r="R828" s="3"/>
      <c r="S828" s="17"/>
      <c r="T828" s="18"/>
      <c r="U828"/>
      <c r="V828"/>
      <c r="W828"/>
      <c r="X828"/>
      <c r="Y828"/>
      <c r="Z828"/>
      <c r="AA828"/>
    </row>
    <row r="829" ht="15" spans="1:20">
      <c r="A829" s="35"/>
      <c r="B829" t="n" s="17">
        <f>70000000+F829*10000+H829*1000+I829*100+J829</f>
        <v>70535001</v>
      </c>
      <c r="C829" t="str" s="39">
        <v>鞍窍-镜头</v>
      </c>
      <c r="D829" s="3"/>
      <c r="E829" t="str" s="3">
        <f>F829&amp;(VLOOKUP(G829,编号表!$E$1:$G$8,2,0))&amp;H829&amp;"_"&amp;I829&amp;"_"&amp;J829</f>
        <v>53J5_0_1</v>
      </c>
      <c r="F829" t="n" s="3">
        <v>53</v>
      </c>
      <c r="G829" t="str" s="3">
        <v>镜头</v>
      </c>
      <c r="H829" t="n" s="3">
        <v>5</v>
      </c>
      <c r="I829" t="n" s="3">
        <v>0</v>
      </c>
      <c r="J829" t="n" s="3">
        <v>1</v>
      </c>
      <c r="K829" t="n" s="3">
        <v>1</v>
      </c>
      <c r="L829" s="3"/>
      <c r="M829" s="3"/>
      <c r="N829" s="3"/>
      <c r="O829" s="3"/>
      <c r="P829" s="3"/>
      <c r="Q829" s="3"/>
      <c r="R829" s="3"/>
      <c r="S829" s="17"/>
      <c r="T829" s="18"/>
      <c r="U829"/>
      <c r="V829"/>
      <c r="W829"/>
      <c r="X829"/>
      <c r="Y829"/>
      <c r="Z829"/>
      <c r="AA829"/>
    </row>
    <row r="830" ht="15" spans="1:20">
      <c r="A830" s="35"/>
      <c r="B830" t="n" s="17">
        <f>70000000+F830*10000+H830*1000+I830*100+J830</f>
        <v>70531001</v>
      </c>
      <c r="C830" t="str" s="37">
        <v>鞍窍-传送</v>
      </c>
      <c r="D830" s="3"/>
      <c r="E830" t="str" s="3">
        <f>F830&amp;(VLOOKUP(G830,编号表!$E$1:$G$8,2,0))&amp;H830&amp;"_"&amp;I830&amp;"_"&amp;J830</f>
        <v>53T1_0_1</v>
      </c>
      <c r="F830" t="n" s="3">
        <v>53</v>
      </c>
      <c r="G830" t="str" s="3">
        <v>传送</v>
      </c>
      <c r="H830" t="n" s="3">
        <v>1</v>
      </c>
      <c r="I830" t="n" s="3">
        <v>0</v>
      </c>
      <c r="J830" t="n" s="3">
        <v>1</v>
      </c>
      <c r="K830" s="3"/>
      <c r="L830" t="n" s="3">
        <v>1</v>
      </c>
      <c r="M830" s="3"/>
      <c r="N830" s="3"/>
      <c r="O830" s="3"/>
      <c r="P830" s="3"/>
      <c r="Q830" s="3"/>
      <c r="R830" t="n" s="3">
        <v>70521002</v>
      </c>
      <c r="S830" s="17"/>
      <c r="T830" s="18"/>
      <c r="U830"/>
      <c r="V830"/>
      <c r="W830"/>
      <c r="X830"/>
      <c r="Y830"/>
      <c r="Z830"/>
      <c r="AA830"/>
    </row>
    <row r="831" ht="15" spans="1:20">
      <c r="A831" s="35"/>
      <c r="B831" t="n" s="17">
        <f>70000000+F831*10000+H831*1000+I831*100+J831</f>
        <v>70531002</v>
      </c>
      <c r="C831" t="str" s="37">
        <v>鞍窍-传送</v>
      </c>
      <c r="D831" s="3"/>
      <c r="E831" t="str" s="3">
        <f>F831&amp;(VLOOKUP(G831,编号表!$E$1:$G$8,2,0))&amp;H831&amp;"_"&amp;I831&amp;"_"&amp;J831</f>
        <v>53T1_0_2</v>
      </c>
      <c r="F831" t="n" s="3">
        <v>53</v>
      </c>
      <c r="G831" t="str" s="3">
        <v>传送</v>
      </c>
      <c r="H831" t="n" s="3">
        <v>1</v>
      </c>
      <c r="I831" t="n" s="3">
        <v>0</v>
      </c>
      <c r="J831" t="n" s="3">
        <v>2</v>
      </c>
      <c r="K831" s="3"/>
      <c r="L831" t="n" s="3">
        <v>1</v>
      </c>
      <c r="M831" s="3"/>
      <c r="N831" s="3"/>
      <c r="O831" s="3"/>
      <c r="P831" s="3"/>
      <c r="Q831" s="3"/>
      <c r="R831" t="n" s="3">
        <v>70541001</v>
      </c>
      <c r="S831" s="17"/>
      <c r="T831" s="18"/>
      <c r="U831"/>
      <c r="V831"/>
      <c r="W831"/>
      <c r="X831"/>
      <c r="Y831"/>
      <c r="Z831"/>
      <c r="AA831"/>
    </row>
    <row r="832" ht="15" spans="1:20">
      <c r="A832" s="35"/>
      <c r="B832" t="n" s="17">
        <f>70000000+F832*10000+H832*1000+I832*100+J832</f>
        <v>70532001</v>
      </c>
      <c r="C832" t="str" s="37">
        <v>鞍窍-小地图</v>
      </c>
      <c r="D832" s="3"/>
      <c r="E832" t="str" s="3">
        <f>F832&amp;(VLOOKUP(G832,编号表!$E$1:$G$8,2,0))&amp;H832&amp;"_"&amp;I832&amp;"_"&amp;J832</f>
        <v>53D2_0_1</v>
      </c>
      <c r="F832" t="n" s="3">
        <v>53</v>
      </c>
      <c r="G832" t="str" s="3">
        <v>小地图</v>
      </c>
      <c r="H832" t="n" s="3">
        <v>2</v>
      </c>
      <c r="I832" t="n" s="3">
        <v>0</v>
      </c>
      <c r="J832" t="n" s="3">
        <v>1</v>
      </c>
      <c r="K832" s="3"/>
      <c r="L832" s="3"/>
      <c r="M832" t="n" s="3">
        <v>1</v>
      </c>
      <c r="N832" s="3"/>
      <c r="O832" s="3"/>
      <c r="P832" s="3"/>
      <c r="Q832" s="3"/>
      <c r="R832" s="3"/>
      <c r="S832" s="17"/>
      <c r="T832" s="18"/>
      <c r="U832"/>
      <c r="V832"/>
      <c r="W832"/>
      <c r="X832"/>
      <c r="Y832"/>
      <c r="Z832"/>
      <c r="AA832"/>
    </row>
    <row r="833" s="17" customFormat="1" ht="15" spans="1:20">
      <c r="A833" s="35"/>
      <c r="B833" t="n" s="17">
        <f>70000000+F833*10000+H833*1000+I833*100+J833</f>
        <v>70545101</v>
      </c>
      <c r="C833" t="str" s="40">
        <v>霁台-采集物1</v>
      </c>
      <c r="D833" s="3"/>
      <c r="E833" t="str" s="3">
        <f>F833&amp;(VLOOKUP(G833,编号表!$E$1:$G$8,2,0))&amp;H833&amp;"_"&amp;I833&amp;"_"&amp;J833</f>
        <v>54C5_1_1</v>
      </c>
      <c r="F833" t="n" s="3">
        <v>54</v>
      </c>
      <c r="G833" t="str" s="3">
        <v>采集物</v>
      </c>
      <c r="H833" t="n" s="3">
        <v>5</v>
      </c>
      <c r="I833" t="n" s="3">
        <v>1</v>
      </c>
      <c r="J833" t="n" s="3">
        <v>1</v>
      </c>
      <c r="K833" s="3"/>
      <c r="L833" s="3"/>
      <c r="M833" s="3"/>
      <c r="N833" s="3"/>
      <c r="O833" s="3"/>
      <c r="P833" s="3"/>
      <c r="Q833" s="3"/>
      <c r="R833" s="3"/>
      <c r="S833" s="17"/>
      <c r="T833" s="18"/>
      <c r="U833"/>
      <c r="V833"/>
      <c r="W833"/>
      <c r="X833"/>
      <c r="Y833"/>
      <c r="Z833"/>
      <c r="AA833"/>
    </row>
    <row r="834" s="17" customFormat="1" ht="15" spans="1:20">
      <c r="A834" s="35"/>
      <c r="B834" t="n" s="17">
        <f>70000000+F834*10000+H834*1000+I834*100+J834</f>
        <v>70545102</v>
      </c>
      <c r="C834" t="str" s="40">
        <v>霁台-采集物2</v>
      </c>
      <c r="D834" s="3"/>
      <c r="E834" t="str" s="3">
        <f>F834&amp;(VLOOKUP(G834,编号表!$E$1:$G$8,2,0))&amp;H834&amp;"_"&amp;I834&amp;"_"&amp;J834</f>
        <v>54C5_1_2</v>
      </c>
      <c r="F834" t="n" s="3">
        <v>54</v>
      </c>
      <c r="G834" t="str" s="3">
        <v>采集物</v>
      </c>
      <c r="H834" t="n" s="3">
        <v>5</v>
      </c>
      <c r="I834" t="n" s="3">
        <v>1</v>
      </c>
      <c r="J834" t="n" s="3">
        <v>2</v>
      </c>
      <c r="K834" s="3"/>
      <c r="L834" s="3"/>
      <c r="M834" s="3"/>
      <c r="N834" s="3"/>
      <c r="O834" s="3"/>
      <c r="P834" s="3"/>
      <c r="Q834" s="3"/>
      <c r="R834" s="3"/>
      <c r="S834" s="17"/>
      <c r="T834" s="18"/>
      <c r="U834"/>
      <c r="V834"/>
      <c r="W834"/>
      <c r="X834"/>
      <c r="Y834"/>
      <c r="Z834"/>
      <c r="AA834"/>
    </row>
    <row r="835" s="17" customFormat="1" ht="15" spans="1:20">
      <c r="A835" s="35"/>
      <c r="B835" t="n" s="17">
        <f>70000000+F835*10000+H835*1000+I835*100+J835</f>
        <v>70545103</v>
      </c>
      <c r="C835" t="str" s="40">
        <v>霁台-采集物3</v>
      </c>
      <c r="D835" s="3"/>
      <c r="E835" t="str" s="3">
        <f>F835&amp;(VLOOKUP(G835,编号表!$E$1:$G$8,2,0))&amp;H835&amp;"_"&amp;I835&amp;"_"&amp;J835</f>
        <v>54C5_1_3</v>
      </c>
      <c r="F835" t="n" s="3">
        <v>54</v>
      </c>
      <c r="G835" t="str" s="3">
        <v>采集物</v>
      </c>
      <c r="H835" t="n" s="3">
        <v>5</v>
      </c>
      <c r="I835" t="n" s="3">
        <v>1</v>
      </c>
      <c r="J835" t="n" s="3">
        <v>3</v>
      </c>
      <c r="K835" s="3"/>
      <c r="L835" s="3"/>
      <c r="M835" s="3"/>
      <c r="N835" s="3"/>
      <c r="O835" s="3"/>
      <c r="P835" s="3"/>
      <c r="Q835" s="3"/>
      <c r="R835" s="3"/>
      <c r="S835" s="17"/>
      <c r="T835" s="18"/>
      <c r="U835"/>
      <c r="V835"/>
      <c r="W835"/>
      <c r="X835"/>
      <c r="Y835"/>
      <c r="Z835"/>
      <c r="AA835"/>
    </row>
    <row r="836" s="17" customFormat="1" ht="15" spans="1:20">
      <c r="A836" s="35"/>
      <c r="B836" t="n" s="17">
        <f>70000000+F836*10000+H836*1000+I836*100+J836</f>
        <v>70545201</v>
      </c>
      <c r="C836" t="str" s="40">
        <v>霁台-采集物4</v>
      </c>
      <c r="D836" s="3"/>
      <c r="E836" t="str" s="3">
        <f>F836&amp;(VLOOKUP(G836,编号表!$E$1:$G$8,2,0))&amp;H836&amp;"_"&amp;I836&amp;"_"&amp;J836</f>
        <v>54C5_2_1</v>
      </c>
      <c r="F836" t="n" s="3">
        <v>54</v>
      </c>
      <c r="G836" t="str" s="3">
        <v>采集物</v>
      </c>
      <c r="H836" t="n" s="3">
        <v>5</v>
      </c>
      <c r="I836" t="n" s="3">
        <v>2</v>
      </c>
      <c r="J836" t="n" s="3">
        <v>1</v>
      </c>
      <c r="K836" s="3"/>
      <c r="L836" s="3"/>
      <c r="M836" s="3"/>
      <c r="N836" s="3"/>
      <c r="O836" s="3"/>
      <c r="P836" s="3"/>
      <c r="Q836" s="3"/>
      <c r="R836" s="3"/>
      <c r="S836" s="17"/>
      <c r="T836" s="18"/>
      <c r="U836"/>
      <c r="V836"/>
      <c r="W836"/>
      <c r="X836"/>
      <c r="Y836"/>
      <c r="Z836"/>
      <c r="AA836"/>
    </row>
    <row r="837" s="17" customFormat="1" ht="15" spans="1:20">
      <c r="A837" s="35"/>
      <c r="B837" t="n" s="17">
        <f>70000000+F837*10000+H837*1000+I837*100+J837</f>
        <v>70545202</v>
      </c>
      <c r="C837" t="str" s="40">
        <v>霁台-采集物5</v>
      </c>
      <c r="D837" s="3"/>
      <c r="E837" t="str" s="3">
        <f>F837&amp;(VLOOKUP(G837,编号表!$E$1:$G$8,2,0))&amp;H837&amp;"_"&amp;I837&amp;"_"&amp;J837</f>
        <v>54C5_2_2</v>
      </c>
      <c r="F837" t="n" s="3">
        <v>54</v>
      </c>
      <c r="G837" t="str" s="3">
        <v>采集物</v>
      </c>
      <c r="H837" t="n" s="3">
        <v>5</v>
      </c>
      <c r="I837" t="n" s="3">
        <v>2</v>
      </c>
      <c r="J837" t="n" s="3">
        <v>2</v>
      </c>
      <c r="K837" s="3"/>
      <c r="L837" s="3"/>
      <c r="M837" s="3"/>
      <c r="N837" s="3"/>
      <c r="O837" s="3"/>
      <c r="P837" s="3"/>
      <c r="Q837" s="3"/>
      <c r="R837" s="3"/>
      <c r="S837" s="17"/>
      <c r="T837" s="18"/>
      <c r="U837"/>
      <c r="V837"/>
      <c r="W837"/>
      <c r="X837"/>
      <c r="Y837"/>
      <c r="Z837"/>
      <c r="AA837"/>
    </row>
    <row r="838" s="17" customFormat="1" ht="15" spans="1:20">
      <c r="A838" s="35"/>
      <c r="B838" t="n" s="17">
        <f>70000000+F838*10000+H838*1000+I838*100+J838</f>
        <v>70545203</v>
      </c>
      <c r="C838" t="str" s="40">
        <v>霁台-采集物6</v>
      </c>
      <c r="D838" s="3"/>
      <c r="E838" t="str" s="3">
        <f>F838&amp;(VLOOKUP(G838,编号表!$E$1:$G$8,2,0))&amp;H838&amp;"_"&amp;I838&amp;"_"&amp;J838</f>
        <v>54C5_2_3</v>
      </c>
      <c r="F838" t="n" s="3">
        <v>54</v>
      </c>
      <c r="G838" t="str" s="3">
        <v>采集物</v>
      </c>
      <c r="H838" t="n" s="3">
        <v>5</v>
      </c>
      <c r="I838" t="n" s="3">
        <v>2</v>
      </c>
      <c r="J838" t="n" s="3">
        <v>3</v>
      </c>
      <c r="K838" s="3"/>
      <c r="L838" s="3"/>
      <c r="M838" s="3"/>
      <c r="N838" s="3"/>
      <c r="O838" s="3"/>
      <c r="P838" s="3"/>
      <c r="Q838" s="3"/>
      <c r="R838" s="3"/>
      <c r="S838" s="17"/>
      <c r="T838" s="18"/>
      <c r="U838"/>
      <c r="V838"/>
      <c r="W838"/>
      <c r="X838"/>
      <c r="Y838"/>
      <c r="Z838"/>
      <c r="AA838"/>
    </row>
    <row r="839" s="17" customFormat="1" ht="15" spans="1:20">
      <c r="A839" s="35"/>
      <c r="B839" t="n" s="17">
        <f>70000000+F839*10000+H839*1000+I839*100+J839</f>
        <v>70545204</v>
      </c>
      <c r="C839" t="str" s="40">
        <v>霁台-采集物7</v>
      </c>
      <c r="D839" s="3"/>
      <c r="E839" t="str" s="3">
        <f>F839&amp;(VLOOKUP(G839,编号表!$E$1:$G$8,2,0))&amp;H839&amp;"_"&amp;I839&amp;"_"&amp;J839</f>
        <v>54C5_2_4</v>
      </c>
      <c r="F839" t="n" s="3">
        <v>54</v>
      </c>
      <c r="G839" t="str" s="3">
        <v>采集物</v>
      </c>
      <c r="H839" t="n" s="3">
        <v>5</v>
      </c>
      <c r="I839" t="n" s="3">
        <v>2</v>
      </c>
      <c r="J839" t="n" s="3">
        <v>4</v>
      </c>
      <c r="K839" s="3"/>
      <c r="L839" s="3"/>
      <c r="M839" s="3"/>
      <c r="N839" s="3"/>
      <c r="O839" s="3"/>
      <c r="P839" s="3"/>
      <c r="Q839" s="3"/>
      <c r="R839" s="3"/>
      <c r="S839" s="17"/>
      <c r="T839" s="18"/>
      <c r="U839"/>
      <c r="V839"/>
      <c r="W839"/>
      <c r="X839"/>
      <c r="Y839"/>
      <c r="Z839"/>
      <c r="AA839"/>
    </row>
    <row r="840" ht="15" spans="1:20">
      <c r="A840" s="35"/>
      <c r="B840" t="n" s="17">
        <f>70000000+F840*10000+H840*1000+I840*100+J840</f>
        <v>70545001</v>
      </c>
      <c r="C840" t="str" s="39">
        <v>霁台-镜头</v>
      </c>
      <c r="D840" s="3"/>
      <c r="E840" t="str" s="3">
        <f>F840&amp;(VLOOKUP(G840,编号表!$E$1:$G$8,2,0))&amp;H840&amp;"_"&amp;I840&amp;"_"&amp;J840</f>
        <v>54J5_0_1</v>
      </c>
      <c r="F840" t="n" s="3">
        <v>54</v>
      </c>
      <c r="G840" t="str" s="3">
        <v>镜头</v>
      </c>
      <c r="H840" t="n" s="3">
        <v>5</v>
      </c>
      <c r="I840" t="n" s="3">
        <v>0</v>
      </c>
      <c r="J840" t="n" s="3">
        <v>1</v>
      </c>
      <c r="K840" t="n" s="3">
        <v>1</v>
      </c>
      <c r="L840" s="3"/>
      <c r="M840" s="3"/>
      <c r="N840" s="3"/>
      <c r="O840" s="3"/>
      <c r="P840" s="3"/>
      <c r="Q840" s="3"/>
      <c r="R840" s="3"/>
      <c r="S840" s="17"/>
      <c r="T840" s="18"/>
      <c r="U840"/>
      <c r="V840"/>
      <c r="W840"/>
      <c r="X840"/>
      <c r="Y840"/>
      <c r="Z840"/>
      <c r="AA840"/>
    </row>
    <row r="841" ht="15" spans="1:20">
      <c r="A841" s="35"/>
      <c r="B841" t="n" s="17">
        <f>70000000+F841*10000+H841*1000+I841*100+J841</f>
        <v>70541001</v>
      </c>
      <c r="C841" t="str" s="37">
        <v>霁台-传送</v>
      </c>
      <c r="D841" s="3"/>
      <c r="E841" t="str" s="3">
        <f>F841&amp;(VLOOKUP(G841,编号表!$E$1:$G$8,2,0))&amp;H841&amp;"_"&amp;I841&amp;"_"&amp;J841</f>
        <v>54T1_0_1</v>
      </c>
      <c r="F841" t="n" s="3">
        <v>54</v>
      </c>
      <c r="G841" t="str" s="3">
        <v>传送</v>
      </c>
      <c r="H841" t="n" s="3">
        <v>1</v>
      </c>
      <c r="I841" t="n" s="3">
        <v>0</v>
      </c>
      <c r="J841" t="n" s="3">
        <v>1</v>
      </c>
      <c r="K841" s="3"/>
      <c r="L841" t="n" s="3">
        <v>1</v>
      </c>
      <c r="M841" s="3"/>
      <c r="N841" s="3"/>
      <c r="O841" s="3"/>
      <c r="P841" s="3"/>
      <c r="Q841" s="3"/>
      <c r="R841" t="n" s="3">
        <v>70531002</v>
      </c>
      <c r="S841" s="17"/>
      <c r="T841" s="18"/>
      <c r="U841"/>
      <c r="V841"/>
      <c r="W841"/>
      <c r="X841"/>
      <c r="Y841"/>
      <c r="Z841"/>
      <c r="AA841"/>
    </row>
    <row r="842" ht="15" spans="1:20">
      <c r="A842" s="35"/>
      <c r="B842" t="n" s="17">
        <f>70000000+F842*10000+H842*1000+I842*100+J842</f>
        <v>70541002</v>
      </c>
      <c r="C842" t="str" s="37">
        <v>霁台-传送</v>
      </c>
      <c r="D842" s="3"/>
      <c r="E842" t="str" s="3">
        <f>F842&amp;(VLOOKUP(G842,编号表!$E$1:$G$8,2,0))&amp;H842&amp;"_"&amp;I842&amp;"_"&amp;J842</f>
        <v>54T1_0_2</v>
      </c>
      <c r="F842" t="n" s="3">
        <v>54</v>
      </c>
      <c r="G842" t="str" s="3">
        <v>传送</v>
      </c>
      <c r="H842" t="n" s="3">
        <v>1</v>
      </c>
      <c r="I842" t="n" s="3">
        <v>0</v>
      </c>
      <c r="J842" t="n" s="3">
        <v>2</v>
      </c>
      <c r="K842" s="3"/>
      <c r="L842" t="n" s="3">
        <v>1</v>
      </c>
      <c r="M842" s="3"/>
      <c r="N842" s="3"/>
      <c r="O842" s="3"/>
      <c r="P842" s="3"/>
      <c r="Q842" s="3"/>
      <c r="R842" t="n" s="3">
        <v>70016204</v>
      </c>
      <c r="S842" s="17"/>
      <c r="T842" s="18"/>
      <c r="U842"/>
      <c r="V842"/>
      <c r="W842"/>
      <c r="X842"/>
      <c r="Y842"/>
      <c r="Z842"/>
      <c r="AA842"/>
    </row>
    <row r="843" ht="15" spans="1:20">
      <c r="A843" s="35"/>
      <c r="B843" t="n" s="17">
        <f>70000000+F843*10000+H843*1000+I843*100+J843</f>
        <v>70542001</v>
      </c>
      <c r="C843" t="str" s="37">
        <v>霁台-小地图</v>
      </c>
      <c r="D843" s="3"/>
      <c r="E843" t="str" s="3">
        <f>F843&amp;(VLOOKUP(G843,编号表!$E$1:$G$8,2,0))&amp;H843&amp;"_"&amp;I843&amp;"_"&amp;J843</f>
        <v>54D2_0_1</v>
      </c>
      <c r="F843" t="n" s="3">
        <v>54</v>
      </c>
      <c r="G843" t="str" s="3">
        <v>小地图</v>
      </c>
      <c r="H843" t="n" s="3">
        <v>2</v>
      </c>
      <c r="I843" t="n" s="3">
        <v>0</v>
      </c>
      <c r="J843" t="n" s="3">
        <v>1</v>
      </c>
      <c r="K843" s="3"/>
      <c r="L843" s="3"/>
      <c r="M843" t="n" s="3">
        <v>1</v>
      </c>
      <c r="N843" s="3"/>
      <c r="O843" s="3"/>
      <c r="P843" s="3"/>
      <c r="Q843" s="3"/>
      <c r="R843" s="3"/>
      <c r="S843" s="17"/>
      <c r="T843" s="18"/>
      <c r="U843"/>
      <c r="V843"/>
      <c r="W843"/>
      <c r="X843"/>
      <c r="Y843"/>
      <c r="Z843"/>
      <c r="AA843"/>
    </row>
    <row r="844" s="17" customFormat="1" ht="15" spans="1:20">
      <c r="A844" s="35"/>
      <c r="B844" t="n" s="17">
        <f>70000000+F844*10000+H844*1000+I844*100+J844</f>
        <v>70555101</v>
      </c>
      <c r="C844" t="str" s="40">
        <v>霁台-怪物1</v>
      </c>
      <c r="D844" s="3"/>
      <c r="E844" t="str" s="3">
        <f>F844&amp;(VLOOKUP(G844,编号表!$E$1:$G$8,2,0))&amp;H844&amp;"_"&amp;I844&amp;"_"&amp;J844</f>
        <v>55N5_1_1</v>
      </c>
      <c r="F844" t="n" s="3">
        <v>55</v>
      </c>
      <c r="G844" t="str" s="3">
        <v>怪物</v>
      </c>
      <c r="H844" t="n" s="3">
        <v>5</v>
      </c>
      <c r="I844" t="n" s="3">
        <v>1</v>
      </c>
      <c r="J844" t="n" s="3">
        <v>1</v>
      </c>
      <c r="K844" s="3"/>
      <c r="L844" s="3"/>
      <c r="M844" s="3"/>
      <c r="N844" s="3"/>
      <c r="O844" s="3"/>
      <c r="P844" s="3"/>
      <c r="Q844" s="3"/>
      <c r="R844" s="3"/>
      <c r="S844" t="str" s="17">
        <v>本轮完整刷新挂接；有效坐标注入后验证</v>
      </c>
      <c r="T844" t="n" s="18">
        <v>1900252</v>
      </c>
      <c r="U844"/>
      <c r="V844"/>
      <c r="W844"/>
      <c r="X844"/>
      <c r="Y844"/>
      <c r="Z844"/>
      <c r="AA844"/>
    </row>
    <row r="845" s="17" customFormat="1" ht="15" spans="1:20">
      <c r="A845" s="35"/>
      <c r="B845" t="n" s="17">
        <f>70000000+F845*10000+H845*1000+I845*100+J845</f>
        <v>70555102</v>
      </c>
      <c r="C845" t="str" s="40">
        <v>霁台-怪物2</v>
      </c>
      <c r="D845" s="3"/>
      <c r="E845" t="str" s="3">
        <f>F845&amp;(VLOOKUP(G845,编号表!$E$1:$G$8,2,0))&amp;H845&amp;"_"&amp;I845&amp;"_"&amp;J845</f>
        <v>55N5_1_2</v>
      </c>
      <c r="F845" t="n" s="3">
        <v>55</v>
      </c>
      <c r="G845" t="str" s="3">
        <v>怪物</v>
      </c>
      <c r="H845" t="n" s="3">
        <v>5</v>
      </c>
      <c r="I845" t="n" s="3">
        <v>1</v>
      </c>
      <c r="J845" t="n" s="3">
        <v>2</v>
      </c>
      <c r="K845" s="3"/>
      <c r="L845" s="3"/>
      <c r="M845" s="3"/>
      <c r="N845" s="3"/>
      <c r="O845" s="3"/>
      <c r="P845" s="3"/>
      <c r="Q845" s="3"/>
      <c r="R845" s="3"/>
      <c r="S845" t="str" s="17">
        <v>本轮完整刷新挂接；有效坐标注入后验证</v>
      </c>
      <c r="T845" t="n" s="18">
        <v>1900253</v>
      </c>
      <c r="U845"/>
      <c r="V845"/>
      <c r="W845"/>
      <c r="X845"/>
      <c r="Y845"/>
      <c r="Z845"/>
      <c r="AA845"/>
    </row>
    <row r="846" s="17" customFormat="1" ht="15" spans="1:20">
      <c r="A846" s="35"/>
      <c r="B846" t="n" s="17">
        <f>70000000+F846*10000+H846*1000+I846*100+J846</f>
        <v>70555103</v>
      </c>
      <c r="C846" t="str" s="40">
        <v>霁台-怪物3</v>
      </c>
      <c r="D846" s="3"/>
      <c r="E846" t="str" s="3">
        <f>F846&amp;(VLOOKUP(G846,编号表!$E$1:$G$8,2,0))&amp;H846&amp;"_"&amp;I846&amp;"_"&amp;J846</f>
        <v>55N5_1_3</v>
      </c>
      <c r="F846" t="n" s="3">
        <v>55</v>
      </c>
      <c r="G846" t="str" s="3">
        <v>怪物</v>
      </c>
      <c r="H846" t="n" s="3">
        <v>5</v>
      </c>
      <c r="I846" t="n" s="3">
        <v>1</v>
      </c>
      <c r="J846" t="n" s="3">
        <v>3</v>
      </c>
      <c r="K846" s="3"/>
      <c r="L846" s="3"/>
      <c r="M846" s="3"/>
      <c r="N846" s="3"/>
      <c r="O846" s="3"/>
      <c r="P846" s="3"/>
      <c r="Q846" s="3"/>
      <c r="R846" s="3"/>
      <c r="S846" s="17"/>
      <c r="T846" s="18"/>
      <c r="U846"/>
      <c r="V846"/>
      <c r="W846"/>
      <c r="X846"/>
      <c r="Y846"/>
      <c r="Z846"/>
      <c r="AA846"/>
    </row>
    <row r="847" s="17" customFormat="1" ht="15" spans="1:20">
      <c r="A847" s="35"/>
      <c r="B847" t="n" s="17">
        <f>70000000+F847*10000+H847*1000+I847*100+J847</f>
        <v>70555201</v>
      </c>
      <c r="C847" t="str" s="40">
        <v>霁台-怪物4</v>
      </c>
      <c r="D847" s="3"/>
      <c r="E847" t="str" s="3">
        <f>F847&amp;(VLOOKUP(G847,编号表!$E$1:$G$8,2,0))&amp;H847&amp;"_"&amp;I847&amp;"_"&amp;J847</f>
        <v>55N5_2_1</v>
      </c>
      <c r="F847" t="n" s="3">
        <v>55</v>
      </c>
      <c r="G847" t="str" s="3">
        <v>怪物</v>
      </c>
      <c r="H847" t="n" s="3">
        <v>5</v>
      </c>
      <c r="I847" t="n" s="3">
        <v>2</v>
      </c>
      <c r="J847" t="n" s="3">
        <v>1</v>
      </c>
      <c r="K847" s="3"/>
      <c r="L847" s="3"/>
      <c r="M847" s="3"/>
      <c r="N847" s="3"/>
      <c r="O847" s="3"/>
      <c r="P847" s="3"/>
      <c r="Q847" s="3"/>
      <c r="R847" s="3"/>
      <c r="S847" s="17"/>
      <c r="T847" s="18"/>
      <c r="U847"/>
      <c r="V847"/>
      <c r="W847"/>
      <c r="X847"/>
      <c r="Y847"/>
      <c r="Z847"/>
      <c r="AA847"/>
    </row>
    <row r="848" s="17" customFormat="1" ht="15" spans="1:20">
      <c r="A848" s="35"/>
      <c r="B848" t="n" s="17">
        <f>70000000+F848*10000+H848*1000+I848*100+J848</f>
        <v>70555202</v>
      </c>
      <c r="C848" t="str" s="40">
        <v>霁台-怪物5</v>
      </c>
      <c r="D848" s="3"/>
      <c r="E848" t="str" s="3">
        <f>F848&amp;(VLOOKUP(G848,编号表!$E$1:$G$8,2,0))&amp;H848&amp;"_"&amp;I848&amp;"_"&amp;J848</f>
        <v>55N5_2_2</v>
      </c>
      <c r="F848" t="n" s="3">
        <v>55</v>
      </c>
      <c r="G848" t="str" s="3">
        <v>怪物</v>
      </c>
      <c r="H848" t="n" s="3">
        <v>5</v>
      </c>
      <c r="I848" t="n" s="3">
        <v>2</v>
      </c>
      <c r="J848" t="n" s="3">
        <v>2</v>
      </c>
      <c r="K848" s="3"/>
      <c r="L848" s="3"/>
      <c r="M848" s="3"/>
      <c r="N848" s="3"/>
      <c r="O848" s="3"/>
      <c r="P848" s="3"/>
      <c r="Q848" s="3"/>
      <c r="R848" s="3"/>
      <c r="S848" s="17"/>
      <c r="T848" s="18"/>
      <c r="U848"/>
      <c r="V848"/>
      <c r="W848"/>
      <c r="X848"/>
      <c r="Y848"/>
      <c r="Z848"/>
      <c r="AA848"/>
    </row>
    <row r="849" s="17" customFormat="1" ht="15" spans="1:27">
      <c r="A849" s="35"/>
      <c r="B849" t="n" s="17">
        <f>70000000+F849*10000+H849*1000+I849*100+J849</f>
        <v>70555203</v>
      </c>
      <c r="C849" t="str" s="40">
        <v>霁台-怪物6</v>
      </c>
      <c r="D849" s="3"/>
      <c r="E849" t="str" s="3">
        <f>F849&amp;(VLOOKUP(G849,编号表!$E$1:$G$8,2,0))&amp;H849&amp;"_"&amp;I849&amp;"_"&amp;J849</f>
        <v>55N5_2_3</v>
      </c>
      <c r="F849" t="n" s="3">
        <v>55</v>
      </c>
      <c r="G849" t="str" s="3">
        <v>怪物</v>
      </c>
      <c r="H849" t="n" s="3">
        <v>5</v>
      </c>
      <c r="I849" t="n" s="3">
        <v>2</v>
      </c>
      <c r="J849" t="n" s="3">
        <v>3</v>
      </c>
      <c r="K849" s="3"/>
      <c r="L849" s="3"/>
      <c r="M849" s="3"/>
      <c r="N849" s="3"/>
      <c r="O849" s="3"/>
      <c r="P849" s="3"/>
      <c r="Q849" s="3"/>
      <c r="R849" s="3"/>
      <c r="S849" s="17"/>
      <c r="T849" s="18"/>
      <c r="U849"/>
      <c r="V849"/>
      <c r="W849"/>
      <c r="X849"/>
      <c r="Y849"/>
      <c r="Z849"/>
      <c r="AA849"/>
    </row>
    <row r="850" ht="15" spans="1:27">
      <c r="A850" s="35"/>
      <c r="B850" t="n" s="17">
        <f>70000000+F850*10000+H850*1000+I850*100+J850</f>
        <v>70555001</v>
      </c>
      <c r="C850" t="str" s="39">
        <v>霁台-镜头</v>
      </c>
      <c r="D850" s="3"/>
      <c r="E850" t="str" s="3">
        <f>F850&amp;(VLOOKUP(G850,编号表!$E$1:$G$8,2,0))&amp;H850&amp;"_"&amp;I850&amp;"_"&amp;J850</f>
        <v>55J5_0_1</v>
      </c>
      <c r="F850" t="n" s="3">
        <v>55</v>
      </c>
      <c r="G850" t="str" s="3">
        <v>镜头</v>
      </c>
      <c r="H850" t="n" s="3">
        <v>5</v>
      </c>
      <c r="I850" t="n" s="3">
        <v>0</v>
      </c>
      <c r="J850" t="n" s="3">
        <v>1</v>
      </c>
      <c r="K850" t="n" s="3">
        <v>1</v>
      </c>
      <c r="L850" s="3"/>
      <c r="M850" s="3"/>
      <c r="N850" s="3"/>
      <c r="O850" s="3"/>
      <c r="P850" s="3"/>
      <c r="Q850" s="3"/>
      <c r="R850" s="3"/>
      <c r="S850" s="17"/>
      <c r="T850" s="18"/>
      <c r="U850"/>
      <c r="V850"/>
      <c r="W850"/>
      <c r="X850"/>
      <c r="Y850"/>
      <c r="Z850"/>
      <c r="AA850"/>
    </row>
    <row r="851" ht="15" spans="1:27">
      <c r="A851" s="35"/>
      <c r="B851" t="n" s="17">
        <f>70000000+F851*10000+H851*1000+I851*100+J851</f>
        <v>70551001</v>
      </c>
      <c r="C851" t="str" s="37">
        <v>霁台-传送</v>
      </c>
      <c r="D851" s="3"/>
      <c r="E851" t="str" s="3">
        <f>F851&amp;(VLOOKUP(G851,编号表!$E$1:$G$8,2,0))&amp;H851&amp;"_"&amp;I851&amp;"_"&amp;J851</f>
        <v>55T1_0_1</v>
      </c>
      <c r="F851" t="n" s="3">
        <v>55</v>
      </c>
      <c r="G851" t="str" s="3">
        <v>传送</v>
      </c>
      <c r="H851" t="n" s="3">
        <v>1</v>
      </c>
      <c r="I851" t="n" s="3">
        <v>0</v>
      </c>
      <c r="J851" t="n" s="3">
        <v>1</v>
      </c>
      <c r="K851" s="3"/>
      <c r="L851" t="n" s="3">
        <v>1</v>
      </c>
      <c r="M851" s="3"/>
      <c r="N851" s="3"/>
      <c r="O851" s="3"/>
      <c r="P851" s="3"/>
      <c r="Q851" s="3"/>
      <c r="R851" s="3"/>
      <c r="S851" s="17"/>
      <c r="T851" s="18"/>
      <c r="U851"/>
      <c r="V851"/>
      <c r="W851"/>
      <c r="X851"/>
      <c r="Y851"/>
      <c r="Z851"/>
      <c r="AA851"/>
    </row>
    <row r="852" ht="15" spans="1:27">
      <c r="A852" s="35"/>
      <c r="B852" t="n" s="17">
        <f>70000000+F852*10000+H852*1000+I852*100+J852</f>
        <v>70551002</v>
      </c>
      <c r="C852" t="str" s="37">
        <v>霁台-传送</v>
      </c>
      <c r="D852" s="3"/>
      <c r="E852" t="str" s="3">
        <f>F852&amp;(VLOOKUP(G852,编号表!$E$1:$G$8,2,0))&amp;H852&amp;"_"&amp;I852&amp;"_"&amp;J852</f>
        <v>55T1_0_2</v>
      </c>
      <c r="F852" t="n" s="3">
        <v>55</v>
      </c>
      <c r="G852" t="str" s="3">
        <v>传送</v>
      </c>
      <c r="H852" t="n" s="3">
        <v>1</v>
      </c>
      <c r="I852" t="n" s="3">
        <v>0</v>
      </c>
      <c r="J852" t="n" s="3">
        <v>2</v>
      </c>
      <c r="K852" s="3"/>
      <c r="L852" t="n" s="3">
        <v>1</v>
      </c>
      <c r="M852" s="3"/>
      <c r="N852" s="3"/>
      <c r="O852" s="3"/>
      <c r="P852" s="3"/>
      <c r="Q852" s="3"/>
      <c r="R852" s="3"/>
      <c r="S852" s="17"/>
      <c r="T852" s="18"/>
      <c r="U852"/>
      <c r="V852"/>
      <c r="W852"/>
      <c r="X852"/>
      <c r="Y852"/>
      <c r="Z852"/>
      <c r="AA852"/>
    </row>
    <row r="853" ht="15" spans="1:27">
      <c r="A853" s="35"/>
      <c r="B853" t="n" s="17">
        <f>70000000+F853*10000+H853*1000+I853*100+J853</f>
        <v>70552001</v>
      </c>
      <c r="C853" t="str" s="37">
        <v>霁台-小地图</v>
      </c>
      <c r="D853" s="3"/>
      <c r="E853" t="str" s="3">
        <f>F853&amp;(VLOOKUP(G853,编号表!$E$1:$G$8,2,0))&amp;H853&amp;"_"&amp;I853&amp;"_"&amp;J853</f>
        <v>55D2_0_1</v>
      </c>
      <c r="F853" t="n" s="3">
        <v>55</v>
      </c>
      <c r="G853" t="str" s="3">
        <v>小地图</v>
      </c>
      <c r="H853" t="n" s="3">
        <v>2</v>
      </c>
      <c r="I853" t="n" s="3">
        <v>0</v>
      </c>
      <c r="J853" t="n" s="3">
        <v>1</v>
      </c>
      <c r="K853" s="3"/>
      <c r="L853" s="3"/>
      <c r="M853" t="n" s="3">
        <v>1</v>
      </c>
      <c r="N853" s="3"/>
      <c r="O853" s="3"/>
      <c r="P853" s="3"/>
      <c r="Q853" s="3"/>
      <c r="R853" s="3"/>
      <c r="S853" s="17"/>
      <c r="T853" s="18"/>
      <c r="U853"/>
      <c r="V853"/>
      <c r="W853"/>
      <c r="X853"/>
      <c r="Y853"/>
      <c r="Z853"/>
      <c r="AA853"/>
    </row>
    <row r="854" s="17" customFormat="1" ht="15" spans="1:27">
      <c r="A854" s="35"/>
      <c r="B854" t="n" s="17">
        <f>70000000+F854*10000+H854*1000+I854*100+J854</f>
        <v>70565001</v>
      </c>
      <c r="C854" t="str" s="39">
        <v>凛冽坡-镜头</v>
      </c>
      <c r="D854" s="3"/>
      <c r="E854" t="str" s="3">
        <f>F854&amp;(VLOOKUP(G854,编号表!$E$1:$G$8,2,0))&amp;H854&amp;"_"&amp;I854&amp;"_"&amp;J854</f>
        <v>56J5_0_1</v>
      </c>
      <c r="F854" t="n" s="3">
        <v>56</v>
      </c>
      <c r="G854" t="str" s="3">
        <v>镜头</v>
      </c>
      <c r="H854" t="n" s="3">
        <v>5</v>
      </c>
      <c r="I854" t="n" s="3">
        <v>0</v>
      </c>
      <c r="J854" t="n" s="3">
        <v>1</v>
      </c>
      <c r="K854" t="n" s="3">
        <v>1</v>
      </c>
      <c r="L854" s="3"/>
      <c r="M854" s="3"/>
      <c r="N854" s="3"/>
      <c r="O854" s="3"/>
      <c r="P854" s="3"/>
      <c r="Q854" s="3"/>
      <c r="R854" s="3"/>
      <c r="S854" s="17"/>
      <c r="T854" s="18"/>
      <c r="U854"/>
      <c r="V854"/>
      <c r="W854"/>
      <c r="X854"/>
      <c r="Y854"/>
      <c r="Z854"/>
      <c r="AA854"/>
    </row>
    <row r="855" s="17" customFormat="1" ht="15" spans="1:27">
      <c r="A855" s="35"/>
      <c r="B855" t="n" s="17">
        <f>70000000+F855*10000+H855*1000+I855*100+J855</f>
        <v>70561001</v>
      </c>
      <c r="C855" t="str" s="37">
        <v>凛冽坡-传送</v>
      </c>
      <c r="D855" s="3"/>
      <c r="E855" t="str" s="3">
        <f>F855&amp;(VLOOKUP(G855,编号表!$E$1:$G$8,2,0))&amp;H855&amp;"_"&amp;I855&amp;"_"&amp;J855</f>
        <v>56T1_0_1</v>
      </c>
      <c r="F855" t="n" s="3">
        <v>56</v>
      </c>
      <c r="G855" t="str" s="3">
        <v>传送</v>
      </c>
      <c r="H855" t="n" s="3">
        <v>1</v>
      </c>
      <c r="I855" t="n" s="3">
        <v>0</v>
      </c>
      <c r="J855" t="n" s="3">
        <v>1</v>
      </c>
      <c r="K855" s="3"/>
      <c r="L855" t="n" s="3">
        <v>1</v>
      </c>
      <c r="M855" s="3"/>
      <c r="N855" s="3"/>
      <c r="O855" s="3"/>
      <c r="P855" s="3"/>
      <c r="Q855" s="3"/>
      <c r="R855" s="3"/>
      <c r="S855" s="17"/>
      <c r="T855" s="18"/>
      <c r="U855"/>
      <c r="V855"/>
      <c r="W855"/>
      <c r="X855"/>
      <c r="Y855"/>
      <c r="Z855"/>
      <c r="AA855"/>
    </row>
    <row r="856" s="17" customFormat="1" ht="15" spans="1:27">
      <c r="A856" s="35"/>
      <c r="B856" t="n" s="17">
        <f>70000000+F856*10000+H856*1000+I856*100+J856</f>
        <v>70561002</v>
      </c>
      <c r="C856" t="str" s="37">
        <v>凛冽坡-传送</v>
      </c>
      <c r="D856" s="3"/>
      <c r="E856" t="str" s="3">
        <f>F856&amp;(VLOOKUP(G856,编号表!$E$1:$G$8,2,0))&amp;H856&amp;"_"&amp;I856&amp;"_"&amp;J856</f>
        <v>56T1_0_2</v>
      </c>
      <c r="F856" t="n" s="3">
        <v>56</v>
      </c>
      <c r="G856" t="str" s="3">
        <v>传送</v>
      </c>
      <c r="H856" t="n" s="3">
        <v>1</v>
      </c>
      <c r="I856" t="n" s="3">
        <v>0</v>
      </c>
      <c r="J856" t="n" s="3">
        <v>2</v>
      </c>
      <c r="K856" s="3"/>
      <c r="L856" t="n" s="3">
        <v>1</v>
      </c>
      <c r="M856" s="3"/>
      <c r="N856" s="3"/>
      <c r="O856" s="3"/>
      <c r="P856" s="3"/>
      <c r="Q856" s="3"/>
      <c r="R856" s="3"/>
      <c r="S856" s="17"/>
      <c r="T856" s="18"/>
      <c r="U856"/>
      <c r="V856"/>
      <c r="W856"/>
      <c r="X856"/>
      <c r="Y856"/>
      <c r="Z856"/>
      <c r="AA856"/>
    </row>
    <row r="857" s="17" customFormat="1" ht="15" spans="1:27">
      <c r="A857" s="35"/>
      <c r="B857" t="n" s="17">
        <f>70000000+F857*10000+H857*1000+I857*100+J857</f>
        <v>70562001</v>
      </c>
      <c r="C857" t="str" s="37">
        <v>凛冽坡-小地图</v>
      </c>
      <c r="D857" s="3"/>
      <c r="E857" t="str" s="3">
        <f>F857&amp;(VLOOKUP(G857,编号表!$E$1:$G$8,2,0))&amp;H857&amp;"_"&amp;I857&amp;"_"&amp;J857</f>
        <v>56D2_0_1</v>
      </c>
      <c r="F857" t="n" s="3">
        <v>56</v>
      </c>
      <c r="G857" t="str" s="3">
        <v>小地图</v>
      </c>
      <c r="H857" t="n" s="3">
        <v>2</v>
      </c>
      <c r="I857" t="n" s="3">
        <v>0</v>
      </c>
      <c r="J857" t="n" s="3">
        <v>1</v>
      </c>
      <c r="K857" s="3"/>
      <c r="L857" s="3"/>
      <c r="M857" t="n" s="3">
        <v>1</v>
      </c>
      <c r="N857" s="3"/>
      <c r="O857" s="3"/>
      <c r="P857" s="3"/>
      <c r="Q857" s="3"/>
      <c r="R857" s="3"/>
      <c r="S857" s="17"/>
      <c r="T857" s="18"/>
      <c r="U857"/>
      <c r="V857"/>
      <c r="W857"/>
      <c r="X857"/>
      <c r="Y857"/>
      <c r="Z857"/>
      <c r="AA857"/>
    </row>
    <row r="858" s="17" customFormat="1" ht="15" spans="1:27">
      <c r="A858" s="35"/>
      <c r="B858" t="n" s="17">
        <f>70000000+F858*10000+H858*1000+I858*100+J858</f>
        <v>70575102</v>
      </c>
      <c r="C858" t="str" s="40">
        <v>凛冽坡-怪物1</v>
      </c>
      <c r="D858" s="3"/>
      <c r="E858" t="str" s="3">
        <f>F858&amp;(VLOOKUP(G858,编号表!$E$1:$G$8,2,0))&amp;H858&amp;"_"&amp;I858&amp;"_"&amp;J858</f>
        <v>57N5_1_2</v>
      </c>
      <c r="F858" t="n" s="3">
        <v>57</v>
      </c>
      <c r="G858" t="str" s="3">
        <v>怪物</v>
      </c>
      <c r="H858" t="n" s="3">
        <v>5</v>
      </c>
      <c r="I858" t="n" s="3">
        <v>1</v>
      </c>
      <c r="J858" t="n" s="3">
        <v>2</v>
      </c>
      <c r="K858" s="3"/>
      <c r="L858" s="3"/>
      <c r="M858" s="3"/>
      <c r="N858" s="3"/>
      <c r="O858" s="3"/>
      <c r="P858" s="3"/>
      <c r="Q858" s="3"/>
      <c r="R858" s="3"/>
      <c r="S858" t="str" s="17">
        <v>本轮完整刷新挂接；R08仅临时遭遇，待实例一次性状态接入</v>
      </c>
      <c r="T858" t="n" s="18">
        <v>1066304</v>
      </c>
      <c r="U858"/>
      <c r="V858"/>
      <c r="W858"/>
      <c r="X858"/>
      <c r="Y858"/>
      <c r="Z858"/>
      <c r="AA858"/>
    </row>
    <row r="859" s="17" customFormat="1" ht="15" spans="1:27">
      <c r="A859" s="35"/>
      <c r="B859" t="n" s="17">
        <f>70000000+F859*10000+H859*1000+I859*100+J859</f>
        <v>70575103</v>
      </c>
      <c r="C859" t="str" s="40">
        <v>凛冽坡-怪物2</v>
      </c>
      <c r="D859" s="3"/>
      <c r="E859" t="str" s="3">
        <f>F859&amp;(VLOOKUP(G859,编号表!$E$1:$G$8,2,0))&amp;H859&amp;"_"&amp;I859&amp;"_"&amp;J859</f>
        <v>57N5_1_3</v>
      </c>
      <c r="F859" t="n" s="3">
        <v>57</v>
      </c>
      <c r="G859" t="str" s="3">
        <v>怪物</v>
      </c>
      <c r="H859" t="n" s="3">
        <v>5</v>
      </c>
      <c r="I859" t="n" s="3">
        <v>1</v>
      </c>
      <c r="J859" t="n" s="3">
        <v>3</v>
      </c>
      <c r="K859" s="3"/>
      <c r="L859" s="3"/>
      <c r="M859" s="3"/>
      <c r="N859" s="3"/>
      <c r="O859" s="3"/>
      <c r="P859" s="3"/>
      <c r="Q859" s="3"/>
      <c r="R859" s="3"/>
      <c r="S859" t="str" s="17">
        <v>本轮完整刷新挂接；R08仅临时遭遇，待实例一次性状态接入</v>
      </c>
      <c r="T859" t="n" s="18">
        <v>1066404</v>
      </c>
      <c r="U859"/>
      <c r="V859"/>
      <c r="W859"/>
      <c r="X859"/>
      <c r="Y859"/>
      <c r="Z859"/>
      <c r="AA859"/>
    </row>
    <row r="860" s="17" customFormat="1" ht="15" spans="1:27">
      <c r="A860" s="35"/>
      <c r="B860" t="n" s="17">
        <f>70000000+F860*10000+H860*1000+I860*100+J860</f>
        <v>70575104</v>
      </c>
      <c r="C860" t="str" s="40">
        <v>凛冽坡-怪物3</v>
      </c>
      <c r="D860" s="3"/>
      <c r="E860" t="str" s="3">
        <f>F860&amp;(VLOOKUP(G860,编号表!$E$1:$G$8,2,0))&amp;H860&amp;"_"&amp;I860&amp;"_"&amp;J860</f>
        <v>57N5_1_4</v>
      </c>
      <c r="F860" t="n" s="3">
        <v>57</v>
      </c>
      <c r="G860" t="str" s="3">
        <v>怪物</v>
      </c>
      <c r="H860" t="n" s="3">
        <v>5</v>
      </c>
      <c r="I860" t="n" s="3">
        <v>1</v>
      </c>
      <c r="J860" t="n" s="3">
        <v>4</v>
      </c>
      <c r="K860" s="3"/>
      <c r="L860" s="3"/>
      <c r="M860" s="3"/>
      <c r="N860" s="3"/>
      <c r="O860" s="3"/>
      <c r="P860" s="3"/>
      <c r="Q860" s="3"/>
      <c r="R860" s="3"/>
      <c r="S860" t="str" s="17">
        <v>本轮完整刷新挂接；R08仅临时遭遇，待实例一次性状态接入</v>
      </c>
      <c r="T860" t="n" s="18">
        <v>1066504</v>
      </c>
      <c r="U860"/>
      <c r="V860"/>
      <c r="W860"/>
      <c r="X860"/>
      <c r="Y860"/>
      <c r="Z860"/>
      <c r="AA860"/>
    </row>
    <row r="861" s="17" customFormat="1" ht="15" spans="1:27">
      <c r="A861" s="35"/>
      <c r="B861" t="n" s="17">
        <f>70000000+F861*10000+H861*1000+I861*100+J861</f>
        <v>70575105</v>
      </c>
      <c r="C861" t="str" s="40">
        <v>凛冽坡-怪物4</v>
      </c>
      <c r="D861" s="3"/>
      <c r="E861" t="str" s="3">
        <f>F861&amp;(VLOOKUP(G861,编号表!$E$1:$G$8,2,0))&amp;H861&amp;"_"&amp;I861&amp;"_"&amp;J861</f>
        <v>57N5_1_5</v>
      </c>
      <c r="F861" t="n" s="3">
        <v>57</v>
      </c>
      <c r="G861" t="str" s="3">
        <v>怪物</v>
      </c>
      <c r="H861" t="n" s="3">
        <v>5</v>
      </c>
      <c r="I861" t="n" s="3">
        <v>1</v>
      </c>
      <c r="J861" t="n" s="3">
        <v>5</v>
      </c>
      <c r="K861" s="3"/>
      <c r="L861" s="3"/>
      <c r="M861" s="3"/>
      <c r="N861" s="3"/>
      <c r="O861" s="3"/>
      <c r="P861" s="3"/>
      <c r="Q861" s="3"/>
      <c r="R861" s="3"/>
      <c r="S861" t="str" s="17">
        <v>本轮完整刷新挂接；R08仅临时遭遇，待实例一次性状态接入</v>
      </c>
      <c r="T861" t="n" s="18">
        <v>1066103</v>
      </c>
      <c r="U861"/>
      <c r="V861"/>
      <c r="W861"/>
      <c r="X861"/>
      <c r="Y861"/>
      <c r="Z861"/>
      <c r="AA861"/>
    </row>
    <row r="862" s="17" customFormat="1" ht="15" spans="1:27">
      <c r="A862" s="35"/>
      <c r="B862" t="n" s="17">
        <f>70000000+F862*10000+H862*1000+I862*100+J862</f>
        <v>70575201</v>
      </c>
      <c r="C862" t="str" s="40">
        <v>凛冽坡-怪物5</v>
      </c>
      <c r="D862" s="3"/>
      <c r="E862" t="str" s="3">
        <f>F862&amp;(VLOOKUP(G862,编号表!$E$1:$G$8,2,0))&amp;H862&amp;"_"&amp;I862&amp;"_"&amp;J862</f>
        <v>57N5_2_1</v>
      </c>
      <c r="F862" t="n" s="3">
        <v>57</v>
      </c>
      <c r="G862" t="str" s="3">
        <v>怪物</v>
      </c>
      <c r="H862" t="n" s="3">
        <v>5</v>
      </c>
      <c r="I862" t="n" s="3">
        <v>2</v>
      </c>
      <c r="J862" t="n" s="3">
        <v>1</v>
      </c>
      <c r="K862" s="3"/>
      <c r="L862" s="3"/>
      <c r="M862" s="3"/>
      <c r="N862" s="3"/>
      <c r="O862" s="3"/>
      <c r="P862" s="3"/>
      <c r="Q862" s="3"/>
      <c r="R862" s="3"/>
      <c r="S862" s="17"/>
      <c r="T862" s="18"/>
      <c r="U862"/>
      <c r="V862"/>
      <c r="W862"/>
      <c r="X862"/>
      <c r="Y862"/>
      <c r="Z862"/>
      <c r="AA862"/>
    </row>
    <row r="863" s="17" customFormat="1" ht="15" spans="1:27">
      <c r="A863" s="35"/>
      <c r="B863" t="n" s="17">
        <f>70000000+F863*10000+H863*1000+I863*100+J863</f>
        <v>70575202</v>
      </c>
      <c r="C863" t="str" s="40">
        <v>凛冽坡-怪物6</v>
      </c>
      <c r="D863" s="3"/>
      <c r="E863" t="str" s="3">
        <f>F863&amp;(VLOOKUP(G863,编号表!$E$1:$G$8,2,0))&amp;H863&amp;"_"&amp;I863&amp;"_"&amp;J863</f>
        <v>57N5_2_2</v>
      </c>
      <c r="F863" t="n" s="3">
        <v>57</v>
      </c>
      <c r="G863" t="str" s="3">
        <v>怪物</v>
      </c>
      <c r="H863" t="n" s="3">
        <v>5</v>
      </c>
      <c r="I863" t="n" s="3">
        <v>2</v>
      </c>
      <c r="J863" t="n" s="3">
        <v>2</v>
      </c>
      <c r="K863" s="3"/>
      <c r="L863" s="3"/>
      <c r="M863" s="3"/>
      <c r="N863" s="3"/>
      <c r="O863" s="3"/>
      <c r="P863" s="3"/>
      <c r="Q863" s="3"/>
      <c r="R863" s="3"/>
      <c r="S863" s="17"/>
      <c r="T863" s="18"/>
      <c r="U863"/>
      <c r="V863"/>
      <c r="W863"/>
      <c r="X863"/>
      <c r="Y863"/>
      <c r="Z863"/>
      <c r="AA863"/>
    </row>
    <row r="864" s="17" customFormat="1" ht="15" spans="1:27">
      <c r="A864" s="35"/>
      <c r="B864" t="n" s="17">
        <f>70000000+F864*10000+H864*1000+I864*100+J864</f>
        <v>70575203</v>
      </c>
      <c r="C864" t="str" s="40">
        <v>凛冽坡-怪物7</v>
      </c>
      <c r="D864" s="3"/>
      <c r="E864" t="str" s="3">
        <f>F864&amp;(VLOOKUP(G864,编号表!$E$1:$G$8,2,0))&amp;H864&amp;"_"&amp;I864&amp;"_"&amp;J864</f>
        <v>57N5_2_3</v>
      </c>
      <c r="F864" t="n" s="3">
        <v>57</v>
      </c>
      <c r="G864" t="str" s="3">
        <v>怪物</v>
      </c>
      <c r="H864" t="n" s="3">
        <v>5</v>
      </c>
      <c r="I864" t="n" s="3">
        <v>2</v>
      </c>
      <c r="J864" t="n" s="3">
        <v>3</v>
      </c>
      <c r="K864" s="3"/>
      <c r="L864" s="3"/>
      <c r="M864" s="3"/>
      <c r="N864" s="3"/>
      <c r="O864" s="3"/>
      <c r="P864" s="3"/>
      <c r="Q864" s="3"/>
      <c r="R864" s="3"/>
      <c r="S864" s="17"/>
      <c r="T864" s="18"/>
      <c r="U864"/>
      <c r="V864"/>
      <c r="W864"/>
      <c r="X864"/>
      <c r="Y864"/>
      <c r="Z864"/>
      <c r="AA864"/>
    </row>
    <row r="865" s="17" customFormat="1" ht="15" spans="1:27">
      <c r="A865" s="35"/>
      <c r="B865" t="n" s="17">
        <f>70000000+F865*10000+H865*1000+I865*100+J865</f>
        <v>70575301</v>
      </c>
      <c r="C865" t="str" s="40">
        <v>凛冽坡-怪物8</v>
      </c>
      <c r="D865" s="3"/>
      <c r="E865" t="str" s="3">
        <f>F865&amp;(VLOOKUP(G865,编号表!$E$1:$G$8,2,0))&amp;H865&amp;"_"&amp;I865&amp;"_"&amp;J865</f>
        <v>57N5_3_1</v>
      </c>
      <c r="F865" t="n" s="3">
        <v>57</v>
      </c>
      <c r="G865" t="str" s="3">
        <v>怪物</v>
      </c>
      <c r="H865" t="n" s="3">
        <v>5</v>
      </c>
      <c r="I865" t="n" s="3">
        <v>3</v>
      </c>
      <c r="J865" t="n" s="3">
        <v>1</v>
      </c>
      <c r="K865" s="3"/>
      <c r="L865" s="3"/>
      <c r="M865" s="3"/>
      <c r="N865" s="3"/>
      <c r="O865" s="3"/>
      <c r="P865" s="3"/>
      <c r="Q865" s="3"/>
      <c r="R865" s="3"/>
      <c r="S865" s="17"/>
      <c r="T865" s="18"/>
      <c r="U865"/>
      <c r="V865"/>
      <c r="W865"/>
      <c r="X865"/>
      <c r="Y865"/>
      <c r="Z865"/>
      <c r="AA865"/>
    </row>
    <row r="866" s="17" customFormat="1" ht="15" spans="1:27">
      <c r="A866" s="35"/>
      <c r="B866" t="n" s="17">
        <f>70000000+F866*10000+H866*1000+I866*100+J866</f>
        <v>70575302</v>
      </c>
      <c r="C866" t="str" s="40">
        <v>凛冽坡-怪物9</v>
      </c>
      <c r="D866" s="3"/>
      <c r="E866" t="str" s="3">
        <f>F866&amp;(VLOOKUP(G866,编号表!$E$1:$G$8,2,0))&amp;H866&amp;"_"&amp;I866&amp;"_"&amp;J866</f>
        <v>57N5_3_2</v>
      </c>
      <c r="F866" t="n" s="3">
        <v>57</v>
      </c>
      <c r="G866" t="str" s="3">
        <v>怪物</v>
      </c>
      <c r="H866" t="n" s="3">
        <v>5</v>
      </c>
      <c r="I866" t="n" s="3">
        <v>3</v>
      </c>
      <c r="J866" t="n" s="3">
        <v>2</v>
      </c>
      <c r="K866" s="3"/>
      <c r="L866" s="3"/>
      <c r="M866" s="3"/>
      <c r="N866" s="3"/>
      <c r="O866" s="3"/>
      <c r="P866" s="3"/>
      <c r="Q866" s="3"/>
      <c r="R866" s="3"/>
      <c r="S866" s="17"/>
      <c r="T866" s="18"/>
      <c r="U866"/>
      <c r="V866"/>
      <c r="W866"/>
      <c r="X866"/>
      <c r="Y866"/>
      <c r="Z866"/>
      <c r="AA866"/>
    </row>
    <row r="867" s="17" customFormat="1" ht="15" spans="1:27">
      <c r="A867" s="35"/>
      <c r="B867" t="n" s="17">
        <f>70000000+F867*10000+H867*1000+I867*100+J867</f>
        <v>70575303</v>
      </c>
      <c r="C867" t="str" s="40">
        <v>凛冽坡-怪物10</v>
      </c>
      <c r="D867" s="3"/>
      <c r="E867" t="str" s="3">
        <f>F867&amp;(VLOOKUP(G867,编号表!$E$1:$G$8,2,0))&amp;H867&amp;"_"&amp;I867&amp;"_"&amp;J867</f>
        <v>57N5_3_3</v>
      </c>
      <c r="F867" t="n" s="3">
        <v>57</v>
      </c>
      <c r="G867" t="str" s="3">
        <v>怪物</v>
      </c>
      <c r="H867" t="n" s="3">
        <v>5</v>
      </c>
      <c r="I867" t="n" s="3">
        <v>3</v>
      </c>
      <c r="J867" t="n" s="3">
        <v>3</v>
      </c>
      <c r="K867" s="3"/>
      <c r="L867" s="3"/>
      <c r="M867" s="3"/>
      <c r="N867" s="3"/>
      <c r="O867" s="3"/>
      <c r="P867" s="3"/>
      <c r="Q867" s="3"/>
      <c r="R867" s="3"/>
      <c r="S867" s="17"/>
      <c r="T867" s="18"/>
      <c r="U867"/>
      <c r="V867"/>
      <c r="W867"/>
      <c r="X867"/>
      <c r="Y867"/>
      <c r="Z867"/>
      <c r="AA867"/>
    </row>
    <row r="868" s="17" customFormat="1" ht="15" spans="1:27">
      <c r="A868" s="35"/>
      <c r="B868" t="n" s="17">
        <f>70000000+F868*10000+H868*1000+I868*100+J868</f>
        <v>70575304</v>
      </c>
      <c r="C868" t="str" s="40">
        <v>凛冽坡-怪物11</v>
      </c>
      <c r="D868" s="3"/>
      <c r="E868" t="str" s="3">
        <f>F868&amp;(VLOOKUP(G868,编号表!$E$1:$G$8,2,0))&amp;H868&amp;"_"&amp;I868&amp;"_"&amp;J868</f>
        <v>57N5_3_4</v>
      </c>
      <c r="F868" t="n" s="3">
        <v>57</v>
      </c>
      <c r="G868" t="str" s="3">
        <v>怪物</v>
      </c>
      <c r="H868" t="n" s="3">
        <v>5</v>
      </c>
      <c r="I868" t="n" s="3">
        <v>3</v>
      </c>
      <c r="J868" t="n" s="3">
        <v>4</v>
      </c>
      <c r="K868" s="3"/>
      <c r="L868" s="3"/>
      <c r="M868" s="3"/>
      <c r="N868" s="3"/>
      <c r="O868" s="3"/>
      <c r="P868" s="3"/>
      <c r="Q868" s="3"/>
      <c r="R868" s="3"/>
      <c r="S868" s="17"/>
      <c r="T868" s="18"/>
      <c r="U868"/>
      <c r="V868"/>
      <c r="W868"/>
      <c r="X868"/>
      <c r="Y868"/>
      <c r="Z868"/>
      <c r="AA868"/>
    </row>
    <row r="869" s="17" customFormat="1" ht="15" spans="1:27">
      <c r="A869" s="35"/>
      <c r="B869" t="n" s="17">
        <f>70000000+F869*10000+H869*1000+I869*100+J869</f>
        <v>70575305</v>
      </c>
      <c r="C869" t="str" s="40">
        <v>凛冽坡-怪物12</v>
      </c>
      <c r="D869" s="3"/>
      <c r="E869" t="str" s="3">
        <f>F869&amp;(VLOOKUP(G869,编号表!$E$1:$G$8,2,0))&amp;H869&amp;"_"&amp;I869&amp;"_"&amp;J869</f>
        <v>57N5_3_5</v>
      </c>
      <c r="F869" t="n" s="3">
        <v>57</v>
      </c>
      <c r="G869" t="str" s="3">
        <v>怪物</v>
      </c>
      <c r="H869" t="n" s="3">
        <v>5</v>
      </c>
      <c r="I869" t="n" s="3">
        <v>3</v>
      </c>
      <c r="J869" t="n" s="3">
        <v>5</v>
      </c>
      <c r="K869" s="3"/>
      <c r="L869" s="3"/>
      <c r="M869" s="3"/>
      <c r="N869" s="3"/>
      <c r="O869" s="3"/>
      <c r="P869" s="3"/>
      <c r="Q869" s="3"/>
      <c r="R869" s="3"/>
      <c r="S869" s="17"/>
      <c r="T869" s="18"/>
      <c r="U869"/>
      <c r="V869"/>
      <c r="W869"/>
      <c r="X869"/>
      <c r="Y869"/>
      <c r="Z869"/>
      <c r="AA869"/>
    </row>
    <row r="870" ht="15" spans="1:27">
      <c r="A870" s="35"/>
      <c r="B870" t="n" s="17">
        <f>70000000+F870*10000+H870*1000+I870*100+J870</f>
        <v>70575001</v>
      </c>
      <c r="C870" t="str" s="39">
        <v>凛冽坡-镜头</v>
      </c>
      <c r="D870" s="3"/>
      <c r="E870" t="str" s="3">
        <f>F870&amp;(VLOOKUP(G870,编号表!$E$1:$G$8,2,0))&amp;H870&amp;"_"&amp;I870&amp;"_"&amp;J870</f>
        <v>57J5_0_1</v>
      </c>
      <c r="F870" t="n" s="3">
        <v>57</v>
      </c>
      <c r="G870" t="str" s="3">
        <v>镜头</v>
      </c>
      <c r="H870" t="n" s="3">
        <v>5</v>
      </c>
      <c r="I870" t="n" s="3">
        <v>0</v>
      </c>
      <c r="J870" t="n" s="3">
        <v>1</v>
      </c>
      <c r="K870" t="n" s="3">
        <v>1</v>
      </c>
      <c r="L870" s="3"/>
      <c r="M870" s="3"/>
      <c r="N870" s="3"/>
      <c r="O870" s="3"/>
      <c r="P870" s="3"/>
      <c r="Q870" s="3"/>
      <c r="R870" s="3"/>
      <c r="S870" s="17"/>
      <c r="T870" s="18"/>
      <c r="U870"/>
      <c r="V870"/>
      <c r="W870"/>
      <c r="X870"/>
      <c r="Y870"/>
      <c r="Z870"/>
      <c r="AA870"/>
    </row>
    <row r="871" ht="15" spans="1:27">
      <c r="A871" s="35"/>
      <c r="B871" t="n" s="17">
        <f>70000000+F871*10000+H871*1000+I871*100+J871</f>
        <v>70571001</v>
      </c>
      <c r="C871" t="str" s="37">
        <v>凛冽坡-传送</v>
      </c>
      <c r="D871" s="3"/>
      <c r="E871" t="str" s="3">
        <f>F871&amp;(VLOOKUP(G871,编号表!$E$1:$G$8,2,0))&amp;H871&amp;"_"&amp;I871&amp;"_"&amp;J871</f>
        <v>57T1_0_1</v>
      </c>
      <c r="F871" t="n" s="3">
        <v>57</v>
      </c>
      <c r="G871" t="str" s="3">
        <v>传送</v>
      </c>
      <c r="H871" t="n" s="3">
        <v>1</v>
      </c>
      <c r="I871" t="n" s="3">
        <v>0</v>
      </c>
      <c r="J871" t="n" s="3">
        <v>1</v>
      </c>
      <c r="K871" s="3"/>
      <c r="L871" t="n" s="3">
        <v>1</v>
      </c>
      <c r="M871" s="3"/>
      <c r="N871" s="3"/>
      <c r="O871" s="3"/>
      <c r="P871" s="3"/>
      <c r="Q871" s="3"/>
      <c r="R871" s="3"/>
      <c r="S871" s="17"/>
      <c r="T871" s="18"/>
      <c r="U871"/>
      <c r="V871"/>
      <c r="W871"/>
      <c r="X871"/>
      <c r="Y871"/>
      <c r="Z871"/>
      <c r="AA871"/>
    </row>
    <row r="872" ht="15" spans="1:27">
      <c r="A872" s="35"/>
      <c r="B872" t="n" s="17">
        <f>70000000+F872*10000+H872*1000+I872*100+J872</f>
        <v>70571002</v>
      </c>
      <c r="C872" t="str" s="37">
        <v>凛冽坡-传送</v>
      </c>
      <c r="D872" s="3"/>
      <c r="E872" t="str" s="3">
        <f>F872&amp;(VLOOKUP(G872,编号表!$E$1:$G$8,2,0))&amp;H872&amp;"_"&amp;I872&amp;"_"&amp;J872</f>
        <v>57T1_0_2</v>
      </c>
      <c r="F872" t="n" s="3">
        <v>57</v>
      </c>
      <c r="G872" t="str" s="3">
        <v>传送</v>
      </c>
      <c r="H872" t="n" s="3">
        <v>1</v>
      </c>
      <c r="I872" t="n" s="3">
        <v>0</v>
      </c>
      <c r="J872" t="n" s="3">
        <v>2</v>
      </c>
      <c r="K872" s="3"/>
      <c r="L872" t="n" s="3">
        <v>1</v>
      </c>
      <c r="M872" s="3"/>
      <c r="N872" s="3"/>
      <c r="O872" s="3"/>
      <c r="P872" s="3"/>
      <c r="Q872" s="3"/>
      <c r="R872" s="3"/>
      <c r="S872" s="17"/>
      <c r="T872" s="18"/>
      <c r="U872"/>
      <c r="V872"/>
      <c r="W872"/>
      <c r="X872"/>
      <c r="Y872"/>
      <c r="Z872"/>
      <c r="AA872"/>
    </row>
    <row r="873" ht="15" spans="1:27">
      <c r="A873" s="35"/>
      <c r="B873" t="n" s="17">
        <f>70000000+F873*10000+H873*1000+I873*100+J873</f>
        <v>70572001</v>
      </c>
      <c r="C873" t="str" s="37">
        <v>凛冽坡-小地图</v>
      </c>
      <c r="D873" s="3"/>
      <c r="E873" t="str" s="3">
        <f>F873&amp;(VLOOKUP(G873,编号表!$E$1:$G$8,2,0))&amp;H873&amp;"_"&amp;I873&amp;"_"&amp;J873</f>
        <v>57D2_0_1</v>
      </c>
      <c r="F873" t="n" s="3">
        <v>57</v>
      </c>
      <c r="G873" t="str" s="3">
        <v>小地图</v>
      </c>
      <c r="H873" t="n" s="3">
        <v>2</v>
      </c>
      <c r="I873" t="n" s="3">
        <v>0</v>
      </c>
      <c r="J873" t="n" s="3">
        <v>1</v>
      </c>
      <c r="K873" s="3"/>
      <c r="L873" s="3"/>
      <c r="M873" t="n" s="3">
        <v>1</v>
      </c>
      <c r="N873" s="3"/>
      <c r="O873" s="3"/>
      <c r="P873" s="3"/>
      <c r="Q873" s="3"/>
      <c r="R873" s="3"/>
      <c r="S873" s="17"/>
      <c r="T873" s="18"/>
      <c r="U873"/>
      <c r="V873"/>
      <c r="W873"/>
      <c r="X873"/>
      <c r="Y873"/>
      <c r="Z873"/>
      <c r="AA873"/>
    </row>
    <row r="874" s="17" customFormat="1" ht="15" spans="1:27">
      <c r="A874" s="35"/>
      <c r="B874" t="n" s="17">
        <f>70000000+F874*10000+H874*1000+I874*100+J874</f>
        <v>70585101</v>
      </c>
      <c r="C874" t="str" s="40">
        <v>虚浮台-怪物1</v>
      </c>
      <c r="D874" s="3"/>
      <c r="E874" t="str" s="3">
        <f>F874&amp;(VLOOKUP(G874,编号表!$E$1:$G$8,2,0))&amp;H874&amp;"_"&amp;I874&amp;"_"&amp;J874</f>
        <v>58N5_1_1</v>
      </c>
      <c r="F874" t="n" s="3">
        <v>58</v>
      </c>
      <c r="G874" t="str" s="3">
        <v>怪物</v>
      </c>
      <c r="H874" t="n" s="3">
        <v>5</v>
      </c>
      <c r="I874" t="n" s="3">
        <v>1</v>
      </c>
      <c r="J874" t="n" s="3">
        <v>1</v>
      </c>
      <c r="K874" s="3"/>
      <c r="L874" s="3"/>
      <c r="M874" s="3"/>
      <c r="N874" s="3"/>
      <c r="O874" s="3"/>
      <c r="P874" s="3"/>
      <c r="Q874" s="3"/>
      <c r="R874" s="3"/>
      <c r="S874" t="str" s="17">
        <v>本轮完整刷新挂接；R08仅临时遭遇，待实例一次性状态接入</v>
      </c>
      <c r="T874" t="n" s="18">
        <v>1067304</v>
      </c>
      <c r="U874"/>
      <c r="V874"/>
      <c r="W874"/>
      <c r="X874"/>
      <c r="Y874"/>
      <c r="Z874"/>
      <c r="AA874"/>
    </row>
    <row r="875" s="17" customFormat="1" ht="15" spans="1:27">
      <c r="A875" s="35"/>
      <c r="B875" t="n" s="17">
        <f>70000000+F875*10000+H875*1000+I875*100+J875</f>
        <v>70585102</v>
      </c>
      <c r="C875" t="str" s="40">
        <v>虚浮台-怪物2</v>
      </c>
      <c r="D875" s="3"/>
      <c r="E875" t="str" s="3">
        <f>F875&amp;(VLOOKUP(G875,编号表!$E$1:$G$8,2,0))&amp;H875&amp;"_"&amp;I875&amp;"_"&amp;J875</f>
        <v>58N5_1_2</v>
      </c>
      <c r="F875" t="n" s="3">
        <v>58</v>
      </c>
      <c r="G875" t="str" s="3">
        <v>怪物</v>
      </c>
      <c r="H875" t="n" s="3">
        <v>5</v>
      </c>
      <c r="I875" t="n" s="3">
        <v>1</v>
      </c>
      <c r="J875" t="n" s="3">
        <v>2</v>
      </c>
      <c r="K875" s="3"/>
      <c r="L875" s="3"/>
      <c r="M875" s="3"/>
      <c r="N875" s="3"/>
      <c r="O875" s="3"/>
      <c r="P875" s="3"/>
      <c r="Q875" s="3"/>
      <c r="R875" s="3"/>
      <c r="S875" t="str" s="17">
        <v>本轮完整刷新挂接；R08仅临时遭遇，待实例一次性状态接入</v>
      </c>
      <c r="T875" t="n" s="18">
        <v>1067404</v>
      </c>
      <c r="U875"/>
      <c r="V875"/>
      <c r="W875"/>
      <c r="X875"/>
      <c r="Y875"/>
      <c r="Z875"/>
      <c r="AA875"/>
    </row>
    <row r="876" s="17" customFormat="1" ht="15" spans="1:27">
      <c r="A876" s="35"/>
      <c r="B876" t="n" s="17">
        <f>70000000+F876*10000+H876*1000+I876*100+J876</f>
        <v>70585103</v>
      </c>
      <c r="C876" t="str" s="40">
        <v>虚浮台-怪物3</v>
      </c>
      <c r="D876" s="3"/>
      <c r="E876" t="str" s="3">
        <f>F876&amp;(VLOOKUP(G876,编号表!$E$1:$G$8,2,0))&amp;H876&amp;"_"&amp;I876&amp;"_"&amp;J876</f>
        <v>58N5_1_3</v>
      </c>
      <c r="F876" t="n" s="3">
        <v>58</v>
      </c>
      <c r="G876" t="str" s="3">
        <v>怪物</v>
      </c>
      <c r="H876" t="n" s="3">
        <v>5</v>
      </c>
      <c r="I876" t="n" s="3">
        <v>1</v>
      </c>
      <c r="J876" t="n" s="3">
        <v>3</v>
      </c>
      <c r="K876" s="3"/>
      <c r="L876" s="3"/>
      <c r="M876" s="3"/>
      <c r="N876" s="3"/>
      <c r="O876" s="3"/>
      <c r="P876" s="3"/>
      <c r="Q876" s="3"/>
      <c r="R876" s="3"/>
      <c r="S876" t="str" s="17">
        <v>本轮完整刷新挂接；R08仅临时遭遇，待实例一次性状态接入</v>
      </c>
      <c r="T876" t="n" s="18">
        <v>1067504</v>
      </c>
      <c r="U876"/>
      <c r="V876"/>
      <c r="W876"/>
      <c r="X876"/>
      <c r="Y876"/>
      <c r="Z876"/>
      <c r="AA876"/>
    </row>
    <row r="877" s="17" customFormat="1" ht="15" spans="1:27">
      <c r="A877" s="35"/>
      <c r="B877" t="n" s="17">
        <f>70000000+F877*10000+H877*1000+I877*100+J877</f>
        <v>70585104</v>
      </c>
      <c r="C877" t="str" s="40">
        <v>虚浮台-怪物4</v>
      </c>
      <c r="D877" s="3"/>
      <c r="E877" t="str" s="3">
        <f>F877&amp;(VLOOKUP(G877,编号表!$E$1:$G$8,2,0))&amp;H877&amp;"_"&amp;I877&amp;"_"&amp;J877</f>
        <v>58N5_1_4</v>
      </c>
      <c r="F877" t="n" s="3">
        <v>58</v>
      </c>
      <c r="G877" t="str" s="3">
        <v>怪物</v>
      </c>
      <c r="H877" t="n" s="3">
        <v>5</v>
      </c>
      <c r="I877" t="n" s="3">
        <v>1</v>
      </c>
      <c r="J877" t="n" s="3">
        <v>4</v>
      </c>
      <c r="K877" s="3"/>
      <c r="L877" s="3"/>
      <c r="M877" s="3"/>
      <c r="N877" s="3"/>
      <c r="O877" s="3"/>
      <c r="P877" s="3"/>
      <c r="Q877" s="3"/>
      <c r="R877" s="3"/>
      <c r="S877" t="str" s="17">
        <v>本轮完整刷新挂接；R08仅临时遭遇，待实例一次性状态接入</v>
      </c>
      <c r="T877" t="n" s="18">
        <v>1067103</v>
      </c>
      <c r="U877"/>
      <c r="V877"/>
      <c r="W877"/>
      <c r="X877"/>
      <c r="Y877"/>
      <c r="Z877"/>
      <c r="AA877"/>
    </row>
    <row r="878" s="17" customFormat="1" ht="15" spans="1:27">
      <c r="A878" s="35"/>
      <c r="B878" t="n" s="17">
        <f>70000000+F878*10000+H878*1000+I878*100+J878</f>
        <v>70585105</v>
      </c>
      <c r="C878" t="str" s="40">
        <v>虚浮台-怪物5</v>
      </c>
      <c r="D878" s="3"/>
      <c r="E878" t="str" s="3">
        <f>F878&amp;(VLOOKUP(G878,编号表!$E$1:$G$8,2,0))&amp;H878&amp;"_"&amp;I878&amp;"_"&amp;J878</f>
        <v>58N5_1_5</v>
      </c>
      <c r="F878" t="n" s="3">
        <v>58</v>
      </c>
      <c r="G878" t="str" s="3">
        <v>怪物</v>
      </c>
      <c r="H878" t="n" s="3">
        <v>5</v>
      </c>
      <c r="I878" t="n" s="3">
        <v>1</v>
      </c>
      <c r="J878" t="n" s="3">
        <v>5</v>
      </c>
      <c r="K878" s="3"/>
      <c r="L878" s="3"/>
      <c r="M878" s="3"/>
      <c r="N878" s="3"/>
      <c r="O878" s="3"/>
      <c r="P878" s="3"/>
      <c r="Q878" s="3"/>
      <c r="R878" s="3"/>
      <c r="S878" s="17"/>
      <c r="T878" s="18"/>
      <c r="U878"/>
      <c r="V878"/>
      <c r="W878"/>
      <c r="X878"/>
      <c r="Y878"/>
      <c r="Z878"/>
      <c r="AA878"/>
    </row>
    <row r="879" s="17" customFormat="1" ht="15" spans="1:27">
      <c r="A879" s="35"/>
      <c r="B879" t="n" s="17">
        <f>70000000+F879*10000+H879*1000+I879*100+J879</f>
        <v>70585106</v>
      </c>
      <c r="C879" t="str" s="40">
        <v>虚浮台-怪物6</v>
      </c>
      <c r="D879" s="3"/>
      <c r="E879" t="str" s="3">
        <f>F879&amp;(VLOOKUP(G879,编号表!$E$1:$G$8,2,0))&amp;H879&amp;"_"&amp;I879&amp;"_"&amp;J879</f>
        <v>58N5_1_6</v>
      </c>
      <c r="F879" t="n" s="3">
        <v>58</v>
      </c>
      <c r="G879" t="str" s="3">
        <v>怪物</v>
      </c>
      <c r="H879" t="n" s="3">
        <v>5</v>
      </c>
      <c r="I879" t="n" s="3">
        <v>1</v>
      </c>
      <c r="J879" t="n" s="3">
        <v>6</v>
      </c>
      <c r="K879" s="3"/>
      <c r="L879" s="3"/>
      <c r="M879" s="3"/>
      <c r="N879" s="3"/>
      <c r="O879" s="3"/>
      <c r="P879" s="3"/>
      <c r="Q879" s="3"/>
      <c r="R879" s="3"/>
      <c r="S879" s="17"/>
      <c r="T879" s="18"/>
      <c r="U879"/>
      <c r="V879"/>
      <c r="W879"/>
      <c r="X879"/>
      <c r="Y879"/>
      <c r="Z879"/>
      <c r="AA879"/>
    </row>
    <row r="880" s="17" customFormat="1" ht="15" spans="1:27">
      <c r="A880" s="35"/>
      <c r="B880" t="n" s="17">
        <f>70000000+F880*10000+H880*1000+I880*100+J880</f>
        <v>70585201</v>
      </c>
      <c r="C880" t="str" s="40">
        <v>虚浮台-怪物7</v>
      </c>
      <c r="D880" s="3"/>
      <c r="E880" t="str" s="3">
        <f>F880&amp;(VLOOKUP(G880,编号表!$E$1:$G$8,2,0))&amp;H880&amp;"_"&amp;I880&amp;"_"&amp;J880</f>
        <v>58N5_2_1</v>
      </c>
      <c r="F880" t="n" s="3">
        <v>58</v>
      </c>
      <c r="G880" t="str" s="3">
        <v>怪物</v>
      </c>
      <c r="H880" t="n" s="3">
        <v>5</v>
      </c>
      <c r="I880" t="n" s="3">
        <v>2</v>
      </c>
      <c r="J880" t="n" s="3">
        <v>1</v>
      </c>
      <c r="K880" s="3"/>
      <c r="L880" s="3"/>
      <c r="M880" s="3"/>
      <c r="N880" s="3"/>
      <c r="O880" s="3"/>
      <c r="P880" s="3"/>
      <c r="Q880" s="3"/>
      <c r="R880" s="3"/>
      <c r="S880" s="17"/>
      <c r="T880" s="18"/>
      <c r="U880"/>
      <c r="V880"/>
      <c r="W880"/>
      <c r="X880"/>
      <c r="Y880"/>
      <c r="Z880"/>
      <c r="AA880"/>
    </row>
    <row r="881" s="17" customFormat="1" ht="15" spans="1:27">
      <c r="A881" s="35"/>
      <c r="B881" t="n" s="17">
        <f>70000000+F881*10000+H881*1000+I881*100+J881</f>
        <v>70585202</v>
      </c>
      <c r="C881" t="str" s="40">
        <v>虚浮台-怪物8</v>
      </c>
      <c r="D881" s="3"/>
      <c r="E881" t="str" s="3">
        <f>F881&amp;(VLOOKUP(G881,编号表!$E$1:$G$8,2,0))&amp;H881&amp;"_"&amp;I881&amp;"_"&amp;J881</f>
        <v>58N5_2_2</v>
      </c>
      <c r="F881" t="n" s="3">
        <v>58</v>
      </c>
      <c r="G881" t="str" s="3">
        <v>怪物</v>
      </c>
      <c r="H881" t="n" s="3">
        <v>5</v>
      </c>
      <c r="I881" t="n" s="3">
        <v>2</v>
      </c>
      <c r="J881" t="n" s="3">
        <v>2</v>
      </c>
      <c r="K881" s="3"/>
      <c r="L881" s="3"/>
      <c r="M881" s="3"/>
      <c r="N881" s="3"/>
      <c r="O881" s="3"/>
      <c r="P881" s="3"/>
      <c r="Q881" s="3"/>
      <c r="R881" s="3"/>
      <c r="S881" s="17"/>
      <c r="T881" s="18"/>
      <c r="U881"/>
      <c r="V881"/>
      <c r="W881"/>
      <c r="X881"/>
      <c r="Y881"/>
      <c r="Z881"/>
      <c r="AA881"/>
    </row>
    <row r="882" s="17" customFormat="1" ht="15" spans="1:27">
      <c r="A882" s="35"/>
      <c r="B882" t="n" s="17">
        <f>70000000+F882*10000+H882*1000+I882*100+J882</f>
        <v>70585203</v>
      </c>
      <c r="C882" t="str" s="40">
        <v>虚浮台-怪物9</v>
      </c>
      <c r="D882" s="3"/>
      <c r="E882" t="str" s="3">
        <f>F882&amp;(VLOOKUP(G882,编号表!$E$1:$G$8,2,0))&amp;H882&amp;"_"&amp;I882&amp;"_"&amp;J882</f>
        <v>58N5_2_3</v>
      </c>
      <c r="F882" t="n" s="3">
        <v>58</v>
      </c>
      <c r="G882" t="str" s="3">
        <v>怪物</v>
      </c>
      <c r="H882" t="n" s="3">
        <v>5</v>
      </c>
      <c r="I882" t="n" s="3">
        <v>2</v>
      </c>
      <c r="J882" t="n" s="3">
        <v>3</v>
      </c>
      <c r="K882" s="3"/>
      <c r="L882" s="3"/>
      <c r="M882" s="3"/>
      <c r="N882" s="3"/>
      <c r="O882" s="3"/>
      <c r="P882" s="3"/>
      <c r="Q882" s="3"/>
      <c r="R882" s="3"/>
      <c r="S882" s="17"/>
      <c r="T882" s="18"/>
      <c r="U882"/>
      <c r="V882"/>
      <c r="W882"/>
      <c r="X882"/>
      <c r="Y882"/>
      <c r="Z882"/>
      <c r="AA882"/>
    </row>
    <row r="883" s="17" customFormat="1" ht="15" spans="1:27">
      <c r="A883" s="35"/>
      <c r="B883" t="n" s="17">
        <f>70000000+F883*10000+H883*1000+I883*100+J883</f>
        <v>70585204</v>
      </c>
      <c r="C883" t="str" s="40">
        <v>虚浮台-怪物10</v>
      </c>
      <c r="D883" s="3"/>
      <c r="E883" t="str" s="3">
        <f>F883&amp;(VLOOKUP(G883,编号表!$E$1:$G$8,2,0))&amp;H883&amp;"_"&amp;I883&amp;"_"&amp;J883</f>
        <v>58N5_2_4</v>
      </c>
      <c r="F883" t="n" s="3">
        <v>58</v>
      </c>
      <c r="G883" t="str" s="3">
        <v>怪物</v>
      </c>
      <c r="H883" t="n" s="3">
        <v>5</v>
      </c>
      <c r="I883" t="n" s="3">
        <v>2</v>
      </c>
      <c r="J883" t="n" s="3">
        <v>4</v>
      </c>
      <c r="K883" s="3"/>
      <c r="L883" s="3"/>
      <c r="M883" s="3"/>
      <c r="N883" s="3"/>
      <c r="O883" s="3"/>
      <c r="P883" s="3"/>
      <c r="Q883" s="3"/>
      <c r="R883" s="3"/>
      <c r="S883" s="17"/>
      <c r="T883" s="18"/>
      <c r="U883"/>
      <c r="V883"/>
      <c r="W883"/>
      <c r="X883"/>
      <c r="Y883"/>
      <c r="Z883"/>
      <c r="AA883"/>
    </row>
    <row r="884" s="17" customFormat="1" ht="15" spans="1:27">
      <c r="A884" s="35"/>
      <c r="B884" t="n" s="17">
        <f>70000000+F884*10000+H884*1000+I884*100+J884</f>
        <v>70585205</v>
      </c>
      <c r="C884" t="str" s="40">
        <v>虚浮台-怪物11</v>
      </c>
      <c r="D884" s="3"/>
      <c r="E884" t="str" s="3">
        <f>F884&amp;(VLOOKUP(G884,编号表!$E$1:$G$8,2,0))&amp;H884&amp;"_"&amp;I884&amp;"_"&amp;J884</f>
        <v>58N5_2_5</v>
      </c>
      <c r="F884" t="n" s="3">
        <v>58</v>
      </c>
      <c r="G884" t="str" s="3">
        <v>怪物</v>
      </c>
      <c r="H884" t="n" s="3">
        <v>5</v>
      </c>
      <c r="I884" t="n" s="3">
        <v>2</v>
      </c>
      <c r="J884" t="n" s="3">
        <v>5</v>
      </c>
      <c r="K884" s="3"/>
      <c r="L884" s="3"/>
      <c r="M884" s="3"/>
      <c r="N884" s="3"/>
      <c r="O884" s="3"/>
      <c r="P884" s="3"/>
      <c r="Q884" s="3"/>
      <c r="R884" s="3"/>
      <c r="S884" s="17"/>
      <c r="T884" s="18"/>
      <c r="U884"/>
      <c r="V884"/>
      <c r="W884"/>
      <c r="X884"/>
      <c r="Y884"/>
      <c r="Z884"/>
      <c r="AA884"/>
    </row>
    <row r="885" s="17" customFormat="1" ht="15" spans="1:27">
      <c r="A885" s="35"/>
      <c r="B885" t="n" s="17">
        <f>70000000+F885*10000+H885*1000+I885*100+J885</f>
        <v>70585206</v>
      </c>
      <c r="C885" t="str" s="40">
        <v>虚浮台-怪物12</v>
      </c>
      <c r="D885" s="3"/>
      <c r="E885" t="str" s="3">
        <f>F885&amp;(VLOOKUP(G885,编号表!$E$1:$G$8,2,0))&amp;H885&amp;"_"&amp;I885&amp;"_"&amp;J885</f>
        <v>58N5_2_6</v>
      </c>
      <c r="F885" t="n" s="3">
        <v>58</v>
      </c>
      <c r="G885" t="str" s="3">
        <v>怪物</v>
      </c>
      <c r="H885" t="n" s="3">
        <v>5</v>
      </c>
      <c r="I885" t="n" s="3">
        <v>2</v>
      </c>
      <c r="J885" t="n" s="3">
        <v>6</v>
      </c>
      <c r="K885" s="3"/>
      <c r="L885" s="3"/>
      <c r="M885" s="3"/>
      <c r="N885" s="3"/>
      <c r="O885" s="3"/>
      <c r="P885" s="3"/>
      <c r="Q885" s="3"/>
      <c r="R885" s="3"/>
      <c r="S885" s="17"/>
      <c r="T885" s="18"/>
      <c r="U885"/>
      <c r="V885"/>
      <c r="W885"/>
      <c r="X885"/>
      <c r="Y885"/>
      <c r="Z885"/>
      <c r="AA885"/>
    </row>
    <row r="886" s="17" customFormat="1" ht="15" spans="1:27">
      <c r="A886" s="35"/>
      <c r="B886" t="n" s="17">
        <f>70000000+F886*10000+H886*1000+I886*100+J886</f>
        <v>70585301</v>
      </c>
      <c r="C886" t="str" s="40">
        <v>虚浮台-怪物13</v>
      </c>
      <c r="D886" s="3"/>
      <c r="E886" t="str" s="3">
        <f>F886&amp;(VLOOKUP(G886,编号表!$E$1:$G$8,2,0))&amp;H886&amp;"_"&amp;I886&amp;"_"&amp;J886</f>
        <v>58N5_3_1</v>
      </c>
      <c r="F886" t="n" s="3">
        <v>58</v>
      </c>
      <c r="G886" t="str" s="3">
        <v>怪物</v>
      </c>
      <c r="H886" t="n" s="3">
        <v>5</v>
      </c>
      <c r="I886" t="n" s="3">
        <v>3</v>
      </c>
      <c r="J886" t="n" s="3">
        <v>1</v>
      </c>
      <c r="K886" s="3"/>
      <c r="L886" s="3"/>
      <c r="M886" s="3"/>
      <c r="N886" s="3"/>
      <c r="O886" s="3"/>
      <c r="P886" s="3"/>
      <c r="Q886" s="3"/>
      <c r="R886" s="3"/>
      <c r="S886" s="17"/>
      <c r="T886" s="18"/>
      <c r="U886"/>
      <c r="V886"/>
      <c r="W886"/>
      <c r="X886"/>
      <c r="Y886"/>
      <c r="Z886"/>
      <c r="AA886"/>
    </row>
    <row r="887" s="17" customFormat="1" ht="15" spans="1:27">
      <c r="A887" s="35"/>
      <c r="B887" t="n" s="17">
        <f>70000000+F887*10000+H887*1000+I887*100+J887</f>
        <v>70585302</v>
      </c>
      <c r="C887" t="str" s="40">
        <v>虚浮台-怪物14</v>
      </c>
      <c r="D887" s="3"/>
      <c r="E887" t="str" s="3">
        <f>F887&amp;(VLOOKUP(G887,编号表!$E$1:$G$8,2,0))&amp;H887&amp;"_"&amp;I887&amp;"_"&amp;J887</f>
        <v>58N5_3_2</v>
      </c>
      <c r="F887" t="n" s="3">
        <v>58</v>
      </c>
      <c r="G887" t="str" s="3">
        <v>怪物</v>
      </c>
      <c r="H887" t="n" s="3">
        <v>5</v>
      </c>
      <c r="I887" t="n" s="3">
        <v>3</v>
      </c>
      <c r="J887" t="n" s="3">
        <v>2</v>
      </c>
      <c r="K887" s="3"/>
      <c r="L887" s="3"/>
      <c r="M887" s="3"/>
      <c r="N887" s="3"/>
      <c r="O887" s="3"/>
      <c r="P887" s="3"/>
      <c r="Q887" s="3"/>
      <c r="R887" s="3"/>
      <c r="S887" s="17"/>
      <c r="T887" s="18"/>
      <c r="U887"/>
      <c r="V887"/>
      <c r="W887"/>
      <c r="X887"/>
      <c r="Y887"/>
      <c r="Z887"/>
      <c r="AA887"/>
    </row>
    <row r="888" s="17" customFormat="1" ht="15" spans="1:27">
      <c r="A888" s="35"/>
      <c r="B888" t="n" s="17">
        <f>70000000+F888*10000+H888*1000+I888*100+J888</f>
        <v>70585303</v>
      </c>
      <c r="C888" t="str" s="40">
        <v>虚浮台-怪物15</v>
      </c>
      <c r="D888" s="3"/>
      <c r="E888" t="str" s="3">
        <f>F888&amp;(VLOOKUP(G888,编号表!$E$1:$G$8,2,0))&amp;H888&amp;"_"&amp;I888&amp;"_"&amp;J888</f>
        <v>58N5_3_3</v>
      </c>
      <c r="F888" t="n" s="3">
        <v>58</v>
      </c>
      <c r="G888" t="str" s="3">
        <v>怪物</v>
      </c>
      <c r="H888" t="n" s="3">
        <v>5</v>
      </c>
      <c r="I888" t="n" s="3">
        <v>3</v>
      </c>
      <c r="J888" t="n" s="3">
        <v>3</v>
      </c>
      <c r="K888" s="3"/>
      <c r="L888" s="3"/>
      <c r="M888" s="3"/>
      <c r="N888" s="3"/>
      <c r="O888" s="3"/>
      <c r="P888" s="3"/>
      <c r="Q888" s="3"/>
      <c r="R888" s="3"/>
      <c r="S888" s="17"/>
      <c r="T888" s="18"/>
      <c r="U888"/>
      <c r="V888"/>
      <c r="W888"/>
      <c r="X888"/>
      <c r="Y888"/>
      <c r="Z888"/>
      <c r="AA888"/>
    </row>
    <row r="889" s="17" customFormat="1" ht="15" spans="1:27">
      <c r="A889" s="35"/>
      <c r="B889" t="n" s="17">
        <f>70000000+F889*10000+H889*1000+I889*100+J889</f>
        <v>70585304</v>
      </c>
      <c r="C889" t="str" s="40">
        <v>虚浮台-怪物16</v>
      </c>
      <c r="D889" s="3"/>
      <c r="E889" t="str" s="3">
        <f>F889&amp;(VLOOKUP(G889,编号表!$E$1:$G$8,2,0))&amp;H889&amp;"_"&amp;I889&amp;"_"&amp;J889</f>
        <v>58N5_3_4</v>
      </c>
      <c r="F889" t="n" s="3">
        <v>58</v>
      </c>
      <c r="G889" t="str" s="3">
        <v>怪物</v>
      </c>
      <c r="H889" t="n" s="3">
        <v>5</v>
      </c>
      <c r="I889" t="n" s="3">
        <v>3</v>
      </c>
      <c r="J889" t="n" s="3">
        <v>4</v>
      </c>
      <c r="K889" s="3"/>
      <c r="L889" s="3"/>
      <c r="M889" s="3"/>
      <c r="N889" s="3"/>
      <c r="O889" s="3"/>
      <c r="P889" s="3"/>
      <c r="Q889" s="3"/>
      <c r="R889" s="3"/>
      <c r="S889" s="17"/>
      <c r="T889" s="18"/>
      <c r="U889"/>
      <c r="V889"/>
      <c r="W889"/>
      <c r="X889"/>
      <c r="Y889"/>
      <c r="Z889"/>
      <c r="AA889"/>
    </row>
    <row r="890" ht="15" spans="1:27">
      <c r="A890" s="35"/>
      <c r="B890" t="n" s="17">
        <f>70000000+F890*10000+H890*1000+I890*100+J890</f>
        <v>70585001</v>
      </c>
      <c r="C890" t="str" s="39">
        <v>虚浮台-镜头</v>
      </c>
      <c r="D890" s="3"/>
      <c r="E890" t="str" s="3">
        <f>F890&amp;(VLOOKUP(G890,编号表!$E$1:$G$8,2,0))&amp;H890&amp;"_"&amp;I890&amp;"_"&amp;J890</f>
        <v>58J5_0_1</v>
      </c>
      <c r="F890" t="n" s="3">
        <v>58</v>
      </c>
      <c r="G890" t="str" s="3">
        <v>镜头</v>
      </c>
      <c r="H890" t="n" s="3">
        <v>5</v>
      </c>
      <c r="I890" t="n" s="3">
        <v>0</v>
      </c>
      <c r="J890" t="n" s="3">
        <v>1</v>
      </c>
      <c r="K890" t="n" s="3">
        <v>1</v>
      </c>
      <c r="L890" s="3"/>
      <c r="M890" s="3"/>
      <c r="N890" s="3"/>
      <c r="O890" s="3"/>
      <c r="P890" s="3"/>
      <c r="Q890" s="3"/>
      <c r="R890" s="3"/>
      <c r="S890" s="17"/>
      <c r="T890" s="18"/>
      <c r="U890"/>
      <c r="V890"/>
      <c r="W890"/>
      <c r="X890"/>
      <c r="Y890"/>
      <c r="Z890"/>
      <c r="AA890"/>
    </row>
    <row r="891" ht="15" spans="1:27">
      <c r="A891" s="35"/>
      <c r="B891" t="n" s="17">
        <f>70000000+F891*10000+H891*1000+I891*100+J891</f>
        <v>70581001</v>
      </c>
      <c r="C891" t="str" s="37">
        <v>虚浮台-传送</v>
      </c>
      <c r="D891" s="3"/>
      <c r="E891" t="str" s="3">
        <f>F891&amp;(VLOOKUP(G891,编号表!$E$1:$G$8,2,0))&amp;H891&amp;"_"&amp;I891&amp;"_"&amp;J891</f>
        <v>58T1_0_1</v>
      </c>
      <c r="F891" t="n" s="3">
        <v>58</v>
      </c>
      <c r="G891" t="str" s="3">
        <v>传送</v>
      </c>
      <c r="H891" t="n" s="3">
        <v>1</v>
      </c>
      <c r="I891" t="n" s="3">
        <v>0</v>
      </c>
      <c r="J891" t="n" s="3">
        <v>1</v>
      </c>
      <c r="K891" s="3"/>
      <c r="L891" t="n" s="3">
        <v>1</v>
      </c>
      <c r="M891" s="3"/>
      <c r="N891" s="3"/>
      <c r="O891" s="3"/>
      <c r="P891" s="3"/>
      <c r="Q891" s="3"/>
      <c r="R891" s="3"/>
      <c r="S891" s="17"/>
      <c r="T891" s="18"/>
      <c r="U891"/>
      <c r="V891"/>
      <c r="W891"/>
      <c r="X891"/>
      <c r="Y891"/>
      <c r="Z891"/>
      <c r="AA891"/>
    </row>
    <row r="892" ht="15" spans="1:27">
      <c r="A892" s="35"/>
      <c r="B892" t="n" s="17">
        <f>70000000+F892*10000+H892*1000+I892*100+J892</f>
        <v>70581002</v>
      </c>
      <c r="C892" t="str" s="37">
        <v>虚浮台-传送</v>
      </c>
      <c r="D892" s="3"/>
      <c r="E892" t="str" s="3">
        <f>F892&amp;(VLOOKUP(G892,编号表!$E$1:$G$8,2,0))&amp;H892&amp;"_"&amp;I892&amp;"_"&amp;J892</f>
        <v>58T1_0_2</v>
      </c>
      <c r="F892" t="n" s="3">
        <v>58</v>
      </c>
      <c r="G892" t="str" s="3">
        <v>传送</v>
      </c>
      <c r="H892" t="n" s="3">
        <v>1</v>
      </c>
      <c r="I892" t="n" s="3">
        <v>0</v>
      </c>
      <c r="J892" t="n" s="3">
        <v>2</v>
      </c>
      <c r="K892" s="3"/>
      <c r="L892" t="n" s="3">
        <v>1</v>
      </c>
      <c r="M892" s="3"/>
      <c r="N892" s="3"/>
      <c r="O892" s="3"/>
      <c r="P892" s="3"/>
      <c r="Q892" s="3"/>
      <c r="R892" s="3"/>
      <c r="S892" s="17"/>
      <c r="T892" s="18"/>
      <c r="U892"/>
      <c r="V892"/>
      <c r="W892"/>
      <c r="X892"/>
      <c r="Y892"/>
      <c r="Z892"/>
      <c r="AA892"/>
    </row>
    <row r="893" ht="15" spans="1:27">
      <c r="A893" s="35"/>
      <c r="B893" t="n" s="17">
        <f>70000000+F893*10000+H893*1000+I893*100+J893</f>
        <v>70582001</v>
      </c>
      <c r="C893" t="str" s="37">
        <v>虚浮台-小地图</v>
      </c>
      <c r="D893" s="3"/>
      <c r="E893" t="str" s="3">
        <f>F893&amp;(VLOOKUP(G893,编号表!$E$1:$G$8,2,0))&amp;H893&amp;"_"&amp;I893&amp;"_"&amp;J893</f>
        <v>58D2_0_1</v>
      </c>
      <c r="F893" t="n" s="3">
        <v>58</v>
      </c>
      <c r="G893" t="str" s="3">
        <v>小地图</v>
      </c>
      <c r="H893" t="n" s="3">
        <v>2</v>
      </c>
      <c r="I893" t="n" s="3">
        <v>0</v>
      </c>
      <c r="J893" t="n" s="3">
        <v>1</v>
      </c>
      <c r="K893" s="3"/>
      <c r="L893" s="3"/>
      <c r="M893" t="n" s="3">
        <v>1</v>
      </c>
      <c r="N893" s="3"/>
      <c r="O893" s="3"/>
      <c r="P893" s="3"/>
      <c r="Q893" s="3"/>
      <c r="R893" s="3"/>
      <c r="S893" s="17"/>
      <c r="T893" s="18"/>
      <c r="U893"/>
      <c r="V893"/>
      <c r="W893"/>
      <c r="X893"/>
      <c r="Y893"/>
      <c r="Z893"/>
      <c r="AA893"/>
    </row>
    <row r="894" s="17" customFormat="1" ht="15" spans="1:27">
      <c r="A894" s="35"/>
      <c r="B894" t="n" s="17">
        <f>70000000+F894*10000+H894*1000+I894*100+J894</f>
        <v>70595101</v>
      </c>
      <c r="C894" t="str" s="40">
        <v>照影窗-怪物1</v>
      </c>
      <c r="D894" s="3"/>
      <c r="E894" t="str" s="3">
        <f>F894&amp;(VLOOKUP(G894,编号表!$E$1:$G$8,2,0))&amp;H894&amp;"_"&amp;I894&amp;"_"&amp;J894</f>
        <v>59N5_1_1</v>
      </c>
      <c r="F894" t="n" s="3">
        <v>59</v>
      </c>
      <c r="G894" t="str" s="3">
        <v>怪物</v>
      </c>
      <c r="H894" t="n" s="3">
        <v>5</v>
      </c>
      <c r="I894" t="n" s="3">
        <v>1</v>
      </c>
      <c r="J894" t="n" s="3">
        <v>1</v>
      </c>
      <c r="K894" s="3"/>
      <c r="L894" s="3"/>
      <c r="M894" s="3"/>
      <c r="N894" s="3"/>
      <c r="O894" s="3"/>
      <c r="P894" s="3"/>
      <c r="Q894" s="3"/>
      <c r="R894" s="3"/>
      <c r="S894" t="str" s="17">
        <v>本轮完整刷新挂接；R08仅临时遭遇，待实例一次性状态接入</v>
      </c>
      <c r="T894" t="n" s="18">
        <v>1068404</v>
      </c>
      <c r="U894"/>
      <c r="V894"/>
      <c r="W894"/>
      <c r="X894"/>
      <c r="Y894"/>
      <c r="Z894"/>
      <c r="AA894"/>
    </row>
    <row r="895" s="17" customFormat="1" ht="15" spans="1:27">
      <c r="A895" s="35"/>
      <c r="B895" t="n" s="17">
        <f>70000000+F895*10000+H895*1000+I895*100+J895</f>
        <v>70595102</v>
      </c>
      <c r="C895" t="str" s="40">
        <v>照影窗-怪物1</v>
      </c>
      <c r="D895" s="3"/>
      <c r="E895" t="str" s="3">
        <f>F895&amp;(VLOOKUP(G895,编号表!$E$1:$G$8,2,0))&amp;H895&amp;"_"&amp;I895&amp;"_"&amp;J895</f>
        <v>59N5_1_2</v>
      </c>
      <c r="F895" t="n" s="3">
        <v>59</v>
      </c>
      <c r="G895" t="str" s="3">
        <v>怪物</v>
      </c>
      <c r="H895" t="n" s="3">
        <v>5</v>
      </c>
      <c r="I895" t="n" s="3">
        <v>1</v>
      </c>
      <c r="J895" t="n" s="3">
        <v>2</v>
      </c>
      <c r="K895" s="3"/>
      <c r="L895" s="3"/>
      <c r="M895" s="3"/>
      <c r="N895" s="3"/>
      <c r="O895" s="3"/>
      <c r="P895" s="3"/>
      <c r="Q895" s="3"/>
      <c r="R895" s="3"/>
      <c r="S895" t="str" s="17">
        <v>本轮完整刷新挂接；R08仅临时遭遇，待实例一次性状态接入</v>
      </c>
      <c r="T895" t="n" s="18">
        <v>1068504</v>
      </c>
      <c r="U895"/>
      <c r="V895"/>
      <c r="W895"/>
      <c r="X895"/>
      <c r="Y895"/>
      <c r="Z895"/>
      <c r="AA895"/>
    </row>
    <row r="896" s="17" customFormat="1" ht="15" spans="1:27">
      <c r="A896" s="35"/>
      <c r="B896" t="n" s="17">
        <f>70000000+F896*10000+H896*1000+I896*100+J896</f>
        <v>70595103</v>
      </c>
      <c r="C896" t="str" s="40">
        <v>照影窗-怪物1</v>
      </c>
      <c r="D896" s="3"/>
      <c r="E896" t="str" s="3">
        <f>F896&amp;(VLOOKUP(G896,编号表!$E$1:$G$8,2,0))&amp;H896&amp;"_"&amp;I896&amp;"_"&amp;J896</f>
        <v>59N5_1_3</v>
      </c>
      <c r="F896" t="n" s="3">
        <v>59</v>
      </c>
      <c r="G896" t="str" s="3">
        <v>怪物</v>
      </c>
      <c r="H896" t="n" s="3">
        <v>5</v>
      </c>
      <c r="I896" t="n" s="3">
        <v>1</v>
      </c>
      <c r="J896" t="n" s="3">
        <v>3</v>
      </c>
      <c r="K896" s="3"/>
      <c r="L896" s="3"/>
      <c r="M896" s="3"/>
      <c r="N896" s="3"/>
      <c r="O896" s="3"/>
      <c r="P896" s="3"/>
      <c r="Q896" s="3"/>
      <c r="R896" s="3"/>
      <c r="S896" t="str" s="17">
        <v>本轮完整刷新挂接；R08仅临时遭遇，待实例一次性状态接入</v>
      </c>
      <c r="T896" t="n" s="18">
        <v>1068103</v>
      </c>
      <c r="U896"/>
      <c r="V896"/>
      <c r="W896"/>
      <c r="X896"/>
      <c r="Y896"/>
      <c r="Z896"/>
      <c r="AA896"/>
    </row>
    <row r="897" s="17" customFormat="1" ht="15" spans="1:27">
      <c r="A897" s="35"/>
      <c r="B897" t="n" s="17">
        <f>70000000+F897*10000+H897*1000+I897*100+J897</f>
        <v>70595104</v>
      </c>
      <c r="C897" t="str" s="40">
        <v>照影窗-怪物1</v>
      </c>
      <c r="D897" s="3"/>
      <c r="E897" t="str" s="3">
        <f>F897&amp;(VLOOKUP(G897,编号表!$E$1:$G$8,2,0))&amp;H897&amp;"_"&amp;I897&amp;"_"&amp;J897</f>
        <v>59N5_1_4</v>
      </c>
      <c r="F897" t="n" s="3">
        <v>59</v>
      </c>
      <c r="G897" t="str" s="3">
        <v>怪物</v>
      </c>
      <c r="H897" t="n" s="3">
        <v>5</v>
      </c>
      <c r="I897" t="n" s="3">
        <v>1</v>
      </c>
      <c r="J897" t="n" s="3">
        <v>4</v>
      </c>
      <c r="K897" s="3"/>
      <c r="L897" s="3"/>
      <c r="M897" s="3"/>
      <c r="N897" s="3"/>
      <c r="O897" s="3"/>
      <c r="P897" s="3"/>
      <c r="Q897" s="3"/>
      <c r="R897" s="3"/>
      <c r="S897" t="str" s="17">
        <v>本轮完整刷新挂接；R08仅临时遭遇，待实例一次性状态接入</v>
      </c>
      <c r="T897" t="n" s="18">
        <v>1068001</v>
      </c>
      <c r="U897"/>
      <c r="V897"/>
      <c r="W897"/>
      <c r="X897"/>
      <c r="Y897"/>
      <c r="Z897"/>
      <c r="AA897"/>
    </row>
    <row r="898" s="17" customFormat="1" ht="15" spans="1:27">
      <c r="A898" s="35"/>
      <c r="B898" t="n" s="17">
        <f>70000000+F898*10000+H898*1000+I898*100+J898</f>
        <v>70595201</v>
      </c>
      <c r="C898" t="str" s="40">
        <v>照影窗-怪物1</v>
      </c>
      <c r="D898" s="3"/>
      <c r="E898" t="str" s="3">
        <f>F898&amp;(VLOOKUP(G898,编号表!$E$1:$G$8,2,0))&amp;H898&amp;"_"&amp;I898&amp;"_"&amp;J898</f>
        <v>59N5_2_1</v>
      </c>
      <c r="F898" t="n" s="3">
        <v>59</v>
      </c>
      <c r="G898" t="str" s="3">
        <v>怪物</v>
      </c>
      <c r="H898" t="n" s="3">
        <v>5</v>
      </c>
      <c r="I898" t="n" s="3">
        <v>2</v>
      </c>
      <c r="J898" t="n" s="3">
        <v>1</v>
      </c>
      <c r="K898" s="3"/>
      <c r="L898" s="3"/>
      <c r="M898" s="3"/>
      <c r="N898" s="3"/>
      <c r="O898" s="3"/>
      <c r="P898" s="3"/>
      <c r="Q898" s="3"/>
      <c r="R898" s="3"/>
      <c r="S898" s="17"/>
      <c r="T898" s="18"/>
      <c r="U898"/>
      <c r="V898"/>
      <c r="W898"/>
      <c r="X898"/>
      <c r="Y898"/>
      <c r="Z898"/>
      <c r="AA898"/>
    </row>
    <row r="899" s="17" customFormat="1" ht="15" spans="1:27">
      <c r="A899" s="35"/>
      <c r="B899" t="n" s="17">
        <f>70000000+F899*10000+H899*1000+I899*100+J899</f>
        <v>70595202</v>
      </c>
      <c r="C899" t="str" s="40">
        <v>照影窗-怪物1</v>
      </c>
      <c r="D899" s="3"/>
      <c r="E899" t="str" s="3">
        <f>F899&amp;(VLOOKUP(G899,编号表!$E$1:$G$8,2,0))&amp;H899&amp;"_"&amp;I899&amp;"_"&amp;J899</f>
        <v>59N5_2_2</v>
      </c>
      <c r="F899" t="n" s="3">
        <v>59</v>
      </c>
      <c r="G899" t="str" s="3">
        <v>怪物</v>
      </c>
      <c r="H899" t="n" s="3">
        <v>5</v>
      </c>
      <c r="I899" t="n" s="3">
        <v>2</v>
      </c>
      <c r="J899" t="n" s="3">
        <v>2</v>
      </c>
      <c r="K899" s="3"/>
      <c r="L899" s="3"/>
      <c r="M899" s="3"/>
      <c r="N899" s="3"/>
      <c r="O899" s="3"/>
      <c r="P899" s="3"/>
      <c r="Q899" s="3"/>
      <c r="R899" s="3"/>
      <c r="S899" s="17"/>
      <c r="T899" s="18"/>
      <c r="U899"/>
      <c r="V899"/>
      <c r="W899"/>
      <c r="X899"/>
      <c r="Y899"/>
      <c r="Z899"/>
      <c r="AA899"/>
    </row>
    <row r="900" s="17" customFormat="1" ht="15" spans="1:27">
      <c r="A900" s="35"/>
      <c r="B900" t="n" s="17">
        <f>70000000+F900*10000+H900*1000+I900*100+J900</f>
        <v>70595203</v>
      </c>
      <c r="C900" t="str" s="40">
        <v>照影窗-怪物1</v>
      </c>
      <c r="D900" s="3"/>
      <c r="E900" t="str" s="3">
        <f>F900&amp;(VLOOKUP(G900,编号表!$E$1:$G$8,2,0))&amp;H900&amp;"_"&amp;I900&amp;"_"&amp;J900</f>
        <v>59N5_2_3</v>
      </c>
      <c r="F900" t="n" s="3">
        <v>59</v>
      </c>
      <c r="G900" t="str" s="3">
        <v>怪物</v>
      </c>
      <c r="H900" t="n" s="3">
        <v>5</v>
      </c>
      <c r="I900" t="n" s="3">
        <v>2</v>
      </c>
      <c r="J900" t="n" s="3">
        <v>3</v>
      </c>
      <c r="K900" s="3"/>
      <c r="L900" s="3"/>
      <c r="M900" s="3"/>
      <c r="N900" s="3"/>
      <c r="O900" s="3"/>
      <c r="P900" s="3"/>
      <c r="Q900" s="3"/>
      <c r="R900" s="3"/>
      <c r="S900" s="17"/>
      <c r="T900" s="18"/>
      <c r="U900"/>
      <c r="V900"/>
      <c r="W900"/>
      <c r="X900"/>
      <c r="Y900"/>
      <c r="Z900"/>
      <c r="AA900"/>
    </row>
    <row r="901" s="17" customFormat="1" ht="15" spans="1:27">
      <c r="A901" s="35"/>
      <c r="B901" t="n" s="17">
        <f>70000000+F901*10000+H901*1000+I901*100+J901</f>
        <v>70595301</v>
      </c>
      <c r="C901" t="str" s="40">
        <v>照影窗-怪物1</v>
      </c>
      <c r="D901" s="3"/>
      <c r="E901" t="str" s="3">
        <f>F901&amp;(VLOOKUP(G901,编号表!$E$1:$G$8,2,0))&amp;H901&amp;"_"&amp;I901&amp;"_"&amp;J901</f>
        <v>59N5_3_1</v>
      </c>
      <c r="F901" t="n" s="3">
        <v>59</v>
      </c>
      <c r="G901" t="str" s="3">
        <v>怪物</v>
      </c>
      <c r="H901" t="n" s="3">
        <v>5</v>
      </c>
      <c r="I901" t="n" s="3">
        <v>3</v>
      </c>
      <c r="J901" t="n" s="3">
        <v>1</v>
      </c>
      <c r="K901" s="3"/>
      <c r="L901" s="3"/>
      <c r="M901" s="3"/>
      <c r="N901" s="3"/>
      <c r="O901" s="3"/>
      <c r="P901" s="3"/>
      <c r="Q901" s="3"/>
      <c r="R901" s="3"/>
      <c r="S901" s="17"/>
      <c r="T901" s="18"/>
      <c r="U901"/>
      <c r="V901"/>
      <c r="W901"/>
      <c r="X901"/>
      <c r="Y901"/>
      <c r="Z901"/>
      <c r="AA901"/>
    </row>
    <row r="902" s="17" customFormat="1" ht="15" spans="1:27">
      <c r="A902" s="35"/>
      <c r="B902" t="n" s="17">
        <f>70000000+F902*10000+H902*1000+I902*100+J902</f>
        <v>70595302</v>
      </c>
      <c r="C902" t="str" s="40">
        <v>照影窗-怪物1</v>
      </c>
      <c r="D902" s="3"/>
      <c r="E902" t="str" s="3">
        <f>F902&amp;(VLOOKUP(G902,编号表!$E$1:$G$8,2,0))&amp;H902&amp;"_"&amp;I902&amp;"_"&amp;J902</f>
        <v>59N5_3_2</v>
      </c>
      <c r="F902" t="n" s="3">
        <v>59</v>
      </c>
      <c r="G902" t="str" s="3">
        <v>怪物</v>
      </c>
      <c r="H902" t="n" s="3">
        <v>5</v>
      </c>
      <c r="I902" t="n" s="3">
        <v>3</v>
      </c>
      <c r="J902" t="n" s="3">
        <v>2</v>
      </c>
      <c r="K902" s="3"/>
      <c r="L902" s="3"/>
      <c r="M902" s="3"/>
      <c r="N902" s="3"/>
      <c r="O902" s="3"/>
      <c r="P902" s="3"/>
      <c r="Q902" s="3"/>
      <c r="R902" s="3"/>
      <c r="S902" s="17"/>
      <c r="T902" s="18"/>
      <c r="U902"/>
      <c r="V902"/>
      <c r="W902"/>
      <c r="X902"/>
      <c r="Y902"/>
      <c r="Z902"/>
      <c r="AA902"/>
    </row>
    <row r="903" s="17" customFormat="1" ht="15" spans="1:27">
      <c r="A903" s="35"/>
      <c r="B903" t="n" s="17">
        <f>70000000+F903*10000+H903*1000+I903*100+J903</f>
        <v>70595303</v>
      </c>
      <c r="C903" t="str" s="40">
        <v>照影窗-怪物1</v>
      </c>
      <c r="D903" s="3"/>
      <c r="E903" t="str" s="3">
        <f>F903&amp;(VLOOKUP(G903,编号表!$E$1:$G$8,2,0))&amp;H903&amp;"_"&amp;I903&amp;"_"&amp;J903</f>
        <v>59N5_3_3</v>
      </c>
      <c r="F903" t="n" s="3">
        <v>59</v>
      </c>
      <c r="G903" t="str" s="3">
        <v>怪物</v>
      </c>
      <c r="H903" t="n" s="3">
        <v>5</v>
      </c>
      <c r="I903" t="n" s="3">
        <v>3</v>
      </c>
      <c r="J903" t="n" s="3">
        <v>3</v>
      </c>
      <c r="K903" s="3"/>
      <c r="L903" s="3"/>
      <c r="M903" s="3"/>
      <c r="N903" s="3"/>
      <c r="O903" s="3"/>
      <c r="P903" s="3"/>
      <c r="Q903" s="3"/>
      <c r="R903" s="3"/>
      <c r="S903" s="17"/>
      <c r="T903" s="18"/>
      <c r="U903"/>
      <c r="V903"/>
      <c r="W903"/>
      <c r="X903"/>
      <c r="Y903"/>
      <c r="Z903"/>
      <c r="AA903"/>
    </row>
    <row r="904" ht="15" spans="1:27">
      <c r="A904" s="35"/>
      <c r="B904" t="n" s="17">
        <f>70000000+F904*10000+H904*1000+I904*100+J904</f>
        <v>70595001</v>
      </c>
      <c r="C904" t="str" s="39">
        <v>照影窗-镜头</v>
      </c>
      <c r="D904" s="3"/>
      <c r="E904" t="str" s="3">
        <f>F904&amp;(VLOOKUP(G904,编号表!$E$1:$G$8,2,0))&amp;H904&amp;"_"&amp;I904&amp;"_"&amp;J904</f>
        <v>59J5_0_1</v>
      </c>
      <c r="F904" t="n" s="3">
        <v>59</v>
      </c>
      <c r="G904" t="str" s="3">
        <v>镜头</v>
      </c>
      <c r="H904" t="n" s="3">
        <v>5</v>
      </c>
      <c r="I904" t="n" s="3">
        <v>0</v>
      </c>
      <c r="J904" t="n" s="3">
        <v>1</v>
      </c>
      <c r="K904" t="n" s="3">
        <v>1</v>
      </c>
      <c r="L904" s="3"/>
      <c r="M904" s="3"/>
      <c r="N904" s="3"/>
      <c r="O904" s="3"/>
      <c r="P904" s="3"/>
      <c r="Q904" s="3"/>
      <c r="R904" s="3"/>
      <c r="S904" s="17"/>
      <c r="T904" s="18"/>
      <c r="U904"/>
      <c r="V904"/>
      <c r="W904"/>
      <c r="X904"/>
      <c r="Y904"/>
      <c r="Z904"/>
      <c r="AA904"/>
    </row>
    <row r="905" ht="15" spans="1:27">
      <c r="A905" s="35"/>
      <c r="B905" t="n" s="17">
        <f>70000000+F905*10000+H905*1000+I905*100+J905</f>
        <v>70591001</v>
      </c>
      <c r="C905" t="str" s="37">
        <v>照影窗-传送</v>
      </c>
      <c r="D905" s="3"/>
      <c r="E905" t="str" s="3">
        <f>F905&amp;(VLOOKUP(G905,编号表!$E$1:$G$8,2,0))&amp;H905&amp;"_"&amp;I905&amp;"_"&amp;J905</f>
        <v>59T1_0_1</v>
      </c>
      <c r="F905" t="n" s="3">
        <v>59</v>
      </c>
      <c r="G905" t="str" s="3">
        <v>传送</v>
      </c>
      <c r="H905" t="n" s="3">
        <v>1</v>
      </c>
      <c r="I905" t="n" s="3">
        <v>0</v>
      </c>
      <c r="J905" t="n" s="3">
        <v>1</v>
      </c>
      <c r="K905" s="3"/>
      <c r="L905" t="n" s="3">
        <v>1</v>
      </c>
      <c r="M905" s="3"/>
      <c r="N905" s="3"/>
      <c r="O905" s="3"/>
      <c r="P905" s="3"/>
      <c r="Q905" s="3"/>
      <c r="R905" s="3"/>
      <c r="S905" s="17"/>
      <c r="T905" s="18"/>
      <c r="U905"/>
      <c r="V905"/>
      <c r="W905"/>
      <c r="X905"/>
      <c r="Y905"/>
      <c r="Z905"/>
      <c r="AA905"/>
    </row>
    <row r="906" ht="15" spans="1:27">
      <c r="A906" s="35"/>
      <c r="B906" t="n" s="17">
        <f>70000000+F906*10000+H906*1000+I906*100+J906</f>
        <v>70591002</v>
      </c>
      <c r="C906" t="str" s="37">
        <v>照影窗-传送</v>
      </c>
      <c r="D906" s="3"/>
      <c r="E906" t="str" s="3">
        <f>F906&amp;(VLOOKUP(G906,编号表!$E$1:$G$8,2,0))&amp;H906&amp;"_"&amp;I906&amp;"_"&amp;J906</f>
        <v>59T1_0_2</v>
      </c>
      <c r="F906" t="n" s="3">
        <v>59</v>
      </c>
      <c r="G906" t="str" s="3">
        <v>传送</v>
      </c>
      <c r="H906" t="n" s="3">
        <v>1</v>
      </c>
      <c r="I906" t="n" s="3">
        <v>0</v>
      </c>
      <c r="J906" t="n" s="3">
        <v>2</v>
      </c>
      <c r="K906" s="3"/>
      <c r="L906" t="n" s="3">
        <v>1</v>
      </c>
      <c r="M906" s="3"/>
      <c r="N906" s="3"/>
      <c r="O906" s="3"/>
      <c r="P906" s="3"/>
      <c r="Q906" s="3"/>
      <c r="R906" s="3"/>
      <c r="S906" s="17"/>
      <c r="T906" s="18"/>
      <c r="U906"/>
      <c r="V906"/>
      <c r="W906"/>
      <c r="X906"/>
      <c r="Y906"/>
      <c r="Z906"/>
      <c r="AA906"/>
    </row>
    <row r="907" ht="15" spans="1:27">
      <c r="A907" s="35"/>
      <c r="B907" t="n" s="17">
        <f>70000000+F907*10000+H907*1000+I907*100+J907</f>
        <v>70592001</v>
      </c>
      <c r="C907" t="str" s="37">
        <v>照影窗-小地图</v>
      </c>
      <c r="D907" s="3"/>
      <c r="E907" t="str" s="3">
        <f>F907&amp;(VLOOKUP(G907,编号表!$E$1:$G$8,2,0))&amp;H907&amp;"_"&amp;I907&amp;"_"&amp;J907</f>
        <v>59D2_0_1</v>
      </c>
      <c r="F907" t="n" s="3">
        <v>59</v>
      </c>
      <c r="G907" t="str" s="3">
        <v>小地图</v>
      </c>
      <c r="H907" t="n" s="3">
        <v>2</v>
      </c>
      <c r="I907" t="n" s="3">
        <v>0</v>
      </c>
      <c r="J907" t="n" s="3">
        <v>1</v>
      </c>
      <c r="K907" s="3"/>
      <c r="L907" s="3"/>
      <c r="M907" t="n" s="3">
        <v>1</v>
      </c>
      <c r="N907" s="3"/>
      <c r="O907" s="3"/>
      <c r="P907" s="3"/>
      <c r="Q907" s="3"/>
      <c r="R907" s="3"/>
      <c r="S907" s="17"/>
      <c r="T907" s="18"/>
      <c r="U907"/>
      <c r="V907"/>
      <c r="W907"/>
      <c r="X907"/>
      <c r="Y907"/>
      <c r="Z907"/>
      <c r="AA907"/>
    </row>
    <row r="908" s="17" customFormat="1" ht="15" spans="1:27">
      <c r="A908" s="35"/>
      <c r="B908" t="n" s="17">
        <f>70000000+F908*10000+H908*1000+I908*100+J908</f>
        <v>70605101</v>
      </c>
      <c r="C908" t="str" s="40">
        <v>回光藓-采集物1</v>
      </c>
      <c r="D908" s="3"/>
      <c r="E908" t="str" s="3">
        <f>F908&amp;(VLOOKUP(G908,编号表!$E$1:$G$8,2,0))&amp;H908&amp;"_"&amp;I908&amp;"_"&amp;J908</f>
        <v>60C5_1_1</v>
      </c>
      <c r="F908" t="n" s="3">
        <v>60</v>
      </c>
      <c r="G908" t="str" s="3">
        <v>采集物</v>
      </c>
      <c r="H908" t="n" s="3">
        <v>5</v>
      </c>
      <c r="I908" t="n" s="3">
        <v>1</v>
      </c>
      <c r="J908" t="n" s="3">
        <v>1</v>
      </c>
      <c r="K908" s="3"/>
      <c r="L908" s="3"/>
      <c r="M908" s="3"/>
      <c r="N908" s="3"/>
      <c r="O908" s="3"/>
      <c r="P908" s="3"/>
      <c r="Q908" s="3"/>
      <c r="R908" s="3"/>
      <c r="S908" s="17"/>
      <c r="T908" s="18"/>
      <c r="U908"/>
      <c r="V908"/>
      <c r="W908"/>
      <c r="X908"/>
      <c r="Y908"/>
      <c r="Z908"/>
      <c r="AA908"/>
    </row>
    <row r="909" s="17" customFormat="1" ht="15" spans="1:27">
      <c r="A909" s="35"/>
      <c r="B909" t="n" s="17">
        <f>70000000+F909*10000+H909*1000+I909*100+J909</f>
        <v>70605102</v>
      </c>
      <c r="C909" t="str" s="40">
        <v>回光藓-采集物2</v>
      </c>
      <c r="D909" s="3"/>
      <c r="E909" t="str" s="3">
        <f>F909&amp;(VLOOKUP(G909,编号表!$E$1:$G$8,2,0))&amp;H909&amp;"_"&amp;I909&amp;"_"&amp;J909</f>
        <v>60C5_1_2</v>
      </c>
      <c r="F909" t="n" s="3">
        <v>60</v>
      </c>
      <c r="G909" t="str" s="3">
        <v>采集物</v>
      </c>
      <c r="H909" t="n" s="3">
        <v>5</v>
      </c>
      <c r="I909" t="n" s="3">
        <v>1</v>
      </c>
      <c r="J909" t="n" s="3">
        <v>2</v>
      </c>
      <c r="K909" s="3"/>
      <c r="L909" s="3"/>
      <c r="M909" s="3"/>
      <c r="N909" s="3"/>
      <c r="O909" s="3"/>
      <c r="P909" s="3"/>
      <c r="Q909" s="3"/>
      <c r="R909" s="3"/>
      <c r="S909" s="17"/>
      <c r="T909" s="18"/>
      <c r="U909"/>
      <c r="V909"/>
      <c r="W909"/>
      <c r="X909"/>
      <c r="Y909"/>
      <c r="Z909"/>
      <c r="AA909"/>
    </row>
    <row r="910" s="17" customFormat="1" ht="15" spans="1:27">
      <c r="A910" s="35"/>
      <c r="B910" t="n" s="17">
        <f>70000000+F910*10000+H910*1000+I910*100+J910</f>
        <v>70605201</v>
      </c>
      <c r="C910" t="str" s="40">
        <v>回光藓-采集物3</v>
      </c>
      <c r="D910" s="3"/>
      <c r="E910" t="str" s="3">
        <f>F910&amp;(VLOOKUP(G910,编号表!$E$1:$G$8,2,0))&amp;H910&amp;"_"&amp;I910&amp;"_"&amp;J910</f>
        <v>60C5_2_1</v>
      </c>
      <c r="F910" t="n" s="3">
        <v>60</v>
      </c>
      <c r="G910" t="str" s="3">
        <v>采集物</v>
      </c>
      <c r="H910" t="n" s="3">
        <v>5</v>
      </c>
      <c r="I910" t="n" s="3">
        <v>2</v>
      </c>
      <c r="J910" t="n" s="3">
        <v>1</v>
      </c>
      <c r="K910" s="3"/>
      <c r="L910" s="3"/>
      <c r="M910" s="3"/>
      <c r="N910" s="3"/>
      <c r="O910" s="3"/>
      <c r="P910" s="3"/>
      <c r="Q910" s="3"/>
      <c r="R910" s="3"/>
      <c r="S910" s="17"/>
      <c r="T910" s="18"/>
      <c r="U910"/>
      <c r="V910"/>
      <c r="W910"/>
      <c r="X910"/>
      <c r="Y910"/>
      <c r="Z910"/>
      <c r="AA910"/>
    </row>
    <row r="911" s="17" customFormat="1" ht="15" spans="1:27">
      <c r="A911" s="35"/>
      <c r="B911" t="n" s="17">
        <f>70000000+F911*10000+H911*1000+I911*100+J911</f>
        <v>70605202</v>
      </c>
      <c r="C911" t="str" s="40">
        <v>回光藓-采集物4</v>
      </c>
      <c r="D911" s="3"/>
      <c r="E911" t="str" s="3">
        <f>F911&amp;(VLOOKUP(G911,编号表!$E$1:$G$8,2,0))&amp;H911&amp;"_"&amp;I911&amp;"_"&amp;J911</f>
        <v>60C5_2_2</v>
      </c>
      <c r="F911" t="n" s="3">
        <v>60</v>
      </c>
      <c r="G911" t="str" s="3">
        <v>采集物</v>
      </c>
      <c r="H911" t="n" s="3">
        <v>5</v>
      </c>
      <c r="I911" t="n" s="3">
        <v>2</v>
      </c>
      <c r="J911" t="n" s="3">
        <v>2</v>
      </c>
      <c r="K911" s="3"/>
      <c r="L911" s="3"/>
      <c r="M911" s="3"/>
      <c r="N911" s="3"/>
      <c r="O911" s="3"/>
      <c r="P911" s="3"/>
      <c r="Q911" s="3"/>
      <c r="R911" s="3"/>
      <c r="S911" s="17"/>
      <c r="T911" s="18"/>
      <c r="U911"/>
      <c r="V911"/>
      <c r="W911"/>
      <c r="X911"/>
      <c r="Y911"/>
      <c r="Z911"/>
      <c r="AA911"/>
    </row>
    <row r="912" s="17" customFormat="1" ht="15" spans="1:27">
      <c r="A912" s="35"/>
      <c r="B912" t="n" s="17">
        <f>70000000+F912*10000+H912*1000+I912*100+J912</f>
        <v>70605203</v>
      </c>
      <c r="C912" t="str" s="40">
        <v>回光藓-采集物5</v>
      </c>
      <c r="D912" s="3"/>
      <c r="E912" t="str" s="3">
        <f>F912&amp;(VLOOKUP(G912,编号表!$E$1:$G$8,2,0))&amp;H912&amp;"_"&amp;I912&amp;"_"&amp;J912</f>
        <v>60C5_2_3</v>
      </c>
      <c r="F912" t="n" s="3">
        <v>60</v>
      </c>
      <c r="G912" t="str" s="3">
        <v>采集物</v>
      </c>
      <c r="H912" t="n" s="3">
        <v>5</v>
      </c>
      <c r="I912" t="n" s="3">
        <v>2</v>
      </c>
      <c r="J912" t="n" s="3">
        <v>3</v>
      </c>
      <c r="K912" s="3"/>
      <c r="L912" s="3"/>
      <c r="M912" s="3"/>
      <c r="N912" s="3"/>
      <c r="O912" s="3"/>
      <c r="P912" s="3"/>
      <c r="Q912" s="3"/>
      <c r="R912" s="3"/>
      <c r="S912" s="17"/>
      <c r="T912" s="18"/>
      <c r="U912"/>
      <c r="V912"/>
      <c r="W912"/>
      <c r="X912"/>
      <c r="Y912"/>
      <c r="Z912"/>
      <c r="AA912"/>
    </row>
    <row r="913" s="17" customFormat="1" ht="15" spans="1:27">
      <c r="A913" s="35"/>
      <c r="B913" t="n" s="17">
        <f>70000000+F913*10000+H913*1000+I913*100+J913</f>
        <v>70605301</v>
      </c>
      <c r="C913" t="str" s="40">
        <v>回光藓-采集物6</v>
      </c>
      <c r="D913" s="3"/>
      <c r="E913" t="str" s="3">
        <f>F913&amp;(VLOOKUP(G913,编号表!$E$1:$G$8,2,0))&amp;H913&amp;"_"&amp;I913&amp;"_"&amp;J913</f>
        <v>60C5_3_1</v>
      </c>
      <c r="F913" t="n" s="3">
        <v>60</v>
      </c>
      <c r="G913" t="str" s="3">
        <v>采集物</v>
      </c>
      <c r="H913" t="n" s="3">
        <v>5</v>
      </c>
      <c r="I913" t="n" s="3">
        <v>3</v>
      </c>
      <c r="J913" t="n" s="3">
        <v>1</v>
      </c>
      <c r="K913" s="3"/>
      <c r="L913" s="3"/>
      <c r="M913" s="3"/>
      <c r="N913" s="3"/>
      <c r="O913" s="3"/>
      <c r="P913" s="3"/>
      <c r="Q913" s="3"/>
      <c r="R913" s="3"/>
      <c r="S913" s="17"/>
      <c r="T913" s="18"/>
      <c r="U913"/>
      <c r="V913"/>
      <c r="W913"/>
      <c r="X913"/>
      <c r="Y913"/>
      <c r="Z913"/>
      <c r="AA913"/>
    </row>
    <row r="914" s="17" customFormat="1" ht="15" spans="1:27">
      <c r="A914" s="35"/>
      <c r="B914" t="n" s="17">
        <f>70000000+F914*10000+H914*1000+I914*100+J914</f>
        <v>70605302</v>
      </c>
      <c r="C914" t="str" s="40">
        <v>回光藓-采集物7</v>
      </c>
      <c r="D914" s="3"/>
      <c r="E914" t="str" s="3">
        <f>F914&amp;(VLOOKUP(G914,编号表!$E$1:$G$8,2,0))&amp;H914&amp;"_"&amp;I914&amp;"_"&amp;J914</f>
        <v>60C5_3_2</v>
      </c>
      <c r="F914" t="n" s="3">
        <v>60</v>
      </c>
      <c r="G914" t="str" s="3">
        <v>采集物</v>
      </c>
      <c r="H914" t="n" s="3">
        <v>5</v>
      </c>
      <c r="I914" t="n" s="3">
        <v>3</v>
      </c>
      <c r="J914" t="n" s="3">
        <v>2</v>
      </c>
      <c r="K914" s="3"/>
      <c r="L914" s="3"/>
      <c r="M914" s="3"/>
      <c r="N914" s="3"/>
      <c r="O914" s="3"/>
      <c r="P914" s="3"/>
      <c r="Q914" s="3"/>
      <c r="R914" s="3"/>
      <c r="S914" s="17"/>
      <c r="T914" s="18"/>
      <c r="U914"/>
      <c r="V914"/>
      <c r="W914"/>
      <c r="X914"/>
      <c r="Y914"/>
      <c r="Z914"/>
      <c r="AA914"/>
    </row>
    <row r="915" ht="15" spans="1:27">
      <c r="A915" s="35"/>
      <c r="B915" t="n" s="17">
        <f>70000000+F915*10000+H915*1000+I915*100+J915</f>
        <v>70605001</v>
      </c>
      <c r="C915" t="str" s="39">
        <v>回光藓-镜头</v>
      </c>
      <c r="D915" s="3"/>
      <c r="E915" t="str" s="3">
        <f>F915&amp;(VLOOKUP(G915,编号表!$E$1:$G$8,2,0))&amp;H915&amp;"_"&amp;I915&amp;"_"&amp;J915</f>
        <v>60J5_0_1</v>
      </c>
      <c r="F915" t="n" s="3">
        <v>60</v>
      </c>
      <c r="G915" t="str" s="3">
        <v>镜头</v>
      </c>
      <c r="H915" t="n" s="3">
        <v>5</v>
      </c>
      <c r="I915" t="n" s="3">
        <v>0</v>
      </c>
      <c r="J915" t="n" s="3">
        <v>1</v>
      </c>
      <c r="K915" t="n" s="3">
        <v>1</v>
      </c>
      <c r="L915" s="3"/>
      <c r="M915" s="3"/>
      <c r="N915" s="3"/>
      <c r="O915" s="3"/>
      <c r="P915" s="3"/>
      <c r="Q915" s="3"/>
      <c r="R915" s="3"/>
      <c r="S915" s="17"/>
      <c r="T915" s="18"/>
      <c r="U915"/>
      <c r="V915"/>
      <c r="W915"/>
      <c r="X915"/>
      <c r="Y915"/>
      <c r="Z915"/>
      <c r="AA915"/>
    </row>
    <row r="916" ht="15" spans="1:27">
      <c r="A916" s="35"/>
      <c r="B916" t="n" s="17">
        <f>70000000+F916*10000+H916*1000+I916*100+J916</f>
        <v>70601001</v>
      </c>
      <c r="C916" t="str" s="37">
        <v>回光藓-传送</v>
      </c>
      <c r="D916" s="3"/>
      <c r="E916" t="str" s="3">
        <f>F916&amp;(VLOOKUP(G916,编号表!$E$1:$G$8,2,0))&amp;H916&amp;"_"&amp;I916&amp;"_"&amp;J916</f>
        <v>60T1_0_1</v>
      </c>
      <c r="F916" t="n" s="3">
        <v>60</v>
      </c>
      <c r="G916" t="str" s="3">
        <v>传送</v>
      </c>
      <c r="H916" t="n" s="3">
        <v>1</v>
      </c>
      <c r="I916" t="n" s="3">
        <v>0</v>
      </c>
      <c r="J916" t="n" s="3">
        <v>1</v>
      </c>
      <c r="K916" s="3"/>
      <c r="L916" t="n" s="3">
        <v>1</v>
      </c>
      <c r="M916" s="3"/>
      <c r="N916" s="3"/>
      <c r="O916" s="3"/>
      <c r="P916" s="3"/>
      <c r="Q916" s="3"/>
      <c r="R916" s="3"/>
      <c r="S916" s="17"/>
      <c r="T916" s="18"/>
      <c r="U916"/>
      <c r="V916"/>
      <c r="W916"/>
      <c r="X916"/>
      <c r="Y916"/>
      <c r="Z916"/>
      <c r="AA916"/>
    </row>
    <row r="917" ht="15" spans="1:27">
      <c r="A917" s="35"/>
      <c r="B917" t="n" s="17">
        <f>70000000+F917*10000+H917*1000+I917*100+J917</f>
        <v>70601002</v>
      </c>
      <c r="C917" t="str" s="37">
        <v>回光藓-传送</v>
      </c>
      <c r="D917" s="3"/>
      <c r="E917" t="str" s="3">
        <f>F917&amp;(VLOOKUP(G917,编号表!$E$1:$G$8,2,0))&amp;H917&amp;"_"&amp;I917&amp;"_"&amp;J917</f>
        <v>60T1_0_2</v>
      </c>
      <c r="F917" t="n" s="3">
        <v>60</v>
      </c>
      <c r="G917" t="str" s="3">
        <v>传送</v>
      </c>
      <c r="H917" t="n" s="3">
        <v>1</v>
      </c>
      <c r="I917" t="n" s="3">
        <v>0</v>
      </c>
      <c r="J917" t="n" s="3">
        <v>2</v>
      </c>
      <c r="K917" s="3"/>
      <c r="L917" t="n" s="3">
        <v>1</v>
      </c>
      <c r="M917" s="3"/>
      <c r="N917" s="3"/>
      <c r="O917" s="3"/>
      <c r="P917" s="3"/>
      <c r="Q917" s="3"/>
      <c r="R917" s="3"/>
      <c r="S917" s="17"/>
      <c r="T917" s="18"/>
      <c r="U917"/>
      <c r="V917"/>
      <c r="W917"/>
      <c r="X917"/>
      <c r="Y917"/>
      <c r="Z917"/>
      <c r="AA917"/>
    </row>
    <row r="918" ht="15" spans="1:27">
      <c r="A918" s="35"/>
      <c r="B918" t="n" s="17">
        <f>70000000+F918*10000+H918*1000+I918*100+J918</f>
        <v>70602001</v>
      </c>
      <c r="C918" t="str" s="37">
        <v>回光藓-小地图</v>
      </c>
      <c r="D918" s="3"/>
      <c r="E918" t="str" s="3">
        <f>F918&amp;(VLOOKUP(G918,编号表!$E$1:$G$8,2,0))&amp;H918&amp;"_"&amp;I918&amp;"_"&amp;J918</f>
        <v>60D2_0_1</v>
      </c>
      <c r="F918" t="n" s="3">
        <v>60</v>
      </c>
      <c r="G918" t="str" s="3">
        <v>小地图</v>
      </c>
      <c r="H918" t="n" s="3">
        <v>2</v>
      </c>
      <c r="I918" t="n" s="3">
        <v>0</v>
      </c>
      <c r="J918" t="n" s="3">
        <v>1</v>
      </c>
      <c r="K918" s="3"/>
      <c r="L918" s="3"/>
      <c r="M918" t="n" s="3">
        <v>1</v>
      </c>
      <c r="N918" s="3"/>
      <c r="O918" s="3"/>
      <c r="P918" s="3"/>
      <c r="Q918" s="3"/>
      <c r="R918" s="3"/>
      <c r="S918" s="17"/>
      <c r="T918" s="18"/>
      <c r="U918"/>
      <c r="V918"/>
      <c r="W918"/>
      <c r="X918"/>
      <c r="Y918"/>
      <c r="Z918"/>
      <c r="AA918"/>
    </row>
    <row r="919" s="17" customFormat="1" ht="15" spans="1:27">
      <c r="A919" s="35"/>
      <c r="B919" t="n" s="17">
        <f>70000000+F919*10000+H919*1000+I919*100+J919</f>
        <v>70615101</v>
      </c>
      <c r="C919" t="str" s="40">
        <v>风偃枝-采集物1</v>
      </c>
      <c r="D919" s="3"/>
      <c r="E919" t="str" s="3">
        <f>F919&amp;(VLOOKUP(G919,编号表!$E$1:$G$8,2,0))&amp;H919&amp;"_"&amp;I919&amp;"_"&amp;J919</f>
        <v>61C5_1_1</v>
      </c>
      <c r="F919" t="n" s="3">
        <v>61</v>
      </c>
      <c r="G919" t="str" s="3">
        <v>采集物</v>
      </c>
      <c r="H919" t="n" s="3">
        <v>5</v>
      </c>
      <c r="I919" t="n" s="3">
        <v>1</v>
      </c>
      <c r="J919" t="n" s="3">
        <v>1</v>
      </c>
      <c r="K919" s="3"/>
      <c r="L919" s="3"/>
      <c r="M919" s="3"/>
      <c r="N919" s="3"/>
      <c r="O919" s="3"/>
      <c r="P919" s="3"/>
      <c r="Q919" s="3"/>
      <c r="R919" s="3"/>
      <c r="S919" s="17"/>
      <c r="T919" s="18"/>
      <c r="U919"/>
      <c r="V919"/>
      <c r="W919"/>
      <c r="X919"/>
      <c r="Y919"/>
      <c r="Z919"/>
      <c r="AA919"/>
    </row>
    <row r="920" s="17" customFormat="1" ht="15" spans="1:27">
      <c r="A920" s="35"/>
      <c r="B920" t="n" s="17">
        <f>70000000+F920*10000+H920*1000+I920*100+J920</f>
        <v>70615102</v>
      </c>
      <c r="C920" t="str" s="40">
        <v>风偃枝-采集物2</v>
      </c>
      <c r="D920" s="3"/>
      <c r="E920" t="str" s="3">
        <f>F920&amp;(VLOOKUP(G920,编号表!$E$1:$G$8,2,0))&amp;H920&amp;"_"&amp;I920&amp;"_"&amp;J920</f>
        <v>61C5_1_2</v>
      </c>
      <c r="F920" t="n" s="3">
        <v>61</v>
      </c>
      <c r="G920" t="str" s="3">
        <v>采集物</v>
      </c>
      <c r="H920" t="n" s="3">
        <v>5</v>
      </c>
      <c r="I920" t="n" s="3">
        <v>1</v>
      </c>
      <c r="J920" t="n" s="3">
        <v>2</v>
      </c>
      <c r="K920" s="3"/>
      <c r="L920" s="3"/>
      <c r="M920" s="3"/>
      <c r="N920" s="3"/>
      <c r="O920" s="3"/>
      <c r="P920" s="3"/>
      <c r="Q920" s="3"/>
      <c r="R920" s="3"/>
      <c r="S920" s="17"/>
      <c r="T920" s="18"/>
      <c r="U920"/>
      <c r="V920"/>
      <c r="W920"/>
      <c r="X920"/>
      <c r="Y920"/>
      <c r="Z920"/>
      <c r="AA920"/>
    </row>
    <row r="921" s="17" customFormat="1" ht="15" spans="1:27">
      <c r="A921" s="35"/>
      <c r="B921" t="n" s="17">
        <f>70000000+F921*10000+H921*1000+I921*100+J921</f>
        <v>70615201</v>
      </c>
      <c r="C921" t="str" s="40">
        <v>风偃枝-采集物3</v>
      </c>
      <c r="D921" s="3"/>
      <c r="E921" t="str" s="3">
        <f>F921&amp;(VLOOKUP(G921,编号表!$E$1:$G$8,2,0))&amp;H921&amp;"_"&amp;I921&amp;"_"&amp;J921</f>
        <v>61C5_2_1</v>
      </c>
      <c r="F921" t="n" s="3">
        <v>61</v>
      </c>
      <c r="G921" t="str" s="3">
        <v>采集物</v>
      </c>
      <c r="H921" t="n" s="3">
        <v>5</v>
      </c>
      <c r="I921" t="n" s="3">
        <v>2</v>
      </c>
      <c r="J921" t="n" s="3">
        <v>1</v>
      </c>
      <c r="K921" s="3"/>
      <c r="L921" s="3"/>
      <c r="M921" s="3"/>
      <c r="N921" s="3"/>
      <c r="O921" s="3"/>
      <c r="P921" s="3"/>
      <c r="Q921" s="3"/>
      <c r="R921" s="3"/>
      <c r="S921" s="17"/>
      <c r="T921" s="18"/>
      <c r="U921"/>
      <c r="V921"/>
      <c r="W921"/>
      <c r="X921"/>
      <c r="Y921"/>
      <c r="Z921"/>
      <c r="AA921"/>
    </row>
    <row r="922" s="17" customFormat="1" ht="15" spans="1:27">
      <c r="A922" s="35"/>
      <c r="B922" t="n" s="17">
        <f>70000000+F922*10000+H922*1000+I922*100+J922</f>
        <v>70615202</v>
      </c>
      <c r="C922" t="str" s="40">
        <v>风偃枝-采集物4</v>
      </c>
      <c r="D922" s="3"/>
      <c r="E922" t="str" s="3">
        <f>F922&amp;(VLOOKUP(G922,编号表!$E$1:$G$8,2,0))&amp;H922&amp;"_"&amp;I922&amp;"_"&amp;J922</f>
        <v>61C5_2_2</v>
      </c>
      <c r="F922" t="n" s="3">
        <v>61</v>
      </c>
      <c r="G922" t="str" s="3">
        <v>采集物</v>
      </c>
      <c r="H922" t="n" s="3">
        <v>5</v>
      </c>
      <c r="I922" t="n" s="3">
        <v>2</v>
      </c>
      <c r="J922" t="n" s="3">
        <v>2</v>
      </c>
      <c r="K922" s="3"/>
      <c r="L922" s="3"/>
      <c r="M922" s="3"/>
      <c r="N922" s="3"/>
      <c r="O922" s="3"/>
      <c r="P922" s="3"/>
      <c r="Q922" s="3"/>
      <c r="R922" s="3"/>
      <c r="S922" s="17"/>
      <c r="T922" s="18"/>
      <c r="U922"/>
      <c r="V922"/>
      <c r="W922"/>
      <c r="X922"/>
      <c r="Y922"/>
      <c r="Z922"/>
      <c r="AA922"/>
    </row>
    <row r="923" s="17" customFormat="1" ht="15" spans="1:27">
      <c r="A923" s="35"/>
      <c r="B923" t="n" s="17">
        <f>70000000+F923*10000+H923*1000+I923*100+J923</f>
        <v>70615203</v>
      </c>
      <c r="C923" t="str" s="40">
        <v>风偃枝-采集物5</v>
      </c>
      <c r="D923" s="3"/>
      <c r="E923" t="str" s="3">
        <f>F923&amp;(VLOOKUP(G923,编号表!$E$1:$G$8,2,0))&amp;H923&amp;"_"&amp;I923&amp;"_"&amp;J923</f>
        <v>61C5_2_3</v>
      </c>
      <c r="F923" t="n" s="3">
        <v>61</v>
      </c>
      <c r="G923" t="str" s="3">
        <v>采集物</v>
      </c>
      <c r="H923" t="n" s="3">
        <v>5</v>
      </c>
      <c r="I923" t="n" s="3">
        <v>2</v>
      </c>
      <c r="J923" t="n" s="3">
        <v>3</v>
      </c>
      <c r="K923" s="3"/>
      <c r="L923" s="3"/>
      <c r="M923" s="3"/>
      <c r="N923" s="3"/>
      <c r="O923" s="3"/>
      <c r="P923" s="3"/>
      <c r="Q923" s="3"/>
      <c r="R923" s="3"/>
      <c r="S923" s="17"/>
      <c r="T923" s="18"/>
      <c r="U923"/>
      <c r="V923"/>
      <c r="W923"/>
      <c r="X923"/>
      <c r="Y923"/>
      <c r="Z923"/>
      <c r="AA923"/>
    </row>
    <row r="924" s="17" customFormat="1" ht="15" spans="1:27">
      <c r="A924" s="35"/>
      <c r="B924" t="n" s="17">
        <f>70000000+F924*10000+H924*1000+I924*100+J924</f>
        <v>70615301</v>
      </c>
      <c r="C924" t="str" s="40">
        <v>风偃枝-采集物6</v>
      </c>
      <c r="D924" s="3"/>
      <c r="E924" t="str" s="3">
        <f>F924&amp;(VLOOKUP(G924,编号表!$E$1:$G$8,2,0))&amp;H924&amp;"_"&amp;I924&amp;"_"&amp;J924</f>
        <v>61C5_3_1</v>
      </c>
      <c r="F924" t="n" s="3">
        <v>61</v>
      </c>
      <c r="G924" t="str" s="3">
        <v>采集物</v>
      </c>
      <c r="H924" t="n" s="3">
        <v>5</v>
      </c>
      <c r="I924" t="n" s="3">
        <v>3</v>
      </c>
      <c r="J924" t="n" s="3">
        <v>1</v>
      </c>
      <c r="K924" s="3"/>
      <c r="L924" s="3"/>
      <c r="M924" s="3"/>
      <c r="N924" s="3"/>
      <c r="O924" s="3"/>
      <c r="P924" s="3"/>
      <c r="Q924" s="3"/>
      <c r="R924" s="3"/>
      <c r="S924" s="17"/>
      <c r="T924" s="18"/>
      <c r="U924"/>
      <c r="V924"/>
      <c r="W924"/>
      <c r="X924"/>
      <c r="Y924"/>
      <c r="Z924"/>
      <c r="AA924"/>
    </row>
    <row r="925" s="17" customFormat="1" ht="15" spans="1:27">
      <c r="A925" s="35"/>
      <c r="B925" t="n" s="17">
        <f>70000000+F925*10000+H925*1000+I925*100+J925</f>
        <v>70615302</v>
      </c>
      <c r="C925" t="str" s="40">
        <v>风偃枝-采集物7</v>
      </c>
      <c r="D925" s="3"/>
      <c r="E925" t="str" s="3">
        <f>F925&amp;(VLOOKUP(G925,编号表!$E$1:$G$8,2,0))&amp;H925&amp;"_"&amp;I925&amp;"_"&amp;J925</f>
        <v>61C5_3_2</v>
      </c>
      <c r="F925" t="n" s="3">
        <v>61</v>
      </c>
      <c r="G925" t="str" s="3">
        <v>采集物</v>
      </c>
      <c r="H925" t="n" s="3">
        <v>5</v>
      </c>
      <c r="I925" t="n" s="3">
        <v>3</v>
      </c>
      <c r="J925" t="n" s="3">
        <v>2</v>
      </c>
      <c r="K925" s="3"/>
      <c r="L925" s="3"/>
      <c r="M925" s="3"/>
      <c r="N925" s="3"/>
      <c r="O925" s="3"/>
      <c r="P925" s="3"/>
      <c r="Q925" s="3"/>
      <c r="R925" s="3"/>
      <c r="S925" s="17"/>
      <c r="T925" s="18"/>
      <c r="U925"/>
      <c r="V925"/>
      <c r="W925"/>
      <c r="X925"/>
      <c r="Y925"/>
      <c r="Z925"/>
      <c r="AA925"/>
    </row>
    <row r="926" ht="15" spans="1:27">
      <c r="A926" s="35"/>
      <c r="B926" t="n" s="17">
        <f>70000000+F926*10000+H926*1000+I926*100+J926</f>
        <v>70615001</v>
      </c>
      <c r="C926" t="str" s="39">
        <v>风偃枝-镜头</v>
      </c>
      <c r="D926" s="3"/>
      <c r="E926" t="str" s="3">
        <f>F926&amp;(VLOOKUP(G926,编号表!$E$1:$G$8,2,0))&amp;H926&amp;"_"&amp;I926&amp;"_"&amp;J926</f>
        <v>61J5_0_1</v>
      </c>
      <c r="F926" t="n" s="3">
        <v>61</v>
      </c>
      <c r="G926" t="str" s="3">
        <v>镜头</v>
      </c>
      <c r="H926" t="n" s="3">
        <v>5</v>
      </c>
      <c r="I926" t="n" s="3">
        <v>0</v>
      </c>
      <c r="J926" t="n" s="3">
        <v>1</v>
      </c>
      <c r="K926" t="n" s="3">
        <v>1</v>
      </c>
      <c r="L926" s="3"/>
      <c r="M926" s="3"/>
      <c r="N926" s="3"/>
      <c r="O926" s="3"/>
      <c r="P926" s="3"/>
      <c r="Q926" s="3"/>
      <c r="R926" s="3"/>
      <c r="S926" s="17"/>
      <c r="T926" s="18"/>
      <c r="U926"/>
      <c r="V926"/>
      <c r="W926"/>
      <c r="X926"/>
      <c r="Y926"/>
      <c r="Z926"/>
      <c r="AA926"/>
    </row>
    <row r="927" ht="15" spans="1:27">
      <c r="A927" s="35"/>
      <c r="B927" t="n" s="17">
        <f>70000000+F927*10000+H927*1000+I927*100+J927</f>
        <v>70611001</v>
      </c>
      <c r="C927" t="str" s="37">
        <v>风偃枝-传送</v>
      </c>
      <c r="D927" s="3"/>
      <c r="E927" t="str" s="3">
        <f>F927&amp;(VLOOKUP(G927,编号表!$E$1:$G$8,2,0))&amp;H927&amp;"_"&amp;I927&amp;"_"&amp;J927</f>
        <v>61T1_0_1</v>
      </c>
      <c r="F927" t="n" s="3">
        <v>61</v>
      </c>
      <c r="G927" t="str" s="3">
        <v>传送</v>
      </c>
      <c r="H927" t="n" s="3">
        <v>1</v>
      </c>
      <c r="I927" t="n" s="3">
        <v>0</v>
      </c>
      <c r="J927" t="n" s="3">
        <v>1</v>
      </c>
      <c r="K927" s="3"/>
      <c r="L927" t="n" s="3">
        <v>1</v>
      </c>
      <c r="M927" s="3"/>
      <c r="N927" s="3"/>
      <c r="O927" s="3"/>
      <c r="P927" s="3"/>
      <c r="Q927" s="3"/>
      <c r="R927" s="3"/>
      <c r="S927" s="17"/>
      <c r="T927" s="18"/>
      <c r="U927"/>
      <c r="V927"/>
      <c r="W927"/>
      <c r="X927"/>
      <c r="Y927"/>
      <c r="Z927"/>
      <c r="AA927"/>
    </row>
    <row r="928" ht="15" spans="1:27">
      <c r="A928" s="35"/>
      <c r="B928" t="n" s="17">
        <f>70000000+F928*10000+H928*1000+I928*100+J928</f>
        <v>70611002</v>
      </c>
      <c r="C928" t="str" s="37">
        <v>风偃枝-传送</v>
      </c>
      <c r="D928" s="3"/>
      <c r="E928" t="str" s="3">
        <f>F928&amp;(VLOOKUP(G928,编号表!$E$1:$G$8,2,0))&amp;H928&amp;"_"&amp;I928&amp;"_"&amp;J928</f>
        <v>61T1_0_2</v>
      </c>
      <c r="F928" t="n" s="3">
        <v>61</v>
      </c>
      <c r="G928" t="str" s="3">
        <v>传送</v>
      </c>
      <c r="H928" t="n" s="3">
        <v>1</v>
      </c>
      <c r="I928" t="n" s="3">
        <v>0</v>
      </c>
      <c r="J928" t="n" s="3">
        <v>2</v>
      </c>
      <c r="K928" s="3"/>
      <c r="L928" t="n" s="3">
        <v>1</v>
      </c>
      <c r="M928" s="3"/>
      <c r="N928" s="3"/>
      <c r="O928" s="3"/>
      <c r="P928" s="3"/>
      <c r="Q928" s="3"/>
      <c r="R928" s="3"/>
      <c r="S928" s="17"/>
      <c r="T928" s="18"/>
      <c r="U928"/>
      <c r="V928"/>
      <c r="W928"/>
      <c r="X928"/>
      <c r="Y928"/>
      <c r="Z928"/>
      <c r="AA928"/>
    </row>
    <row r="929" ht="15" spans="1:27">
      <c r="A929" s="35"/>
      <c r="B929" t="n" s="17">
        <f>70000000+F929*10000+H929*1000+I929*100+J929</f>
        <v>70612001</v>
      </c>
      <c r="C929" t="str" s="37">
        <v>风偃枝-小地图</v>
      </c>
      <c r="D929" s="3"/>
      <c r="E929" t="str" s="3">
        <f>F929&amp;(VLOOKUP(G929,编号表!$E$1:$G$8,2,0))&amp;H929&amp;"_"&amp;I929&amp;"_"&amp;J929</f>
        <v>61D2_0_1</v>
      </c>
      <c r="F929" t="n" s="3">
        <v>61</v>
      </c>
      <c r="G929" t="str" s="3">
        <v>小地图</v>
      </c>
      <c r="H929" t="n" s="3">
        <v>2</v>
      </c>
      <c r="I929" t="n" s="3">
        <v>0</v>
      </c>
      <c r="J929" t="n" s="3">
        <v>1</v>
      </c>
      <c r="K929" s="3"/>
      <c r="L929" s="3"/>
      <c r="M929" t="n" s="3">
        <v>1</v>
      </c>
      <c r="N929" s="3"/>
      <c r="O929" s="3"/>
      <c r="P929" s="3"/>
      <c r="Q929" s="3"/>
      <c r="R929" s="3"/>
      <c r="S929" s="17"/>
      <c r="T929" s="18"/>
      <c r="U929"/>
      <c r="V929"/>
      <c r="W929"/>
      <c r="X929"/>
      <c r="Y929"/>
      <c r="Z929"/>
      <c r="AA929"/>
    </row>
    <row r="930" s="17" customFormat="1" ht="15" spans="1:27">
      <c r="A930" s="35"/>
      <c r="B930" t="n" s="17">
        <f>70000000+F930*10000+H930*1000+I930*100+J930</f>
        <v>70625101</v>
      </c>
      <c r="C930" t="str" s="40">
        <v>阖岫口-怪物1</v>
      </c>
      <c r="D930" s="3"/>
      <c r="E930" t="str" s="3">
        <f>F930&amp;(VLOOKUP(G930,编号表!$E$1:$G$8,2,0))&amp;H930&amp;"_"&amp;I930&amp;"_"&amp;J930</f>
        <v>62N5_1_1</v>
      </c>
      <c r="F930" t="n" s="3">
        <v>62</v>
      </c>
      <c r="G930" t="str" s="3">
        <v>怪物</v>
      </c>
      <c r="H930" t="n" s="3">
        <v>5</v>
      </c>
      <c r="I930" t="n" s="3">
        <v>1</v>
      </c>
      <c r="J930" t="n" s="3">
        <v>1</v>
      </c>
      <c r="K930" s="3"/>
      <c r="L930" s="3"/>
      <c r="M930" s="3"/>
      <c r="N930" s="3"/>
      <c r="O930" s="3"/>
      <c r="P930" s="3"/>
      <c r="Q930" s="3"/>
      <c r="R930" s="3"/>
      <c r="S930" t="str" s="17">
        <v>本轮完整刷新挂接；R08仅临时遭遇，待实例一次性状态接入</v>
      </c>
      <c r="T930" t="n" s="18">
        <v>1071304</v>
      </c>
      <c r="U930"/>
      <c r="V930"/>
      <c r="W930"/>
      <c r="X930"/>
      <c r="Y930"/>
      <c r="Z930"/>
      <c r="AA930"/>
    </row>
    <row r="931" s="17" customFormat="1" ht="15" spans="1:27">
      <c r="A931" s="35"/>
      <c r="B931" t="n" s="17">
        <f>70000000+F931*10000+H931*1000+I931*100+J931</f>
        <v>70625102</v>
      </c>
      <c r="C931" t="str" s="40">
        <v>阖岫口-怪物2</v>
      </c>
      <c r="D931" s="3"/>
      <c r="E931" t="str" s="3">
        <f>F931&amp;(VLOOKUP(G931,编号表!$E$1:$G$8,2,0))&amp;H931&amp;"_"&amp;I931&amp;"_"&amp;J931</f>
        <v>62N5_1_2</v>
      </c>
      <c r="F931" t="n" s="3">
        <v>62</v>
      </c>
      <c r="G931" t="str" s="3">
        <v>怪物</v>
      </c>
      <c r="H931" t="n" s="3">
        <v>5</v>
      </c>
      <c r="I931" t="n" s="3">
        <v>1</v>
      </c>
      <c r="J931" t="n" s="3">
        <v>2</v>
      </c>
      <c r="K931" s="3"/>
      <c r="L931" s="3"/>
      <c r="M931" s="3"/>
      <c r="N931" s="3"/>
      <c r="O931" s="3"/>
      <c r="P931" s="3"/>
      <c r="Q931" s="3"/>
      <c r="R931" s="3"/>
      <c r="S931" t="str" s="17">
        <v>本轮完整刷新挂接；R08仅临时遭遇，待实例一次性状态接入</v>
      </c>
      <c r="T931" t="n" s="18">
        <v>1071504</v>
      </c>
      <c r="U931"/>
      <c r="V931"/>
      <c r="W931"/>
      <c r="X931"/>
      <c r="Y931"/>
      <c r="Z931"/>
      <c r="AA931"/>
    </row>
    <row r="932" s="17" customFormat="1" ht="15" spans="1:27">
      <c r="A932" s="35"/>
      <c r="B932" t="n" s="17">
        <f>70000000+F932*10000+H932*1000+I932*100+J932</f>
        <v>70625103</v>
      </c>
      <c r="C932" t="str" s="40">
        <v>阖岫口-怪物3</v>
      </c>
      <c r="D932" s="3"/>
      <c r="E932" t="str" s="3">
        <f>F932&amp;(VLOOKUP(G932,编号表!$E$1:$G$8,2,0))&amp;H932&amp;"_"&amp;I932&amp;"_"&amp;J932</f>
        <v>62N5_1_3</v>
      </c>
      <c r="F932" t="n" s="3">
        <v>62</v>
      </c>
      <c r="G932" t="str" s="3">
        <v>怪物</v>
      </c>
      <c r="H932" t="n" s="3">
        <v>5</v>
      </c>
      <c r="I932" t="n" s="3">
        <v>1</v>
      </c>
      <c r="J932" t="n" s="3">
        <v>3</v>
      </c>
      <c r="K932" s="3"/>
      <c r="L932" s="3"/>
      <c r="M932" s="3"/>
      <c r="N932" s="3"/>
      <c r="O932" s="3"/>
      <c r="P932" s="3"/>
      <c r="Q932" s="3"/>
      <c r="R932" s="3"/>
      <c r="S932" t="str" s="17">
        <v>本轮完整刷新挂接；R08仅临时遭遇，待实例一次性状态接入</v>
      </c>
      <c r="T932" t="n" s="18">
        <v>1071103</v>
      </c>
      <c r="U932"/>
      <c r="V932"/>
      <c r="W932"/>
      <c r="X932"/>
      <c r="Y932"/>
      <c r="Z932"/>
      <c r="AA932"/>
    </row>
    <row r="933" s="17" customFormat="1" ht="15" spans="1:27">
      <c r="A933" s="35"/>
      <c r="B933" t="n" s="17">
        <f>70000000+F933*10000+H933*1000+I933*100+J933</f>
        <v>70625201</v>
      </c>
      <c r="C933" t="str" s="40">
        <v>阖岫口-怪物4</v>
      </c>
      <c r="D933" s="3"/>
      <c r="E933" t="str" s="3">
        <f>F933&amp;(VLOOKUP(G933,编号表!$E$1:$G$8,2,0))&amp;H933&amp;"_"&amp;I933&amp;"_"&amp;J933</f>
        <v>62N5_2_1</v>
      </c>
      <c r="F933" t="n" s="3">
        <v>62</v>
      </c>
      <c r="G933" t="str" s="3">
        <v>怪物</v>
      </c>
      <c r="H933" t="n" s="3">
        <v>5</v>
      </c>
      <c r="I933" t="n" s="3">
        <v>2</v>
      </c>
      <c r="J933" t="n" s="3">
        <v>1</v>
      </c>
      <c r="K933" s="3"/>
      <c r="L933" s="3"/>
      <c r="M933" s="3"/>
      <c r="N933" s="3"/>
      <c r="O933" s="3"/>
      <c r="P933" s="3"/>
      <c r="Q933" s="3"/>
      <c r="R933" s="3"/>
      <c r="S933" t="str" s="17">
        <v>本轮完整刷新挂接；R08仅临时遭遇，待实例一次性状态接入</v>
      </c>
      <c r="T933" t="n" s="18">
        <v>1071001</v>
      </c>
      <c r="U933"/>
      <c r="V933"/>
      <c r="W933"/>
      <c r="X933"/>
      <c r="Y933"/>
      <c r="Z933"/>
      <c r="AA933"/>
    </row>
    <row r="934" s="17" customFormat="1" ht="15" spans="1:27">
      <c r="A934" s="35"/>
      <c r="B934" t="n" s="17">
        <f>70000000+F934*10000+H934*1000+I934*100+J934</f>
        <v>70625202</v>
      </c>
      <c r="C934" t="str" s="40">
        <v>阖岫口-怪物5</v>
      </c>
      <c r="D934" s="3"/>
      <c r="E934" t="str" s="3">
        <f>F934&amp;(VLOOKUP(G934,编号表!$E$1:$G$8,2,0))&amp;H934&amp;"_"&amp;I934&amp;"_"&amp;J934</f>
        <v>62N5_2_2</v>
      </c>
      <c r="F934" t="n" s="3">
        <v>62</v>
      </c>
      <c r="G934" t="str" s="3">
        <v>怪物</v>
      </c>
      <c r="H934" t="n" s="3">
        <v>5</v>
      </c>
      <c r="I934" t="n" s="3">
        <v>2</v>
      </c>
      <c r="J934" t="n" s="3">
        <v>2</v>
      </c>
      <c r="K934" s="3"/>
      <c r="L934" s="3"/>
      <c r="M934" s="3"/>
      <c r="N934" s="3"/>
      <c r="O934" s="3"/>
      <c r="P934" s="3"/>
      <c r="Q934" s="3"/>
      <c r="R934" s="3"/>
      <c r="S934" s="17"/>
      <c r="T934" s="18"/>
      <c r="U934"/>
      <c r="V934"/>
      <c r="W934"/>
      <c r="X934"/>
      <c r="Y934"/>
      <c r="Z934"/>
      <c r="AA934"/>
    </row>
    <row r="935" s="17" customFormat="1" ht="15" spans="1:27">
      <c r="A935" s="35"/>
      <c r="B935" t="n" s="17">
        <f>70000000+F935*10000+H935*1000+I935*100+J935</f>
        <v>70625301</v>
      </c>
      <c r="C935" t="str" s="40">
        <v>阖岫口-怪物6</v>
      </c>
      <c r="D935" s="3"/>
      <c r="E935" t="str" s="3">
        <f>F935&amp;(VLOOKUP(G935,编号表!$E$1:$G$8,2,0))&amp;H935&amp;"_"&amp;I935&amp;"_"&amp;J935</f>
        <v>62N5_3_1</v>
      </c>
      <c r="F935" t="n" s="3">
        <v>62</v>
      </c>
      <c r="G935" t="str" s="3">
        <v>怪物</v>
      </c>
      <c r="H935" t="n" s="3">
        <v>5</v>
      </c>
      <c r="I935" t="n" s="3">
        <v>3</v>
      </c>
      <c r="J935" t="n" s="3">
        <v>1</v>
      </c>
      <c r="K935" s="3"/>
      <c r="L935" s="3"/>
      <c r="M935" s="3"/>
      <c r="N935" s="3"/>
      <c r="O935" s="3"/>
      <c r="P935" s="3"/>
      <c r="Q935" s="3"/>
      <c r="R935" s="3"/>
      <c r="S935" s="17"/>
      <c r="T935" s="18"/>
      <c r="U935"/>
      <c r="V935"/>
      <c r="W935"/>
      <c r="X935"/>
      <c r="Y935"/>
      <c r="Z935"/>
      <c r="AA935"/>
    </row>
    <row r="936" s="17" customFormat="1" ht="15" spans="1:27">
      <c r="A936" s="35"/>
      <c r="B936" t="n" s="17">
        <f>70000000+F936*10000+H936*1000+I936*100+J936</f>
        <v>70625302</v>
      </c>
      <c r="C936" t="str" s="40">
        <v>阖岫口-怪物7</v>
      </c>
      <c r="D936" s="3"/>
      <c r="E936" t="str" s="3">
        <f>F936&amp;(VLOOKUP(G936,编号表!$E$1:$G$8,2,0))&amp;H936&amp;"_"&amp;I936&amp;"_"&amp;J936</f>
        <v>62N5_3_2</v>
      </c>
      <c r="F936" t="n" s="3">
        <v>62</v>
      </c>
      <c r="G936" t="str" s="3">
        <v>怪物</v>
      </c>
      <c r="H936" t="n" s="3">
        <v>5</v>
      </c>
      <c r="I936" t="n" s="3">
        <v>3</v>
      </c>
      <c r="J936" t="n" s="3">
        <v>2</v>
      </c>
      <c r="K936" s="3"/>
      <c r="L936" s="3"/>
      <c r="M936" s="3"/>
      <c r="N936" s="3"/>
      <c r="O936" s="3"/>
      <c r="P936" s="3"/>
      <c r="Q936" s="3"/>
      <c r="R936" s="3"/>
      <c r="S936" s="17"/>
      <c r="T936" s="18"/>
      <c r="U936"/>
      <c r="V936"/>
      <c r="W936"/>
      <c r="X936"/>
      <c r="Y936"/>
      <c r="Z936"/>
      <c r="AA936"/>
    </row>
    <row r="937" s="17" customFormat="1" ht="15" spans="1:27">
      <c r="A937" s="35"/>
      <c r="B937" t="n" s="17">
        <f>70000000+F937*10000+H937*1000+I937*100+J937</f>
        <v>70625303</v>
      </c>
      <c r="C937" t="str" s="40">
        <v>阖岫口-怪物8</v>
      </c>
      <c r="D937" s="3"/>
      <c r="E937" t="str" s="3">
        <f>F937&amp;(VLOOKUP(G937,编号表!$E$1:$G$8,2,0))&amp;H937&amp;"_"&amp;I937&amp;"_"&amp;J937</f>
        <v>62N5_3_3</v>
      </c>
      <c r="F937" t="n" s="3">
        <v>62</v>
      </c>
      <c r="G937" t="str" s="3">
        <v>怪物</v>
      </c>
      <c r="H937" t="n" s="3">
        <v>5</v>
      </c>
      <c r="I937" t="n" s="3">
        <v>3</v>
      </c>
      <c r="J937" t="n" s="3">
        <v>3</v>
      </c>
      <c r="K937" s="3"/>
      <c r="L937" s="3"/>
      <c r="M937" s="3"/>
      <c r="N937" s="3"/>
      <c r="O937" s="3"/>
      <c r="P937" s="3"/>
      <c r="Q937" s="3"/>
      <c r="R937" s="3"/>
      <c r="S937" s="17"/>
      <c r="T937" s="18"/>
      <c r="U937"/>
      <c r="V937"/>
      <c r="W937"/>
      <c r="X937"/>
      <c r="Y937"/>
      <c r="Z937"/>
      <c r="AA937"/>
    </row>
    <row r="938" s="17" customFormat="1" ht="15" spans="1:27">
      <c r="A938" s="35"/>
      <c r="B938" t="n" s="17">
        <f>70000000+F938*10000+H938*1000+I938*100+J938</f>
        <v>70625304</v>
      </c>
      <c r="C938" t="str" s="40">
        <v>阖岫口-怪物9</v>
      </c>
      <c r="D938" s="3"/>
      <c r="E938" t="str" s="3">
        <f>F938&amp;(VLOOKUP(G938,编号表!$E$1:$G$8,2,0))&amp;H938&amp;"_"&amp;I938&amp;"_"&amp;J938</f>
        <v>62N5_3_4</v>
      </c>
      <c r="F938" t="n" s="3">
        <v>62</v>
      </c>
      <c r="G938" t="str" s="3">
        <v>怪物</v>
      </c>
      <c r="H938" t="n" s="3">
        <v>5</v>
      </c>
      <c r="I938" t="n" s="3">
        <v>3</v>
      </c>
      <c r="J938" t="n" s="3">
        <v>4</v>
      </c>
      <c r="K938" s="3"/>
      <c r="L938" s="3"/>
      <c r="M938" s="3"/>
      <c r="N938" s="3"/>
      <c r="O938" s="3"/>
      <c r="P938" s="3"/>
      <c r="Q938" s="3"/>
      <c r="R938" s="3"/>
      <c r="S938" s="17"/>
      <c r="T938" s="18"/>
      <c r="U938"/>
      <c r="V938"/>
      <c r="W938"/>
      <c r="X938"/>
      <c r="Y938"/>
      <c r="Z938"/>
      <c r="AA938"/>
    </row>
    <row r="939" ht="15" spans="1:27">
      <c r="A939" s="35"/>
      <c r="B939" t="n" s="17">
        <f>70000000+F939*10000+H939*1000+I939*100+J939</f>
        <v>70625001</v>
      </c>
      <c r="C939" t="str" s="39">
        <v>阖岫口-镜头</v>
      </c>
      <c r="D939" s="3"/>
      <c r="E939" t="str" s="3">
        <f>F939&amp;(VLOOKUP(G939,编号表!$E$1:$G$8,2,0))&amp;H939&amp;"_"&amp;I939&amp;"_"&amp;J939</f>
        <v>62J5_0_1</v>
      </c>
      <c r="F939" t="n" s="3">
        <v>62</v>
      </c>
      <c r="G939" t="str" s="3">
        <v>镜头</v>
      </c>
      <c r="H939" t="n" s="3">
        <v>5</v>
      </c>
      <c r="I939" t="n" s="3">
        <v>0</v>
      </c>
      <c r="J939" t="n" s="3">
        <v>1</v>
      </c>
      <c r="K939" t="n" s="3">
        <v>1</v>
      </c>
      <c r="L939" s="3"/>
      <c r="M939" s="3"/>
      <c r="N939" s="3"/>
      <c r="O939" s="3"/>
      <c r="P939" s="3"/>
      <c r="Q939" s="3"/>
      <c r="R939" s="3"/>
      <c r="S939" s="17"/>
      <c r="T939" s="18"/>
      <c r="U939"/>
      <c r="V939"/>
      <c r="W939"/>
      <c r="X939"/>
      <c r="Y939"/>
      <c r="Z939"/>
      <c r="AA939"/>
    </row>
    <row r="940" ht="15" spans="1:27">
      <c r="A940" s="35"/>
      <c r="B940" t="n" s="17">
        <f>70000000+F940*10000+H940*1000+I940*100+J940</f>
        <v>70621001</v>
      </c>
      <c r="C940" t="str" s="37">
        <v>阖岫口-传送</v>
      </c>
      <c r="D940" s="3"/>
      <c r="E940" t="str" s="3">
        <f>F940&amp;(VLOOKUP(G940,编号表!$E$1:$G$8,2,0))&amp;H940&amp;"_"&amp;I940&amp;"_"&amp;J940</f>
        <v>62T1_0_1</v>
      </c>
      <c r="F940" t="n" s="3">
        <v>62</v>
      </c>
      <c r="G940" t="str" s="3">
        <v>传送</v>
      </c>
      <c r="H940" t="n" s="3">
        <v>1</v>
      </c>
      <c r="I940" t="n" s="3">
        <v>0</v>
      </c>
      <c r="J940" t="n" s="3">
        <v>1</v>
      </c>
      <c r="K940" s="3"/>
      <c r="L940" t="n" s="3">
        <v>1</v>
      </c>
      <c r="M940" s="3"/>
      <c r="N940" s="3"/>
      <c r="O940" s="3"/>
      <c r="P940" s="3"/>
      <c r="Q940" s="3"/>
      <c r="R940" s="3"/>
      <c r="S940" s="17"/>
      <c r="T940" s="18"/>
      <c r="U940"/>
      <c r="V940"/>
      <c r="W940"/>
      <c r="X940"/>
      <c r="Y940"/>
      <c r="Z940"/>
      <c r="AA940"/>
    </row>
    <row r="941" ht="15" spans="1:27">
      <c r="A941" s="35"/>
      <c r="B941" t="n" s="17">
        <f>70000000+F941*10000+H941*1000+I941*100+J941</f>
        <v>70621002</v>
      </c>
      <c r="C941" t="str" s="37">
        <v>阖岫口-传送</v>
      </c>
      <c r="D941" s="3"/>
      <c r="E941" t="str" s="3">
        <f>F941&amp;(VLOOKUP(G941,编号表!$E$1:$G$8,2,0))&amp;H941&amp;"_"&amp;I941&amp;"_"&amp;J941</f>
        <v>62T1_0_2</v>
      </c>
      <c r="F941" t="n" s="3">
        <v>62</v>
      </c>
      <c r="G941" t="str" s="3">
        <v>传送</v>
      </c>
      <c r="H941" t="n" s="3">
        <v>1</v>
      </c>
      <c r="I941" t="n" s="3">
        <v>0</v>
      </c>
      <c r="J941" t="n" s="3">
        <v>2</v>
      </c>
      <c r="K941" s="3"/>
      <c r="L941" t="n" s="3">
        <v>1</v>
      </c>
      <c r="M941" s="3"/>
      <c r="N941" s="3"/>
      <c r="O941" s="3"/>
      <c r="P941" s="3"/>
      <c r="Q941" s="3"/>
      <c r="R941" s="3"/>
      <c r="S941" s="17"/>
      <c r="T941" s="18"/>
      <c r="U941"/>
      <c r="V941"/>
      <c r="W941"/>
      <c r="X941"/>
      <c r="Y941"/>
      <c r="Z941"/>
      <c r="AA941"/>
    </row>
    <row r="942" ht="15" spans="1:27">
      <c r="A942" s="35"/>
      <c r="B942" t="n" s="17">
        <f>70000000+F942*10000+H942*1000+I942*100+J942</f>
        <v>70622001</v>
      </c>
      <c r="C942" t="str" s="37">
        <v>阖岫口-小地图</v>
      </c>
      <c r="D942" s="3"/>
      <c r="E942" t="str" s="3">
        <f>F942&amp;(VLOOKUP(G942,编号表!$E$1:$G$8,2,0))&amp;H942&amp;"_"&amp;I942&amp;"_"&amp;J942</f>
        <v>62D2_0_1</v>
      </c>
      <c r="F942" t="n" s="3">
        <v>62</v>
      </c>
      <c r="G942" t="str" s="3">
        <v>小地图</v>
      </c>
      <c r="H942" t="n" s="3">
        <v>2</v>
      </c>
      <c r="I942" t="n" s="3">
        <v>0</v>
      </c>
      <c r="J942" t="n" s="3">
        <v>1</v>
      </c>
      <c r="K942" s="3"/>
      <c r="L942" s="3"/>
      <c r="M942" t="n" s="3">
        <v>1</v>
      </c>
      <c r="N942" s="3"/>
      <c r="O942" s="3"/>
      <c r="P942" s="3"/>
      <c r="Q942" s="3"/>
      <c r="R942" s="3"/>
      <c r="S942" s="17"/>
      <c r="T942" s="18"/>
      <c r="U942"/>
      <c r="V942"/>
      <c r="W942"/>
      <c r="X942"/>
      <c r="Y942"/>
      <c r="Z942"/>
      <c r="AA942"/>
    </row>
    <row r="943" s="17" customFormat="1" ht="15" spans="1:27">
      <c r="A943" s="35"/>
      <c r="B943" t="n" s="17">
        <f>70000000+F943*10000+H943*1000+I943*100+J943</f>
        <v>70635101</v>
      </c>
      <c r="C943" t="str" s="40">
        <v>坠尽渊-怪物1</v>
      </c>
      <c r="D943" s="3"/>
      <c r="E943" t="str" s="3">
        <f>F943&amp;(VLOOKUP(G943,编号表!$E$1:$G$8,2,0))&amp;H943&amp;"_"&amp;I943&amp;"_"&amp;J943</f>
        <v>63N5_1_1</v>
      </c>
      <c r="F943" t="n" s="3">
        <v>63</v>
      </c>
      <c r="G943" t="str" s="3">
        <v>怪物</v>
      </c>
      <c r="H943" t="n" s="3">
        <v>5</v>
      </c>
      <c r="I943" t="n" s="3">
        <v>1</v>
      </c>
      <c r="J943" t="n" s="3">
        <v>1</v>
      </c>
      <c r="K943" s="3"/>
      <c r="L943" s="3"/>
      <c r="M943" s="3"/>
      <c r="N943" s="3"/>
      <c r="O943" s="3"/>
      <c r="P943" s="3"/>
      <c r="Q943" s="3"/>
      <c r="R943" s="3"/>
      <c r="S943" t="str" s="17">
        <v>本轮完整刷新挂接；R08仅临时遭遇，待实例一次性状态接入</v>
      </c>
      <c r="T943" t="n" s="18">
        <v>1072304</v>
      </c>
      <c r="U943"/>
      <c r="V943"/>
      <c r="W943"/>
      <c r="X943"/>
      <c r="Y943"/>
      <c r="Z943"/>
      <c r="AA943"/>
    </row>
    <row r="944" s="17" customFormat="1" ht="15" spans="1:27">
      <c r="A944" s="35"/>
      <c r="B944" t="n" s="17">
        <f>70000000+F944*10000+H944*1000+I944*100+J944</f>
        <v>70635102</v>
      </c>
      <c r="C944" t="str" s="40">
        <v>坠尽渊-怪物2</v>
      </c>
      <c r="D944" s="3"/>
      <c r="E944" t="str" s="3">
        <f>F944&amp;(VLOOKUP(G944,编号表!$E$1:$G$8,2,0))&amp;H944&amp;"_"&amp;I944&amp;"_"&amp;J944</f>
        <v>63N5_1_2</v>
      </c>
      <c r="F944" t="n" s="3">
        <v>63</v>
      </c>
      <c r="G944" t="str" s="3">
        <v>怪物</v>
      </c>
      <c r="H944" t="n" s="3">
        <v>5</v>
      </c>
      <c r="I944" t="n" s="3">
        <v>1</v>
      </c>
      <c r="J944" t="n" s="3">
        <v>2</v>
      </c>
      <c r="K944" s="3"/>
      <c r="L944" s="3"/>
      <c r="M944" s="3"/>
      <c r="N944" s="3"/>
      <c r="O944" s="3"/>
      <c r="P944" s="3"/>
      <c r="Q944" s="3"/>
      <c r="R944" s="3"/>
      <c r="S944" t="str" s="17">
        <v>本轮完整刷新挂接；R08仅临时遭遇，待实例一次性状态接入</v>
      </c>
      <c r="T944" t="n" s="18">
        <v>1072404</v>
      </c>
      <c r="U944"/>
      <c r="V944"/>
      <c r="W944"/>
      <c r="X944"/>
      <c r="Y944"/>
      <c r="Z944"/>
      <c r="AA944"/>
    </row>
    <row r="945" s="17" customFormat="1" ht="15" spans="1:27">
      <c r="A945" s="35"/>
      <c r="B945" t="n" s="17">
        <f>70000000+F945*10000+H945*1000+I945*100+J945</f>
        <v>70635103</v>
      </c>
      <c r="C945" t="str" s="40">
        <v>坠尽渊-怪物3</v>
      </c>
      <c r="D945" s="3"/>
      <c r="E945" t="str" s="3">
        <f>F945&amp;(VLOOKUP(G945,编号表!$E$1:$G$8,2,0))&amp;H945&amp;"_"&amp;I945&amp;"_"&amp;J945</f>
        <v>63N5_1_3</v>
      </c>
      <c r="F945" t="n" s="3">
        <v>63</v>
      </c>
      <c r="G945" t="str" s="3">
        <v>怪物</v>
      </c>
      <c r="H945" t="n" s="3">
        <v>5</v>
      </c>
      <c r="I945" t="n" s="3">
        <v>1</v>
      </c>
      <c r="J945" t="n" s="3">
        <v>3</v>
      </c>
      <c r="K945" s="3"/>
      <c r="L945" s="3"/>
      <c r="M945" s="3"/>
      <c r="N945" s="3"/>
      <c r="O945" s="3"/>
      <c r="P945" s="3"/>
      <c r="Q945" s="3"/>
      <c r="R945" s="3"/>
      <c r="S945" t="str" s="17">
        <v>本轮完整刷新挂接；R08仅临时遭遇，待实例一次性状态接入</v>
      </c>
      <c r="T945" t="n" s="18">
        <v>1072504</v>
      </c>
      <c r="U945"/>
      <c r="V945"/>
      <c r="W945"/>
      <c r="X945"/>
      <c r="Y945"/>
      <c r="Z945"/>
      <c r="AA945"/>
    </row>
    <row r="946" s="17" customFormat="1" ht="15" spans="1:27">
      <c r="A946" s="35"/>
      <c r="B946" t="n" s="17">
        <f>70000000+F946*10000+H946*1000+I946*100+J946</f>
        <v>70635104</v>
      </c>
      <c r="C946" t="str" s="40">
        <v>坠尽渊-怪物4</v>
      </c>
      <c r="D946" s="3"/>
      <c r="E946" t="str" s="3">
        <f>F946&amp;(VLOOKUP(G946,编号表!$E$1:$G$8,2,0))&amp;H946&amp;"_"&amp;I946&amp;"_"&amp;J946</f>
        <v>63N5_1_4</v>
      </c>
      <c r="F946" t="n" s="3">
        <v>63</v>
      </c>
      <c r="G946" t="str" s="3">
        <v>怪物</v>
      </c>
      <c r="H946" t="n" s="3">
        <v>5</v>
      </c>
      <c r="I946" t="n" s="3">
        <v>1</v>
      </c>
      <c r="J946" t="n" s="3">
        <v>4</v>
      </c>
      <c r="K946" s="3"/>
      <c r="L946" s="3"/>
      <c r="M946" s="3"/>
      <c r="N946" s="3"/>
      <c r="O946" s="3"/>
      <c r="P946" s="3"/>
      <c r="Q946" s="3"/>
      <c r="R946" s="3"/>
      <c r="S946" t="str" s="17">
        <v>本轮完整刷新挂接；R08仅临时遭遇，待实例一次性状态接入</v>
      </c>
      <c r="T946" t="n" s="18">
        <v>1072103</v>
      </c>
      <c r="U946"/>
      <c r="V946"/>
      <c r="W946"/>
      <c r="X946"/>
      <c r="Y946"/>
      <c r="Z946"/>
      <c r="AA946"/>
    </row>
    <row r="947" s="17" customFormat="1" ht="15" spans="1:27">
      <c r="A947" s="35"/>
      <c r="B947" t="n" s="17">
        <f>70000000+F947*10000+H947*1000+I947*100+J947</f>
        <v>70635105</v>
      </c>
      <c r="C947" t="str" s="40">
        <v>坠尽渊-怪物5</v>
      </c>
      <c r="D947" s="3"/>
      <c r="E947" t="str" s="3">
        <f>F947&amp;(VLOOKUP(G947,编号表!$E$1:$G$8,2,0))&amp;H947&amp;"_"&amp;I947&amp;"_"&amp;J947</f>
        <v>63N5_1_5</v>
      </c>
      <c r="F947" t="n" s="3">
        <v>63</v>
      </c>
      <c r="G947" t="str" s="3">
        <v>怪物</v>
      </c>
      <c r="H947" t="n" s="3">
        <v>5</v>
      </c>
      <c r="I947" t="n" s="3">
        <v>1</v>
      </c>
      <c r="J947" t="n" s="3">
        <v>5</v>
      </c>
      <c r="K947" s="3"/>
      <c r="L947" s="3"/>
      <c r="M947" s="3"/>
      <c r="N947" s="3"/>
      <c r="O947" s="3"/>
      <c r="P947" s="3"/>
      <c r="Q947" s="3"/>
      <c r="R947" s="3"/>
      <c r="S947" t="str" s="17">
        <v>本轮完整刷新挂接；R08仅临时遭遇，待实例一次性状态接入</v>
      </c>
      <c r="T947" t="n" s="18">
        <v>1900256</v>
      </c>
      <c r="U947"/>
      <c r="V947"/>
      <c r="W947"/>
      <c r="X947"/>
      <c r="Y947"/>
      <c r="Z947"/>
      <c r="AA947"/>
    </row>
    <row r="948" s="17" customFormat="1" ht="15" spans="1:27">
      <c r="A948" s="35"/>
      <c r="B948" t="n" s="17">
        <f>70000000+F948*10000+H948*1000+I948*100+J948</f>
        <v>70635201</v>
      </c>
      <c r="C948" t="str" s="40">
        <v>坠尽渊-怪物6</v>
      </c>
      <c r="D948" s="3"/>
      <c r="E948" t="str" s="3">
        <f>F948&amp;(VLOOKUP(G948,编号表!$E$1:$G$8,2,0))&amp;H948&amp;"_"&amp;I948&amp;"_"&amp;J948</f>
        <v>63N5_2_1</v>
      </c>
      <c r="F948" t="n" s="3">
        <v>63</v>
      </c>
      <c r="G948" t="str" s="3">
        <v>怪物</v>
      </c>
      <c r="H948" t="n" s="3">
        <v>5</v>
      </c>
      <c r="I948" t="n" s="3">
        <v>2</v>
      </c>
      <c r="J948" t="n" s="3">
        <v>1</v>
      </c>
      <c r="K948" s="3"/>
      <c r="L948" s="3"/>
      <c r="M948" s="3"/>
      <c r="N948" s="3"/>
      <c r="O948" s="3"/>
      <c r="P948" s="3"/>
      <c r="Q948" s="3"/>
      <c r="R948" s="3"/>
      <c r="S948" s="17"/>
      <c r="T948" s="18"/>
      <c r="U948"/>
      <c r="V948"/>
      <c r="W948"/>
      <c r="X948"/>
      <c r="Y948"/>
      <c r="Z948"/>
      <c r="AA948"/>
    </row>
    <row r="949" s="17" customFormat="1" ht="15" spans="1:27">
      <c r="A949" s="35"/>
      <c r="B949" t="n" s="17">
        <f>70000000+F949*10000+H949*1000+I949*100+J949</f>
        <v>70635202</v>
      </c>
      <c r="C949" t="str" s="40">
        <v>坠尽渊-怪物7</v>
      </c>
      <c r="D949" s="3"/>
      <c r="E949" t="str" s="3">
        <f>F949&amp;(VLOOKUP(G949,编号表!$E$1:$G$8,2,0))&amp;H949&amp;"_"&amp;I949&amp;"_"&amp;J949</f>
        <v>63N5_2_2</v>
      </c>
      <c r="F949" t="n" s="3">
        <v>63</v>
      </c>
      <c r="G949" t="str" s="3">
        <v>怪物</v>
      </c>
      <c r="H949" t="n" s="3">
        <v>5</v>
      </c>
      <c r="I949" t="n" s="3">
        <v>2</v>
      </c>
      <c r="J949" t="n" s="3">
        <v>2</v>
      </c>
      <c r="K949" s="3"/>
      <c r="L949" s="3"/>
      <c r="M949" s="3"/>
      <c r="N949" s="3"/>
      <c r="O949" s="3"/>
      <c r="P949" s="3"/>
      <c r="Q949" s="3"/>
      <c r="R949" s="3"/>
      <c r="S949" s="17"/>
      <c r="T949" s="18"/>
      <c r="U949"/>
      <c r="V949"/>
      <c r="W949"/>
      <c r="X949"/>
      <c r="Y949"/>
      <c r="Z949"/>
      <c r="AA949"/>
    </row>
    <row r="950" s="17" customFormat="1" ht="15" spans="1:27">
      <c r="A950" s="35"/>
      <c r="B950" t="n" s="17">
        <f>70000000+F950*10000+H950*1000+I950*100+J950</f>
        <v>70635203</v>
      </c>
      <c r="C950" t="str" s="40">
        <v>坠尽渊-怪物8</v>
      </c>
      <c r="D950" s="3"/>
      <c r="E950" t="str" s="3">
        <f>F950&amp;(VLOOKUP(G950,编号表!$E$1:$G$8,2,0))&amp;H950&amp;"_"&amp;I950&amp;"_"&amp;J950</f>
        <v>63N5_2_3</v>
      </c>
      <c r="F950" t="n" s="3">
        <v>63</v>
      </c>
      <c r="G950" t="str" s="3">
        <v>怪物</v>
      </c>
      <c r="H950" t="n" s="3">
        <v>5</v>
      </c>
      <c r="I950" t="n" s="3">
        <v>2</v>
      </c>
      <c r="J950" t="n" s="3">
        <v>3</v>
      </c>
      <c r="K950" s="3"/>
      <c r="L950" s="3"/>
      <c r="M950" s="3"/>
      <c r="N950" s="3"/>
      <c r="O950" s="3"/>
      <c r="P950" s="3"/>
      <c r="Q950" s="3"/>
      <c r="R950" s="3"/>
      <c r="S950" s="17"/>
      <c r="T950" s="18"/>
      <c r="U950"/>
      <c r="V950"/>
      <c r="W950"/>
      <c r="X950"/>
      <c r="Y950"/>
      <c r="Z950"/>
      <c r="AA950"/>
    </row>
    <row r="951" s="17" customFormat="1" ht="15" spans="1:27">
      <c r="A951" s="35"/>
      <c r="B951" t="n" s="17">
        <f>70000000+F951*10000+H951*1000+I951*100+J951</f>
        <v>70635204</v>
      </c>
      <c r="C951" t="str" s="40">
        <v>坠尽渊-怪物9</v>
      </c>
      <c r="D951" s="3"/>
      <c r="E951" t="str" s="3">
        <f>F951&amp;(VLOOKUP(G951,编号表!$E$1:$G$8,2,0))&amp;H951&amp;"_"&amp;I951&amp;"_"&amp;J951</f>
        <v>63N5_2_4</v>
      </c>
      <c r="F951" t="n" s="3">
        <v>63</v>
      </c>
      <c r="G951" t="str" s="3">
        <v>怪物</v>
      </c>
      <c r="H951" t="n" s="3">
        <v>5</v>
      </c>
      <c r="I951" t="n" s="3">
        <v>2</v>
      </c>
      <c r="J951" t="n" s="3">
        <v>4</v>
      </c>
      <c r="K951" s="3"/>
      <c r="L951" s="3"/>
      <c r="M951" s="3"/>
      <c r="N951" s="3"/>
      <c r="O951" s="3"/>
      <c r="P951" s="3"/>
      <c r="Q951" s="3"/>
      <c r="R951" s="3"/>
      <c r="S951" s="17"/>
      <c r="T951" s="18"/>
      <c r="U951"/>
      <c r="V951"/>
      <c r="W951"/>
      <c r="X951"/>
      <c r="Y951"/>
      <c r="Z951"/>
      <c r="AA951"/>
    </row>
    <row r="952" s="17" customFormat="1" ht="15" spans="1:27">
      <c r="A952" s="35"/>
      <c r="B952" t="n" s="17">
        <f>70000000+F952*10000+H952*1000+I952*100+J952</f>
        <v>70635205</v>
      </c>
      <c r="C952" t="str" s="40">
        <v>坠尽渊-怪物10</v>
      </c>
      <c r="D952" s="3"/>
      <c r="E952" t="str" s="3">
        <f>F952&amp;(VLOOKUP(G952,编号表!$E$1:$G$8,2,0))&amp;H952&amp;"_"&amp;I952&amp;"_"&amp;J952</f>
        <v>63N5_2_5</v>
      </c>
      <c r="F952" t="n" s="3">
        <v>63</v>
      </c>
      <c r="G952" t="str" s="3">
        <v>怪物</v>
      </c>
      <c r="H952" t="n" s="3">
        <v>5</v>
      </c>
      <c r="I952" t="n" s="3">
        <v>2</v>
      </c>
      <c r="J952" t="n" s="3">
        <v>5</v>
      </c>
      <c r="K952" s="3"/>
      <c r="L952" s="3"/>
      <c r="M952" s="3"/>
      <c r="N952" s="3"/>
      <c r="O952" s="3"/>
      <c r="P952" s="3"/>
      <c r="Q952" s="3"/>
      <c r="R952" s="3"/>
      <c r="S952" s="17"/>
      <c r="T952" s="18"/>
      <c r="U952"/>
      <c r="V952"/>
      <c r="W952"/>
      <c r="X952"/>
      <c r="Y952"/>
      <c r="Z952"/>
      <c r="AA952"/>
    </row>
    <row r="953" ht="15" spans="1:27">
      <c r="A953" s="35"/>
      <c r="B953" t="n" s="17">
        <f>70000000+F953*10000+H953*1000+I953*100+J953</f>
        <v>70635001</v>
      </c>
      <c r="C953" t="str" s="39">
        <v>坠尽渊-镜头</v>
      </c>
      <c r="D953" s="3"/>
      <c r="E953" t="str" s="3">
        <f>F953&amp;(VLOOKUP(G953,编号表!$E$1:$G$8,2,0))&amp;H953&amp;"_"&amp;I953&amp;"_"&amp;J953</f>
        <v>63J5_0_1</v>
      </c>
      <c r="F953" t="n" s="3">
        <v>63</v>
      </c>
      <c r="G953" t="str" s="3">
        <v>镜头</v>
      </c>
      <c r="H953" t="n" s="3">
        <v>5</v>
      </c>
      <c r="I953" t="n" s="3">
        <v>0</v>
      </c>
      <c r="J953" t="n" s="3">
        <v>1</v>
      </c>
      <c r="K953" t="n" s="3">
        <v>1</v>
      </c>
      <c r="L953" s="3"/>
      <c r="M953" s="3"/>
      <c r="N953" s="3"/>
      <c r="O953" s="3"/>
      <c r="P953" s="3"/>
      <c r="Q953" s="3"/>
      <c r="R953" s="3"/>
      <c r="S953" s="17"/>
      <c r="T953" s="18"/>
      <c r="U953"/>
      <c r="V953"/>
      <c r="W953"/>
      <c r="X953"/>
      <c r="Y953"/>
      <c r="Z953"/>
      <c r="AA953"/>
    </row>
    <row r="954" ht="15" spans="1:27">
      <c r="A954" s="35"/>
      <c r="B954" t="n" s="17">
        <f>70000000+F954*10000+H954*1000+I954*100+J954</f>
        <v>70631001</v>
      </c>
      <c r="C954" t="str" s="37">
        <v>坠尽渊-传送</v>
      </c>
      <c r="D954" s="3"/>
      <c r="E954" t="str" s="3">
        <f>F954&amp;(VLOOKUP(G954,编号表!$E$1:$G$8,2,0))&amp;H954&amp;"_"&amp;I954&amp;"_"&amp;J954</f>
        <v>63T1_0_1</v>
      </c>
      <c r="F954" t="n" s="3">
        <v>63</v>
      </c>
      <c r="G954" t="str" s="3">
        <v>传送</v>
      </c>
      <c r="H954" t="n" s="3">
        <v>1</v>
      </c>
      <c r="I954" t="n" s="3">
        <v>0</v>
      </c>
      <c r="J954" t="n" s="3">
        <v>1</v>
      </c>
      <c r="K954" s="3"/>
      <c r="L954" t="n" s="3">
        <v>1</v>
      </c>
      <c r="M954" s="3"/>
      <c r="N954" s="3"/>
      <c r="O954" s="3"/>
      <c r="P954" s="3"/>
      <c r="Q954" s="3"/>
      <c r="R954" s="3"/>
      <c r="S954" s="17"/>
      <c r="T954" s="18"/>
      <c r="U954"/>
      <c r="V954"/>
      <c r="W954"/>
      <c r="X954"/>
      <c r="Y954"/>
      <c r="Z954"/>
      <c r="AA954"/>
    </row>
    <row r="955" ht="15" spans="1:27">
      <c r="A955" s="35"/>
      <c r="B955" t="n" s="17">
        <f>70000000+F955*10000+H955*1000+I955*100+J955</f>
        <v>70631002</v>
      </c>
      <c r="C955" t="str" s="37">
        <v>坠尽渊-传送</v>
      </c>
      <c r="D955" s="3"/>
      <c r="E955" t="str" s="3">
        <f>F955&amp;(VLOOKUP(G955,编号表!$E$1:$G$8,2,0))&amp;H955&amp;"_"&amp;I955&amp;"_"&amp;J955</f>
        <v>63T1_0_2</v>
      </c>
      <c r="F955" t="n" s="3">
        <v>63</v>
      </c>
      <c r="G955" t="str" s="3">
        <v>传送</v>
      </c>
      <c r="H955" t="n" s="3">
        <v>1</v>
      </c>
      <c r="I955" t="n" s="3">
        <v>0</v>
      </c>
      <c r="J955" t="n" s="3">
        <v>2</v>
      </c>
      <c r="K955" s="3"/>
      <c r="L955" t="n" s="3">
        <v>1</v>
      </c>
      <c r="M955" s="3"/>
      <c r="N955" s="3"/>
      <c r="O955" s="3"/>
      <c r="P955" s="3"/>
      <c r="Q955" s="3"/>
      <c r="R955" s="3"/>
      <c r="S955" s="17"/>
      <c r="T955" s="18"/>
      <c r="U955"/>
      <c r="V955"/>
      <c r="W955"/>
      <c r="X955"/>
      <c r="Y955"/>
      <c r="Z955"/>
      <c r="AA955"/>
    </row>
    <row r="956" ht="15" spans="1:27">
      <c r="A956" s="35"/>
      <c r="B956" t="n" s="17">
        <f>70000000+F956*10000+H956*1000+I956*100+J956</f>
        <v>70632001</v>
      </c>
      <c r="C956" t="str" s="37">
        <v>坠尽渊-小地图</v>
      </c>
      <c r="D956" s="3"/>
      <c r="E956" t="str" s="3">
        <f>F956&amp;(VLOOKUP(G956,编号表!$E$1:$G$8,2,0))&amp;H956&amp;"_"&amp;I956&amp;"_"&amp;J956</f>
        <v>63D2_0_1</v>
      </c>
      <c r="F956" t="n" s="3">
        <v>63</v>
      </c>
      <c r="G956" t="str" s="3">
        <v>小地图</v>
      </c>
      <c r="H956" t="n" s="3">
        <v>2</v>
      </c>
      <c r="I956" t="n" s="3">
        <v>0</v>
      </c>
      <c r="J956" t="n" s="3">
        <v>1</v>
      </c>
      <c r="K956" s="3"/>
      <c r="L956" s="3"/>
      <c r="M956" t="n" s="3">
        <v>1</v>
      </c>
      <c r="N956" s="3"/>
      <c r="O956" s="3"/>
      <c r="P956" s="3"/>
      <c r="Q956" s="3"/>
      <c r="R956" s="3"/>
      <c r="S956" s="17"/>
      <c r="T956" s="18"/>
      <c r="U956"/>
      <c r="V956"/>
      <c r="W956"/>
      <c r="X956"/>
      <c r="Y956"/>
      <c r="Z956"/>
      <c r="AA956"/>
    </row>
    <row r="957" s="17" customFormat="1" ht="15" spans="1:27">
      <c r="A957" s="35"/>
      <c r="B957" t="n" s="17">
        <f>70000000+F957*10000+H957*1000+I957*100+J957</f>
        <v>70645101</v>
      </c>
      <c r="C957" t="str" s="40">
        <v>昏金岩-怪物1</v>
      </c>
      <c r="D957" s="3"/>
      <c r="E957" t="str" s="3">
        <f>F957&amp;(VLOOKUP(G957,编号表!$E$1:$G$8,2,0))&amp;H957&amp;"_"&amp;I957&amp;"_"&amp;J957</f>
        <v>64N5_1_1</v>
      </c>
      <c r="F957" t="n" s="3">
        <v>64</v>
      </c>
      <c r="G957" t="str" s="3">
        <v>怪物</v>
      </c>
      <c r="H957" t="n" s="3">
        <v>5</v>
      </c>
      <c r="I957" t="n" s="3">
        <v>1</v>
      </c>
      <c r="J957" t="n" s="3">
        <v>1</v>
      </c>
      <c r="K957" s="3"/>
      <c r="L957" s="3"/>
      <c r="M957" s="3"/>
      <c r="N957" s="3"/>
      <c r="O957" s="3"/>
      <c r="P957" s="3"/>
      <c r="Q957" s="3"/>
      <c r="R957" s="3"/>
      <c r="S957" t="str" s="17">
        <v>本轮完整刷新挂接；R08仅临时遭遇，待实例一次性状态接入</v>
      </c>
      <c r="T957" t="n" s="18">
        <v>1073404</v>
      </c>
      <c r="U957"/>
      <c r="V957"/>
      <c r="W957"/>
      <c r="X957"/>
      <c r="Y957"/>
      <c r="Z957"/>
      <c r="AA957"/>
    </row>
    <row r="958" s="17" customFormat="1" ht="15" spans="1:27">
      <c r="A958" s="35"/>
      <c r="B958" t="n" s="17">
        <f>70000000+F958*10000+H958*1000+I958*100+J958</f>
        <v>70645102</v>
      </c>
      <c r="C958" t="str" s="40">
        <v>昏金岩-怪物2</v>
      </c>
      <c r="D958" s="3"/>
      <c r="E958" t="str" s="3">
        <f>F958&amp;(VLOOKUP(G958,编号表!$E$1:$G$8,2,0))&amp;H958&amp;"_"&amp;I958&amp;"_"&amp;J958</f>
        <v>64N5_1_2</v>
      </c>
      <c r="F958" t="n" s="3">
        <v>64</v>
      </c>
      <c r="G958" t="str" s="3">
        <v>怪物</v>
      </c>
      <c r="H958" t="n" s="3">
        <v>5</v>
      </c>
      <c r="I958" t="n" s="3">
        <v>1</v>
      </c>
      <c r="J958" t="n" s="3">
        <v>2</v>
      </c>
      <c r="K958" s="3"/>
      <c r="L958" s="3"/>
      <c r="M958" s="3"/>
      <c r="N958" s="3"/>
      <c r="O958" s="3"/>
      <c r="P958" s="3"/>
      <c r="Q958" s="3"/>
      <c r="R958" s="3"/>
      <c r="S958" t="str" s="17">
        <v>本轮完整刷新挂接；R08仅临时遭遇，待实例一次性状态接入</v>
      </c>
      <c r="T958" t="n" s="18">
        <v>1073504</v>
      </c>
      <c r="U958"/>
      <c r="V958"/>
      <c r="W958"/>
      <c r="X958"/>
      <c r="Y958"/>
      <c r="Z958"/>
      <c r="AA958"/>
    </row>
    <row r="959" s="17" customFormat="1" ht="15" spans="1:27">
      <c r="A959" s="35"/>
      <c r="B959" t="n" s="17">
        <f>70000000+F959*10000+H959*1000+I959*100+J959</f>
        <v>70645201</v>
      </c>
      <c r="C959" t="str" s="40">
        <v>昏金岩-怪物3</v>
      </c>
      <c r="D959" s="3"/>
      <c r="E959" t="str" s="3">
        <f>F959&amp;(VLOOKUP(G959,编号表!$E$1:$G$8,2,0))&amp;H959&amp;"_"&amp;I959&amp;"_"&amp;J959</f>
        <v>64N5_2_1</v>
      </c>
      <c r="F959" t="n" s="3">
        <v>64</v>
      </c>
      <c r="G959" t="str" s="3">
        <v>怪物</v>
      </c>
      <c r="H959" t="n" s="3">
        <v>5</v>
      </c>
      <c r="I959" t="n" s="3">
        <v>2</v>
      </c>
      <c r="J959" t="n" s="3">
        <v>1</v>
      </c>
      <c r="K959" s="3"/>
      <c r="L959" s="3"/>
      <c r="M959" s="3"/>
      <c r="N959" s="3"/>
      <c r="O959" s="3"/>
      <c r="P959" s="3"/>
      <c r="Q959" s="3"/>
      <c r="R959" s="3"/>
      <c r="S959" t="str" s="17">
        <v>本轮完整刷新挂接；R08仅临时遭遇，待实例一次性状态接入</v>
      </c>
      <c r="T959" t="n" s="18">
        <v>1073103</v>
      </c>
      <c r="U959"/>
      <c r="V959"/>
      <c r="W959"/>
      <c r="X959"/>
      <c r="Y959"/>
      <c r="Z959"/>
      <c r="AA959"/>
    </row>
    <row r="960" s="17" customFormat="1" ht="15" spans="1:27">
      <c r="A960" s="35"/>
      <c r="B960" t="n" s="17">
        <f>70000000+F960*10000+H960*1000+I960*100+J960</f>
        <v>70645202</v>
      </c>
      <c r="C960" t="str" s="40">
        <v>昏金岩-怪物4</v>
      </c>
      <c r="D960" s="3"/>
      <c r="E960" t="str" s="3">
        <f>F960&amp;(VLOOKUP(G960,编号表!$E$1:$G$8,2,0))&amp;H960&amp;"_"&amp;I960&amp;"_"&amp;J960</f>
        <v>64N5_2_2</v>
      </c>
      <c r="F960" t="n" s="3">
        <v>64</v>
      </c>
      <c r="G960" t="str" s="3">
        <v>怪物</v>
      </c>
      <c r="H960" t="n" s="3">
        <v>5</v>
      </c>
      <c r="I960" t="n" s="3">
        <v>2</v>
      </c>
      <c r="J960" t="n" s="3">
        <v>2</v>
      </c>
      <c r="K960" s="3"/>
      <c r="L960" s="3"/>
      <c r="M960" s="3"/>
      <c r="N960" s="3"/>
      <c r="O960" s="3"/>
      <c r="P960" s="3"/>
      <c r="Q960" s="3"/>
      <c r="R960" s="3"/>
      <c r="S960" t="str" s="17">
        <v>本轮完整刷新挂接；R08仅临时遭遇，待实例一次性状态接入</v>
      </c>
      <c r="T960" t="n" s="18">
        <v>1073001</v>
      </c>
      <c r="U960"/>
      <c r="V960"/>
      <c r="W960"/>
      <c r="X960"/>
      <c r="Y960"/>
      <c r="Z960"/>
      <c r="AA960"/>
    </row>
    <row r="961" ht="15" spans="1:13">
      <c r="A961" s="35"/>
      <c r="B961" t="n" s="17">
        <f>70000000+F961*10000+H961*1000+I961*100+J961</f>
        <v>70645001</v>
      </c>
      <c r="C961" t="str" s="39">
        <v>昏金岩-镜头</v>
      </c>
      <c r="D961" s="3"/>
      <c r="E961" t="str" s="3">
        <f>F961&amp;(VLOOKUP(G961,编号表!$E$1:$G$8,2,0))&amp;H961&amp;"_"&amp;I961&amp;"_"&amp;J961</f>
        <v>64J5_0_1</v>
      </c>
      <c r="F961" t="n" s="3">
        <v>64</v>
      </c>
      <c r="G961" t="str" s="3">
        <v>镜头</v>
      </c>
      <c r="H961" t="n" s="3">
        <v>5</v>
      </c>
      <c r="I961" t="n" s="3">
        <v>0</v>
      </c>
      <c r="J961" t="n" s="3">
        <v>1</v>
      </c>
      <c r="K961" t="n" s="3">
        <v>1</v>
      </c>
      <c r="L961" s="3"/>
      <c r="M961" s="3"/>
      <c r="N961" s="3"/>
      <c r="O961" s="3"/>
      <c r="P961" s="3"/>
      <c r="Q961" s="3"/>
      <c r="R961" s="3"/>
      <c r="S961" s="17"/>
      <c r="T961" s="18"/>
      <c r="U961"/>
      <c r="V961"/>
      <c r="W961"/>
      <c r="X961"/>
      <c r="Y961"/>
      <c r="Z961"/>
      <c r="AA961"/>
    </row>
    <row r="962" ht="15" spans="1:13">
      <c r="A962" s="35"/>
      <c r="B962" t="n" s="17">
        <f>70000000+F962*10000+H962*1000+I962*100+J962</f>
        <v>70641001</v>
      </c>
      <c r="C962" t="str" s="37">
        <v>昏金岩-传送</v>
      </c>
      <c r="D962" s="3"/>
      <c r="E962" t="str" s="3">
        <f>F962&amp;(VLOOKUP(G962,编号表!$E$1:$G$8,2,0))&amp;H962&amp;"_"&amp;I962&amp;"_"&amp;J962</f>
        <v>64T1_0_1</v>
      </c>
      <c r="F962" t="n" s="3">
        <v>64</v>
      </c>
      <c r="G962" t="str" s="3">
        <v>传送</v>
      </c>
      <c r="H962" t="n" s="3">
        <v>1</v>
      </c>
      <c r="I962" t="n" s="3">
        <v>0</v>
      </c>
      <c r="J962" t="n" s="3">
        <v>1</v>
      </c>
      <c r="K962" s="3"/>
      <c r="L962" t="n" s="3">
        <v>1</v>
      </c>
      <c r="M962" s="3"/>
      <c r="N962" s="3"/>
      <c r="O962" s="3"/>
      <c r="P962" s="3"/>
      <c r="Q962" s="3"/>
      <c r="R962" s="3"/>
      <c r="S962" s="17"/>
      <c r="T962" s="18"/>
      <c r="U962"/>
      <c r="V962"/>
      <c r="W962"/>
      <c r="X962"/>
      <c r="Y962"/>
      <c r="Z962"/>
      <c r="AA962"/>
    </row>
    <row r="963" ht="15" spans="1:13">
      <c r="A963" s="35"/>
      <c r="B963" t="n" s="17">
        <f>70000000+F963*10000+H963*1000+I963*100+J963</f>
        <v>70641002</v>
      </c>
      <c r="C963" t="str" s="37">
        <v>昏金岩-传送</v>
      </c>
      <c r="D963" s="3"/>
      <c r="E963" t="str" s="3">
        <f>F963&amp;(VLOOKUP(G963,编号表!$E$1:$G$8,2,0))&amp;H963&amp;"_"&amp;I963&amp;"_"&amp;J963</f>
        <v>64T1_0_2</v>
      </c>
      <c r="F963" t="n" s="3">
        <v>64</v>
      </c>
      <c r="G963" t="str" s="3">
        <v>传送</v>
      </c>
      <c r="H963" t="n" s="3">
        <v>1</v>
      </c>
      <c r="I963" t="n" s="3">
        <v>0</v>
      </c>
      <c r="J963" t="n" s="3">
        <v>2</v>
      </c>
      <c r="K963" s="3"/>
      <c r="L963" t="n" s="3">
        <v>1</v>
      </c>
      <c r="M963" s="3"/>
      <c r="N963" s="3"/>
      <c r="O963" s="3"/>
      <c r="P963" s="3"/>
      <c r="Q963" s="3"/>
      <c r="R963" s="3"/>
      <c r="S963" s="17"/>
      <c r="T963" s="18"/>
      <c r="U963"/>
      <c r="V963"/>
      <c r="W963"/>
      <c r="X963"/>
      <c r="Y963"/>
      <c r="Z963"/>
      <c r="AA963"/>
    </row>
    <row r="964" ht="15" spans="1:13">
      <c r="A964" s="35"/>
      <c r="B964" t="n" s="17">
        <f>70000000+F964*10000+H964*1000+I964*100+J964</f>
        <v>70642001</v>
      </c>
      <c r="C964" t="str" s="37">
        <v>昏金岩-小地图</v>
      </c>
      <c r="D964" s="3"/>
      <c r="E964" t="str" s="3">
        <f>F964&amp;(VLOOKUP(G964,编号表!$E$1:$G$8,2,0))&amp;H964&amp;"_"&amp;I964&amp;"_"&amp;J964</f>
        <v>64D2_0_1</v>
      </c>
      <c r="F964" t="n" s="3">
        <v>64</v>
      </c>
      <c r="G964" t="str" s="3">
        <v>小地图</v>
      </c>
      <c r="H964" t="n" s="3">
        <v>2</v>
      </c>
      <c r="I964" t="n" s="3">
        <v>0</v>
      </c>
      <c r="J964" t="n" s="3">
        <v>1</v>
      </c>
      <c r="K964" s="3"/>
      <c r="L964" s="3"/>
      <c r="M964" t="n" s="3">
        <v>1</v>
      </c>
      <c r="N964" s="3"/>
      <c r="O964" s="3"/>
      <c r="P964" s="3"/>
      <c r="Q964" s="3"/>
      <c r="R964" s="3"/>
      <c r="S964" s="17"/>
      <c r="T964" s="18"/>
      <c r="U964"/>
      <c r="V964"/>
      <c r="W964"/>
      <c r="X964"/>
      <c r="Y964"/>
      <c r="Z964"/>
      <c r="AA964"/>
    </row>
    <row r="965">
      <c r="A965" s="35"/>
      <c r="B965" t="n" s="17">
        <v>70655101</v>
      </c>
      <c r="C965" t="str" s="37">
        <v>渍岩罅-怪物1</v>
      </c>
      <c r="D965" t="str" s="3">
        <v>新补R02；边界待实际地编注入，未假造坐标</v>
      </c>
      <c r="E965" t="str" s="3">
        <v>65_怪物_1</v>
      </c>
      <c r="F965" t="n" s="3">
        <v>65</v>
      </c>
      <c r="G965" t="str" s="3">
        <v>怪物</v>
      </c>
      <c r="H965" t="n" s="3">
        <v>5</v>
      </c>
      <c r="I965" t="n" s="3">
        <v>1</v>
      </c>
      <c r="J965" t="n" s="3">
        <v>1</v>
      </c>
      <c r="K965" t="n" s="3">
        <v>0</v>
      </c>
      <c r="L965" t="n" s="3">
        <v>0</v>
      </c>
      <c r="M965" t="n" s="3">
        <v>0</v>
      </c>
      <c r="N965" s="3"/>
      <c r="O965" s="3"/>
      <c r="P965" s="3"/>
      <c r="Q965" s="3"/>
      <c r="R965" t="n" s="3">
        <v>0</v>
      </c>
      <c r="S965" t="str" s="17">
        <v>本轮完整刷新挂接；有效坐标注入后验证</v>
      </c>
      <c r="T965" t="n" s="18">
        <v>1900206</v>
      </c>
      <c r="U965"/>
      <c r="V965"/>
      <c r="W965"/>
      <c r="X965"/>
      <c r="Y965"/>
      <c r="Z965"/>
      <c r="AA965"/>
    </row>
    <row r="966">
      <c r="A966" s="35"/>
      <c r="B966" t="n" s="17">
        <v>70655102</v>
      </c>
      <c r="C966" t="str" s="37">
        <v>渍岩罅-怪物2</v>
      </c>
      <c r="D966" t="str" s="3">
        <v>新补R02；边界待实际地编注入，未假造坐标</v>
      </c>
      <c r="E966" t="str" s="3">
        <v>65_怪物_2</v>
      </c>
      <c r="F966" t="n" s="3">
        <v>65</v>
      </c>
      <c r="G966" t="str" s="3">
        <v>怪物</v>
      </c>
      <c r="H966" t="n" s="3">
        <v>5</v>
      </c>
      <c r="I966" t="n" s="3">
        <v>1</v>
      </c>
      <c r="J966" t="n" s="3">
        <v>2</v>
      </c>
      <c r="K966" t="n" s="3">
        <v>0</v>
      </c>
      <c r="L966" t="n" s="3">
        <v>0</v>
      </c>
      <c r="M966" t="n" s="3">
        <v>0</v>
      </c>
      <c r="N966" s="3"/>
      <c r="O966" s="3"/>
      <c r="P966" s="3"/>
      <c r="Q966" s="3"/>
      <c r="R966" t="n" s="3">
        <v>0</v>
      </c>
      <c r="S966" t="str" s="17">
        <v>本轮完整刷新挂接；有效坐标注入后验证</v>
      </c>
      <c r="T966" t="n" s="18">
        <v>1900207</v>
      </c>
      <c r="U966"/>
      <c r="V966"/>
      <c r="W966"/>
      <c r="X966"/>
      <c r="Y966"/>
      <c r="Z966"/>
      <c r="AA966"/>
    </row>
    <row r="967">
      <c r="A967" s="35"/>
      <c r="B967" t="n" s="17">
        <v>70655103</v>
      </c>
      <c r="C967" t="str" s="37">
        <v>渍岩罅-怪物3</v>
      </c>
      <c r="D967" t="str" s="3">
        <v>新补R02；边界待实际地编注入，未假造坐标</v>
      </c>
      <c r="E967" t="str" s="3">
        <v>65_怪物_3</v>
      </c>
      <c r="F967" t="n" s="3">
        <v>65</v>
      </c>
      <c r="G967" t="str" s="3">
        <v>怪物</v>
      </c>
      <c r="H967" t="n" s="3">
        <v>5</v>
      </c>
      <c r="I967" t="n" s="3">
        <v>1</v>
      </c>
      <c r="J967" t="n" s="3">
        <v>3</v>
      </c>
      <c r="K967" t="n" s="3">
        <v>0</v>
      </c>
      <c r="L967" t="n" s="3">
        <v>0</v>
      </c>
      <c r="M967" t="n" s="3">
        <v>0</v>
      </c>
      <c r="N967" s="3"/>
      <c r="O967" s="3"/>
      <c r="P967" s="3"/>
      <c r="Q967" s="3"/>
      <c r="R967" t="n" s="3">
        <v>0</v>
      </c>
      <c r="S967" t="str" s="17">
        <v>本轮完整刷新挂接；有效坐标注入后验证</v>
      </c>
      <c r="T967" t="n" s="18">
        <v>1900208</v>
      </c>
      <c r="U967"/>
      <c r="V967"/>
      <c r="W967"/>
      <c r="X967"/>
      <c r="Y967"/>
      <c r="Z967"/>
      <c r="AA967"/>
    </row>
    <row r="968">
      <c r="A968" s="35"/>
      <c r="B968" t="n" s="17">
        <v>70655104</v>
      </c>
      <c r="C968" t="str" s="37">
        <v>渍岩罅-怪物4</v>
      </c>
      <c r="D968" t="str" s="3">
        <v>新补R02；边界待实际地编注入，未假造坐标</v>
      </c>
      <c r="E968" t="str" s="3">
        <v>65_怪物_4</v>
      </c>
      <c r="F968" t="n" s="3">
        <v>65</v>
      </c>
      <c r="G968" t="str" s="3">
        <v>怪物</v>
      </c>
      <c r="H968" t="n" s="3">
        <v>5</v>
      </c>
      <c r="I968" t="n" s="3">
        <v>1</v>
      </c>
      <c r="J968" t="n" s="3">
        <v>4</v>
      </c>
      <c r="K968" t="n" s="3">
        <v>0</v>
      </c>
      <c r="L968" t="n" s="3">
        <v>0</v>
      </c>
      <c r="M968" t="n" s="3">
        <v>0</v>
      </c>
      <c r="N968" s="3"/>
      <c r="O968" s="3"/>
      <c r="P968" s="3"/>
      <c r="Q968" s="3"/>
      <c r="R968" t="n" s="3">
        <v>0</v>
      </c>
      <c r="S968" s="17"/>
      <c r="T968" s="18"/>
      <c r="U968"/>
      <c r="V968"/>
      <c r="W968"/>
      <c r="X968"/>
      <c r="Y968"/>
      <c r="Z968"/>
      <c r="AA968"/>
    </row>
    <row r="969">
      <c r="A969" s="35"/>
      <c r="B969" t="n" s="17">
        <v>70655105</v>
      </c>
      <c r="C969" t="str" s="37">
        <v>渍岩罅-怪物5</v>
      </c>
      <c r="D969" t="str" s="3">
        <v>新补R02；边界待实际地编注入，未假造坐标</v>
      </c>
      <c r="E969" t="str" s="3">
        <v>65_怪物_5</v>
      </c>
      <c r="F969" t="n" s="3">
        <v>65</v>
      </c>
      <c r="G969" t="str" s="3">
        <v>怪物</v>
      </c>
      <c r="H969" t="n" s="3">
        <v>5</v>
      </c>
      <c r="I969" t="n" s="3">
        <v>1</v>
      </c>
      <c r="J969" t="n" s="3">
        <v>5</v>
      </c>
      <c r="K969" t="n" s="3">
        <v>0</v>
      </c>
      <c r="L969" t="n" s="3">
        <v>0</v>
      </c>
      <c r="M969" t="n" s="3">
        <v>0</v>
      </c>
      <c r="N969" s="3"/>
      <c r="O969" s="3"/>
      <c r="P969" s="3"/>
      <c r="Q969" s="3"/>
      <c r="R969" t="n" s="3">
        <v>0</v>
      </c>
      <c r="S969" s="17"/>
      <c r="T969" s="18"/>
      <c r="U969"/>
      <c r="V969"/>
      <c r="W969"/>
      <c r="X969"/>
      <c r="Y969"/>
      <c r="Z969"/>
      <c r="AA969"/>
    </row>
    <row r="970">
      <c r="A970" s="35"/>
      <c r="B970" t="n" s="17">
        <v>70655106</v>
      </c>
      <c r="C970" t="str" s="37">
        <v>渍岩罅-怪物6</v>
      </c>
      <c r="D970" t="str" s="3">
        <v>新补R02；边界待实际地编注入，未假造坐标</v>
      </c>
      <c r="E970" t="str" s="3">
        <v>65_怪物_6</v>
      </c>
      <c r="F970" t="n" s="3">
        <v>65</v>
      </c>
      <c r="G970" t="str" s="3">
        <v>怪物</v>
      </c>
      <c r="H970" t="n" s="3">
        <v>5</v>
      </c>
      <c r="I970" t="n" s="3">
        <v>1</v>
      </c>
      <c r="J970" t="n" s="3">
        <v>6</v>
      </c>
      <c r="K970" t="n" s="3">
        <v>0</v>
      </c>
      <c r="L970" t="n" s="3">
        <v>0</v>
      </c>
      <c r="M970" t="n" s="3">
        <v>0</v>
      </c>
      <c r="N970" s="3"/>
      <c r="O970" s="3"/>
      <c r="P970" s="3"/>
      <c r="Q970" s="3"/>
      <c r="R970" t="n" s="3">
        <v>0</v>
      </c>
      <c r="S970" s="17"/>
      <c r="T970" s="18"/>
      <c r="U970"/>
      <c r="V970"/>
      <c r="W970"/>
      <c r="X970"/>
      <c r="Y970"/>
      <c r="Z970"/>
      <c r="AA970"/>
    </row>
    <row r="971">
      <c r="A971" s="35"/>
      <c r="B971" t="n" s="17">
        <v>70655001</v>
      </c>
      <c r="C971" t="str" s="37">
        <v>渍岩罅-镜头1</v>
      </c>
      <c r="D971" t="str" s="3">
        <v>新补R02；边界待实际地编注入，未假造坐标</v>
      </c>
      <c r="E971" t="str" s="3">
        <v>65_镜头_1</v>
      </c>
      <c r="F971" t="n" s="3">
        <v>65</v>
      </c>
      <c r="G971" t="str" s="3">
        <v>镜头</v>
      </c>
      <c r="H971" t="n" s="3">
        <v>5</v>
      </c>
      <c r="I971" t="n" s="3">
        <v>0</v>
      </c>
      <c r="J971" t="n" s="3">
        <v>1</v>
      </c>
      <c r="K971" t="n" s="3">
        <v>1</v>
      </c>
      <c r="L971" t="n" s="3">
        <v>0</v>
      </c>
      <c r="M971" t="n" s="3">
        <v>0</v>
      </c>
      <c r="N971" s="3"/>
      <c r="O971" s="3"/>
      <c r="P971" s="3"/>
      <c r="Q971" s="3"/>
      <c r="R971" t="n" s="3">
        <v>0</v>
      </c>
      <c r="S971" s="17"/>
      <c r="T971" s="18"/>
      <c r="U971"/>
      <c r="V971"/>
      <c r="W971"/>
      <c r="X971"/>
      <c r="Y971"/>
      <c r="Z971"/>
      <c r="AA971"/>
    </row>
    <row r="972">
      <c r="A972" s="35"/>
      <c r="B972" t="n" s="17">
        <v>70651001</v>
      </c>
      <c r="C972" t="str" s="37">
        <v>渍岩罅-传送1</v>
      </c>
      <c r="D972" t="str" s="3">
        <v>新补R02；边界待实际地编注入，未假造坐标</v>
      </c>
      <c r="E972" t="str" s="3">
        <v>65_传送_1</v>
      </c>
      <c r="F972" t="n" s="3">
        <v>65</v>
      </c>
      <c r="G972" t="str" s="3">
        <v>传送</v>
      </c>
      <c r="H972" t="n" s="3">
        <v>1</v>
      </c>
      <c r="I972" t="n" s="3">
        <v>0</v>
      </c>
      <c r="J972" t="n" s="3">
        <v>1</v>
      </c>
      <c r="K972" t="n" s="3">
        <v>0</v>
      </c>
      <c r="L972" t="n" s="3">
        <v>1</v>
      </c>
      <c r="M972" t="n" s="3">
        <v>0</v>
      </c>
      <c r="N972" s="3"/>
      <c r="O972" s="3"/>
      <c r="P972" s="3"/>
      <c r="Q972" s="3"/>
      <c r="R972" t="n" s="3">
        <v>0</v>
      </c>
      <c r="S972" s="17"/>
      <c r="T972" s="18"/>
      <c r="U972"/>
      <c r="V972"/>
      <c r="W972"/>
      <c r="X972"/>
      <c r="Y972"/>
      <c r="Z972"/>
      <c r="AA972"/>
    </row>
    <row r="973">
      <c r="A973" s="35"/>
      <c r="B973" t="n" s="17">
        <v>70651002</v>
      </c>
      <c r="C973" t="str" s="37">
        <v>渍岩罅-传送2</v>
      </c>
      <c r="D973" t="str" s="3">
        <v>新补R02；边界待实际地编注入，未假造坐标</v>
      </c>
      <c r="E973" t="str" s="3">
        <v>65_传送_2</v>
      </c>
      <c r="F973" t="n" s="3">
        <v>65</v>
      </c>
      <c r="G973" t="str" s="3">
        <v>传送</v>
      </c>
      <c r="H973" t="n" s="3">
        <v>1</v>
      </c>
      <c r="I973" t="n" s="3">
        <v>0</v>
      </c>
      <c r="J973" t="n" s="3">
        <v>2</v>
      </c>
      <c r="K973" t="n" s="3">
        <v>0</v>
      </c>
      <c r="L973" t="n" s="3">
        <v>0</v>
      </c>
      <c r="M973" t="n" s="3">
        <v>0</v>
      </c>
      <c r="N973" s="3"/>
      <c r="O973" s="3"/>
      <c r="P973" s="3"/>
      <c r="Q973" s="3"/>
      <c r="R973" t="n" s="3">
        <v>0</v>
      </c>
      <c r="S973" s="17"/>
      <c r="T973" s="18"/>
      <c r="U973"/>
      <c r="V973"/>
      <c r="W973"/>
      <c r="X973"/>
      <c r="Y973"/>
      <c r="Z973"/>
      <c r="AA973"/>
    </row>
    <row r="974">
      <c r="A974" s="35"/>
      <c r="B974" t="n" s="17">
        <v>70652001</v>
      </c>
      <c r="C974" t="str" s="37">
        <v>渍岩罅-小地图1</v>
      </c>
      <c r="D974" t="str" s="3">
        <v>新补R02；边界待实际地编注入，未假造坐标</v>
      </c>
      <c r="E974" t="str" s="3">
        <v>65_小地图_1</v>
      </c>
      <c r="F974" t="n" s="3">
        <v>65</v>
      </c>
      <c r="G974" t="str" s="3">
        <v>小地图</v>
      </c>
      <c r="H974" t="n" s="3">
        <v>2</v>
      </c>
      <c r="I974" t="n" s="3">
        <v>0</v>
      </c>
      <c r="J974" t="n" s="3">
        <v>1</v>
      </c>
      <c r="K974" t="n" s="3">
        <v>0</v>
      </c>
      <c r="L974" t="n" s="3">
        <v>0</v>
      </c>
      <c r="M974" t="n" s="3">
        <v>1</v>
      </c>
      <c r="N974" s="3"/>
      <c r="O974" s="3"/>
      <c r="P974" s="3"/>
      <c r="Q974" s="3"/>
      <c r="R974" t="n" s="3">
        <v>0</v>
      </c>
      <c r="S974" s="17"/>
      <c r="T974" s="18"/>
      <c r="U974"/>
      <c r="V974"/>
      <c r="W974"/>
      <c r="X974"/>
      <c r="Y974"/>
      <c r="Z974"/>
      <c r="AA974"/>
    </row>
    <row r="975">
      <c r="A975" s="35"/>
      <c r="B975" t="n" s="17">
        <v>70656001</v>
      </c>
      <c r="C975" t="str" s="37">
        <v>渍岩罅-NPC1</v>
      </c>
      <c r="D975" t="str" s="3">
        <v>新补R02；边界待实际地编注入，未假造坐标</v>
      </c>
      <c r="E975" t="str" s="3">
        <v>65_NPC_1</v>
      </c>
      <c r="F975" t="n" s="3">
        <v>65</v>
      </c>
      <c r="G975" t="str" s="3">
        <v>NPC</v>
      </c>
      <c r="H975" t="n" s="3">
        <v>6</v>
      </c>
      <c r="I975" t="n" s="3">
        <v>0</v>
      </c>
      <c r="J975" t="n" s="3">
        <v>1</v>
      </c>
      <c r="K975" t="n" s="3">
        <v>0</v>
      </c>
      <c r="L975" t="n" s="3">
        <v>0</v>
      </c>
      <c r="M975" t="n" s="3">
        <v>0</v>
      </c>
      <c r="N975" s="3"/>
      <c r="O975" s="3"/>
      <c r="P975" s="3"/>
      <c r="Q975" s="3"/>
      <c r="R975" t="n" s="3">
        <v>0</v>
      </c>
      <c r="S975" s="17"/>
      <c r="T975" s="18"/>
      <c r="U975"/>
      <c r="V975"/>
      <c r="W975"/>
      <c r="X975"/>
      <c r="Y975"/>
      <c r="Z975"/>
      <c r="AA975"/>
    </row>
    <row r="976">
      <c r="A976" s="35"/>
      <c r="B976" t="n" s="17">
        <v>70654001</v>
      </c>
      <c r="C976" t="str" s="37">
        <v>渍岩罅-特效1</v>
      </c>
      <c r="D976" t="str" s="3">
        <v>新补R02；边界待实际地编注入，未假造坐标</v>
      </c>
      <c r="E976" t="str" s="3">
        <v>65_特效_1</v>
      </c>
      <c r="F976" t="n" s="3">
        <v>65</v>
      </c>
      <c r="G976" t="str" s="3">
        <v>特效</v>
      </c>
      <c r="H976" t="n" s="3">
        <v>4</v>
      </c>
      <c r="I976" t="n" s="3">
        <v>0</v>
      </c>
      <c r="J976" t="n" s="3">
        <v>1</v>
      </c>
      <c r="K976" t="n" s="3">
        <v>0</v>
      </c>
      <c r="L976" t="n" s="3">
        <v>0</v>
      </c>
      <c r="M976" t="n" s="3">
        <v>0</v>
      </c>
      <c r="N976" s="3"/>
      <c r="O976" s="3"/>
      <c r="P976" s="3"/>
      <c r="Q976" s="3"/>
      <c r="R976" t="n" s="3">
        <v>0</v>
      </c>
      <c r="S976" s="17"/>
      <c r="T976" s="18"/>
      <c r="U976"/>
      <c r="V976"/>
      <c r="W976"/>
      <c r="X976"/>
      <c r="Y976"/>
      <c r="Z976"/>
      <c r="AA976"/>
    </row>
    <row r="977">
      <c r="A977" s="35"/>
      <c r="B977" t="n" s="17">
        <v>70665101</v>
      </c>
      <c r="C977" t="str" s="37">
        <v>危石夹-怪物1</v>
      </c>
      <c r="D977" t="str" s="3">
        <v>新补R02；边界待实际地编注入，未假造坐标</v>
      </c>
      <c r="E977" t="str" s="3">
        <v>66_怪物_1</v>
      </c>
      <c r="F977" t="n" s="3">
        <v>66</v>
      </c>
      <c r="G977" t="str" s="3">
        <v>怪物</v>
      </c>
      <c r="H977" t="n" s="3">
        <v>5</v>
      </c>
      <c r="I977" t="n" s="3">
        <v>1</v>
      </c>
      <c r="J977" t="n" s="3">
        <v>1</v>
      </c>
      <c r="K977" t="n" s="3">
        <v>0</v>
      </c>
      <c r="L977" t="n" s="3">
        <v>0</v>
      </c>
      <c r="M977" t="n" s="3">
        <v>0</v>
      </c>
      <c r="N977" s="3"/>
      <c r="O977" s="3"/>
      <c r="P977" s="3"/>
      <c r="Q977" s="3"/>
      <c r="R977" t="n" s="3">
        <v>0</v>
      </c>
      <c r="S977" t="str" s="17">
        <v>本轮完整刷新挂接；有效坐标注入后验证</v>
      </c>
      <c r="T977" t="n" s="18">
        <v>1900209</v>
      </c>
      <c r="U977"/>
      <c r="V977"/>
      <c r="W977"/>
      <c r="X977"/>
      <c r="Y977"/>
      <c r="Z977"/>
      <c r="AA977"/>
    </row>
    <row r="978">
      <c r="A978" s="35"/>
      <c r="B978" t="n" s="17">
        <v>70665102</v>
      </c>
      <c r="C978" t="str" s="37">
        <v>危石夹-怪物2</v>
      </c>
      <c r="D978" t="str" s="3">
        <v>新补R02；边界待实际地编注入，未假造坐标</v>
      </c>
      <c r="E978" t="str" s="3">
        <v>66_怪物_2</v>
      </c>
      <c r="F978" t="n" s="3">
        <v>66</v>
      </c>
      <c r="G978" t="str" s="3">
        <v>怪物</v>
      </c>
      <c r="H978" t="n" s="3">
        <v>5</v>
      </c>
      <c r="I978" t="n" s="3">
        <v>1</v>
      </c>
      <c r="J978" t="n" s="3">
        <v>2</v>
      </c>
      <c r="K978" t="n" s="3">
        <v>0</v>
      </c>
      <c r="L978" t="n" s="3">
        <v>0</v>
      </c>
      <c r="M978" t="n" s="3">
        <v>0</v>
      </c>
      <c r="N978" s="3"/>
      <c r="O978" s="3"/>
      <c r="P978" s="3"/>
      <c r="Q978" s="3"/>
      <c r="R978" t="n" s="3">
        <v>0</v>
      </c>
      <c r="S978" t="str" s="17">
        <v>本轮完整刷新挂接；有效坐标注入后验证</v>
      </c>
      <c r="T978" t="n" s="18">
        <v>1900210</v>
      </c>
      <c r="U978"/>
      <c r="V978"/>
      <c r="W978"/>
      <c r="X978"/>
      <c r="Y978"/>
      <c r="Z978"/>
      <c r="AA978"/>
    </row>
    <row r="979">
      <c r="A979" s="35"/>
      <c r="B979" t="n" s="17">
        <v>70665103</v>
      </c>
      <c r="C979" t="str" s="37">
        <v>危石夹-怪物3</v>
      </c>
      <c r="D979" t="str" s="3">
        <v>新补R02；边界待实际地编注入，未假造坐标</v>
      </c>
      <c r="E979" t="str" s="3">
        <v>66_怪物_3</v>
      </c>
      <c r="F979" t="n" s="3">
        <v>66</v>
      </c>
      <c r="G979" t="str" s="3">
        <v>怪物</v>
      </c>
      <c r="H979" t="n" s="3">
        <v>5</v>
      </c>
      <c r="I979" t="n" s="3">
        <v>1</v>
      </c>
      <c r="J979" t="n" s="3">
        <v>3</v>
      </c>
      <c r="K979" t="n" s="3">
        <v>0</v>
      </c>
      <c r="L979" t="n" s="3">
        <v>0</v>
      </c>
      <c r="M979" t="n" s="3">
        <v>0</v>
      </c>
      <c r="N979" s="3"/>
      <c r="O979" s="3"/>
      <c r="P979" s="3"/>
      <c r="Q979" s="3"/>
      <c r="R979" t="n" s="3">
        <v>0</v>
      </c>
      <c r="S979" t="str" s="17">
        <v>本轮完整刷新挂接；有效坐标注入后验证</v>
      </c>
      <c r="T979" t="n" s="18">
        <v>1900211</v>
      </c>
      <c r="U979"/>
      <c r="V979"/>
      <c r="W979"/>
      <c r="X979"/>
      <c r="Y979"/>
      <c r="Z979"/>
      <c r="AA979"/>
    </row>
    <row r="980">
      <c r="A980" s="35"/>
      <c r="B980" t="n" s="17">
        <v>70665104</v>
      </c>
      <c r="C980" t="str" s="37">
        <v>危石夹-怪物4</v>
      </c>
      <c r="D980" t="str" s="3">
        <v>新补R02；边界待实际地编注入，未假造坐标</v>
      </c>
      <c r="E980" t="str" s="3">
        <v>66_怪物_4</v>
      </c>
      <c r="F980" t="n" s="3">
        <v>66</v>
      </c>
      <c r="G980" t="str" s="3">
        <v>怪物</v>
      </c>
      <c r="H980" t="n" s="3">
        <v>5</v>
      </c>
      <c r="I980" t="n" s="3">
        <v>1</v>
      </c>
      <c r="J980" t="n" s="3">
        <v>4</v>
      </c>
      <c r="K980" t="n" s="3">
        <v>0</v>
      </c>
      <c r="L980" t="n" s="3">
        <v>0</v>
      </c>
      <c r="M980" t="n" s="3">
        <v>0</v>
      </c>
      <c r="N980" s="3"/>
      <c r="O980" s="3"/>
      <c r="P980" s="3"/>
      <c r="Q980" s="3"/>
      <c r="R980" t="n" s="3">
        <v>0</v>
      </c>
      <c r="S980" s="17"/>
      <c r="T980" s="18"/>
      <c r="U980"/>
      <c r="V980"/>
      <c r="W980"/>
      <c r="X980"/>
      <c r="Y980"/>
      <c r="Z980"/>
      <c r="AA980"/>
    </row>
    <row r="981">
      <c r="A981" s="35"/>
      <c r="B981" t="n" s="17">
        <v>70665105</v>
      </c>
      <c r="C981" t="str" s="37">
        <v>危石夹-怪物5</v>
      </c>
      <c r="D981" t="str" s="3">
        <v>新补R02；边界待实际地编注入，未假造坐标</v>
      </c>
      <c r="E981" t="str" s="3">
        <v>66_怪物_5</v>
      </c>
      <c r="F981" t="n" s="3">
        <v>66</v>
      </c>
      <c r="G981" t="str" s="3">
        <v>怪物</v>
      </c>
      <c r="H981" t="n" s="3">
        <v>5</v>
      </c>
      <c r="I981" t="n" s="3">
        <v>1</v>
      </c>
      <c r="J981" t="n" s="3">
        <v>5</v>
      </c>
      <c r="K981" t="n" s="3">
        <v>0</v>
      </c>
      <c r="L981" t="n" s="3">
        <v>0</v>
      </c>
      <c r="M981" t="n" s="3">
        <v>0</v>
      </c>
      <c r="N981" s="3"/>
      <c r="O981" s="3"/>
      <c r="P981" s="3"/>
      <c r="Q981" s="3"/>
      <c r="R981" t="n" s="3">
        <v>0</v>
      </c>
      <c r="S981" s="17"/>
      <c r="T981" s="18"/>
      <c r="U981"/>
      <c r="V981"/>
      <c r="W981"/>
      <c r="X981"/>
      <c r="Y981"/>
      <c r="Z981"/>
      <c r="AA981"/>
    </row>
    <row r="982">
      <c r="A982" s="35"/>
      <c r="B982" t="n" s="17">
        <v>70665106</v>
      </c>
      <c r="C982" t="str" s="37">
        <v>危石夹-怪物6</v>
      </c>
      <c r="D982" t="str" s="3">
        <v>新补R02；边界待实际地编注入，未假造坐标</v>
      </c>
      <c r="E982" t="str" s="3">
        <v>66_怪物_6</v>
      </c>
      <c r="F982" t="n" s="3">
        <v>66</v>
      </c>
      <c r="G982" t="str" s="3">
        <v>怪物</v>
      </c>
      <c r="H982" t="n" s="3">
        <v>5</v>
      </c>
      <c r="I982" t="n" s="3">
        <v>1</v>
      </c>
      <c r="J982" t="n" s="3">
        <v>6</v>
      </c>
      <c r="K982" t="n" s="3">
        <v>0</v>
      </c>
      <c r="L982" t="n" s="3">
        <v>0</v>
      </c>
      <c r="M982" t="n" s="3">
        <v>0</v>
      </c>
      <c r="N982" s="3"/>
      <c r="O982" s="3"/>
      <c r="P982" s="3"/>
      <c r="Q982" s="3"/>
      <c r="R982" t="n" s="3">
        <v>0</v>
      </c>
      <c r="S982" s="17"/>
      <c r="T982" s="18"/>
      <c r="U982"/>
      <c r="V982"/>
      <c r="W982"/>
      <c r="X982"/>
      <c r="Y982"/>
      <c r="Z982"/>
      <c r="AA982"/>
    </row>
    <row r="983">
      <c r="A983" s="35"/>
      <c r="B983" t="n" s="17">
        <v>70665001</v>
      </c>
      <c r="C983" t="str" s="37">
        <v>危石夹-镜头1</v>
      </c>
      <c r="D983" t="str" s="3">
        <v>新补R02；边界待实际地编注入，未假造坐标</v>
      </c>
      <c r="E983" t="str" s="3">
        <v>66_镜头_1</v>
      </c>
      <c r="F983" t="n" s="3">
        <v>66</v>
      </c>
      <c r="G983" t="str" s="3">
        <v>镜头</v>
      </c>
      <c r="H983" t="n" s="3">
        <v>5</v>
      </c>
      <c r="I983" t="n" s="3">
        <v>0</v>
      </c>
      <c r="J983" t="n" s="3">
        <v>1</v>
      </c>
      <c r="K983" t="n" s="3">
        <v>1</v>
      </c>
      <c r="L983" t="n" s="3">
        <v>0</v>
      </c>
      <c r="M983" t="n" s="3">
        <v>0</v>
      </c>
      <c r="N983" s="3"/>
      <c r="O983" s="3"/>
      <c r="P983" s="3"/>
      <c r="Q983" s="3"/>
      <c r="R983" t="n" s="3">
        <v>0</v>
      </c>
      <c r="S983" s="17"/>
      <c r="T983" s="18"/>
      <c r="U983"/>
      <c r="V983"/>
      <c r="W983"/>
      <c r="X983"/>
      <c r="Y983"/>
      <c r="Z983"/>
      <c r="AA983"/>
    </row>
    <row r="984">
      <c r="A984" s="35"/>
      <c r="B984" t="n" s="17">
        <v>70661001</v>
      </c>
      <c r="C984" t="str" s="37">
        <v>危石夹-传送1</v>
      </c>
      <c r="D984" t="str" s="3">
        <v>新补R02；边界待实际地编注入，未假造坐标</v>
      </c>
      <c r="E984" t="str" s="3">
        <v>66_传送_1</v>
      </c>
      <c r="F984" t="n" s="3">
        <v>66</v>
      </c>
      <c r="G984" t="str" s="3">
        <v>传送</v>
      </c>
      <c r="H984" t="n" s="3">
        <v>1</v>
      </c>
      <c r="I984" t="n" s="3">
        <v>0</v>
      </c>
      <c r="J984" t="n" s="3">
        <v>1</v>
      </c>
      <c r="K984" t="n" s="3">
        <v>0</v>
      </c>
      <c r="L984" t="n" s="3">
        <v>1</v>
      </c>
      <c r="M984" t="n" s="3">
        <v>0</v>
      </c>
      <c r="N984" s="3"/>
      <c r="O984" s="3"/>
      <c r="P984" s="3"/>
      <c r="Q984" s="3"/>
      <c r="R984" t="n" s="3">
        <v>0</v>
      </c>
      <c r="S984" s="17"/>
      <c r="T984" s="18"/>
      <c r="U984"/>
      <c r="V984"/>
      <c r="W984"/>
      <c r="X984"/>
      <c r="Y984"/>
      <c r="Z984"/>
      <c r="AA984"/>
    </row>
    <row r="985">
      <c r="A985" s="35"/>
      <c r="B985" t="n" s="17">
        <v>70661002</v>
      </c>
      <c r="C985" t="str" s="37">
        <v>危石夹-传送2</v>
      </c>
      <c r="D985" t="str" s="3">
        <v>新补R02；边界待实际地编注入，未假造坐标</v>
      </c>
      <c r="E985" t="str" s="3">
        <v>66_传送_2</v>
      </c>
      <c r="F985" t="n" s="3">
        <v>66</v>
      </c>
      <c r="G985" t="str" s="3">
        <v>传送</v>
      </c>
      <c r="H985" t="n" s="3">
        <v>1</v>
      </c>
      <c r="I985" t="n" s="3">
        <v>0</v>
      </c>
      <c r="J985" t="n" s="3">
        <v>2</v>
      </c>
      <c r="K985" t="n" s="3">
        <v>0</v>
      </c>
      <c r="L985" t="n" s="3">
        <v>0</v>
      </c>
      <c r="M985" t="n" s="3">
        <v>0</v>
      </c>
      <c r="N985" s="3"/>
      <c r="O985" s="3"/>
      <c r="P985" s="3"/>
      <c r="Q985" s="3"/>
      <c r="R985" t="n" s="3">
        <v>0</v>
      </c>
      <c r="S985" s="17"/>
      <c r="T985" s="18"/>
      <c r="U985"/>
      <c r="V985"/>
      <c r="W985"/>
      <c r="X985"/>
      <c r="Y985"/>
      <c r="Z985"/>
      <c r="AA985"/>
    </row>
    <row r="986">
      <c r="A986" s="35"/>
      <c r="B986" t="n" s="17">
        <v>70662001</v>
      </c>
      <c r="C986" t="str" s="37">
        <v>危石夹-小地图1</v>
      </c>
      <c r="D986" t="str" s="3">
        <v>新补R02；边界待实际地编注入，未假造坐标</v>
      </c>
      <c r="E986" t="str" s="3">
        <v>66_小地图_1</v>
      </c>
      <c r="F986" t="n" s="3">
        <v>66</v>
      </c>
      <c r="G986" t="str" s="3">
        <v>小地图</v>
      </c>
      <c r="H986" t="n" s="3">
        <v>2</v>
      </c>
      <c r="I986" t="n" s="3">
        <v>0</v>
      </c>
      <c r="J986" t="n" s="3">
        <v>1</v>
      </c>
      <c r="K986" t="n" s="3">
        <v>0</v>
      </c>
      <c r="L986" t="n" s="3">
        <v>0</v>
      </c>
      <c r="M986" t="n" s="3">
        <v>1</v>
      </c>
      <c r="N986" s="3"/>
      <c r="O986" s="3"/>
      <c r="P986" s="3"/>
      <c r="Q986" s="3"/>
      <c r="R986" t="n" s="3">
        <v>0</v>
      </c>
      <c r="S986" s="17"/>
      <c r="T986" s="18"/>
      <c r="U986"/>
      <c r="V986"/>
      <c r="W986"/>
      <c r="X986"/>
      <c r="Y986"/>
      <c r="Z986"/>
      <c r="AA986"/>
    </row>
    <row r="987">
      <c r="A987" s="35"/>
      <c r="B987" t="n" s="17">
        <v>70666001</v>
      </c>
      <c r="C987" t="str" s="37">
        <v>危石夹-NPC1</v>
      </c>
      <c r="D987" t="str" s="3">
        <v>新补R02；边界待实际地编注入，未假造坐标</v>
      </c>
      <c r="E987" t="str" s="3">
        <v>66_NPC_1</v>
      </c>
      <c r="F987" t="n" s="3">
        <v>66</v>
      </c>
      <c r="G987" t="str" s="3">
        <v>NPC</v>
      </c>
      <c r="H987" t="n" s="3">
        <v>6</v>
      </c>
      <c r="I987" t="n" s="3">
        <v>0</v>
      </c>
      <c r="J987" t="n" s="3">
        <v>1</v>
      </c>
      <c r="K987" t="n" s="3">
        <v>0</v>
      </c>
      <c r="L987" t="n" s="3">
        <v>0</v>
      </c>
      <c r="M987" t="n" s="3">
        <v>0</v>
      </c>
      <c r="N987" s="3"/>
      <c r="O987" s="3"/>
      <c r="P987" s="3"/>
      <c r="Q987" s="3"/>
      <c r="R987" t="n" s="3">
        <v>0</v>
      </c>
      <c r="S987" s="17"/>
      <c r="T987" s="18"/>
      <c r="U987"/>
      <c r="V987"/>
      <c r="W987"/>
      <c r="X987"/>
      <c r="Y987"/>
      <c r="Z987"/>
      <c r="AA987"/>
    </row>
    <row r="988">
      <c r="A988" s="35"/>
      <c r="B988" t="n" s="17">
        <v>70664001</v>
      </c>
      <c r="C988" t="str" s="37">
        <v>危石夹-特效1</v>
      </c>
      <c r="D988" t="str" s="3">
        <v>新补R02；边界待实际地编注入，未假造坐标</v>
      </c>
      <c r="E988" t="str" s="3">
        <v>66_特效_1</v>
      </c>
      <c r="F988" t="n" s="3">
        <v>66</v>
      </c>
      <c r="G988" t="str" s="3">
        <v>特效</v>
      </c>
      <c r="H988" t="n" s="3">
        <v>4</v>
      </c>
      <c r="I988" t="n" s="3">
        <v>0</v>
      </c>
      <c r="J988" t="n" s="3">
        <v>1</v>
      </c>
      <c r="K988" t="n" s="3">
        <v>0</v>
      </c>
      <c r="L988" t="n" s="3">
        <v>0</v>
      </c>
      <c r="M988" t="n" s="3">
        <v>0</v>
      </c>
      <c r="N988" s="3"/>
      <c r="O988" s="3"/>
      <c r="P988" s="3"/>
      <c r="Q988" s="3"/>
      <c r="R988" t="n" s="3">
        <v>0</v>
      </c>
      <c r="S988" s="17"/>
      <c r="T988" s="18"/>
      <c r="U988"/>
      <c r="V988"/>
      <c r="W988"/>
      <c r="X988"/>
      <c r="Y988"/>
      <c r="Z988"/>
      <c r="AA988"/>
    </row>
    <row r="989">
      <c r="A989" s="35"/>
      <c r="B989" t="n" s="17">
        <v>70675101</v>
      </c>
      <c r="C989" t="str" s="37">
        <v>一线湍-怪物1</v>
      </c>
      <c r="D989" t="str" s="3">
        <v>新补R02；边界待实际地编注入，未假造坐标</v>
      </c>
      <c r="E989" t="str" s="3">
        <v>67_怪物_1</v>
      </c>
      <c r="F989" t="n" s="3">
        <v>67</v>
      </c>
      <c r="G989" t="str" s="3">
        <v>怪物</v>
      </c>
      <c r="H989" t="n" s="3">
        <v>5</v>
      </c>
      <c r="I989" t="n" s="3">
        <v>1</v>
      </c>
      <c r="J989" t="n" s="3">
        <v>1</v>
      </c>
      <c r="K989" t="n" s="3">
        <v>0</v>
      </c>
      <c r="L989" t="n" s="3">
        <v>0</v>
      </c>
      <c r="M989" t="n" s="3">
        <v>0</v>
      </c>
      <c r="N989" s="3"/>
      <c r="O989" s="3"/>
      <c r="P989" s="3"/>
      <c r="Q989" s="3"/>
      <c r="R989" t="n" s="3">
        <v>0</v>
      </c>
      <c r="S989" t="str" s="17">
        <v>本轮完整刷新挂接；有效坐标注入后验证</v>
      </c>
      <c r="T989" t="n" s="18">
        <v>1900212</v>
      </c>
      <c r="U989"/>
      <c r="V989"/>
      <c r="W989"/>
      <c r="X989"/>
      <c r="Y989"/>
      <c r="Z989"/>
      <c r="AA989"/>
    </row>
    <row r="990">
      <c r="A990" s="35"/>
      <c r="B990" t="n" s="17">
        <v>70675102</v>
      </c>
      <c r="C990" t="str" s="37">
        <v>一线湍-怪物2</v>
      </c>
      <c r="D990" t="str" s="3">
        <v>新补R02；边界待实际地编注入，未假造坐标</v>
      </c>
      <c r="E990" t="str" s="3">
        <v>67_怪物_2</v>
      </c>
      <c r="F990" t="n" s="3">
        <v>67</v>
      </c>
      <c r="G990" t="str" s="3">
        <v>怪物</v>
      </c>
      <c r="H990" t="n" s="3">
        <v>5</v>
      </c>
      <c r="I990" t="n" s="3">
        <v>1</v>
      </c>
      <c r="J990" t="n" s="3">
        <v>2</v>
      </c>
      <c r="K990" t="n" s="3">
        <v>0</v>
      </c>
      <c r="L990" t="n" s="3">
        <v>0</v>
      </c>
      <c r="M990" t="n" s="3">
        <v>0</v>
      </c>
      <c r="N990" s="3"/>
      <c r="O990" s="3"/>
      <c r="P990" s="3"/>
      <c r="Q990" s="3"/>
      <c r="R990" t="n" s="3">
        <v>0</v>
      </c>
      <c r="S990" t="str" s="17">
        <v>本轮完整刷新挂接；有效坐标注入后验证</v>
      </c>
      <c r="T990" t="n" s="18">
        <v>1900213</v>
      </c>
      <c r="U990"/>
      <c r="V990"/>
      <c r="W990"/>
      <c r="X990"/>
      <c r="Y990"/>
      <c r="Z990"/>
      <c r="AA990"/>
    </row>
    <row r="991">
      <c r="A991" s="35"/>
      <c r="B991" t="n" s="17">
        <v>70675103</v>
      </c>
      <c r="C991" t="str" s="37">
        <v>一线湍-怪物3</v>
      </c>
      <c r="D991" t="str" s="3">
        <v>新补R02；边界待实际地编注入，未假造坐标</v>
      </c>
      <c r="E991" t="str" s="3">
        <v>67_怪物_3</v>
      </c>
      <c r="F991" t="n" s="3">
        <v>67</v>
      </c>
      <c r="G991" t="str" s="3">
        <v>怪物</v>
      </c>
      <c r="H991" t="n" s="3">
        <v>5</v>
      </c>
      <c r="I991" t="n" s="3">
        <v>1</v>
      </c>
      <c r="J991" t="n" s="3">
        <v>3</v>
      </c>
      <c r="K991" t="n" s="3">
        <v>0</v>
      </c>
      <c r="L991" t="n" s="3">
        <v>0</v>
      </c>
      <c r="M991" t="n" s="3">
        <v>0</v>
      </c>
      <c r="N991" s="3"/>
      <c r="O991" s="3"/>
      <c r="P991" s="3"/>
      <c r="Q991" s="3"/>
      <c r="R991" t="n" s="3">
        <v>0</v>
      </c>
      <c r="S991" t="str" s="17">
        <v>本轮完整刷新挂接；有效坐标注入后验证</v>
      </c>
      <c r="T991" t="n" s="18">
        <v>1900214</v>
      </c>
      <c r="U991"/>
      <c r="V991"/>
      <c r="W991"/>
      <c r="X991"/>
      <c r="Y991"/>
      <c r="Z991"/>
      <c r="AA991"/>
    </row>
    <row r="992">
      <c r="A992" s="35"/>
      <c r="B992" t="n" s="17">
        <v>70675104</v>
      </c>
      <c r="C992" t="str" s="37">
        <v>一线湍-怪物4</v>
      </c>
      <c r="D992" t="str" s="3">
        <v>新补R02；边界待实际地编注入，未假造坐标</v>
      </c>
      <c r="E992" t="str" s="3">
        <v>67_怪物_4</v>
      </c>
      <c r="F992" t="n" s="3">
        <v>67</v>
      </c>
      <c r="G992" t="str" s="3">
        <v>怪物</v>
      </c>
      <c r="H992" t="n" s="3">
        <v>5</v>
      </c>
      <c r="I992" t="n" s="3">
        <v>1</v>
      </c>
      <c r="J992" t="n" s="3">
        <v>4</v>
      </c>
      <c r="K992" t="n" s="3">
        <v>0</v>
      </c>
      <c r="L992" t="n" s="3">
        <v>0</v>
      </c>
      <c r="M992" t="n" s="3">
        <v>0</v>
      </c>
      <c r="N992" s="3"/>
      <c r="O992" s="3"/>
      <c r="P992" s="3"/>
      <c r="Q992" s="3"/>
      <c r="R992" t="n" s="3">
        <v>0</v>
      </c>
      <c r="S992" t="str" s="17">
        <v>本轮完整刷新挂接；有效坐标注入后验证</v>
      </c>
      <c r="T992" t="n" s="18">
        <v>1900215</v>
      </c>
      <c r="U992"/>
      <c r="V992"/>
      <c r="W992"/>
      <c r="X992"/>
      <c r="Y992"/>
      <c r="Z992"/>
      <c r="AA992"/>
    </row>
    <row r="993">
      <c r="A993" s="35"/>
      <c r="B993" t="n" s="17">
        <v>70675105</v>
      </c>
      <c r="C993" t="str" s="37">
        <v>一线湍-怪物5</v>
      </c>
      <c r="D993" t="str" s="3">
        <v>新补R02；边界待实际地编注入，未假造坐标</v>
      </c>
      <c r="E993" t="str" s="3">
        <v>67_怪物_5</v>
      </c>
      <c r="F993" t="n" s="3">
        <v>67</v>
      </c>
      <c r="G993" t="str" s="3">
        <v>怪物</v>
      </c>
      <c r="H993" t="n" s="3">
        <v>5</v>
      </c>
      <c r="I993" t="n" s="3">
        <v>1</v>
      </c>
      <c r="J993" t="n" s="3">
        <v>5</v>
      </c>
      <c r="K993" t="n" s="3">
        <v>0</v>
      </c>
      <c r="L993" t="n" s="3">
        <v>0</v>
      </c>
      <c r="M993" t="n" s="3">
        <v>0</v>
      </c>
      <c r="N993" s="3"/>
      <c r="O993" s="3"/>
      <c r="P993" s="3"/>
      <c r="Q993" s="3"/>
      <c r="R993" t="n" s="3">
        <v>0</v>
      </c>
      <c r="S993" s="17"/>
      <c r="T993" s="18"/>
      <c r="U993"/>
      <c r="V993"/>
      <c r="W993"/>
      <c r="X993"/>
      <c r="Y993"/>
      <c r="Z993"/>
      <c r="AA993"/>
    </row>
    <row r="994">
      <c r="A994" s="35"/>
      <c r="B994" t="n" s="17">
        <v>70675106</v>
      </c>
      <c r="C994" t="str" s="37">
        <v>一线湍-怪物6</v>
      </c>
      <c r="D994" t="str" s="3">
        <v>新补R02；边界待实际地编注入，未假造坐标</v>
      </c>
      <c r="E994" t="str" s="3">
        <v>67_怪物_6</v>
      </c>
      <c r="F994" t="n" s="3">
        <v>67</v>
      </c>
      <c r="G994" t="str" s="3">
        <v>怪物</v>
      </c>
      <c r="H994" t="n" s="3">
        <v>5</v>
      </c>
      <c r="I994" t="n" s="3">
        <v>1</v>
      </c>
      <c r="J994" t="n" s="3">
        <v>6</v>
      </c>
      <c r="K994" t="n" s="3">
        <v>0</v>
      </c>
      <c r="L994" t="n" s="3">
        <v>0</v>
      </c>
      <c r="M994" t="n" s="3">
        <v>0</v>
      </c>
      <c r="N994" s="3"/>
      <c r="O994" s="3"/>
      <c r="P994" s="3"/>
      <c r="Q994" s="3"/>
      <c r="R994" t="n" s="3">
        <v>0</v>
      </c>
      <c r="S994" s="17"/>
      <c r="T994" s="18"/>
      <c r="U994"/>
      <c r="V994"/>
      <c r="W994"/>
      <c r="X994"/>
      <c r="Y994"/>
      <c r="Z994"/>
      <c r="AA994"/>
    </row>
    <row r="995">
      <c r="A995" s="35"/>
      <c r="B995" t="n" s="17">
        <v>70675001</v>
      </c>
      <c r="C995" t="str" s="37">
        <v>一线湍-镜头1</v>
      </c>
      <c r="D995" t="str" s="3">
        <v>新补R02；边界待实际地编注入，未假造坐标</v>
      </c>
      <c r="E995" t="str" s="3">
        <v>67_镜头_1</v>
      </c>
      <c r="F995" t="n" s="3">
        <v>67</v>
      </c>
      <c r="G995" t="str" s="3">
        <v>镜头</v>
      </c>
      <c r="H995" t="n" s="3">
        <v>5</v>
      </c>
      <c r="I995" t="n" s="3">
        <v>0</v>
      </c>
      <c r="J995" t="n" s="3">
        <v>1</v>
      </c>
      <c r="K995" t="n" s="3">
        <v>1</v>
      </c>
      <c r="L995" t="n" s="3">
        <v>0</v>
      </c>
      <c r="M995" t="n" s="3">
        <v>0</v>
      </c>
      <c r="N995" s="3"/>
      <c r="O995" s="3"/>
      <c r="P995" s="3"/>
      <c r="Q995" s="3"/>
      <c r="R995" t="n" s="3">
        <v>0</v>
      </c>
      <c r="S995" s="17"/>
      <c r="T995" s="18"/>
      <c r="U995"/>
      <c r="V995"/>
      <c r="W995"/>
      <c r="X995"/>
      <c r="Y995"/>
      <c r="Z995"/>
      <c r="AA995"/>
    </row>
    <row r="996">
      <c r="A996" s="35"/>
      <c r="B996" t="n" s="17">
        <v>70671001</v>
      </c>
      <c r="C996" t="str" s="37">
        <v>一线湍-传送1</v>
      </c>
      <c r="D996" t="str" s="3">
        <v>新补R02；边界待实际地编注入，未假造坐标</v>
      </c>
      <c r="E996" t="str" s="3">
        <v>67_传送_1</v>
      </c>
      <c r="F996" t="n" s="3">
        <v>67</v>
      </c>
      <c r="G996" t="str" s="3">
        <v>传送</v>
      </c>
      <c r="H996" t="n" s="3">
        <v>1</v>
      </c>
      <c r="I996" t="n" s="3">
        <v>0</v>
      </c>
      <c r="J996" t="n" s="3">
        <v>1</v>
      </c>
      <c r="K996" t="n" s="3">
        <v>0</v>
      </c>
      <c r="L996" t="n" s="3">
        <v>1</v>
      </c>
      <c r="M996" t="n" s="3">
        <v>0</v>
      </c>
      <c r="N996" s="3"/>
      <c r="O996" s="3"/>
      <c r="P996" s="3"/>
      <c r="Q996" s="3"/>
      <c r="R996" t="n" s="3">
        <v>0</v>
      </c>
      <c r="S996" s="17"/>
      <c r="T996" s="18"/>
      <c r="U996"/>
      <c r="V996"/>
      <c r="W996"/>
      <c r="X996"/>
      <c r="Y996"/>
      <c r="Z996"/>
      <c r="AA996"/>
    </row>
    <row r="997">
      <c r="A997" s="35"/>
      <c r="B997" t="n" s="17">
        <v>70671002</v>
      </c>
      <c r="C997" t="str" s="37">
        <v>一线湍-传送2</v>
      </c>
      <c r="D997" t="str" s="3">
        <v>新补R02；边界待实际地编注入，未假造坐标</v>
      </c>
      <c r="E997" t="str" s="3">
        <v>67_传送_2</v>
      </c>
      <c r="F997" t="n" s="3">
        <v>67</v>
      </c>
      <c r="G997" t="str" s="3">
        <v>传送</v>
      </c>
      <c r="H997" t="n" s="3">
        <v>1</v>
      </c>
      <c r="I997" t="n" s="3">
        <v>0</v>
      </c>
      <c r="J997" t="n" s="3">
        <v>2</v>
      </c>
      <c r="K997" t="n" s="3">
        <v>0</v>
      </c>
      <c r="L997" t="n" s="3">
        <v>0</v>
      </c>
      <c r="M997" t="n" s="3">
        <v>0</v>
      </c>
      <c r="N997" s="3"/>
      <c r="O997" s="3"/>
      <c r="P997" s="3"/>
      <c r="Q997" s="3"/>
      <c r="R997" t="n" s="3">
        <v>0</v>
      </c>
      <c r="S997" s="17"/>
      <c r="T997" s="18"/>
      <c r="U997"/>
      <c r="V997"/>
      <c r="W997"/>
      <c r="X997"/>
      <c r="Y997"/>
      <c r="Z997"/>
      <c r="AA997"/>
    </row>
    <row r="998">
      <c r="A998" s="35"/>
      <c r="B998" t="n" s="17">
        <v>70672001</v>
      </c>
      <c r="C998" t="str" s="37">
        <v>一线湍-小地图1</v>
      </c>
      <c r="D998" t="str" s="3">
        <v>新补R02；边界待实际地编注入，未假造坐标</v>
      </c>
      <c r="E998" t="str" s="3">
        <v>67_小地图_1</v>
      </c>
      <c r="F998" t="n" s="3">
        <v>67</v>
      </c>
      <c r="G998" t="str" s="3">
        <v>小地图</v>
      </c>
      <c r="H998" t="n" s="3">
        <v>2</v>
      </c>
      <c r="I998" t="n" s="3">
        <v>0</v>
      </c>
      <c r="J998" t="n" s="3">
        <v>1</v>
      </c>
      <c r="K998" t="n" s="3">
        <v>0</v>
      </c>
      <c r="L998" t="n" s="3">
        <v>0</v>
      </c>
      <c r="M998" t="n" s="3">
        <v>1</v>
      </c>
      <c r="N998" s="3"/>
      <c r="O998" s="3"/>
      <c r="P998" s="3"/>
      <c r="Q998" s="3"/>
      <c r="R998" t="n" s="3">
        <v>0</v>
      </c>
      <c r="S998" s="17"/>
      <c r="T998" s="18"/>
      <c r="U998"/>
      <c r="V998"/>
      <c r="W998"/>
      <c r="X998"/>
      <c r="Y998"/>
      <c r="Z998"/>
      <c r="AA998"/>
    </row>
    <row r="999">
      <c r="A999" s="35"/>
      <c r="B999" t="n" s="17">
        <v>70676001</v>
      </c>
      <c r="C999" t="str" s="37">
        <v>一线湍-NPC1</v>
      </c>
      <c r="D999" t="str" s="3">
        <v>新补R02；边界待实际地编注入，未假造坐标</v>
      </c>
      <c r="E999" t="str" s="3">
        <v>67_NPC_1</v>
      </c>
      <c r="F999" t="n" s="3">
        <v>67</v>
      </c>
      <c r="G999" t="str" s="3">
        <v>NPC</v>
      </c>
      <c r="H999" t="n" s="3">
        <v>6</v>
      </c>
      <c r="I999" t="n" s="3">
        <v>0</v>
      </c>
      <c r="J999" t="n" s="3">
        <v>1</v>
      </c>
      <c r="K999" t="n" s="3">
        <v>0</v>
      </c>
      <c r="L999" t="n" s="3">
        <v>0</v>
      </c>
      <c r="M999" t="n" s="3">
        <v>0</v>
      </c>
      <c r="N999" s="3"/>
      <c r="O999" s="3"/>
      <c r="P999" s="3"/>
      <c r="Q999" s="3"/>
      <c r="R999" t="n" s="3">
        <v>0</v>
      </c>
      <c r="S999" s="17"/>
      <c r="T999" s="18"/>
      <c r="U999"/>
      <c r="V999"/>
      <c r="W999"/>
      <c r="X999"/>
      <c r="Y999"/>
      <c r="Z999"/>
      <c r="AA999"/>
    </row>
    <row r="1000">
      <c r="A1000" s="35"/>
      <c r="B1000" t="n" s="17">
        <v>70674001</v>
      </c>
      <c r="C1000" t="str" s="37">
        <v>一线湍-特效1</v>
      </c>
      <c r="D1000" t="str" s="3">
        <v>新补R02；边界待实际地编注入，未假造坐标</v>
      </c>
      <c r="E1000" t="str" s="3">
        <v>67_特效_1</v>
      </c>
      <c r="F1000" t="n" s="3">
        <v>67</v>
      </c>
      <c r="G1000" t="str" s="3">
        <v>特效</v>
      </c>
      <c r="H1000" t="n" s="3">
        <v>4</v>
      </c>
      <c r="I1000" t="n" s="3">
        <v>0</v>
      </c>
      <c r="J1000" t="n" s="3">
        <v>1</v>
      </c>
      <c r="K1000" t="n" s="3">
        <v>0</v>
      </c>
      <c r="L1000" t="n" s="3">
        <v>0</v>
      </c>
      <c r="M1000" t="n" s="3">
        <v>0</v>
      </c>
      <c r="N1000" s="3"/>
      <c r="O1000" s="3"/>
      <c r="P1000" s="3"/>
      <c r="Q1000" s="3"/>
      <c r="R1000" t="n" s="3">
        <v>0</v>
      </c>
      <c r="S1000" s="17"/>
      <c r="T1000" s="18"/>
      <c r="U1000"/>
      <c r="V1000"/>
      <c r="W1000"/>
      <c r="X1000"/>
      <c r="Y1000"/>
      <c r="Z1000"/>
      <c r="AA1000"/>
    </row>
    <row r="1001">
      <c r="A1001" s="35"/>
      <c r="B1001" t="n" s="17">
        <v>70685101</v>
      </c>
      <c r="C1001" t="str" s="37">
        <v>垂水衣-怪物1</v>
      </c>
      <c r="D1001" t="str" s="3">
        <v>新补R02；边界待实际地编注入，未假造坐标</v>
      </c>
      <c r="E1001" t="str" s="3">
        <v>68_怪物_1</v>
      </c>
      <c r="F1001" t="n" s="3">
        <v>68</v>
      </c>
      <c r="G1001" t="str" s="3">
        <v>怪物</v>
      </c>
      <c r="H1001" t="n" s="3">
        <v>5</v>
      </c>
      <c r="I1001" t="n" s="3">
        <v>1</v>
      </c>
      <c r="J1001" t="n" s="3">
        <v>1</v>
      </c>
      <c r="K1001" t="n" s="3">
        <v>0</v>
      </c>
      <c r="L1001" t="n" s="3">
        <v>0</v>
      </c>
      <c r="M1001" t="n" s="3">
        <v>0</v>
      </c>
      <c r="N1001" s="3"/>
      <c r="O1001" s="3"/>
      <c r="P1001" s="3"/>
      <c r="Q1001" s="3"/>
      <c r="R1001" t="n" s="3">
        <v>0</v>
      </c>
      <c r="S1001" t="str" s="17">
        <v>本轮完整刷新挂接；有效坐标注入后验证</v>
      </c>
      <c r="T1001" t="n" s="18">
        <v>1900216</v>
      </c>
      <c r="U1001"/>
      <c r="V1001"/>
      <c r="W1001"/>
      <c r="X1001"/>
      <c r="Y1001"/>
      <c r="Z1001"/>
      <c r="AA1001"/>
    </row>
    <row r="1002">
      <c r="A1002" s="35"/>
      <c r="B1002" t="n" s="17">
        <v>70685102</v>
      </c>
      <c r="C1002" t="str" s="37">
        <v>垂水衣-怪物2</v>
      </c>
      <c r="D1002" t="str" s="3">
        <v>新补R02；边界待实际地编注入，未假造坐标</v>
      </c>
      <c r="E1002" t="str" s="3">
        <v>68_怪物_2</v>
      </c>
      <c r="F1002" t="n" s="3">
        <v>68</v>
      </c>
      <c r="G1002" t="str" s="3">
        <v>怪物</v>
      </c>
      <c r="H1002" t="n" s="3">
        <v>5</v>
      </c>
      <c r="I1002" t="n" s="3">
        <v>1</v>
      </c>
      <c r="J1002" t="n" s="3">
        <v>2</v>
      </c>
      <c r="K1002" t="n" s="3">
        <v>0</v>
      </c>
      <c r="L1002" t="n" s="3">
        <v>0</v>
      </c>
      <c r="M1002" t="n" s="3">
        <v>0</v>
      </c>
      <c r="N1002" s="3"/>
      <c r="O1002" s="3"/>
      <c r="P1002" s="3"/>
      <c r="Q1002" s="3"/>
      <c r="R1002" t="n" s="3">
        <v>0</v>
      </c>
      <c r="S1002" t="str" s="17">
        <v>本轮完整刷新挂接；有效坐标注入后验证</v>
      </c>
      <c r="T1002" t="n" s="18">
        <v>1900217</v>
      </c>
      <c r="U1002"/>
      <c r="V1002"/>
      <c r="W1002"/>
      <c r="X1002"/>
      <c r="Y1002"/>
      <c r="Z1002"/>
      <c r="AA1002"/>
    </row>
    <row r="1003">
      <c r="A1003" s="35"/>
      <c r="B1003" t="n" s="17">
        <v>70685103</v>
      </c>
      <c r="C1003" t="str" s="37">
        <v>垂水衣-怪物3</v>
      </c>
      <c r="D1003" t="str" s="3">
        <v>新补R02；边界待实际地编注入，未假造坐标</v>
      </c>
      <c r="E1003" t="str" s="3">
        <v>68_怪物_3</v>
      </c>
      <c r="F1003" t="n" s="3">
        <v>68</v>
      </c>
      <c r="G1003" t="str" s="3">
        <v>怪物</v>
      </c>
      <c r="H1003" t="n" s="3">
        <v>5</v>
      </c>
      <c r="I1003" t="n" s="3">
        <v>1</v>
      </c>
      <c r="J1003" t="n" s="3">
        <v>3</v>
      </c>
      <c r="K1003" t="n" s="3">
        <v>0</v>
      </c>
      <c r="L1003" t="n" s="3">
        <v>0</v>
      </c>
      <c r="M1003" t="n" s="3">
        <v>0</v>
      </c>
      <c r="N1003" s="3"/>
      <c r="O1003" s="3"/>
      <c r="P1003" s="3"/>
      <c r="Q1003" s="3"/>
      <c r="R1003" t="n" s="3">
        <v>0</v>
      </c>
      <c r="S1003" t="str" s="17">
        <v>本轮完整刷新挂接；有效坐标注入后验证</v>
      </c>
      <c r="T1003" t="n" s="18">
        <v>1900218</v>
      </c>
      <c r="U1003"/>
      <c r="V1003"/>
      <c r="W1003"/>
      <c r="X1003"/>
      <c r="Y1003"/>
      <c r="Z1003"/>
      <c r="AA1003"/>
    </row>
    <row r="1004">
      <c r="A1004" s="35"/>
      <c r="B1004" t="n" s="17">
        <v>70685104</v>
      </c>
      <c r="C1004" t="str" s="37">
        <v>垂水衣-怪物4</v>
      </c>
      <c r="D1004" t="str" s="3">
        <v>新补R02；边界待实际地编注入，未假造坐标</v>
      </c>
      <c r="E1004" t="str" s="3">
        <v>68_怪物_4</v>
      </c>
      <c r="F1004" t="n" s="3">
        <v>68</v>
      </c>
      <c r="G1004" t="str" s="3">
        <v>怪物</v>
      </c>
      <c r="H1004" t="n" s="3">
        <v>5</v>
      </c>
      <c r="I1004" t="n" s="3">
        <v>1</v>
      </c>
      <c r="J1004" t="n" s="3">
        <v>4</v>
      </c>
      <c r="K1004" t="n" s="3">
        <v>0</v>
      </c>
      <c r="L1004" t="n" s="3">
        <v>0</v>
      </c>
      <c r="M1004" t="n" s="3">
        <v>0</v>
      </c>
      <c r="N1004" s="3"/>
      <c r="O1004" s="3"/>
      <c r="P1004" s="3"/>
      <c r="Q1004" s="3"/>
      <c r="R1004" t="n" s="3">
        <v>0</v>
      </c>
      <c r="S1004" s="17"/>
      <c r="T1004" s="18"/>
      <c r="U1004"/>
      <c r="V1004"/>
      <c r="W1004"/>
      <c r="X1004"/>
      <c r="Y1004"/>
      <c r="Z1004"/>
      <c r="AA1004"/>
    </row>
    <row r="1005">
      <c r="A1005" s="35"/>
      <c r="B1005" t="n" s="17">
        <v>70685105</v>
      </c>
      <c r="C1005" t="str" s="37">
        <v>垂水衣-怪物5</v>
      </c>
      <c r="D1005" t="str" s="3">
        <v>新补R02；边界待实际地编注入，未假造坐标</v>
      </c>
      <c r="E1005" t="str" s="3">
        <v>68_怪物_5</v>
      </c>
      <c r="F1005" t="n" s="3">
        <v>68</v>
      </c>
      <c r="G1005" t="str" s="3">
        <v>怪物</v>
      </c>
      <c r="H1005" t="n" s="3">
        <v>5</v>
      </c>
      <c r="I1005" t="n" s="3">
        <v>1</v>
      </c>
      <c r="J1005" t="n" s="3">
        <v>5</v>
      </c>
      <c r="K1005" t="n" s="3">
        <v>0</v>
      </c>
      <c r="L1005" t="n" s="3">
        <v>0</v>
      </c>
      <c r="M1005" t="n" s="3">
        <v>0</v>
      </c>
      <c r="N1005" s="3"/>
      <c r="O1005" s="3"/>
      <c r="P1005" s="3"/>
      <c r="Q1005" s="3"/>
      <c r="R1005" t="n" s="3">
        <v>0</v>
      </c>
      <c r="S1005" s="17"/>
      <c r="T1005" s="18"/>
      <c r="U1005"/>
      <c r="V1005"/>
      <c r="W1005"/>
      <c r="X1005"/>
      <c r="Y1005"/>
      <c r="Z1005"/>
      <c r="AA1005"/>
    </row>
    <row r="1006">
      <c r="A1006" s="35"/>
      <c r="B1006" t="n" s="17">
        <v>70685106</v>
      </c>
      <c r="C1006" t="str" s="37">
        <v>垂水衣-怪物6</v>
      </c>
      <c r="D1006" t="str" s="3">
        <v>新补R02；边界待实际地编注入，未假造坐标</v>
      </c>
      <c r="E1006" t="str" s="3">
        <v>68_怪物_6</v>
      </c>
      <c r="F1006" t="n" s="3">
        <v>68</v>
      </c>
      <c r="G1006" t="str" s="3">
        <v>怪物</v>
      </c>
      <c r="H1006" t="n" s="3">
        <v>5</v>
      </c>
      <c r="I1006" t="n" s="3">
        <v>1</v>
      </c>
      <c r="J1006" t="n" s="3">
        <v>6</v>
      </c>
      <c r="K1006" t="n" s="3">
        <v>0</v>
      </c>
      <c r="L1006" t="n" s="3">
        <v>0</v>
      </c>
      <c r="M1006" t="n" s="3">
        <v>0</v>
      </c>
      <c r="N1006" s="3"/>
      <c r="O1006" s="3"/>
      <c r="P1006" s="3"/>
      <c r="Q1006" s="3"/>
      <c r="R1006" t="n" s="3">
        <v>0</v>
      </c>
      <c r="S1006" s="17"/>
      <c r="T1006" s="18"/>
      <c r="U1006"/>
      <c r="V1006"/>
      <c r="W1006"/>
      <c r="X1006"/>
      <c r="Y1006"/>
      <c r="Z1006"/>
      <c r="AA1006"/>
    </row>
    <row r="1007">
      <c r="A1007" s="35"/>
      <c r="B1007" t="n" s="17">
        <v>70685001</v>
      </c>
      <c r="C1007" t="str" s="37">
        <v>垂水衣-镜头1</v>
      </c>
      <c r="D1007" t="str" s="3">
        <v>新补R02；边界待实际地编注入，未假造坐标</v>
      </c>
      <c r="E1007" t="str" s="3">
        <v>68_镜头_1</v>
      </c>
      <c r="F1007" t="n" s="3">
        <v>68</v>
      </c>
      <c r="G1007" t="str" s="3">
        <v>镜头</v>
      </c>
      <c r="H1007" t="n" s="3">
        <v>5</v>
      </c>
      <c r="I1007" t="n" s="3">
        <v>0</v>
      </c>
      <c r="J1007" t="n" s="3">
        <v>1</v>
      </c>
      <c r="K1007" t="n" s="3">
        <v>1</v>
      </c>
      <c r="L1007" t="n" s="3">
        <v>0</v>
      </c>
      <c r="M1007" t="n" s="3">
        <v>0</v>
      </c>
      <c r="N1007" s="3"/>
      <c r="O1007" s="3"/>
      <c r="P1007" s="3"/>
      <c r="Q1007" s="3"/>
      <c r="R1007" t="n" s="3">
        <v>0</v>
      </c>
      <c r="S1007" s="17"/>
      <c r="T1007" s="18"/>
      <c r="U1007"/>
      <c r="V1007"/>
      <c r="W1007"/>
      <c r="X1007"/>
      <c r="Y1007"/>
      <c r="Z1007"/>
      <c r="AA1007"/>
    </row>
    <row r="1008">
      <c r="A1008" s="35"/>
      <c r="B1008" t="n" s="17">
        <v>70681001</v>
      </c>
      <c r="C1008" t="str" s="37">
        <v>垂水衣-传送1</v>
      </c>
      <c r="D1008" t="str" s="3">
        <v>新补R02；边界待实际地编注入，未假造坐标</v>
      </c>
      <c r="E1008" t="str" s="3">
        <v>68_传送_1</v>
      </c>
      <c r="F1008" t="n" s="3">
        <v>68</v>
      </c>
      <c r="G1008" t="str" s="3">
        <v>传送</v>
      </c>
      <c r="H1008" t="n" s="3">
        <v>1</v>
      </c>
      <c r="I1008" t="n" s="3">
        <v>0</v>
      </c>
      <c r="J1008" t="n" s="3">
        <v>1</v>
      </c>
      <c r="K1008" t="n" s="3">
        <v>0</v>
      </c>
      <c r="L1008" t="n" s="3">
        <v>1</v>
      </c>
      <c r="M1008" t="n" s="3">
        <v>0</v>
      </c>
      <c r="N1008" s="3"/>
      <c r="O1008" s="3"/>
      <c r="P1008" s="3"/>
      <c r="Q1008" s="3"/>
      <c r="R1008" t="n" s="3">
        <v>0</v>
      </c>
      <c r="S1008" s="17"/>
      <c r="T1008" s="18"/>
      <c r="U1008"/>
      <c r="V1008"/>
      <c r="W1008"/>
      <c r="X1008"/>
      <c r="Y1008"/>
      <c r="Z1008"/>
      <c r="AA1008"/>
    </row>
    <row r="1009">
      <c r="A1009" s="35"/>
      <c r="B1009" t="n" s="17">
        <v>70681002</v>
      </c>
      <c r="C1009" t="str" s="37">
        <v>垂水衣-传送2</v>
      </c>
      <c r="D1009" t="str" s="3">
        <v>新补R02；边界待实际地编注入，未假造坐标</v>
      </c>
      <c r="E1009" t="str" s="3">
        <v>68_传送_2</v>
      </c>
      <c r="F1009" t="n" s="3">
        <v>68</v>
      </c>
      <c r="G1009" t="str" s="3">
        <v>传送</v>
      </c>
      <c r="H1009" t="n" s="3">
        <v>1</v>
      </c>
      <c r="I1009" t="n" s="3">
        <v>0</v>
      </c>
      <c r="J1009" t="n" s="3">
        <v>2</v>
      </c>
      <c r="K1009" t="n" s="3">
        <v>0</v>
      </c>
      <c r="L1009" t="n" s="3">
        <v>0</v>
      </c>
      <c r="M1009" t="n" s="3">
        <v>0</v>
      </c>
      <c r="N1009" s="3"/>
      <c r="O1009" s="3"/>
      <c r="P1009" s="3"/>
      <c r="Q1009" s="3"/>
      <c r="R1009" t="n" s="3">
        <v>0</v>
      </c>
      <c r="S1009" s="17"/>
      <c r="T1009" s="18"/>
      <c r="U1009"/>
      <c r="V1009"/>
      <c r="W1009"/>
      <c r="X1009"/>
      <c r="Y1009"/>
      <c r="Z1009"/>
      <c r="AA1009"/>
    </row>
    <row r="1010">
      <c r="A1010" s="35"/>
      <c r="B1010" t="n" s="17">
        <v>70682001</v>
      </c>
      <c r="C1010" t="str" s="37">
        <v>垂水衣-小地图1</v>
      </c>
      <c r="D1010" t="str" s="3">
        <v>新补R02；边界待实际地编注入，未假造坐标</v>
      </c>
      <c r="E1010" t="str" s="3">
        <v>68_小地图_1</v>
      </c>
      <c r="F1010" t="n" s="3">
        <v>68</v>
      </c>
      <c r="G1010" t="str" s="3">
        <v>小地图</v>
      </c>
      <c r="H1010" t="n" s="3">
        <v>2</v>
      </c>
      <c r="I1010" t="n" s="3">
        <v>0</v>
      </c>
      <c r="J1010" t="n" s="3">
        <v>1</v>
      </c>
      <c r="K1010" t="n" s="3">
        <v>0</v>
      </c>
      <c r="L1010" t="n" s="3">
        <v>0</v>
      </c>
      <c r="M1010" t="n" s="3">
        <v>1</v>
      </c>
      <c r="N1010" s="3"/>
      <c r="O1010" s="3"/>
      <c r="P1010" s="3"/>
      <c r="Q1010" s="3"/>
      <c r="R1010" t="n" s="3">
        <v>0</v>
      </c>
      <c r="S1010" s="17"/>
      <c r="T1010" s="18"/>
      <c r="U1010"/>
      <c r="V1010"/>
      <c r="W1010"/>
      <c r="X1010"/>
      <c r="Y1010"/>
      <c r="Z1010"/>
      <c r="AA1010"/>
    </row>
    <row r="1011">
      <c r="A1011" s="35"/>
      <c r="B1011" t="n" s="17">
        <v>70686001</v>
      </c>
      <c r="C1011" t="str" s="37">
        <v>垂水衣-NPC1</v>
      </c>
      <c r="D1011" t="str" s="3">
        <v>新补R02；边界待实际地编注入，未假造坐标</v>
      </c>
      <c r="E1011" t="str" s="3">
        <v>68_NPC_1</v>
      </c>
      <c r="F1011" t="n" s="3">
        <v>68</v>
      </c>
      <c r="G1011" t="str" s="3">
        <v>NPC</v>
      </c>
      <c r="H1011" t="n" s="3">
        <v>6</v>
      </c>
      <c r="I1011" t="n" s="3">
        <v>0</v>
      </c>
      <c r="J1011" t="n" s="3">
        <v>1</v>
      </c>
      <c r="K1011" t="n" s="3">
        <v>0</v>
      </c>
      <c r="L1011" t="n" s="3">
        <v>0</v>
      </c>
      <c r="M1011" t="n" s="3">
        <v>0</v>
      </c>
      <c r="N1011" s="3"/>
      <c r="O1011" s="3"/>
      <c r="P1011" s="3"/>
      <c r="Q1011" s="3"/>
      <c r="R1011" t="n" s="3">
        <v>0</v>
      </c>
      <c r="S1011" s="17"/>
      <c r="T1011" s="18"/>
      <c r="U1011"/>
      <c r="V1011"/>
      <c r="W1011"/>
      <c r="X1011"/>
      <c r="Y1011"/>
      <c r="Z1011"/>
      <c r="AA1011"/>
    </row>
    <row r="1012">
      <c r="A1012" s="35"/>
      <c r="B1012" t="n" s="17">
        <v>70684001</v>
      </c>
      <c r="C1012" t="str" s="37">
        <v>垂水衣-特效1</v>
      </c>
      <c r="D1012" t="str" s="3">
        <v>新补R02；边界待实际地编注入，未假造坐标</v>
      </c>
      <c r="E1012" t="str" s="3">
        <v>68_特效_1</v>
      </c>
      <c r="F1012" t="n" s="3">
        <v>68</v>
      </c>
      <c r="G1012" t="str" s="3">
        <v>特效</v>
      </c>
      <c r="H1012" t="n" s="3">
        <v>4</v>
      </c>
      <c r="I1012" t="n" s="3">
        <v>0</v>
      </c>
      <c r="J1012" t="n" s="3">
        <v>1</v>
      </c>
      <c r="K1012" t="n" s="3">
        <v>0</v>
      </c>
      <c r="L1012" t="n" s="3">
        <v>0</v>
      </c>
      <c r="M1012" t="n" s="3">
        <v>0</v>
      </c>
      <c r="N1012" s="3"/>
      <c r="O1012" s="3"/>
      <c r="P1012" s="3"/>
      <c r="Q1012" s="3"/>
      <c r="R1012" t="n" s="3">
        <v>0</v>
      </c>
      <c r="S1012" s="17"/>
      <c r="T1012" s="18"/>
      <c r="U1012"/>
      <c r="V1012"/>
      <c r="W1012"/>
      <c r="X1012"/>
      <c r="Y1012"/>
      <c r="Z1012"/>
      <c r="AA1012"/>
    </row>
    <row r="1013">
      <c r="A1013" s="35"/>
      <c r="B1013" t="n" s="17">
        <v>70695101</v>
      </c>
      <c r="C1013" t="str" s="37">
        <v>余光蕨-怪物1</v>
      </c>
      <c r="D1013" t="str" s="3">
        <v>新补R02；边界待实际地编注入，未假造坐标</v>
      </c>
      <c r="E1013" t="str" s="3">
        <v>69_怪物_1</v>
      </c>
      <c r="F1013" t="n" s="3">
        <v>69</v>
      </c>
      <c r="G1013" t="str" s="3">
        <v>怪物</v>
      </c>
      <c r="H1013" t="n" s="3">
        <v>5</v>
      </c>
      <c r="I1013" t="n" s="3">
        <v>1</v>
      </c>
      <c r="J1013" t="n" s="3">
        <v>1</v>
      </c>
      <c r="K1013" t="n" s="3">
        <v>0</v>
      </c>
      <c r="L1013" t="n" s="3">
        <v>0</v>
      </c>
      <c r="M1013" t="n" s="3">
        <v>0</v>
      </c>
      <c r="N1013" s="3"/>
      <c r="O1013" s="3"/>
      <c r="P1013" s="3"/>
      <c r="Q1013" s="3"/>
      <c r="R1013" t="n" s="3">
        <v>0</v>
      </c>
      <c r="S1013" t="str" s="17">
        <v>本轮完整刷新挂接；有效坐标注入后验证</v>
      </c>
      <c r="T1013" t="n" s="18">
        <v>1900219</v>
      </c>
      <c r="U1013"/>
      <c r="V1013"/>
      <c r="W1013"/>
      <c r="X1013"/>
      <c r="Y1013"/>
      <c r="Z1013"/>
      <c r="AA1013"/>
    </row>
    <row r="1014">
      <c r="A1014" s="35"/>
      <c r="B1014" t="n" s="17">
        <v>70695102</v>
      </c>
      <c r="C1014" t="str" s="37">
        <v>余光蕨-怪物2</v>
      </c>
      <c r="D1014" t="str" s="3">
        <v>新补R02；边界待实际地编注入，未假造坐标</v>
      </c>
      <c r="E1014" t="str" s="3">
        <v>69_怪物_2</v>
      </c>
      <c r="F1014" t="n" s="3">
        <v>69</v>
      </c>
      <c r="G1014" t="str" s="3">
        <v>怪物</v>
      </c>
      <c r="H1014" t="n" s="3">
        <v>5</v>
      </c>
      <c r="I1014" t="n" s="3">
        <v>1</v>
      </c>
      <c r="J1014" t="n" s="3">
        <v>2</v>
      </c>
      <c r="K1014" t="n" s="3">
        <v>0</v>
      </c>
      <c r="L1014" t="n" s="3">
        <v>0</v>
      </c>
      <c r="M1014" t="n" s="3">
        <v>0</v>
      </c>
      <c r="N1014" s="3"/>
      <c r="O1014" s="3"/>
      <c r="P1014" s="3"/>
      <c r="Q1014" s="3"/>
      <c r="R1014" t="n" s="3">
        <v>0</v>
      </c>
      <c r="S1014" t="str" s="17">
        <v>本轮完整刷新挂接；有效坐标注入后验证</v>
      </c>
      <c r="T1014" t="n" s="18">
        <v>1900220</v>
      </c>
      <c r="U1014"/>
      <c r="V1014"/>
      <c r="W1014"/>
      <c r="X1014"/>
      <c r="Y1014"/>
      <c r="Z1014"/>
      <c r="AA1014"/>
    </row>
    <row r="1015">
      <c r="A1015" s="35"/>
      <c r="B1015" t="n" s="17">
        <v>70695103</v>
      </c>
      <c r="C1015" t="str" s="37">
        <v>余光蕨-怪物3</v>
      </c>
      <c r="D1015" t="str" s="3">
        <v>新补R02；边界待实际地编注入，未假造坐标</v>
      </c>
      <c r="E1015" t="str" s="3">
        <v>69_怪物_3</v>
      </c>
      <c r="F1015" t="n" s="3">
        <v>69</v>
      </c>
      <c r="G1015" t="str" s="3">
        <v>怪物</v>
      </c>
      <c r="H1015" t="n" s="3">
        <v>5</v>
      </c>
      <c r="I1015" t="n" s="3">
        <v>1</v>
      </c>
      <c r="J1015" t="n" s="3">
        <v>3</v>
      </c>
      <c r="K1015" t="n" s="3">
        <v>0</v>
      </c>
      <c r="L1015" t="n" s="3">
        <v>0</v>
      </c>
      <c r="M1015" t="n" s="3">
        <v>0</v>
      </c>
      <c r="N1015" s="3"/>
      <c r="O1015" s="3"/>
      <c r="P1015" s="3"/>
      <c r="Q1015" s="3"/>
      <c r="R1015" t="n" s="3">
        <v>0</v>
      </c>
      <c r="S1015" t="str" s="17">
        <v>本轮完整刷新挂接；有效坐标注入后验证</v>
      </c>
      <c r="T1015" t="n" s="18">
        <v>1900221</v>
      </c>
      <c r="U1015"/>
      <c r="V1015"/>
      <c r="W1015"/>
      <c r="X1015"/>
      <c r="Y1015"/>
      <c r="Z1015"/>
      <c r="AA1015"/>
    </row>
    <row r="1016">
      <c r="A1016" s="35"/>
      <c r="B1016" t="n" s="17">
        <v>70695104</v>
      </c>
      <c r="C1016" t="str" s="37">
        <v>余光蕨-怪物4</v>
      </c>
      <c r="D1016" t="str" s="3">
        <v>新补R02；边界待实际地编注入，未假造坐标</v>
      </c>
      <c r="E1016" t="str" s="3">
        <v>69_怪物_4</v>
      </c>
      <c r="F1016" t="n" s="3">
        <v>69</v>
      </c>
      <c r="G1016" t="str" s="3">
        <v>怪物</v>
      </c>
      <c r="H1016" t="n" s="3">
        <v>5</v>
      </c>
      <c r="I1016" t="n" s="3">
        <v>1</v>
      </c>
      <c r="J1016" t="n" s="3">
        <v>4</v>
      </c>
      <c r="K1016" t="n" s="3">
        <v>0</v>
      </c>
      <c r="L1016" t="n" s="3">
        <v>0</v>
      </c>
      <c r="M1016" t="n" s="3">
        <v>0</v>
      </c>
      <c r="N1016" s="3"/>
      <c r="O1016" s="3"/>
      <c r="P1016" s="3"/>
      <c r="Q1016" s="3"/>
      <c r="R1016" t="n" s="3">
        <v>0</v>
      </c>
      <c r="S1016" s="17"/>
      <c r="T1016" s="18"/>
      <c r="U1016"/>
      <c r="V1016"/>
      <c r="W1016"/>
      <c r="X1016"/>
      <c r="Y1016"/>
      <c r="Z1016"/>
      <c r="AA1016"/>
    </row>
    <row r="1017">
      <c r="A1017" s="35"/>
      <c r="B1017" t="n" s="17">
        <v>70695105</v>
      </c>
      <c r="C1017" t="str" s="37">
        <v>余光蕨-怪物5</v>
      </c>
      <c r="D1017" t="str" s="3">
        <v>新补R02；边界待实际地编注入，未假造坐标</v>
      </c>
      <c r="E1017" t="str" s="3">
        <v>69_怪物_5</v>
      </c>
      <c r="F1017" t="n" s="3">
        <v>69</v>
      </c>
      <c r="G1017" t="str" s="3">
        <v>怪物</v>
      </c>
      <c r="H1017" t="n" s="3">
        <v>5</v>
      </c>
      <c r="I1017" t="n" s="3">
        <v>1</v>
      </c>
      <c r="J1017" t="n" s="3">
        <v>5</v>
      </c>
      <c r="K1017" t="n" s="3">
        <v>0</v>
      </c>
      <c r="L1017" t="n" s="3">
        <v>0</v>
      </c>
      <c r="M1017" t="n" s="3">
        <v>0</v>
      </c>
      <c r="N1017" s="3"/>
      <c r="O1017" s="3"/>
      <c r="P1017" s="3"/>
      <c r="Q1017" s="3"/>
      <c r="R1017" t="n" s="3">
        <v>0</v>
      </c>
      <c r="S1017" s="17"/>
      <c r="T1017" s="18"/>
      <c r="U1017"/>
      <c r="V1017"/>
      <c r="W1017"/>
      <c r="X1017"/>
      <c r="Y1017"/>
      <c r="Z1017"/>
      <c r="AA1017"/>
    </row>
    <row r="1018">
      <c r="A1018" s="35"/>
      <c r="B1018" t="n" s="17">
        <v>70695106</v>
      </c>
      <c r="C1018" t="str" s="37">
        <v>余光蕨-怪物6</v>
      </c>
      <c r="D1018" t="str" s="3">
        <v>新补R02；边界待实际地编注入，未假造坐标</v>
      </c>
      <c r="E1018" t="str" s="3">
        <v>69_怪物_6</v>
      </c>
      <c r="F1018" t="n" s="3">
        <v>69</v>
      </c>
      <c r="G1018" t="str" s="3">
        <v>怪物</v>
      </c>
      <c r="H1018" t="n" s="3">
        <v>5</v>
      </c>
      <c r="I1018" t="n" s="3">
        <v>1</v>
      </c>
      <c r="J1018" t="n" s="3">
        <v>6</v>
      </c>
      <c r="K1018" t="n" s="3">
        <v>0</v>
      </c>
      <c r="L1018" t="n" s="3">
        <v>0</v>
      </c>
      <c r="M1018" t="n" s="3">
        <v>0</v>
      </c>
      <c r="N1018" s="3"/>
      <c r="O1018" s="3"/>
      <c r="P1018" s="3"/>
      <c r="Q1018" s="3"/>
      <c r="R1018" t="n" s="3">
        <v>0</v>
      </c>
      <c r="S1018" s="17"/>
      <c r="T1018" s="18"/>
      <c r="U1018"/>
      <c r="V1018"/>
      <c r="W1018"/>
      <c r="X1018"/>
      <c r="Y1018"/>
      <c r="Z1018"/>
      <c r="AA1018"/>
    </row>
    <row r="1019">
      <c r="A1019" s="35"/>
      <c r="B1019" t="n" s="17">
        <v>70695001</v>
      </c>
      <c r="C1019" t="str" s="37">
        <v>余光蕨-镜头1</v>
      </c>
      <c r="D1019" t="str" s="3">
        <v>新补R02；边界待实际地编注入，未假造坐标</v>
      </c>
      <c r="E1019" t="str" s="3">
        <v>69_镜头_1</v>
      </c>
      <c r="F1019" t="n" s="3">
        <v>69</v>
      </c>
      <c r="G1019" t="str" s="3">
        <v>镜头</v>
      </c>
      <c r="H1019" t="n" s="3">
        <v>5</v>
      </c>
      <c r="I1019" t="n" s="3">
        <v>0</v>
      </c>
      <c r="J1019" t="n" s="3">
        <v>1</v>
      </c>
      <c r="K1019" t="n" s="3">
        <v>1</v>
      </c>
      <c r="L1019" t="n" s="3">
        <v>0</v>
      </c>
      <c r="M1019" t="n" s="3">
        <v>0</v>
      </c>
      <c r="N1019" s="3"/>
      <c r="O1019" s="3"/>
      <c r="P1019" s="3"/>
      <c r="Q1019" s="3"/>
      <c r="R1019" t="n" s="3">
        <v>0</v>
      </c>
      <c r="S1019" s="17"/>
      <c r="T1019" s="18"/>
      <c r="U1019"/>
      <c r="V1019"/>
      <c r="W1019"/>
      <c r="X1019"/>
      <c r="Y1019"/>
      <c r="Z1019"/>
      <c r="AA1019"/>
    </row>
    <row r="1020">
      <c r="A1020" s="35"/>
      <c r="B1020" t="n" s="17">
        <v>70691001</v>
      </c>
      <c r="C1020" t="str" s="37">
        <v>余光蕨-传送1</v>
      </c>
      <c r="D1020" t="str" s="3">
        <v>新补R02；边界待实际地编注入，未假造坐标</v>
      </c>
      <c r="E1020" t="str" s="3">
        <v>69_传送_1</v>
      </c>
      <c r="F1020" t="n" s="3">
        <v>69</v>
      </c>
      <c r="G1020" t="str" s="3">
        <v>传送</v>
      </c>
      <c r="H1020" t="n" s="3">
        <v>1</v>
      </c>
      <c r="I1020" t="n" s="3">
        <v>0</v>
      </c>
      <c r="J1020" t="n" s="3">
        <v>1</v>
      </c>
      <c r="K1020" t="n" s="3">
        <v>0</v>
      </c>
      <c r="L1020" t="n" s="3">
        <v>1</v>
      </c>
      <c r="M1020" t="n" s="3">
        <v>0</v>
      </c>
      <c r="N1020" s="3"/>
      <c r="O1020" s="3"/>
      <c r="P1020" s="3"/>
      <c r="Q1020" s="3"/>
      <c r="R1020" t="n" s="3">
        <v>0</v>
      </c>
      <c r="S1020" s="17"/>
      <c r="T1020" s="18"/>
      <c r="U1020"/>
      <c r="V1020"/>
      <c r="W1020"/>
      <c r="X1020"/>
      <c r="Y1020"/>
      <c r="Z1020"/>
      <c r="AA1020"/>
    </row>
    <row r="1021">
      <c r="A1021" s="35"/>
      <c r="B1021" t="n" s="17">
        <v>70691002</v>
      </c>
      <c r="C1021" t="str" s="37">
        <v>余光蕨-传送2</v>
      </c>
      <c r="D1021" t="str" s="3">
        <v>新补R02；边界待实际地编注入，未假造坐标</v>
      </c>
      <c r="E1021" t="str" s="3">
        <v>69_传送_2</v>
      </c>
      <c r="F1021" t="n" s="3">
        <v>69</v>
      </c>
      <c r="G1021" t="str" s="3">
        <v>传送</v>
      </c>
      <c r="H1021" t="n" s="3">
        <v>1</v>
      </c>
      <c r="I1021" t="n" s="3">
        <v>0</v>
      </c>
      <c r="J1021" t="n" s="3">
        <v>2</v>
      </c>
      <c r="K1021" t="n" s="3">
        <v>0</v>
      </c>
      <c r="L1021" t="n" s="3">
        <v>0</v>
      </c>
      <c r="M1021" t="n" s="3">
        <v>0</v>
      </c>
      <c r="N1021" s="3"/>
      <c r="O1021" s="3"/>
      <c r="P1021" s="3"/>
      <c r="Q1021" s="3"/>
      <c r="R1021" t="n" s="3">
        <v>0</v>
      </c>
      <c r="S1021" s="17"/>
      <c r="T1021" s="18"/>
      <c r="U1021"/>
      <c r="V1021"/>
      <c r="W1021"/>
      <c r="X1021"/>
      <c r="Y1021"/>
      <c r="Z1021"/>
      <c r="AA1021"/>
    </row>
    <row r="1022">
      <c r="A1022" s="35"/>
      <c r="B1022" t="n" s="17">
        <v>70692001</v>
      </c>
      <c r="C1022" t="str" s="37">
        <v>余光蕨-小地图1</v>
      </c>
      <c r="D1022" t="str" s="3">
        <v>新补R02；边界待实际地编注入，未假造坐标</v>
      </c>
      <c r="E1022" t="str" s="3">
        <v>69_小地图_1</v>
      </c>
      <c r="F1022" t="n" s="3">
        <v>69</v>
      </c>
      <c r="G1022" t="str" s="3">
        <v>小地图</v>
      </c>
      <c r="H1022" t="n" s="3">
        <v>2</v>
      </c>
      <c r="I1022" t="n" s="3">
        <v>0</v>
      </c>
      <c r="J1022" t="n" s="3">
        <v>1</v>
      </c>
      <c r="K1022" t="n" s="3">
        <v>0</v>
      </c>
      <c r="L1022" t="n" s="3">
        <v>0</v>
      </c>
      <c r="M1022" t="n" s="3">
        <v>1</v>
      </c>
      <c r="N1022" s="3"/>
      <c r="O1022" s="3"/>
      <c r="P1022" s="3"/>
      <c r="Q1022" s="3"/>
      <c r="R1022" t="n" s="3">
        <v>0</v>
      </c>
      <c r="S1022" s="17"/>
      <c r="T1022" s="18"/>
      <c r="U1022"/>
      <c r="V1022"/>
      <c r="W1022"/>
      <c r="X1022"/>
      <c r="Y1022"/>
      <c r="Z1022"/>
      <c r="AA1022"/>
    </row>
    <row r="1023">
      <c r="A1023" s="35"/>
      <c r="B1023" t="n" s="17">
        <v>70696001</v>
      </c>
      <c r="C1023" t="str" s="37">
        <v>余光蕨-NPC1</v>
      </c>
      <c r="D1023" t="str" s="3">
        <v>新补R02；边界待实际地编注入，未假造坐标</v>
      </c>
      <c r="E1023" t="str" s="3">
        <v>69_NPC_1</v>
      </c>
      <c r="F1023" t="n" s="3">
        <v>69</v>
      </c>
      <c r="G1023" t="str" s="3">
        <v>NPC</v>
      </c>
      <c r="H1023" t="n" s="3">
        <v>6</v>
      </c>
      <c r="I1023" t="n" s="3">
        <v>0</v>
      </c>
      <c r="J1023" t="n" s="3">
        <v>1</v>
      </c>
      <c r="K1023" t="n" s="3">
        <v>0</v>
      </c>
      <c r="L1023" t="n" s="3">
        <v>0</v>
      </c>
      <c r="M1023" t="n" s="3">
        <v>0</v>
      </c>
      <c r="N1023" s="3"/>
      <c r="O1023" s="3"/>
      <c r="P1023" s="3"/>
      <c r="Q1023" s="3"/>
      <c r="R1023" t="n" s="3">
        <v>0</v>
      </c>
      <c r="S1023" s="17"/>
      <c r="T1023" s="18"/>
      <c r="U1023"/>
      <c r="V1023"/>
      <c r="W1023"/>
      <c r="X1023"/>
      <c r="Y1023"/>
      <c r="Z1023"/>
      <c r="AA1023"/>
    </row>
    <row r="1024">
      <c r="A1024" s="35"/>
      <c r="B1024" t="n" s="17">
        <v>70694001</v>
      </c>
      <c r="C1024" t="str" s="37">
        <v>余光蕨-特效1</v>
      </c>
      <c r="D1024" t="str" s="3">
        <v>新补R02；边界待实际地编注入，未假造坐标</v>
      </c>
      <c r="E1024" t="str" s="3">
        <v>69_特效_1</v>
      </c>
      <c r="F1024" t="n" s="3">
        <v>69</v>
      </c>
      <c r="G1024" t="str" s="3">
        <v>特效</v>
      </c>
      <c r="H1024" t="n" s="3">
        <v>4</v>
      </c>
      <c r="I1024" t="n" s="3">
        <v>0</v>
      </c>
      <c r="J1024" t="n" s="3">
        <v>1</v>
      </c>
      <c r="K1024" t="n" s="3">
        <v>0</v>
      </c>
      <c r="L1024" t="n" s="3">
        <v>0</v>
      </c>
      <c r="M1024" t="n" s="3">
        <v>0</v>
      </c>
      <c r="N1024" s="3"/>
      <c r="O1024" s="3"/>
      <c r="P1024" s="3"/>
      <c r="Q1024" s="3"/>
      <c r="R1024" t="n" s="3">
        <v>0</v>
      </c>
      <c r="S1024" s="17"/>
      <c r="T1024" s="18"/>
      <c r="U1024"/>
      <c r="V1024"/>
      <c r="W1024"/>
      <c r="X1024"/>
      <c r="Y1024"/>
      <c r="Z1024"/>
      <c r="AA1024"/>
    </row>
    <row r="1025">
      <c r="A1025" s="35"/>
      <c r="B1025" t="n" s="17">
        <v>70705101</v>
      </c>
      <c r="C1025" t="str" s="37">
        <v>掩流口-怪物1</v>
      </c>
      <c r="D1025" t="str" s="3">
        <v>新补R02；边界待实际地编注入，未假造坐标</v>
      </c>
      <c r="E1025" t="str" s="3">
        <v>70_怪物_1</v>
      </c>
      <c r="F1025" t="n" s="3">
        <v>70</v>
      </c>
      <c r="G1025" t="str" s="3">
        <v>怪物</v>
      </c>
      <c r="H1025" t="n" s="3">
        <v>5</v>
      </c>
      <c r="I1025" t="n" s="3">
        <v>1</v>
      </c>
      <c r="J1025" t="n" s="3">
        <v>1</v>
      </c>
      <c r="K1025" t="n" s="3">
        <v>0</v>
      </c>
      <c r="L1025" t="n" s="3">
        <v>0</v>
      </c>
      <c r="M1025" t="n" s="3">
        <v>0</v>
      </c>
      <c r="N1025" s="3"/>
      <c r="O1025" s="3"/>
      <c r="P1025" s="3"/>
      <c r="Q1025" s="3"/>
      <c r="R1025" t="n" s="3">
        <v>0</v>
      </c>
      <c r="S1025" t="str" s="17">
        <v>本轮完整刷新挂接；有效坐标注入后验证</v>
      </c>
      <c r="T1025" t="n" s="18">
        <v>1900222</v>
      </c>
      <c r="U1025"/>
      <c r="V1025"/>
      <c r="W1025"/>
      <c r="X1025"/>
      <c r="Y1025"/>
      <c r="Z1025"/>
      <c r="AA1025"/>
    </row>
    <row r="1026">
      <c r="A1026" s="35"/>
      <c r="B1026" t="n" s="17">
        <v>70705102</v>
      </c>
      <c r="C1026" t="str" s="37">
        <v>掩流口-怪物2</v>
      </c>
      <c r="D1026" t="str" s="3">
        <v>新补R02；边界待实际地编注入，未假造坐标</v>
      </c>
      <c r="E1026" t="str" s="3">
        <v>70_怪物_2</v>
      </c>
      <c r="F1026" t="n" s="3">
        <v>70</v>
      </c>
      <c r="G1026" t="str" s="3">
        <v>怪物</v>
      </c>
      <c r="H1026" t="n" s="3">
        <v>5</v>
      </c>
      <c r="I1026" t="n" s="3">
        <v>1</v>
      </c>
      <c r="J1026" t="n" s="3">
        <v>2</v>
      </c>
      <c r="K1026" t="n" s="3">
        <v>0</v>
      </c>
      <c r="L1026" t="n" s="3">
        <v>0</v>
      </c>
      <c r="M1026" t="n" s="3">
        <v>0</v>
      </c>
      <c r="N1026" s="3"/>
      <c r="O1026" s="3"/>
      <c r="P1026" s="3"/>
      <c r="Q1026" s="3"/>
      <c r="R1026" t="n" s="3">
        <v>0</v>
      </c>
      <c r="S1026" t="str" s="17">
        <v>本轮完整刷新挂接；有效坐标注入后验证</v>
      </c>
      <c r="T1026" t="n" s="18">
        <v>1900223</v>
      </c>
      <c r="U1026"/>
      <c r="V1026"/>
      <c r="W1026"/>
      <c r="X1026"/>
      <c r="Y1026"/>
      <c r="Z1026"/>
      <c r="AA1026"/>
    </row>
    <row r="1027">
      <c r="A1027" s="35"/>
      <c r="B1027" t="n" s="17">
        <v>70705103</v>
      </c>
      <c r="C1027" t="str" s="37">
        <v>掩流口-怪物3</v>
      </c>
      <c r="D1027" t="str" s="3">
        <v>新补R02；边界待实际地编注入，未假造坐标</v>
      </c>
      <c r="E1027" t="str" s="3">
        <v>70_怪物_3</v>
      </c>
      <c r="F1027" t="n" s="3">
        <v>70</v>
      </c>
      <c r="G1027" t="str" s="3">
        <v>怪物</v>
      </c>
      <c r="H1027" t="n" s="3">
        <v>5</v>
      </c>
      <c r="I1027" t="n" s="3">
        <v>1</v>
      </c>
      <c r="J1027" t="n" s="3">
        <v>3</v>
      </c>
      <c r="K1027" t="n" s="3">
        <v>0</v>
      </c>
      <c r="L1027" t="n" s="3">
        <v>0</v>
      </c>
      <c r="M1027" t="n" s="3">
        <v>0</v>
      </c>
      <c r="N1027" s="3"/>
      <c r="O1027" s="3"/>
      <c r="P1027" s="3"/>
      <c r="Q1027" s="3"/>
      <c r="R1027" t="n" s="3">
        <v>0</v>
      </c>
      <c r="S1027" t="str" s="17">
        <v>本轮完整刷新挂接；有效坐标注入后验证</v>
      </c>
      <c r="T1027" t="n" s="18">
        <v>1900224</v>
      </c>
      <c r="U1027"/>
      <c r="V1027"/>
      <c r="W1027"/>
      <c r="X1027"/>
      <c r="Y1027"/>
      <c r="Z1027"/>
      <c r="AA1027"/>
    </row>
    <row r="1028">
      <c r="A1028" s="35"/>
      <c r="B1028" t="n" s="17">
        <v>70705104</v>
      </c>
      <c r="C1028" t="str" s="37">
        <v>掩流口-怪物4</v>
      </c>
      <c r="D1028" t="str" s="3">
        <v>新补R02；边界待实际地编注入，未假造坐标</v>
      </c>
      <c r="E1028" t="str" s="3">
        <v>70_怪物_4</v>
      </c>
      <c r="F1028" t="n" s="3">
        <v>70</v>
      </c>
      <c r="G1028" t="str" s="3">
        <v>怪物</v>
      </c>
      <c r="H1028" t="n" s="3">
        <v>5</v>
      </c>
      <c r="I1028" t="n" s="3">
        <v>1</v>
      </c>
      <c r="J1028" t="n" s="3">
        <v>4</v>
      </c>
      <c r="K1028" t="n" s="3">
        <v>0</v>
      </c>
      <c r="L1028" t="n" s="3">
        <v>0</v>
      </c>
      <c r="M1028" t="n" s="3">
        <v>0</v>
      </c>
      <c r="N1028" s="3"/>
      <c r="O1028" s="3"/>
      <c r="P1028" s="3"/>
      <c r="Q1028" s="3"/>
      <c r="R1028" t="n" s="3">
        <v>0</v>
      </c>
      <c r="S1028" t="str" s="17">
        <v>本轮完整刷新挂接；有效坐标注入后验证</v>
      </c>
      <c r="T1028" t="n" s="18">
        <v>1900225</v>
      </c>
      <c r="U1028"/>
      <c r="V1028"/>
      <c r="W1028"/>
      <c r="X1028"/>
      <c r="Y1028"/>
      <c r="Z1028"/>
      <c r="AA1028"/>
    </row>
    <row r="1029">
      <c r="A1029" s="35"/>
      <c r="B1029" t="n" s="17">
        <v>70705105</v>
      </c>
      <c r="C1029" t="str" s="37">
        <v>掩流口-怪物5</v>
      </c>
      <c r="D1029" t="str" s="3">
        <v>新补R02；边界待实际地编注入，未假造坐标</v>
      </c>
      <c r="E1029" t="str" s="3">
        <v>70_怪物_5</v>
      </c>
      <c r="F1029" t="n" s="3">
        <v>70</v>
      </c>
      <c r="G1029" t="str" s="3">
        <v>怪物</v>
      </c>
      <c r="H1029" t="n" s="3">
        <v>5</v>
      </c>
      <c r="I1029" t="n" s="3">
        <v>1</v>
      </c>
      <c r="J1029" t="n" s="3">
        <v>5</v>
      </c>
      <c r="K1029" t="n" s="3">
        <v>0</v>
      </c>
      <c r="L1029" t="n" s="3">
        <v>0</v>
      </c>
      <c r="M1029" t="n" s="3">
        <v>0</v>
      </c>
      <c r="N1029" s="3"/>
      <c r="O1029" s="3"/>
      <c r="P1029" s="3"/>
      <c r="Q1029" s="3"/>
      <c r="R1029" t="n" s="3">
        <v>0</v>
      </c>
      <c r="S1029" s="17"/>
      <c r="T1029" s="18"/>
      <c r="U1029"/>
      <c r="V1029"/>
      <c r="W1029"/>
      <c r="X1029"/>
      <c r="Y1029"/>
      <c r="Z1029"/>
      <c r="AA1029"/>
    </row>
    <row r="1030">
      <c r="A1030" s="35"/>
      <c r="B1030" t="n" s="17">
        <v>70705106</v>
      </c>
      <c r="C1030" t="str" s="37">
        <v>掩流口-怪物6</v>
      </c>
      <c r="D1030" t="str" s="3">
        <v>新补R02；边界待实际地编注入，未假造坐标</v>
      </c>
      <c r="E1030" t="str" s="3">
        <v>70_怪物_6</v>
      </c>
      <c r="F1030" t="n" s="3">
        <v>70</v>
      </c>
      <c r="G1030" t="str" s="3">
        <v>怪物</v>
      </c>
      <c r="H1030" t="n" s="3">
        <v>5</v>
      </c>
      <c r="I1030" t="n" s="3">
        <v>1</v>
      </c>
      <c r="J1030" t="n" s="3">
        <v>6</v>
      </c>
      <c r="K1030" t="n" s="3">
        <v>0</v>
      </c>
      <c r="L1030" t="n" s="3">
        <v>0</v>
      </c>
      <c r="M1030" t="n" s="3">
        <v>0</v>
      </c>
      <c r="N1030" s="3"/>
      <c r="O1030" s="3"/>
      <c r="P1030" s="3"/>
      <c r="Q1030" s="3"/>
      <c r="R1030" t="n" s="3">
        <v>0</v>
      </c>
      <c r="S1030" s="17"/>
      <c r="T1030" s="18"/>
      <c r="U1030"/>
      <c r="V1030"/>
      <c r="W1030"/>
      <c r="X1030"/>
      <c r="Y1030"/>
      <c r="Z1030"/>
      <c r="AA1030"/>
    </row>
    <row r="1031">
      <c r="A1031" s="35"/>
      <c r="B1031" t="n" s="17">
        <v>70705001</v>
      </c>
      <c r="C1031" t="str" s="37">
        <v>掩流口-镜头1</v>
      </c>
      <c r="D1031" t="str" s="3">
        <v>新补R02；边界待实际地编注入，未假造坐标</v>
      </c>
      <c r="E1031" t="str" s="3">
        <v>70_镜头_1</v>
      </c>
      <c r="F1031" t="n" s="3">
        <v>70</v>
      </c>
      <c r="G1031" t="str" s="3">
        <v>镜头</v>
      </c>
      <c r="H1031" t="n" s="3">
        <v>5</v>
      </c>
      <c r="I1031" t="n" s="3">
        <v>0</v>
      </c>
      <c r="J1031" t="n" s="3">
        <v>1</v>
      </c>
      <c r="K1031" t="n" s="3">
        <v>1</v>
      </c>
      <c r="L1031" t="n" s="3">
        <v>0</v>
      </c>
      <c r="M1031" t="n" s="3">
        <v>0</v>
      </c>
      <c r="N1031" s="3"/>
      <c r="O1031" s="3"/>
      <c r="P1031" s="3"/>
      <c r="Q1031" s="3"/>
      <c r="R1031" t="n" s="3">
        <v>0</v>
      </c>
      <c r="S1031" s="17"/>
      <c r="T1031" s="18"/>
      <c r="U1031"/>
      <c r="V1031"/>
      <c r="W1031"/>
      <c r="X1031"/>
      <c r="Y1031"/>
      <c r="Z1031"/>
      <c r="AA1031"/>
    </row>
    <row r="1032">
      <c r="A1032" s="35"/>
      <c r="B1032" t="n" s="17">
        <v>70701001</v>
      </c>
      <c r="C1032" t="str" s="37">
        <v>掩流口-传送1</v>
      </c>
      <c r="D1032" t="str" s="3">
        <v>新补R02；边界待实际地编注入，未假造坐标</v>
      </c>
      <c r="E1032" t="str" s="3">
        <v>70_传送_1</v>
      </c>
      <c r="F1032" t="n" s="3">
        <v>70</v>
      </c>
      <c r="G1032" t="str" s="3">
        <v>传送</v>
      </c>
      <c r="H1032" t="n" s="3">
        <v>1</v>
      </c>
      <c r="I1032" t="n" s="3">
        <v>0</v>
      </c>
      <c r="J1032" t="n" s="3">
        <v>1</v>
      </c>
      <c r="K1032" t="n" s="3">
        <v>0</v>
      </c>
      <c r="L1032" t="n" s="3">
        <v>1</v>
      </c>
      <c r="M1032" t="n" s="3">
        <v>0</v>
      </c>
      <c r="N1032" s="3"/>
      <c r="O1032" s="3"/>
      <c r="P1032" s="3"/>
      <c r="Q1032" s="3"/>
      <c r="R1032" t="n" s="3">
        <v>0</v>
      </c>
      <c r="S1032" s="17"/>
      <c r="T1032" s="18"/>
      <c r="U1032"/>
      <c r="V1032"/>
      <c r="W1032"/>
      <c r="X1032"/>
      <c r="Y1032"/>
      <c r="Z1032"/>
      <c r="AA1032"/>
    </row>
    <row r="1033">
      <c r="A1033" s="35"/>
      <c r="B1033" t="n" s="17">
        <v>70701002</v>
      </c>
      <c r="C1033" t="str" s="37">
        <v>掩流口-传送2</v>
      </c>
      <c r="D1033" t="str" s="3">
        <v>新补R02；边界待实际地编注入，未假造坐标</v>
      </c>
      <c r="E1033" t="str" s="3">
        <v>70_传送_2</v>
      </c>
      <c r="F1033" t="n" s="3">
        <v>70</v>
      </c>
      <c r="G1033" t="str" s="3">
        <v>传送</v>
      </c>
      <c r="H1033" t="n" s="3">
        <v>1</v>
      </c>
      <c r="I1033" t="n" s="3">
        <v>0</v>
      </c>
      <c r="J1033" t="n" s="3">
        <v>2</v>
      </c>
      <c r="K1033" t="n" s="3">
        <v>0</v>
      </c>
      <c r="L1033" t="n" s="3">
        <v>0</v>
      </c>
      <c r="M1033" t="n" s="3">
        <v>0</v>
      </c>
      <c r="N1033" s="3"/>
      <c r="O1033" s="3"/>
      <c r="P1033" s="3"/>
      <c r="Q1033" s="3"/>
      <c r="R1033" t="n" s="3">
        <v>0</v>
      </c>
      <c r="S1033" s="17"/>
      <c r="T1033" s="18"/>
      <c r="U1033"/>
      <c r="V1033"/>
      <c r="W1033"/>
      <c r="X1033"/>
      <c r="Y1033"/>
      <c r="Z1033"/>
      <c r="AA1033"/>
    </row>
    <row r="1034">
      <c r="A1034" s="35"/>
      <c r="B1034" t="n" s="17">
        <v>70702001</v>
      </c>
      <c r="C1034" t="str" s="37">
        <v>掩流口-小地图1</v>
      </c>
      <c r="D1034" t="str" s="3">
        <v>新补R02；边界待实际地编注入，未假造坐标</v>
      </c>
      <c r="E1034" t="str" s="3">
        <v>70_小地图_1</v>
      </c>
      <c r="F1034" t="n" s="3">
        <v>70</v>
      </c>
      <c r="G1034" t="str" s="3">
        <v>小地图</v>
      </c>
      <c r="H1034" t="n" s="3">
        <v>2</v>
      </c>
      <c r="I1034" t="n" s="3">
        <v>0</v>
      </c>
      <c r="J1034" t="n" s="3">
        <v>1</v>
      </c>
      <c r="K1034" t="n" s="3">
        <v>0</v>
      </c>
      <c r="L1034" t="n" s="3">
        <v>0</v>
      </c>
      <c r="M1034" t="n" s="3">
        <v>1</v>
      </c>
      <c r="N1034" s="3"/>
      <c r="O1034" s="3"/>
      <c r="P1034" s="3"/>
      <c r="Q1034" s="3"/>
      <c r="R1034" t="n" s="3">
        <v>0</v>
      </c>
      <c r="S1034" s="17"/>
      <c r="T1034" s="18"/>
      <c r="U1034"/>
      <c r="V1034"/>
      <c r="W1034"/>
      <c r="X1034"/>
      <c r="Y1034"/>
      <c r="Z1034"/>
      <c r="AA1034"/>
    </row>
    <row r="1035">
      <c r="A1035" s="35"/>
      <c r="B1035" t="n" s="17">
        <v>70706001</v>
      </c>
      <c r="C1035" t="str" s="37">
        <v>掩流口-NPC1</v>
      </c>
      <c r="D1035" t="str" s="3">
        <v>新补R02；边界待实际地编注入，未假造坐标</v>
      </c>
      <c r="E1035" t="str" s="3">
        <v>70_NPC_1</v>
      </c>
      <c r="F1035" t="n" s="3">
        <v>70</v>
      </c>
      <c r="G1035" t="str" s="3">
        <v>NPC</v>
      </c>
      <c r="H1035" t="n" s="3">
        <v>6</v>
      </c>
      <c r="I1035" t="n" s="3">
        <v>0</v>
      </c>
      <c r="J1035" t="n" s="3">
        <v>1</v>
      </c>
      <c r="K1035" t="n" s="3">
        <v>0</v>
      </c>
      <c r="L1035" t="n" s="3">
        <v>0</v>
      </c>
      <c r="M1035" t="n" s="3">
        <v>0</v>
      </c>
      <c r="N1035" s="3"/>
      <c r="O1035" s="3"/>
      <c r="P1035" s="3"/>
      <c r="Q1035" s="3"/>
      <c r="R1035" t="n" s="3">
        <v>0</v>
      </c>
      <c r="S1035" s="17"/>
      <c r="T1035" s="18"/>
      <c r="U1035"/>
      <c r="V1035"/>
      <c r="W1035"/>
      <c r="X1035"/>
      <c r="Y1035"/>
      <c r="Z1035"/>
      <c r="AA1035"/>
    </row>
    <row r="1036">
      <c r="A1036" s="35"/>
      <c r="B1036" t="n" s="17">
        <v>70704001</v>
      </c>
      <c r="C1036" t="str" s="37">
        <v>掩流口-特效1</v>
      </c>
      <c r="D1036" t="str" s="3">
        <v>新补R02；边界待实际地编注入，未假造坐标</v>
      </c>
      <c r="E1036" t="str" s="3">
        <v>70_特效_1</v>
      </c>
      <c r="F1036" t="n" s="3">
        <v>70</v>
      </c>
      <c r="G1036" t="str" s="3">
        <v>特效</v>
      </c>
      <c r="H1036" t="n" s="3">
        <v>4</v>
      </c>
      <c r="I1036" t="n" s="3">
        <v>0</v>
      </c>
      <c r="J1036" t="n" s="3">
        <v>1</v>
      </c>
      <c r="K1036" t="n" s="3">
        <v>0</v>
      </c>
      <c r="L1036" t="n" s="3">
        <v>0</v>
      </c>
      <c r="M1036" t="n" s="3">
        <v>0</v>
      </c>
      <c r="N1036" s="3"/>
      <c r="O1036" s="3"/>
      <c r="P1036" s="3"/>
      <c r="Q1036" s="3"/>
      <c r="R1036" t="n" s="3">
        <v>0</v>
      </c>
      <c r="S1036" s="17"/>
      <c r="T1036" s="18"/>
      <c r="U1036"/>
      <c r="V1036"/>
      <c r="W1036"/>
      <c r="X1036"/>
      <c r="Y1036"/>
      <c r="Z1036"/>
      <c r="AA1036"/>
    </row>
    <row r="1037">
      <c r="A1037" s="35"/>
      <c r="B1037" t="n" s="17">
        <v>70715101</v>
      </c>
      <c r="C1037" t="str" s="37">
        <v>涔缝-怪物1</v>
      </c>
      <c r="D1037" t="str" s="3">
        <v>新补R02；边界待实际地编注入，未假造坐标</v>
      </c>
      <c r="E1037" t="str" s="3">
        <v>71_怪物_1</v>
      </c>
      <c r="F1037" t="n" s="3">
        <v>71</v>
      </c>
      <c r="G1037" t="str" s="3">
        <v>怪物</v>
      </c>
      <c r="H1037" t="n" s="3">
        <v>5</v>
      </c>
      <c r="I1037" t="n" s="3">
        <v>1</v>
      </c>
      <c r="J1037" t="n" s="3">
        <v>1</v>
      </c>
      <c r="K1037" t="n" s="3">
        <v>0</v>
      </c>
      <c r="L1037" t="n" s="3">
        <v>0</v>
      </c>
      <c r="M1037" t="n" s="3">
        <v>0</v>
      </c>
      <c r="N1037" s="3"/>
      <c r="O1037" s="3"/>
      <c r="P1037" s="3"/>
      <c r="Q1037" s="3"/>
      <c r="R1037" t="n" s="3">
        <v>0</v>
      </c>
      <c r="S1037" t="str" s="17">
        <v>本轮完整刷新挂接；有效坐标注入后验证</v>
      </c>
      <c r="T1037" t="n" s="18">
        <v>1900226</v>
      </c>
      <c r="U1037"/>
      <c r="V1037"/>
      <c r="W1037"/>
      <c r="X1037"/>
      <c r="Y1037"/>
      <c r="Z1037"/>
      <c r="AA1037"/>
    </row>
    <row r="1038">
      <c r="A1038" s="35"/>
      <c r="B1038" t="n" s="17">
        <v>70715102</v>
      </c>
      <c r="C1038" t="str" s="37">
        <v>涔缝-怪物2</v>
      </c>
      <c r="D1038" t="str" s="3">
        <v>新补R02；边界待实际地编注入，未假造坐标</v>
      </c>
      <c r="E1038" t="str" s="3">
        <v>71_怪物_2</v>
      </c>
      <c r="F1038" t="n" s="3">
        <v>71</v>
      </c>
      <c r="G1038" t="str" s="3">
        <v>怪物</v>
      </c>
      <c r="H1038" t="n" s="3">
        <v>5</v>
      </c>
      <c r="I1038" t="n" s="3">
        <v>1</v>
      </c>
      <c r="J1038" t="n" s="3">
        <v>2</v>
      </c>
      <c r="K1038" t="n" s="3">
        <v>0</v>
      </c>
      <c r="L1038" t="n" s="3">
        <v>0</v>
      </c>
      <c r="M1038" t="n" s="3">
        <v>0</v>
      </c>
      <c r="N1038" s="3"/>
      <c r="O1038" s="3"/>
      <c r="P1038" s="3"/>
      <c r="Q1038" s="3"/>
      <c r="R1038" t="n" s="3">
        <v>0</v>
      </c>
      <c r="S1038" t="str" s="17">
        <v>本轮完整刷新挂接；有效坐标注入后验证</v>
      </c>
      <c r="T1038" t="n" s="18">
        <v>1900227</v>
      </c>
      <c r="U1038"/>
      <c r="V1038"/>
      <c r="W1038"/>
      <c r="X1038"/>
      <c r="Y1038"/>
      <c r="Z1038"/>
      <c r="AA1038"/>
    </row>
    <row r="1039">
      <c r="A1039" s="35"/>
      <c r="B1039" t="n" s="17">
        <v>70715103</v>
      </c>
      <c r="C1039" t="str" s="37">
        <v>涔缝-怪物3</v>
      </c>
      <c r="D1039" t="str" s="3">
        <v>新补R02；边界待实际地编注入，未假造坐标</v>
      </c>
      <c r="E1039" t="str" s="3">
        <v>71_怪物_3</v>
      </c>
      <c r="F1039" t="n" s="3">
        <v>71</v>
      </c>
      <c r="G1039" t="str" s="3">
        <v>怪物</v>
      </c>
      <c r="H1039" t="n" s="3">
        <v>5</v>
      </c>
      <c r="I1039" t="n" s="3">
        <v>1</v>
      </c>
      <c r="J1039" t="n" s="3">
        <v>3</v>
      </c>
      <c r="K1039" t="n" s="3">
        <v>0</v>
      </c>
      <c r="L1039" t="n" s="3">
        <v>0</v>
      </c>
      <c r="M1039" t="n" s="3">
        <v>0</v>
      </c>
      <c r="N1039" s="3"/>
      <c r="O1039" s="3"/>
      <c r="P1039" s="3"/>
      <c r="Q1039" s="3"/>
      <c r="R1039" t="n" s="3">
        <v>0</v>
      </c>
      <c r="S1039" t="str" s="17">
        <v>本轮完整刷新挂接；有效坐标注入后验证</v>
      </c>
      <c r="T1039" t="n" s="18">
        <v>1900228</v>
      </c>
      <c r="U1039"/>
      <c r="V1039"/>
      <c r="W1039"/>
      <c r="X1039"/>
      <c r="Y1039"/>
      <c r="Z1039"/>
      <c r="AA1039"/>
    </row>
    <row r="1040">
      <c r="A1040" s="35"/>
      <c r="B1040" t="n" s="17">
        <v>70715104</v>
      </c>
      <c r="C1040" t="str" s="37">
        <v>涔缝-怪物4</v>
      </c>
      <c r="D1040" t="str" s="3">
        <v>新补R02；边界待实际地编注入，未假造坐标</v>
      </c>
      <c r="E1040" t="str" s="3">
        <v>71_怪物_4</v>
      </c>
      <c r="F1040" t="n" s="3">
        <v>71</v>
      </c>
      <c r="G1040" t="str" s="3">
        <v>怪物</v>
      </c>
      <c r="H1040" t="n" s="3">
        <v>5</v>
      </c>
      <c r="I1040" t="n" s="3">
        <v>1</v>
      </c>
      <c r="J1040" t="n" s="3">
        <v>4</v>
      </c>
      <c r="K1040" t="n" s="3">
        <v>0</v>
      </c>
      <c r="L1040" t="n" s="3">
        <v>0</v>
      </c>
      <c r="M1040" t="n" s="3">
        <v>0</v>
      </c>
      <c r="N1040" s="3"/>
      <c r="O1040" s="3"/>
      <c r="P1040" s="3"/>
      <c r="Q1040" s="3"/>
      <c r="R1040" t="n" s="3">
        <v>0</v>
      </c>
      <c r="S1040" t="str" s="17">
        <v>本轮完整刷新挂接；有效坐标注入后验证</v>
      </c>
      <c r="T1040" t="n" s="18">
        <v>1900229</v>
      </c>
      <c r="U1040"/>
      <c r="V1040"/>
      <c r="W1040"/>
      <c r="X1040"/>
      <c r="Y1040"/>
      <c r="Z1040"/>
      <c r="AA1040"/>
    </row>
    <row r="1041">
      <c r="A1041" s="35"/>
      <c r="B1041" t="n" s="17">
        <v>70715105</v>
      </c>
      <c r="C1041" t="str" s="37">
        <v>涔缝-怪物5</v>
      </c>
      <c r="D1041" t="str" s="3">
        <v>新补R02；边界待实际地编注入，未假造坐标</v>
      </c>
      <c r="E1041" t="str" s="3">
        <v>71_怪物_5</v>
      </c>
      <c r="F1041" t="n" s="3">
        <v>71</v>
      </c>
      <c r="G1041" t="str" s="3">
        <v>怪物</v>
      </c>
      <c r="H1041" t="n" s="3">
        <v>5</v>
      </c>
      <c r="I1041" t="n" s="3">
        <v>1</v>
      </c>
      <c r="J1041" t="n" s="3">
        <v>5</v>
      </c>
      <c r="K1041" t="n" s="3">
        <v>0</v>
      </c>
      <c r="L1041" t="n" s="3">
        <v>0</v>
      </c>
      <c r="M1041" t="n" s="3">
        <v>0</v>
      </c>
      <c r="N1041" s="3"/>
      <c r="O1041" s="3"/>
      <c r="P1041" s="3"/>
      <c r="Q1041" s="3"/>
      <c r="R1041" t="n" s="3">
        <v>0</v>
      </c>
      <c r="S1041" s="17"/>
      <c r="T1041" s="18"/>
      <c r="U1041"/>
      <c r="V1041"/>
      <c r="W1041"/>
      <c r="X1041"/>
      <c r="Y1041"/>
      <c r="Z1041"/>
      <c r="AA1041"/>
    </row>
    <row r="1042">
      <c r="A1042" s="35"/>
      <c r="B1042" t="n" s="17">
        <v>70715106</v>
      </c>
      <c r="C1042" t="str" s="37">
        <v>涔缝-怪物6</v>
      </c>
      <c r="D1042" t="str" s="3">
        <v>新补R02；边界待实际地编注入，未假造坐标</v>
      </c>
      <c r="E1042" t="str" s="3">
        <v>71_怪物_6</v>
      </c>
      <c r="F1042" t="n" s="3">
        <v>71</v>
      </c>
      <c r="G1042" t="str" s="3">
        <v>怪物</v>
      </c>
      <c r="H1042" t="n" s="3">
        <v>5</v>
      </c>
      <c r="I1042" t="n" s="3">
        <v>1</v>
      </c>
      <c r="J1042" t="n" s="3">
        <v>6</v>
      </c>
      <c r="K1042" t="n" s="3">
        <v>0</v>
      </c>
      <c r="L1042" t="n" s="3">
        <v>0</v>
      </c>
      <c r="M1042" t="n" s="3">
        <v>0</v>
      </c>
      <c r="N1042" s="3"/>
      <c r="O1042" s="3"/>
      <c r="P1042" s="3"/>
      <c r="Q1042" s="3"/>
      <c r="R1042" t="n" s="3">
        <v>0</v>
      </c>
      <c r="S1042" s="17"/>
      <c r="T1042" s="18"/>
      <c r="U1042"/>
      <c r="V1042"/>
      <c r="W1042"/>
      <c r="X1042"/>
      <c r="Y1042"/>
      <c r="Z1042"/>
      <c r="AA1042"/>
    </row>
    <row r="1043">
      <c r="A1043" s="35"/>
      <c r="B1043" t="n" s="17">
        <v>70715001</v>
      </c>
      <c r="C1043" t="str" s="37">
        <v>涔缝-镜头1</v>
      </c>
      <c r="D1043" t="str" s="3">
        <v>新补R02；边界待实际地编注入，未假造坐标</v>
      </c>
      <c r="E1043" t="str" s="3">
        <v>71_镜头_1</v>
      </c>
      <c r="F1043" t="n" s="3">
        <v>71</v>
      </c>
      <c r="G1043" t="str" s="3">
        <v>镜头</v>
      </c>
      <c r="H1043" t="n" s="3">
        <v>5</v>
      </c>
      <c r="I1043" t="n" s="3">
        <v>0</v>
      </c>
      <c r="J1043" t="n" s="3">
        <v>1</v>
      </c>
      <c r="K1043" t="n" s="3">
        <v>1</v>
      </c>
      <c r="L1043" t="n" s="3">
        <v>0</v>
      </c>
      <c r="M1043" t="n" s="3">
        <v>0</v>
      </c>
      <c r="N1043" s="3"/>
      <c r="O1043" s="3"/>
      <c r="P1043" s="3"/>
      <c r="Q1043" s="3"/>
      <c r="R1043" t="n" s="3">
        <v>0</v>
      </c>
      <c r="S1043" s="17"/>
      <c r="T1043" s="18"/>
      <c r="U1043"/>
      <c r="V1043"/>
      <c r="W1043"/>
      <c r="X1043"/>
      <c r="Y1043"/>
      <c r="Z1043"/>
      <c r="AA1043"/>
    </row>
    <row r="1044">
      <c r="A1044" s="35"/>
      <c r="B1044" t="n" s="17">
        <v>70711001</v>
      </c>
      <c r="C1044" t="str" s="37">
        <v>涔缝-传送1</v>
      </c>
      <c r="D1044" t="str" s="3">
        <v>新补R02；边界待实际地编注入，未假造坐标</v>
      </c>
      <c r="E1044" t="str" s="3">
        <v>71_传送_1</v>
      </c>
      <c r="F1044" t="n" s="3">
        <v>71</v>
      </c>
      <c r="G1044" t="str" s="3">
        <v>传送</v>
      </c>
      <c r="H1044" t="n" s="3">
        <v>1</v>
      </c>
      <c r="I1044" t="n" s="3">
        <v>0</v>
      </c>
      <c r="J1044" t="n" s="3">
        <v>1</v>
      </c>
      <c r="K1044" t="n" s="3">
        <v>0</v>
      </c>
      <c r="L1044" t="n" s="3">
        <v>1</v>
      </c>
      <c r="M1044" t="n" s="3">
        <v>0</v>
      </c>
      <c r="N1044" s="3"/>
      <c r="O1044" s="3"/>
      <c r="P1044" s="3"/>
      <c r="Q1044" s="3"/>
      <c r="R1044" t="n" s="3">
        <v>0</v>
      </c>
      <c r="S1044" s="17"/>
      <c r="T1044" s="18"/>
      <c r="U1044"/>
      <c r="V1044"/>
      <c r="W1044"/>
      <c r="X1044"/>
      <c r="Y1044"/>
      <c r="Z1044"/>
      <c r="AA1044"/>
    </row>
    <row r="1045">
      <c r="A1045" s="35"/>
      <c r="B1045" t="n" s="17">
        <v>70711002</v>
      </c>
      <c r="C1045" t="str" s="37">
        <v>涔缝-传送2</v>
      </c>
      <c r="D1045" t="str" s="3">
        <v>新补R02；边界待实际地编注入，未假造坐标</v>
      </c>
      <c r="E1045" t="str" s="3">
        <v>71_传送_2</v>
      </c>
      <c r="F1045" t="n" s="3">
        <v>71</v>
      </c>
      <c r="G1045" t="str" s="3">
        <v>传送</v>
      </c>
      <c r="H1045" t="n" s="3">
        <v>1</v>
      </c>
      <c r="I1045" t="n" s="3">
        <v>0</v>
      </c>
      <c r="J1045" t="n" s="3">
        <v>2</v>
      </c>
      <c r="K1045" t="n" s="3">
        <v>0</v>
      </c>
      <c r="L1045" t="n" s="3">
        <v>0</v>
      </c>
      <c r="M1045" t="n" s="3">
        <v>0</v>
      </c>
      <c r="N1045" s="3"/>
      <c r="O1045" s="3"/>
      <c r="P1045" s="3"/>
      <c r="Q1045" s="3"/>
      <c r="R1045" t="n" s="3">
        <v>0</v>
      </c>
      <c r="S1045" s="17"/>
      <c r="T1045" s="18"/>
      <c r="U1045"/>
      <c r="V1045"/>
      <c r="W1045"/>
      <c r="X1045"/>
      <c r="Y1045"/>
      <c r="Z1045"/>
      <c r="AA1045"/>
    </row>
    <row r="1046">
      <c r="A1046" s="35"/>
      <c r="B1046" t="n" s="17">
        <v>70712001</v>
      </c>
      <c r="C1046" t="str" s="37">
        <v>涔缝-小地图1</v>
      </c>
      <c r="D1046" t="str" s="3">
        <v>新补R02；边界待实际地编注入，未假造坐标</v>
      </c>
      <c r="E1046" t="str" s="3">
        <v>71_小地图_1</v>
      </c>
      <c r="F1046" t="n" s="3">
        <v>71</v>
      </c>
      <c r="G1046" t="str" s="3">
        <v>小地图</v>
      </c>
      <c r="H1046" t="n" s="3">
        <v>2</v>
      </c>
      <c r="I1046" t="n" s="3">
        <v>0</v>
      </c>
      <c r="J1046" t="n" s="3">
        <v>1</v>
      </c>
      <c r="K1046" t="n" s="3">
        <v>0</v>
      </c>
      <c r="L1046" t="n" s="3">
        <v>0</v>
      </c>
      <c r="M1046" t="n" s="3">
        <v>1</v>
      </c>
      <c r="N1046" s="3"/>
      <c r="O1046" s="3"/>
      <c r="P1046" s="3"/>
      <c r="Q1046" s="3"/>
      <c r="R1046" t="n" s="3">
        <v>0</v>
      </c>
      <c r="S1046" s="17"/>
      <c r="T1046" s="18"/>
      <c r="U1046"/>
      <c r="V1046"/>
      <c r="W1046"/>
      <c r="X1046"/>
      <c r="Y1046"/>
      <c r="Z1046"/>
      <c r="AA1046"/>
    </row>
    <row r="1047">
      <c r="A1047" s="35"/>
      <c r="B1047" t="n" s="17">
        <v>70716001</v>
      </c>
      <c r="C1047" t="str" s="37">
        <v>涔缝-NPC1</v>
      </c>
      <c r="D1047" t="str" s="3">
        <v>新补R02；边界待实际地编注入，未假造坐标</v>
      </c>
      <c r="E1047" t="str" s="3">
        <v>71_NPC_1</v>
      </c>
      <c r="F1047" t="n" s="3">
        <v>71</v>
      </c>
      <c r="G1047" t="str" s="3">
        <v>NPC</v>
      </c>
      <c r="H1047" t="n" s="3">
        <v>6</v>
      </c>
      <c r="I1047" t="n" s="3">
        <v>0</v>
      </c>
      <c r="J1047" t="n" s="3">
        <v>1</v>
      </c>
      <c r="K1047" t="n" s="3">
        <v>0</v>
      </c>
      <c r="L1047" t="n" s="3">
        <v>0</v>
      </c>
      <c r="M1047" t="n" s="3">
        <v>0</v>
      </c>
      <c r="N1047" s="3"/>
      <c r="O1047" s="3"/>
      <c r="P1047" s="3"/>
      <c r="Q1047" s="3"/>
      <c r="R1047" t="n" s="3">
        <v>0</v>
      </c>
      <c r="S1047" s="17"/>
      <c r="T1047" s="18"/>
      <c r="U1047"/>
      <c r="V1047"/>
      <c r="W1047"/>
      <c r="X1047"/>
      <c r="Y1047"/>
      <c r="Z1047"/>
      <c r="AA1047"/>
    </row>
    <row r="1048">
      <c r="A1048" s="35"/>
      <c r="B1048" t="n" s="17">
        <v>70714001</v>
      </c>
      <c r="C1048" t="str" s="37">
        <v>涔缝-特效1</v>
      </c>
      <c r="D1048" t="str" s="3">
        <v>新补R02；边界待实际地编注入，未假造坐标</v>
      </c>
      <c r="E1048" t="str" s="3">
        <v>71_特效_1</v>
      </c>
      <c r="F1048" t="n" s="3">
        <v>71</v>
      </c>
      <c r="G1048" t="str" s="3">
        <v>特效</v>
      </c>
      <c r="H1048" t="n" s="3">
        <v>4</v>
      </c>
      <c r="I1048" t="n" s="3">
        <v>0</v>
      </c>
      <c r="J1048" t="n" s="3">
        <v>1</v>
      </c>
      <c r="K1048" t="n" s="3">
        <v>0</v>
      </c>
      <c r="L1048" t="n" s="3">
        <v>0</v>
      </c>
      <c r="M1048" t="n" s="3">
        <v>0</v>
      </c>
      <c r="N1048" s="3"/>
      <c r="O1048" s="3"/>
      <c r="P1048" s="3"/>
      <c r="Q1048" s="3"/>
      <c r="R1048" t="n" s="3">
        <v>0</v>
      </c>
      <c r="S1048" s="17"/>
      <c r="T1048" s="18"/>
      <c r="U1048"/>
      <c r="V1048"/>
      <c r="W1048"/>
      <c r="X1048"/>
      <c r="Y1048"/>
      <c r="Z1048"/>
      <c r="AA1048"/>
    </row>
    <row r="1049">
      <c r="A1049" s="35"/>
      <c r="B1049" t="n" s="17">
        <v>70725101</v>
      </c>
      <c r="C1049" t="str" s="37">
        <v>浊影洄-怪物1</v>
      </c>
      <c r="D1049" t="str" s="3">
        <v>新补R02；边界待实际地编注入，未假造坐标</v>
      </c>
      <c r="E1049" t="str" s="3">
        <v>72_怪物_1</v>
      </c>
      <c r="F1049" t="n" s="3">
        <v>72</v>
      </c>
      <c r="G1049" t="str" s="3">
        <v>怪物</v>
      </c>
      <c r="H1049" t="n" s="3">
        <v>5</v>
      </c>
      <c r="I1049" t="n" s="3">
        <v>1</v>
      </c>
      <c r="J1049" t="n" s="3">
        <v>1</v>
      </c>
      <c r="K1049" t="n" s="3">
        <v>0</v>
      </c>
      <c r="L1049" t="n" s="3">
        <v>0</v>
      </c>
      <c r="M1049" t="n" s="3">
        <v>0</v>
      </c>
      <c r="N1049" s="3"/>
      <c r="O1049" s="3"/>
      <c r="P1049" s="3"/>
      <c r="Q1049" s="3"/>
      <c r="R1049" t="n" s="3">
        <v>0</v>
      </c>
      <c r="S1049" t="str" s="17">
        <v>本轮完整刷新挂接；有效坐标注入后验证</v>
      </c>
      <c r="T1049" t="n" s="18">
        <v>1900230</v>
      </c>
      <c r="U1049"/>
      <c r="V1049"/>
      <c r="W1049"/>
      <c r="X1049"/>
      <c r="Y1049"/>
      <c r="Z1049"/>
      <c r="AA1049"/>
    </row>
    <row r="1050">
      <c r="A1050" s="35"/>
      <c r="B1050" t="n" s="17">
        <v>70725102</v>
      </c>
      <c r="C1050" t="str" s="37">
        <v>浊影洄-怪物2</v>
      </c>
      <c r="D1050" t="str" s="3">
        <v>新补R02；边界待实际地编注入，未假造坐标</v>
      </c>
      <c r="E1050" t="str" s="3">
        <v>72_怪物_2</v>
      </c>
      <c r="F1050" t="n" s="3">
        <v>72</v>
      </c>
      <c r="G1050" t="str" s="3">
        <v>怪物</v>
      </c>
      <c r="H1050" t="n" s="3">
        <v>5</v>
      </c>
      <c r="I1050" t="n" s="3">
        <v>1</v>
      </c>
      <c r="J1050" t="n" s="3">
        <v>2</v>
      </c>
      <c r="K1050" t="n" s="3">
        <v>0</v>
      </c>
      <c r="L1050" t="n" s="3">
        <v>0</v>
      </c>
      <c r="M1050" t="n" s="3">
        <v>0</v>
      </c>
      <c r="N1050" s="3"/>
      <c r="O1050" s="3"/>
      <c r="P1050" s="3"/>
      <c r="Q1050" s="3"/>
      <c r="R1050" t="n" s="3">
        <v>0</v>
      </c>
      <c r="S1050" t="str" s="17">
        <v>本轮完整刷新挂接；有效坐标注入后验证</v>
      </c>
      <c r="T1050" t="n" s="18">
        <v>1900231</v>
      </c>
      <c r="U1050"/>
      <c r="V1050"/>
      <c r="W1050"/>
      <c r="X1050"/>
      <c r="Y1050"/>
      <c r="Z1050"/>
      <c r="AA1050"/>
    </row>
    <row r="1051">
      <c r="A1051" s="35"/>
      <c r="B1051" t="n" s="17">
        <v>70725103</v>
      </c>
      <c r="C1051" t="str" s="37">
        <v>浊影洄-怪物3</v>
      </c>
      <c r="D1051" t="str" s="3">
        <v>新补R02；边界待实际地编注入，未假造坐标</v>
      </c>
      <c r="E1051" t="str" s="3">
        <v>72_怪物_3</v>
      </c>
      <c r="F1051" t="n" s="3">
        <v>72</v>
      </c>
      <c r="G1051" t="str" s="3">
        <v>怪物</v>
      </c>
      <c r="H1051" t="n" s="3">
        <v>5</v>
      </c>
      <c r="I1051" t="n" s="3">
        <v>1</v>
      </c>
      <c r="J1051" t="n" s="3">
        <v>3</v>
      </c>
      <c r="K1051" t="n" s="3">
        <v>0</v>
      </c>
      <c r="L1051" t="n" s="3">
        <v>0</v>
      </c>
      <c r="M1051" t="n" s="3">
        <v>0</v>
      </c>
      <c r="N1051" s="3"/>
      <c r="O1051" s="3"/>
      <c r="P1051" s="3"/>
      <c r="Q1051" s="3"/>
      <c r="R1051" t="n" s="3">
        <v>0</v>
      </c>
      <c r="S1051" t="str" s="17">
        <v>本轮完整刷新挂接；有效坐标注入后验证</v>
      </c>
      <c r="T1051" t="n" s="18">
        <v>1900232</v>
      </c>
      <c r="U1051"/>
      <c r="V1051"/>
      <c r="W1051"/>
      <c r="X1051"/>
      <c r="Y1051"/>
      <c r="Z1051"/>
      <c r="AA1051"/>
    </row>
    <row r="1052">
      <c r="A1052" s="35"/>
      <c r="B1052" t="n" s="17">
        <v>70725104</v>
      </c>
      <c r="C1052" t="str" s="37">
        <v>浊影洄-怪物4</v>
      </c>
      <c r="D1052" t="str" s="3">
        <v>新补R02；边界待实际地编注入，未假造坐标</v>
      </c>
      <c r="E1052" t="str" s="3">
        <v>72_怪物_4</v>
      </c>
      <c r="F1052" t="n" s="3">
        <v>72</v>
      </c>
      <c r="G1052" t="str" s="3">
        <v>怪物</v>
      </c>
      <c r="H1052" t="n" s="3">
        <v>5</v>
      </c>
      <c r="I1052" t="n" s="3">
        <v>1</v>
      </c>
      <c r="J1052" t="n" s="3">
        <v>4</v>
      </c>
      <c r="K1052" t="n" s="3">
        <v>0</v>
      </c>
      <c r="L1052" t="n" s="3">
        <v>0</v>
      </c>
      <c r="M1052" t="n" s="3">
        <v>0</v>
      </c>
      <c r="N1052" s="3"/>
      <c r="O1052" s="3"/>
      <c r="P1052" s="3"/>
      <c r="Q1052" s="3"/>
      <c r="R1052" t="n" s="3">
        <v>0</v>
      </c>
      <c r="S1052" t="str" s="17">
        <v>本轮完整刷新挂接；有效坐标注入后验证</v>
      </c>
      <c r="T1052" t="n" s="18">
        <v>1900233</v>
      </c>
      <c r="U1052"/>
      <c r="V1052"/>
      <c r="W1052"/>
      <c r="X1052"/>
      <c r="Y1052"/>
      <c r="Z1052"/>
      <c r="AA1052"/>
    </row>
    <row r="1053">
      <c r="A1053" s="35"/>
      <c r="B1053" t="n" s="17">
        <v>70725105</v>
      </c>
      <c r="C1053" t="str" s="37">
        <v>浊影洄-怪物5</v>
      </c>
      <c r="D1053" t="str" s="3">
        <v>新补R02；边界待实际地编注入，未假造坐标</v>
      </c>
      <c r="E1053" t="str" s="3">
        <v>72_怪物_5</v>
      </c>
      <c r="F1053" t="n" s="3">
        <v>72</v>
      </c>
      <c r="G1053" t="str" s="3">
        <v>怪物</v>
      </c>
      <c r="H1053" t="n" s="3">
        <v>5</v>
      </c>
      <c r="I1053" t="n" s="3">
        <v>1</v>
      </c>
      <c r="J1053" t="n" s="3">
        <v>5</v>
      </c>
      <c r="K1053" t="n" s="3">
        <v>0</v>
      </c>
      <c r="L1053" t="n" s="3">
        <v>0</v>
      </c>
      <c r="M1053" t="n" s="3">
        <v>0</v>
      </c>
      <c r="N1053" s="3"/>
      <c r="O1053" s="3"/>
      <c r="P1053" s="3"/>
      <c r="Q1053" s="3"/>
      <c r="R1053" t="n" s="3">
        <v>0</v>
      </c>
      <c r="S1053" s="17"/>
      <c r="T1053" s="18"/>
      <c r="U1053"/>
      <c r="V1053"/>
      <c r="W1053"/>
      <c r="X1053"/>
      <c r="Y1053"/>
      <c r="Z1053"/>
      <c r="AA1053"/>
    </row>
    <row r="1054">
      <c r="A1054" s="35"/>
      <c r="B1054" t="n" s="17">
        <v>70725106</v>
      </c>
      <c r="C1054" t="str" s="37">
        <v>浊影洄-怪物6</v>
      </c>
      <c r="D1054" t="str" s="3">
        <v>新补R02；边界待实际地编注入，未假造坐标</v>
      </c>
      <c r="E1054" t="str" s="3">
        <v>72_怪物_6</v>
      </c>
      <c r="F1054" t="n" s="3">
        <v>72</v>
      </c>
      <c r="G1054" t="str" s="3">
        <v>怪物</v>
      </c>
      <c r="H1054" t="n" s="3">
        <v>5</v>
      </c>
      <c r="I1054" t="n" s="3">
        <v>1</v>
      </c>
      <c r="J1054" t="n" s="3">
        <v>6</v>
      </c>
      <c r="K1054" t="n" s="3">
        <v>0</v>
      </c>
      <c r="L1054" t="n" s="3">
        <v>0</v>
      </c>
      <c r="M1054" t="n" s="3">
        <v>0</v>
      </c>
      <c r="N1054" s="3"/>
      <c r="O1054" s="3"/>
      <c r="P1054" s="3"/>
      <c r="Q1054" s="3"/>
      <c r="R1054" t="n" s="3">
        <v>0</v>
      </c>
      <c r="S1054" s="17"/>
      <c r="T1054" s="18"/>
      <c r="U1054"/>
      <c r="V1054"/>
      <c r="W1054"/>
      <c r="X1054"/>
      <c r="Y1054"/>
      <c r="Z1054"/>
      <c r="AA1054"/>
    </row>
    <row r="1055">
      <c r="A1055" s="35"/>
      <c r="B1055" t="n" s="17">
        <v>70725001</v>
      </c>
      <c r="C1055" t="str" s="37">
        <v>浊影洄-镜头1</v>
      </c>
      <c r="D1055" t="str" s="3">
        <v>新补R02；边界待实际地编注入，未假造坐标</v>
      </c>
      <c r="E1055" t="str" s="3">
        <v>72_镜头_1</v>
      </c>
      <c r="F1055" t="n" s="3">
        <v>72</v>
      </c>
      <c r="G1055" t="str" s="3">
        <v>镜头</v>
      </c>
      <c r="H1055" t="n" s="3">
        <v>5</v>
      </c>
      <c r="I1055" t="n" s="3">
        <v>0</v>
      </c>
      <c r="J1055" t="n" s="3">
        <v>1</v>
      </c>
      <c r="K1055" t="n" s="3">
        <v>1</v>
      </c>
      <c r="L1055" t="n" s="3">
        <v>0</v>
      </c>
      <c r="M1055" t="n" s="3">
        <v>0</v>
      </c>
      <c r="N1055" s="3"/>
      <c r="O1055" s="3"/>
      <c r="P1055" s="3"/>
      <c r="Q1055" s="3"/>
      <c r="R1055" t="n" s="3">
        <v>0</v>
      </c>
      <c r="S1055" s="17"/>
      <c r="T1055" s="18"/>
      <c r="U1055"/>
      <c r="V1055"/>
      <c r="W1055"/>
      <c r="X1055"/>
      <c r="Y1055"/>
      <c r="Z1055"/>
      <c r="AA1055"/>
    </row>
    <row r="1056">
      <c r="A1056" s="35"/>
      <c r="B1056" t="n" s="17">
        <v>70721001</v>
      </c>
      <c r="C1056" t="str" s="37">
        <v>浊影洄-传送1</v>
      </c>
      <c r="D1056" t="str" s="3">
        <v>新补R02；边界待实际地编注入，未假造坐标</v>
      </c>
      <c r="E1056" t="str" s="3">
        <v>72_传送_1</v>
      </c>
      <c r="F1056" t="n" s="3">
        <v>72</v>
      </c>
      <c r="G1056" t="str" s="3">
        <v>传送</v>
      </c>
      <c r="H1056" t="n" s="3">
        <v>1</v>
      </c>
      <c r="I1056" t="n" s="3">
        <v>0</v>
      </c>
      <c r="J1056" t="n" s="3">
        <v>1</v>
      </c>
      <c r="K1056" t="n" s="3">
        <v>0</v>
      </c>
      <c r="L1056" t="n" s="3">
        <v>1</v>
      </c>
      <c r="M1056" t="n" s="3">
        <v>0</v>
      </c>
      <c r="N1056" s="3"/>
      <c r="O1056" s="3"/>
      <c r="P1056" s="3"/>
      <c r="Q1056" s="3"/>
      <c r="R1056" t="n" s="3">
        <v>0</v>
      </c>
      <c r="S1056" s="17"/>
      <c r="T1056" s="18"/>
      <c r="U1056"/>
      <c r="V1056"/>
      <c r="W1056"/>
      <c r="X1056"/>
      <c r="Y1056"/>
      <c r="Z1056"/>
      <c r="AA1056"/>
    </row>
    <row r="1057">
      <c r="A1057" s="35"/>
      <c r="B1057" t="n" s="17">
        <v>70721002</v>
      </c>
      <c r="C1057" t="str" s="37">
        <v>浊影洄-传送2</v>
      </c>
      <c r="D1057" t="str" s="3">
        <v>新补R02；边界待实际地编注入，未假造坐标</v>
      </c>
      <c r="E1057" t="str" s="3">
        <v>72_传送_2</v>
      </c>
      <c r="F1057" t="n" s="3">
        <v>72</v>
      </c>
      <c r="G1057" t="str" s="3">
        <v>传送</v>
      </c>
      <c r="H1057" t="n" s="3">
        <v>1</v>
      </c>
      <c r="I1057" t="n" s="3">
        <v>0</v>
      </c>
      <c r="J1057" t="n" s="3">
        <v>2</v>
      </c>
      <c r="K1057" t="n" s="3">
        <v>0</v>
      </c>
      <c r="L1057" t="n" s="3">
        <v>0</v>
      </c>
      <c r="M1057" t="n" s="3">
        <v>0</v>
      </c>
      <c r="N1057" s="3"/>
      <c r="O1057" s="3"/>
      <c r="P1057" s="3"/>
      <c r="Q1057" s="3"/>
      <c r="R1057" t="n" s="3">
        <v>0</v>
      </c>
      <c r="S1057" s="17"/>
      <c r="T1057" s="18"/>
      <c r="U1057"/>
      <c r="V1057"/>
      <c r="W1057"/>
      <c r="X1057"/>
      <c r="Y1057"/>
      <c r="Z1057"/>
      <c r="AA1057"/>
    </row>
    <row r="1058">
      <c r="A1058" s="35"/>
      <c r="B1058" t="n" s="17">
        <v>70722001</v>
      </c>
      <c r="C1058" t="str" s="37">
        <v>浊影洄-小地图1</v>
      </c>
      <c r="D1058" t="str" s="3">
        <v>新补R02；边界待实际地编注入，未假造坐标</v>
      </c>
      <c r="E1058" t="str" s="3">
        <v>72_小地图_1</v>
      </c>
      <c r="F1058" t="n" s="3">
        <v>72</v>
      </c>
      <c r="G1058" t="str" s="3">
        <v>小地图</v>
      </c>
      <c r="H1058" t="n" s="3">
        <v>2</v>
      </c>
      <c r="I1058" t="n" s="3">
        <v>0</v>
      </c>
      <c r="J1058" t="n" s="3">
        <v>1</v>
      </c>
      <c r="K1058" t="n" s="3">
        <v>0</v>
      </c>
      <c r="L1058" t="n" s="3">
        <v>0</v>
      </c>
      <c r="M1058" t="n" s="3">
        <v>1</v>
      </c>
      <c r="N1058" s="3"/>
      <c r="O1058" s="3"/>
      <c r="P1058" s="3"/>
      <c r="Q1058" s="3"/>
      <c r="R1058" t="n" s="3">
        <v>0</v>
      </c>
      <c r="S1058" s="17"/>
      <c r="T1058" s="18"/>
      <c r="U1058"/>
      <c r="V1058"/>
      <c r="W1058"/>
      <c r="X1058"/>
      <c r="Y1058"/>
      <c r="Z1058"/>
      <c r="AA1058"/>
    </row>
    <row r="1059">
      <c r="A1059" s="35"/>
      <c r="B1059" t="n" s="17">
        <v>70726001</v>
      </c>
      <c r="C1059" t="str" s="37">
        <v>浊影洄-NPC1</v>
      </c>
      <c r="D1059" t="str" s="3">
        <v>新补R02；边界待实际地编注入，未假造坐标</v>
      </c>
      <c r="E1059" t="str" s="3">
        <v>72_NPC_1</v>
      </c>
      <c r="F1059" t="n" s="3">
        <v>72</v>
      </c>
      <c r="G1059" t="str" s="3">
        <v>NPC</v>
      </c>
      <c r="H1059" t="n" s="3">
        <v>6</v>
      </c>
      <c r="I1059" t="n" s="3">
        <v>0</v>
      </c>
      <c r="J1059" t="n" s="3">
        <v>1</v>
      </c>
      <c r="K1059" t="n" s="3">
        <v>0</v>
      </c>
      <c r="L1059" t="n" s="3">
        <v>0</v>
      </c>
      <c r="M1059" t="n" s="3">
        <v>0</v>
      </c>
      <c r="N1059" s="3"/>
      <c r="O1059" s="3"/>
      <c r="P1059" s="3"/>
      <c r="Q1059" s="3"/>
      <c r="R1059" t="n" s="3">
        <v>0</v>
      </c>
      <c r="S1059" s="17"/>
      <c r="T1059" s="18"/>
      <c r="U1059"/>
      <c r="V1059"/>
      <c r="W1059"/>
      <c r="X1059"/>
      <c r="Y1059"/>
      <c r="Z1059"/>
      <c r="AA1059"/>
    </row>
    <row r="1060">
      <c r="A1060" s="35"/>
      <c r="B1060" t="n" s="17">
        <v>70724001</v>
      </c>
      <c r="C1060" t="str" s="37">
        <v>浊影洄-特效1</v>
      </c>
      <c r="D1060" t="str" s="3">
        <v>新补R02；边界待实际地编注入，未假造坐标</v>
      </c>
      <c r="E1060" t="str" s="3">
        <v>72_特效_1</v>
      </c>
      <c r="F1060" t="n" s="3">
        <v>72</v>
      </c>
      <c r="G1060" t="str" s="3">
        <v>特效</v>
      </c>
      <c r="H1060" t="n" s="3">
        <v>4</v>
      </c>
      <c r="I1060" t="n" s="3">
        <v>0</v>
      </c>
      <c r="J1060" t="n" s="3">
        <v>1</v>
      </c>
      <c r="K1060" t="n" s="3">
        <v>0</v>
      </c>
      <c r="L1060" t="n" s="3">
        <v>0</v>
      </c>
      <c r="M1060" t="n" s="3">
        <v>0</v>
      </c>
      <c r="N1060" s="3"/>
      <c r="O1060" s="3"/>
      <c r="P1060" s="3"/>
      <c r="Q1060" s="3"/>
      <c r="R1060" t="n" s="3">
        <v>0</v>
      </c>
      <c r="S1060" s="17"/>
      <c r="T1060" s="18"/>
      <c r="U1060"/>
      <c r="V1060"/>
      <c r="W1060"/>
      <c r="X1060"/>
      <c r="Y1060"/>
      <c r="Z1060"/>
      <c r="AA1060"/>
    </row>
    <row r="1061">
      <c r="A1061" s="35"/>
      <c r="B1061" t="n" s="17">
        <v>70735101</v>
      </c>
      <c r="C1061" t="str" s="37">
        <v>峡门-怪物1</v>
      </c>
      <c r="D1061" t="str" s="3">
        <v>新补R02；边界待实际地编注入，未假造坐标</v>
      </c>
      <c r="E1061" t="str" s="3">
        <v>73_怪物_1</v>
      </c>
      <c r="F1061" t="n" s="3">
        <v>73</v>
      </c>
      <c r="G1061" t="str" s="3">
        <v>怪物</v>
      </c>
      <c r="H1061" t="n" s="3">
        <v>5</v>
      </c>
      <c r="I1061" t="n" s="3">
        <v>1</v>
      </c>
      <c r="J1061" t="n" s="3">
        <v>1</v>
      </c>
      <c r="K1061" t="n" s="3">
        <v>0</v>
      </c>
      <c r="L1061" t="n" s="3">
        <v>0</v>
      </c>
      <c r="M1061" t="n" s="3">
        <v>0</v>
      </c>
      <c r="N1061" s="3"/>
      <c r="O1061" s="3"/>
      <c r="P1061" s="3"/>
      <c r="Q1061" s="3"/>
      <c r="R1061" t="n" s="3">
        <v>0</v>
      </c>
      <c r="S1061" s="17"/>
      <c r="T1061" s="18"/>
      <c r="U1061"/>
      <c r="V1061"/>
      <c r="W1061"/>
      <c r="X1061"/>
      <c r="Y1061"/>
      <c r="Z1061"/>
      <c r="AA1061"/>
    </row>
    <row r="1062">
      <c r="A1062" s="35"/>
      <c r="B1062" t="n" s="17">
        <v>70735102</v>
      </c>
      <c r="C1062" t="str" s="37">
        <v>峡门-怪物2</v>
      </c>
      <c r="D1062" t="str" s="3">
        <v>新补R02；边界待实际地编注入，未假造坐标</v>
      </c>
      <c r="E1062" t="str" s="3">
        <v>73_怪物_2</v>
      </c>
      <c r="F1062" t="n" s="3">
        <v>73</v>
      </c>
      <c r="G1062" t="str" s="3">
        <v>怪物</v>
      </c>
      <c r="H1062" t="n" s="3">
        <v>5</v>
      </c>
      <c r="I1062" t="n" s="3">
        <v>1</v>
      </c>
      <c r="J1062" t="n" s="3">
        <v>2</v>
      </c>
      <c r="K1062" t="n" s="3">
        <v>0</v>
      </c>
      <c r="L1062" t="n" s="3">
        <v>0</v>
      </c>
      <c r="M1062" t="n" s="3">
        <v>0</v>
      </c>
      <c r="N1062" s="3"/>
      <c r="O1062" s="3"/>
      <c r="P1062" s="3"/>
      <c r="Q1062" s="3"/>
      <c r="R1062" t="n" s="3">
        <v>0</v>
      </c>
      <c r="S1062" s="17"/>
      <c r="T1062" s="18"/>
      <c r="U1062"/>
      <c r="V1062"/>
      <c r="W1062"/>
      <c r="X1062"/>
      <c r="Y1062"/>
      <c r="Z1062"/>
      <c r="AA1062"/>
    </row>
    <row r="1063">
      <c r="A1063" s="35"/>
      <c r="B1063" t="n" s="17">
        <v>70735103</v>
      </c>
      <c r="C1063" t="str" s="37">
        <v>峡门-怪物3</v>
      </c>
      <c r="D1063" t="str" s="3">
        <v>新补R02；边界待实际地编注入，未假造坐标</v>
      </c>
      <c r="E1063" t="str" s="3">
        <v>73_怪物_3</v>
      </c>
      <c r="F1063" t="n" s="3">
        <v>73</v>
      </c>
      <c r="G1063" t="str" s="3">
        <v>怪物</v>
      </c>
      <c r="H1063" t="n" s="3">
        <v>5</v>
      </c>
      <c r="I1063" t="n" s="3">
        <v>1</v>
      </c>
      <c r="J1063" t="n" s="3">
        <v>3</v>
      </c>
      <c r="K1063" t="n" s="3">
        <v>0</v>
      </c>
      <c r="L1063" t="n" s="3">
        <v>0</v>
      </c>
      <c r="M1063" t="n" s="3">
        <v>0</v>
      </c>
      <c r="N1063" s="3"/>
      <c r="O1063" s="3"/>
      <c r="P1063" s="3"/>
      <c r="Q1063" s="3"/>
      <c r="R1063" t="n" s="3">
        <v>0</v>
      </c>
      <c r="S1063" s="17"/>
      <c r="T1063" s="18"/>
      <c r="U1063"/>
      <c r="V1063"/>
      <c r="W1063"/>
      <c r="X1063"/>
      <c r="Y1063"/>
      <c r="Z1063"/>
      <c r="AA1063"/>
    </row>
    <row r="1064">
      <c r="A1064" s="35"/>
      <c r="B1064" t="n" s="17">
        <v>70735104</v>
      </c>
      <c r="C1064" t="str" s="37">
        <v>峡门-怪物4</v>
      </c>
      <c r="D1064" t="str" s="3">
        <v>新补R02；边界待实际地编注入，未假造坐标</v>
      </c>
      <c r="E1064" t="str" s="3">
        <v>73_怪物_4</v>
      </c>
      <c r="F1064" t="n" s="3">
        <v>73</v>
      </c>
      <c r="G1064" t="str" s="3">
        <v>怪物</v>
      </c>
      <c r="H1064" t="n" s="3">
        <v>5</v>
      </c>
      <c r="I1064" t="n" s="3">
        <v>1</v>
      </c>
      <c r="J1064" t="n" s="3">
        <v>4</v>
      </c>
      <c r="K1064" t="n" s="3">
        <v>0</v>
      </c>
      <c r="L1064" t="n" s="3">
        <v>0</v>
      </c>
      <c r="M1064" t="n" s="3">
        <v>0</v>
      </c>
      <c r="N1064" s="3"/>
      <c r="O1064" s="3"/>
      <c r="P1064" s="3"/>
      <c r="Q1064" s="3"/>
      <c r="R1064" t="n" s="3">
        <v>0</v>
      </c>
      <c r="S1064" s="17"/>
      <c r="T1064" s="18"/>
      <c r="U1064"/>
      <c r="V1064"/>
      <c r="W1064"/>
      <c r="X1064"/>
      <c r="Y1064"/>
      <c r="Z1064"/>
      <c r="AA1064"/>
    </row>
    <row r="1065">
      <c r="A1065" s="35"/>
      <c r="B1065" t="n" s="17">
        <v>70735105</v>
      </c>
      <c r="C1065" t="str" s="37">
        <v>峡门-怪物5</v>
      </c>
      <c r="D1065" t="str" s="3">
        <v>新补R02；边界待实际地编注入，未假造坐标</v>
      </c>
      <c r="E1065" t="str" s="3">
        <v>73_怪物_5</v>
      </c>
      <c r="F1065" t="n" s="3">
        <v>73</v>
      </c>
      <c r="G1065" t="str" s="3">
        <v>怪物</v>
      </c>
      <c r="H1065" t="n" s="3">
        <v>5</v>
      </c>
      <c r="I1065" t="n" s="3">
        <v>1</v>
      </c>
      <c r="J1065" t="n" s="3">
        <v>5</v>
      </c>
      <c r="K1065" t="n" s="3">
        <v>0</v>
      </c>
      <c r="L1065" t="n" s="3">
        <v>0</v>
      </c>
      <c r="M1065" t="n" s="3">
        <v>0</v>
      </c>
      <c r="N1065" s="3"/>
      <c r="O1065" s="3"/>
      <c r="P1065" s="3"/>
      <c r="Q1065" s="3"/>
      <c r="R1065" t="n" s="3">
        <v>0</v>
      </c>
      <c r="S1065" s="17"/>
      <c r="T1065" s="18"/>
      <c r="U1065"/>
      <c r="V1065"/>
      <c r="W1065"/>
      <c r="X1065"/>
      <c r="Y1065"/>
      <c r="Z1065"/>
      <c r="AA1065"/>
    </row>
    <row r="1066">
      <c r="A1066" s="35"/>
      <c r="B1066" t="n" s="17">
        <v>70735106</v>
      </c>
      <c r="C1066" t="str" s="37">
        <v>峡门-怪物6</v>
      </c>
      <c r="D1066" t="str" s="3">
        <v>新补R02；边界待实际地编注入，未假造坐标</v>
      </c>
      <c r="E1066" t="str" s="3">
        <v>73_怪物_6</v>
      </c>
      <c r="F1066" t="n" s="3">
        <v>73</v>
      </c>
      <c r="G1066" t="str" s="3">
        <v>怪物</v>
      </c>
      <c r="H1066" t="n" s="3">
        <v>5</v>
      </c>
      <c r="I1066" t="n" s="3">
        <v>1</v>
      </c>
      <c r="J1066" t="n" s="3">
        <v>6</v>
      </c>
      <c r="K1066" t="n" s="3">
        <v>0</v>
      </c>
      <c r="L1066" t="n" s="3">
        <v>0</v>
      </c>
      <c r="M1066" t="n" s="3">
        <v>0</v>
      </c>
      <c r="N1066" s="3"/>
      <c r="O1066" s="3"/>
      <c r="P1066" s="3"/>
      <c r="Q1066" s="3"/>
      <c r="R1066" t="n" s="3">
        <v>0</v>
      </c>
      <c r="S1066" s="17"/>
      <c r="T1066" s="18"/>
      <c r="U1066"/>
      <c r="V1066"/>
      <c r="W1066"/>
      <c r="X1066"/>
      <c r="Y1066"/>
      <c r="Z1066"/>
      <c r="AA1066"/>
    </row>
    <row r="1067">
      <c r="A1067" s="35"/>
      <c r="B1067" t="n" s="17">
        <v>70735001</v>
      </c>
      <c r="C1067" t="str" s="37">
        <v>峡门-镜头1</v>
      </c>
      <c r="D1067" t="str" s="3">
        <v>新补R02；边界待实际地编注入，未假造坐标</v>
      </c>
      <c r="E1067" t="str" s="3">
        <v>73_镜头_1</v>
      </c>
      <c r="F1067" t="n" s="3">
        <v>73</v>
      </c>
      <c r="G1067" t="str" s="3">
        <v>镜头</v>
      </c>
      <c r="H1067" t="n" s="3">
        <v>5</v>
      </c>
      <c r="I1067" t="n" s="3">
        <v>0</v>
      </c>
      <c r="J1067" t="n" s="3">
        <v>1</v>
      </c>
      <c r="K1067" t="n" s="3">
        <v>1</v>
      </c>
      <c r="L1067" t="n" s="3">
        <v>0</v>
      </c>
      <c r="M1067" t="n" s="3">
        <v>0</v>
      </c>
      <c r="N1067" s="3"/>
      <c r="O1067" s="3"/>
      <c r="P1067" s="3"/>
      <c r="Q1067" s="3"/>
      <c r="R1067" t="n" s="3">
        <v>0</v>
      </c>
      <c r="S1067" s="17"/>
      <c r="T1067" s="18"/>
      <c r="U1067"/>
      <c r="V1067"/>
      <c r="W1067"/>
      <c r="X1067"/>
      <c r="Y1067"/>
      <c r="Z1067"/>
      <c r="AA1067"/>
    </row>
    <row r="1068">
      <c r="A1068" s="35"/>
      <c r="B1068" t="n" s="17">
        <v>70731001</v>
      </c>
      <c r="C1068" t="str" s="37">
        <v>峡门-传送1</v>
      </c>
      <c r="D1068" t="str" s="3">
        <v>新补R02；边界待实际地编注入，未假造坐标</v>
      </c>
      <c r="E1068" t="str" s="3">
        <v>73_传送_1</v>
      </c>
      <c r="F1068" t="n" s="3">
        <v>73</v>
      </c>
      <c r="G1068" t="str" s="3">
        <v>传送</v>
      </c>
      <c r="H1068" t="n" s="3">
        <v>1</v>
      </c>
      <c r="I1068" t="n" s="3">
        <v>0</v>
      </c>
      <c r="J1068" t="n" s="3">
        <v>1</v>
      </c>
      <c r="K1068" t="n" s="3">
        <v>0</v>
      </c>
      <c r="L1068" t="n" s="3">
        <v>1</v>
      </c>
      <c r="M1068" t="n" s="3">
        <v>0</v>
      </c>
      <c r="N1068" s="3"/>
      <c r="O1068" s="3"/>
      <c r="P1068" s="3"/>
      <c r="Q1068" s="3"/>
      <c r="R1068" t="n" s="3">
        <v>0</v>
      </c>
      <c r="S1068" s="17"/>
      <c r="T1068" s="18"/>
      <c r="U1068"/>
      <c r="V1068"/>
      <c r="W1068"/>
      <c r="X1068"/>
      <c r="Y1068"/>
      <c r="Z1068"/>
      <c r="AA1068"/>
    </row>
    <row r="1069">
      <c r="A1069" s="35"/>
      <c r="B1069" t="n" s="17">
        <v>70731002</v>
      </c>
      <c r="C1069" t="str" s="37">
        <v>峡门-传送2</v>
      </c>
      <c r="D1069" t="str" s="3">
        <v>新补R02；边界待实际地编注入，未假造坐标</v>
      </c>
      <c r="E1069" t="str" s="3">
        <v>73_传送_2</v>
      </c>
      <c r="F1069" t="n" s="3">
        <v>73</v>
      </c>
      <c r="G1069" t="str" s="3">
        <v>传送</v>
      </c>
      <c r="H1069" t="n" s="3">
        <v>1</v>
      </c>
      <c r="I1069" t="n" s="3">
        <v>0</v>
      </c>
      <c r="J1069" t="n" s="3">
        <v>2</v>
      </c>
      <c r="K1069" t="n" s="3">
        <v>0</v>
      </c>
      <c r="L1069" t="n" s="3">
        <v>0</v>
      </c>
      <c r="M1069" t="n" s="3">
        <v>0</v>
      </c>
      <c r="N1069" s="3"/>
      <c r="O1069" s="3"/>
      <c r="P1069" s="3"/>
      <c r="Q1069" s="3"/>
      <c r="R1069" t="n" s="3">
        <v>0</v>
      </c>
      <c r="S1069" s="17"/>
      <c r="T1069" s="18"/>
      <c r="U1069"/>
      <c r="V1069"/>
      <c r="W1069"/>
      <c r="X1069"/>
      <c r="Y1069"/>
      <c r="Z1069"/>
      <c r="AA1069"/>
    </row>
    <row r="1070">
      <c r="A1070" s="35"/>
      <c r="B1070" t="n" s="17">
        <v>70732001</v>
      </c>
      <c r="C1070" t="str" s="37">
        <v>峡门-小地图1</v>
      </c>
      <c r="D1070" t="str" s="3">
        <v>新补R02；边界待实际地编注入，未假造坐标</v>
      </c>
      <c r="E1070" t="str" s="3">
        <v>73_小地图_1</v>
      </c>
      <c r="F1070" t="n" s="3">
        <v>73</v>
      </c>
      <c r="G1070" t="str" s="3">
        <v>小地图</v>
      </c>
      <c r="H1070" t="n" s="3">
        <v>2</v>
      </c>
      <c r="I1070" t="n" s="3">
        <v>0</v>
      </c>
      <c r="J1070" t="n" s="3">
        <v>1</v>
      </c>
      <c r="K1070" t="n" s="3">
        <v>0</v>
      </c>
      <c r="L1070" t="n" s="3">
        <v>0</v>
      </c>
      <c r="M1070" t="n" s="3">
        <v>1</v>
      </c>
      <c r="N1070" s="3"/>
      <c r="O1070" s="3"/>
      <c r="P1070" s="3"/>
      <c r="Q1070" s="3"/>
      <c r="R1070" t="n" s="3">
        <v>0</v>
      </c>
      <c r="S1070" s="17"/>
      <c r="T1070" s="18"/>
      <c r="U1070"/>
      <c r="V1070"/>
      <c r="W1070"/>
      <c r="X1070"/>
      <c r="Y1070"/>
      <c r="Z1070"/>
      <c r="AA1070"/>
    </row>
    <row r="1071">
      <c r="A1071" s="35"/>
      <c r="B1071" t="n" s="17">
        <v>70736001</v>
      </c>
      <c r="C1071" t="str" s="37">
        <v>峡门-NPC1</v>
      </c>
      <c r="D1071" t="str" s="3">
        <v>新补R02；边界待实际地编注入，未假造坐标</v>
      </c>
      <c r="E1071" t="str" s="3">
        <v>73_NPC_1</v>
      </c>
      <c r="F1071" t="n" s="3">
        <v>73</v>
      </c>
      <c r="G1071" t="str" s="3">
        <v>NPC</v>
      </c>
      <c r="H1071" t="n" s="3">
        <v>6</v>
      </c>
      <c r="I1071" t="n" s="3">
        <v>0</v>
      </c>
      <c r="J1071" t="n" s="3">
        <v>1</v>
      </c>
      <c r="K1071" t="n" s="3">
        <v>0</v>
      </c>
      <c r="L1071" t="n" s="3">
        <v>0</v>
      </c>
      <c r="M1071" t="n" s="3">
        <v>0</v>
      </c>
      <c r="N1071" s="3"/>
      <c r="O1071" s="3"/>
      <c r="P1071" s="3"/>
      <c r="Q1071" s="3"/>
      <c r="R1071" t="n" s="3">
        <v>0</v>
      </c>
      <c r="S1071" s="17"/>
      <c r="T1071" s="18"/>
      <c r="U1071"/>
      <c r="V1071"/>
      <c r="W1071"/>
      <c r="X1071"/>
      <c r="Y1071"/>
      <c r="Z1071"/>
      <c r="AA1071"/>
    </row>
    <row r="1072">
      <c r="A1072" s="35"/>
      <c r="B1072" t="n" s="17">
        <v>70734001</v>
      </c>
      <c r="C1072" t="str" s="37">
        <v>峡门-特效1</v>
      </c>
      <c r="D1072" t="str" s="3">
        <v>新补R02；边界待实际地编注入，未假造坐标</v>
      </c>
      <c r="E1072" t="str" s="3">
        <v>73_特效_1</v>
      </c>
      <c r="F1072" t="n" s="3">
        <v>73</v>
      </c>
      <c r="G1072" t="str" s="3">
        <v>特效</v>
      </c>
      <c r="H1072" t="n" s="3">
        <v>4</v>
      </c>
      <c r="I1072" t="n" s="3">
        <v>0</v>
      </c>
      <c r="J1072" t="n" s="3">
        <v>1</v>
      </c>
      <c r="K1072" t="n" s="3">
        <v>0</v>
      </c>
      <c r="L1072" t="n" s="3">
        <v>0</v>
      </c>
      <c r="M1072" t="n" s="3">
        <v>0</v>
      </c>
      <c r="N1072" s="3"/>
      <c r="O1072" s="3"/>
      <c r="P1072" s="3"/>
      <c r="Q1072" s="3"/>
      <c r="R1072" t="n" s="3">
        <v>0</v>
      </c>
      <c r="S1072" s="17"/>
      <c r="T1072" s="18"/>
      <c r="U1072"/>
      <c r="V1072"/>
      <c r="W1072"/>
      <c r="X1072"/>
      <c r="Y1072"/>
      <c r="Z1072"/>
      <c r="AA1072"/>
    </row>
    <row r="1073">
      <c r="A1073" s="35"/>
      <c r="B1073" t="n" s="17">
        <v>70036001</v>
      </c>
      <c r="C1073" t="str" s="37">
        <v>望岳津-旅修停留点</v>
      </c>
      <c r="D1073" t="str" s="3">
        <v>本轮新增剧情交互锚点；待地编定位，不代表聚落或常驻设施</v>
      </c>
      <c r="E1073" t="str" s="3">
        <v>70036001</v>
      </c>
      <c r="F1073" t="n" s="3">
        <v>3</v>
      </c>
      <c r="G1073" t="str" s="3">
        <v>NPC</v>
      </c>
      <c r="H1073" t="n" s="3">
        <v>6</v>
      </c>
      <c r="I1073" t="n" s="3">
        <v>0</v>
      </c>
      <c r="J1073" t="n" s="3">
        <v>1</v>
      </c>
      <c r="K1073" t="n" s="3">
        <v>0</v>
      </c>
      <c r="L1073" t="n" s="3">
        <v>0</v>
      </c>
      <c r="M1073" t="n" s="3">
        <v>0</v>
      </c>
      <c r="N1073" s="3"/>
      <c r="O1073" s="3"/>
      <c r="P1073" s="3"/>
      <c r="Q1073" s="3"/>
      <c r="R1073" t="n" s="3">
        <v>0</v>
      </c>
      <c r="S1073" s="17"/>
      <c r="T1073" s="18"/>
      <c r="U1073"/>
      <c r="V1073"/>
      <c r="W1073"/>
      <c r="X1073"/>
      <c r="Y1073"/>
      <c r="Z1073"/>
      <c r="AA1073"/>
    </row>
    <row r="1074">
      <c r="A1074" s="35"/>
      <c r="B1074" t="n" s="17">
        <v>70116001</v>
      </c>
      <c r="C1074" t="str" s="37">
        <v>汇歧渚-旅修停留点</v>
      </c>
      <c r="D1074" t="str" s="3">
        <v>本轮新增剧情交互锚点；待地编定位，不代表聚落或常驻设施</v>
      </c>
      <c r="E1074" t="str" s="3">
        <v>70116001</v>
      </c>
      <c r="F1074" t="n" s="3">
        <v>11</v>
      </c>
      <c r="G1074" t="str" s="3">
        <v>NPC</v>
      </c>
      <c r="H1074" t="n" s="3">
        <v>6</v>
      </c>
      <c r="I1074" t="n" s="3">
        <v>0</v>
      </c>
      <c r="J1074" t="n" s="3">
        <v>1</v>
      </c>
      <c r="K1074" t="n" s="3">
        <v>0</v>
      </c>
      <c r="L1074" t="n" s="3">
        <v>0</v>
      </c>
      <c r="M1074" t="n" s="3">
        <v>0</v>
      </c>
      <c r="N1074" s="3"/>
      <c r="O1074" s="3"/>
      <c r="P1074" s="3"/>
      <c r="Q1074" s="3"/>
      <c r="R1074" t="n" s="3">
        <v>0</v>
      </c>
      <c r="S1074" s="17"/>
      <c r="T1074" s="18"/>
      <c r="U1074"/>
      <c r="V1074"/>
      <c r="W1074"/>
      <c r="X1074"/>
      <c r="Y1074"/>
      <c r="Z1074"/>
      <c r="AA1074"/>
    </row>
    <row r="1075">
      <c r="A1075" s="35"/>
      <c r="B1075" t="n" s="17">
        <v>70206001</v>
      </c>
      <c r="C1075" t="str" s="37">
        <v>岔坡-旅修停留点</v>
      </c>
      <c r="D1075" t="str" s="3">
        <v>本轮新增剧情交互锚点；待地编定位，不代表聚落或常驻设施</v>
      </c>
      <c r="E1075" t="str" s="3">
        <v>70206001</v>
      </c>
      <c r="F1075" t="n" s="3">
        <v>20</v>
      </c>
      <c r="G1075" t="str" s="3">
        <v>NPC</v>
      </c>
      <c r="H1075" t="n" s="3">
        <v>6</v>
      </c>
      <c r="I1075" t="n" s="3">
        <v>0</v>
      </c>
      <c r="J1075" t="n" s="3">
        <v>1</v>
      </c>
      <c r="K1075" t="n" s="3">
        <v>0</v>
      </c>
      <c r="L1075" t="n" s="3">
        <v>0</v>
      </c>
      <c r="M1075" t="n" s="3">
        <v>0</v>
      </c>
      <c r="N1075" s="3"/>
      <c r="O1075" s="3"/>
      <c r="P1075" s="3"/>
      <c r="Q1075" s="3"/>
      <c r="R1075" t="n" s="3">
        <v>0</v>
      </c>
      <c r="S1075" s="17"/>
      <c r="T1075" s="18"/>
      <c r="U1075"/>
      <c r="V1075"/>
      <c r="W1075"/>
      <c r="X1075"/>
      <c r="Y1075"/>
      <c r="Z1075"/>
      <c r="AA1075"/>
    </row>
    <row r="1076">
      <c r="A1076" s="35"/>
      <c r="B1076" t="n" s="17">
        <v>70296001</v>
      </c>
      <c r="C1076" t="str" s="37">
        <v>断墙-旅修停留点</v>
      </c>
      <c r="D1076" t="str" s="3">
        <v>本轮新增剧情交互锚点；待地编定位，不代表聚落或常驻设施</v>
      </c>
      <c r="E1076" t="str" s="3">
        <v>70296001</v>
      </c>
      <c r="F1076" t="n" s="3">
        <v>29</v>
      </c>
      <c r="G1076" t="str" s="3">
        <v>NPC</v>
      </c>
      <c r="H1076" t="n" s="3">
        <v>6</v>
      </c>
      <c r="I1076" t="n" s="3">
        <v>0</v>
      </c>
      <c r="J1076" t="n" s="3">
        <v>1</v>
      </c>
      <c r="K1076" t="n" s="3">
        <v>0</v>
      </c>
      <c r="L1076" t="n" s="3">
        <v>0</v>
      </c>
      <c r="M1076" t="n" s="3">
        <v>0</v>
      </c>
      <c r="N1076" s="3"/>
      <c r="O1076" s="3"/>
      <c r="P1076" s="3"/>
      <c r="Q1076" s="3"/>
      <c r="R1076" t="n" s="3">
        <v>0</v>
      </c>
      <c r="S1076" s="17"/>
      <c r="T1076" s="18"/>
      <c r="U1076"/>
      <c r="V1076"/>
      <c r="W1076"/>
      <c r="X1076"/>
      <c r="Y1076"/>
      <c r="Z1076"/>
      <c r="AA1076"/>
    </row>
    <row r="1077">
      <c r="A1077" s="35"/>
      <c r="B1077" t="n" s="17">
        <v>70386001</v>
      </c>
      <c r="C1077" t="str" s="37">
        <v>石息-旅修停留点</v>
      </c>
      <c r="D1077" t="str" s="3">
        <v>本轮新增剧情交互锚点；待地编定位，不代表聚落或常驻设施</v>
      </c>
      <c r="E1077" t="str" s="3">
        <v>70386001</v>
      </c>
      <c r="F1077" t="n" s="3">
        <v>38</v>
      </c>
      <c r="G1077" t="str" s="3">
        <v>NPC</v>
      </c>
      <c r="H1077" t="n" s="3">
        <v>6</v>
      </c>
      <c r="I1077" t="n" s="3">
        <v>0</v>
      </c>
      <c r="J1077" t="n" s="3">
        <v>1</v>
      </c>
      <c r="K1077" t="n" s="3">
        <v>0</v>
      </c>
      <c r="L1077" t="n" s="3">
        <v>0</v>
      </c>
      <c r="M1077" t="n" s="3">
        <v>0</v>
      </c>
      <c r="N1077" s="3"/>
      <c r="O1077" s="3"/>
      <c r="P1077" s="3"/>
      <c r="Q1077" s="3"/>
      <c r="R1077" t="n" s="3">
        <v>0</v>
      </c>
      <c r="S1077" s="17"/>
      <c r="T1077" s="18"/>
      <c r="U1077"/>
      <c r="V1077"/>
      <c r="W1077"/>
      <c r="X1077"/>
      <c r="Y1077"/>
      <c r="Z1077"/>
      <c r="AA1077"/>
    </row>
    <row r="1078">
      <c r="A1078" s="35"/>
      <c r="B1078" t="n" s="17">
        <v>70476001</v>
      </c>
      <c r="C1078" t="str" s="37">
        <v>风候-旅修停留点</v>
      </c>
      <c r="D1078" t="str" s="3">
        <v>本轮新增剧情交互锚点；待地编定位，不代表聚落或常驻设施</v>
      </c>
      <c r="E1078" t="str" s="3">
        <v>70476001</v>
      </c>
      <c r="F1078" t="n" s="3">
        <v>47</v>
      </c>
      <c r="G1078" t="str" s="3">
        <v>NPC</v>
      </c>
      <c r="H1078" t="n" s="3">
        <v>6</v>
      </c>
      <c r="I1078" t="n" s="3">
        <v>0</v>
      </c>
      <c r="J1078" t="n" s="3">
        <v>1</v>
      </c>
      <c r="K1078" t="n" s="3">
        <v>0</v>
      </c>
      <c r="L1078" t="n" s="3">
        <v>0</v>
      </c>
      <c r="M1078" t="n" s="3">
        <v>0</v>
      </c>
      <c r="N1078" s="3"/>
      <c r="O1078" s="3"/>
      <c r="P1078" s="3"/>
      <c r="Q1078" s="3"/>
      <c r="R1078" t="n" s="3">
        <v>0</v>
      </c>
      <c r="S1078" s="17"/>
      <c r="T1078" s="18"/>
      <c r="U1078"/>
      <c r="V1078"/>
      <c r="W1078"/>
      <c r="X1078"/>
      <c r="Y1078"/>
      <c r="Z1078"/>
      <c r="AA1078"/>
    </row>
    <row r="1079">
      <c r="A1079" s="35"/>
      <c r="B1079" t="n" s="17">
        <v>70566001</v>
      </c>
      <c r="C1079" t="str" s="37">
        <v>望来石-旅修停留点</v>
      </c>
      <c r="D1079" t="str" s="3">
        <v>本轮新增剧情交互锚点；待地编定位，不代表聚落或常驻设施</v>
      </c>
      <c r="E1079" t="str" s="3">
        <v>70566001</v>
      </c>
      <c r="F1079" t="n" s="3">
        <v>56</v>
      </c>
      <c r="G1079" t="str" s="3">
        <v>NPC</v>
      </c>
      <c r="H1079" t="n" s="3">
        <v>6</v>
      </c>
      <c r="I1079" t="n" s="3">
        <v>0</v>
      </c>
      <c r="J1079" t="n" s="3">
        <v>1</v>
      </c>
      <c r="K1079" t="n" s="3">
        <v>0</v>
      </c>
      <c r="L1079" t="n" s="3">
        <v>0</v>
      </c>
      <c r="M1079" t="n" s="3">
        <v>0</v>
      </c>
      <c r="N1079" s="3"/>
      <c r="O1079" s="3"/>
      <c r="P1079" s="3"/>
      <c r="Q1079" s="3"/>
      <c r="R1079" t="n" s="3">
        <v>0</v>
      </c>
      <c r="S1079" s="17"/>
      <c r="T1079" s="18"/>
      <c r="U1079"/>
      <c r="V1079"/>
      <c r="W1079"/>
      <c r="X1079"/>
      <c r="Y1079"/>
      <c r="Z1079"/>
      <c r="AA1079"/>
    </row>
    <row r="1080">
      <c r="A1080" s="35"/>
      <c r="B1080" t="n" s="17">
        <v>70075901</v>
      </c>
      <c r="C1080" t="str" s="37">
        <v>异霭浦-可选遭遇锚点</v>
      </c>
      <c r="D1080" t="str" s="3">
        <v>新增局部遭遇锚点，待地编定位；不得覆盖灵植、安全与传送区域</v>
      </c>
      <c r="E1080" t="str" s="3">
        <v>70075901</v>
      </c>
      <c r="F1080" t="n" s="3">
        <v>7</v>
      </c>
      <c r="G1080" t="str" s="3">
        <v>怪物</v>
      </c>
      <c r="H1080" t="n" s="3">
        <v>5</v>
      </c>
      <c r="I1080" t="n" s="3">
        <v>9</v>
      </c>
      <c r="J1080" t="n" s="3">
        <v>1</v>
      </c>
      <c r="K1080" t="n" s="3">
        <v>0</v>
      </c>
      <c r="L1080" t="n" s="3">
        <v>0</v>
      </c>
      <c r="M1080" t="n" s="3">
        <v>0</v>
      </c>
      <c r="N1080" s="3"/>
      <c r="O1080" s="3"/>
      <c r="P1080" s="3"/>
      <c r="Q1080" s="3"/>
      <c r="R1080" t="n" s="3">
        <v>0</v>
      </c>
      <c r="S1080" t="str" s="17">
        <v>本轮完整刷新挂接；有效坐标注入后验证</v>
      </c>
      <c r="T1080" t="n" s="18">
        <v>1007304</v>
      </c>
      <c r="U1080" t="n">
        <v>1007404</v>
      </c>
      <c r="V1080" t="n">
        <v>1007504</v>
      </c>
      <c r="W1080" t="n">
        <v>1900234</v>
      </c>
      <c r="X1080"/>
      <c r="Y1080"/>
      <c r="Z1080"/>
      <c r="AA1080"/>
    </row>
    <row r="1081">
      <c r="A1081" s="35"/>
      <c r="B1081" t="n" s="17">
        <v>70085901</v>
      </c>
      <c r="C1081" t="str" s="37">
        <v>砾台-可选遭遇锚点</v>
      </c>
      <c r="D1081" t="str" s="3">
        <v>新增局部遭遇锚点，待地编定位；不得覆盖灵植、安全与传送区域</v>
      </c>
      <c r="E1081" t="str" s="3">
        <v>70085901</v>
      </c>
      <c r="F1081" t="n" s="3">
        <v>8</v>
      </c>
      <c r="G1081" t="str" s="3">
        <v>怪物</v>
      </c>
      <c r="H1081" t="n" s="3">
        <v>5</v>
      </c>
      <c r="I1081" t="n" s="3">
        <v>9</v>
      </c>
      <c r="J1081" t="n" s="3">
        <v>1</v>
      </c>
      <c r="K1081" t="n" s="3">
        <v>0</v>
      </c>
      <c r="L1081" t="n" s="3">
        <v>0</v>
      </c>
      <c r="M1081" t="n" s="3">
        <v>0</v>
      </c>
      <c r="N1081" s="3"/>
      <c r="O1081" s="3"/>
      <c r="P1081" s="3"/>
      <c r="Q1081" s="3"/>
      <c r="R1081" t="n" s="3">
        <v>0</v>
      </c>
      <c r="S1081" t="str" s="17">
        <v>本轮完整刷新挂接；有效坐标注入后验证</v>
      </c>
      <c r="T1081" t="n" s="18">
        <v>1008304</v>
      </c>
      <c r="U1081" t="n">
        <v>1008404</v>
      </c>
      <c r="V1081" t="n">
        <v>1008504</v>
      </c>
      <c r="W1081" t="n">
        <v>1900235</v>
      </c>
      <c r="X1081"/>
      <c r="Y1081"/>
      <c r="Z1081"/>
      <c r="AA1081"/>
    </row>
    <row r="1082">
      <c r="A1082" s="35"/>
      <c r="B1082" t="n" s="17">
        <v>70165901</v>
      </c>
      <c r="C1082" t="str" s="37">
        <v>粉浪风-可选遭遇锚点</v>
      </c>
      <c r="D1082" t="str" s="3">
        <v>新增局部遭遇锚点，待地编定位；不得覆盖灵植、安全与传送区域</v>
      </c>
      <c r="E1082" t="str" s="3">
        <v>70165901</v>
      </c>
      <c r="F1082" t="n" s="3">
        <v>16</v>
      </c>
      <c r="G1082" t="str" s="3">
        <v>怪物</v>
      </c>
      <c r="H1082" t="n" s="3">
        <v>5</v>
      </c>
      <c r="I1082" t="n" s="3">
        <v>9</v>
      </c>
      <c r="J1082" t="n" s="3">
        <v>1</v>
      </c>
      <c r="K1082" t="n" s="3">
        <v>0</v>
      </c>
      <c r="L1082" t="n" s="3">
        <v>0</v>
      </c>
      <c r="M1082" t="n" s="3">
        <v>0</v>
      </c>
      <c r="N1082" s="3"/>
      <c r="O1082" s="3"/>
      <c r="P1082" s="3"/>
      <c r="Q1082" s="3"/>
      <c r="R1082" t="n" s="3">
        <v>0</v>
      </c>
      <c r="S1082" t="str" s="17">
        <v>本轮完整刷新挂接；有效坐标注入后验证</v>
      </c>
      <c r="T1082" t="n" s="18">
        <v>1015303</v>
      </c>
      <c r="U1082" t="n">
        <v>1015403</v>
      </c>
      <c r="V1082" t="n">
        <v>1015503</v>
      </c>
      <c r="W1082" t="n">
        <v>1900237</v>
      </c>
      <c r="X1082"/>
      <c r="Y1082"/>
      <c r="Z1082"/>
      <c r="AA1082"/>
    </row>
    <row r="1083">
      <c r="A1083" s="35"/>
      <c r="B1083" t="n" s="17">
        <v>70175901</v>
      </c>
      <c r="C1083" t="str" s="37">
        <v>漫莎台-可选遭遇锚点</v>
      </c>
      <c r="D1083" t="str" s="3">
        <v>新增局部遭遇锚点，待地编定位；不得覆盖灵植、安全与传送区域</v>
      </c>
      <c r="E1083" t="str" s="3">
        <v>70175901</v>
      </c>
      <c r="F1083" t="n" s="3">
        <v>17</v>
      </c>
      <c r="G1083" t="str" s="3">
        <v>怪物</v>
      </c>
      <c r="H1083" t="n" s="3">
        <v>5</v>
      </c>
      <c r="I1083" t="n" s="3">
        <v>9</v>
      </c>
      <c r="J1083" t="n" s="3">
        <v>1</v>
      </c>
      <c r="K1083" t="n" s="3">
        <v>0</v>
      </c>
      <c r="L1083" t="n" s="3">
        <v>0</v>
      </c>
      <c r="M1083" t="n" s="3">
        <v>0</v>
      </c>
      <c r="N1083" s="3"/>
      <c r="O1083" s="3"/>
      <c r="P1083" s="3"/>
      <c r="Q1083" s="3"/>
      <c r="R1083" t="n" s="3">
        <v>0</v>
      </c>
      <c r="S1083" t="str" s="17">
        <v>本轮完整刷新挂接；有效坐标注入后验证</v>
      </c>
      <c r="T1083" t="n" s="18">
        <v>1016303</v>
      </c>
      <c r="U1083" t="n">
        <v>1016403</v>
      </c>
      <c r="V1083" t="n">
        <v>1900238</v>
      </c>
      <c r="W1083"/>
      <c r="X1083"/>
      <c r="Y1083"/>
      <c r="Z1083"/>
      <c r="AA1083"/>
    </row>
    <row r="1084">
      <c r="A1084" s="35"/>
      <c r="B1084" t="n" s="17">
        <v>70255901</v>
      </c>
      <c r="C1084" t="str" s="37">
        <v>褐苔含润-可选遭遇锚点</v>
      </c>
      <c r="D1084" t="str" s="3">
        <v>新增局部遭遇锚点，待地编定位；不得覆盖灵植、安全与传送区域</v>
      </c>
      <c r="E1084" t="str" s="3">
        <v>70255901</v>
      </c>
      <c r="F1084" t="n" s="3">
        <v>25</v>
      </c>
      <c r="G1084" t="str" s="3">
        <v>怪物</v>
      </c>
      <c r="H1084" t="n" s="3">
        <v>5</v>
      </c>
      <c r="I1084" t="n" s="3">
        <v>9</v>
      </c>
      <c r="J1084" t="n" s="3">
        <v>1</v>
      </c>
      <c r="K1084" t="n" s="3">
        <v>0</v>
      </c>
      <c r="L1084" t="n" s="3">
        <v>0</v>
      </c>
      <c r="M1084" t="n" s="3">
        <v>0</v>
      </c>
      <c r="N1084" s="3"/>
      <c r="O1084" s="3"/>
      <c r="P1084" s="3"/>
      <c r="Q1084" s="3"/>
      <c r="R1084" t="n" s="3">
        <v>0</v>
      </c>
      <c r="S1084" t="str" s="17">
        <v>本轮完整刷新挂接；有效坐标注入后验证</v>
      </c>
      <c r="T1084" t="n" s="18">
        <v>1022304</v>
      </c>
      <c r="U1084" t="n">
        <v>1022404</v>
      </c>
      <c r="V1084" t="n">
        <v>1900239</v>
      </c>
      <c r="W1084"/>
      <c r="X1084"/>
      <c r="Y1084"/>
      <c r="Z1084"/>
      <c r="AA1084"/>
    </row>
    <row r="1085">
      <c r="A1085" s="35"/>
      <c r="B1085" t="n" s="17">
        <v>70265901</v>
      </c>
      <c r="C1085" t="str" s="37">
        <v>肩生瘠芽-可选遭遇锚点</v>
      </c>
      <c r="D1085" t="str" s="3">
        <v>新增局部遭遇锚点，待地编定位；不得覆盖灵植、安全与传送区域</v>
      </c>
      <c r="E1085" t="str" s="3">
        <v>70265901</v>
      </c>
      <c r="F1085" t="n" s="3">
        <v>26</v>
      </c>
      <c r="G1085" t="str" s="3">
        <v>怪物</v>
      </c>
      <c r="H1085" t="n" s="3">
        <v>5</v>
      </c>
      <c r="I1085" t="n" s="3">
        <v>9</v>
      </c>
      <c r="J1085" t="n" s="3">
        <v>1</v>
      </c>
      <c r="K1085" t="n" s="3">
        <v>0</v>
      </c>
      <c r="L1085" t="n" s="3">
        <v>0</v>
      </c>
      <c r="M1085" t="n" s="3">
        <v>0</v>
      </c>
      <c r="N1085" s="3"/>
      <c r="O1085" s="3"/>
      <c r="P1085" s="3"/>
      <c r="Q1085" s="3"/>
      <c r="R1085" t="n" s="3">
        <v>0</v>
      </c>
      <c r="S1085" t="str" s="17">
        <v>本轮完整刷新挂接；有效坐标注入后验证</v>
      </c>
      <c r="T1085" t="n" s="18">
        <v>1023304</v>
      </c>
      <c r="U1085" t="n">
        <v>1023404</v>
      </c>
      <c r="V1085" t="n">
        <v>1900240</v>
      </c>
      <c r="W1085"/>
      <c r="X1085"/>
      <c r="Y1085"/>
      <c r="Z1085"/>
      <c r="AA1085"/>
    </row>
    <row r="1086">
      <c r="A1086" s="35"/>
      <c r="B1086" t="n" s="17">
        <v>70335901</v>
      </c>
      <c r="C1086" t="str" s="37">
        <v>隙光苔-可选遭遇锚点</v>
      </c>
      <c r="D1086" t="str" s="3">
        <v>新增局部遭遇锚点，待地编定位；不得覆盖灵植、安全与传送区域</v>
      </c>
      <c r="E1086" t="str" s="3">
        <v>70335901</v>
      </c>
      <c r="F1086" t="n" s="3">
        <v>33</v>
      </c>
      <c r="G1086" t="str" s="3">
        <v>怪物</v>
      </c>
      <c r="H1086" t="n" s="3">
        <v>5</v>
      </c>
      <c r="I1086" t="n" s="3">
        <v>9</v>
      </c>
      <c r="J1086" t="n" s="3">
        <v>1</v>
      </c>
      <c r="K1086" t="n" s="3">
        <v>0</v>
      </c>
      <c r="L1086" t="n" s="3">
        <v>0</v>
      </c>
      <c r="M1086" t="n" s="3">
        <v>0</v>
      </c>
      <c r="N1086" s="3"/>
      <c r="O1086" s="3"/>
      <c r="P1086" s="3"/>
      <c r="Q1086" s="3"/>
      <c r="R1086" t="n" s="3">
        <v>0</v>
      </c>
      <c r="S1086" t="str" s="17">
        <v>本轮完整刷新挂接；有效坐标注入后验证</v>
      </c>
      <c r="T1086" t="n" s="18">
        <v>1045304</v>
      </c>
      <c r="U1086" t="n">
        <v>1900243</v>
      </c>
      <c r="V1086"/>
      <c r="W1086"/>
      <c r="X1086"/>
      <c r="Y1086"/>
      <c r="Z1086"/>
      <c r="AA1086"/>
    </row>
    <row r="1087">
      <c r="A1087" s="35"/>
      <c r="B1087" t="n" s="17">
        <v>70345901</v>
      </c>
      <c r="C1087" t="str" s="37">
        <v>浸岩菖-可选遭遇锚点</v>
      </c>
      <c r="D1087" t="str" s="3">
        <v>新增局部遭遇锚点，待地编定位；不得覆盖灵植、安全与传送区域</v>
      </c>
      <c r="E1087" t="str" s="3">
        <v>70345901</v>
      </c>
      <c r="F1087" t="n" s="3">
        <v>34</v>
      </c>
      <c r="G1087" t="str" s="3">
        <v>怪物</v>
      </c>
      <c r="H1087" t="n" s="3">
        <v>5</v>
      </c>
      <c r="I1087" t="n" s="3">
        <v>9</v>
      </c>
      <c r="J1087" t="n" s="3">
        <v>1</v>
      </c>
      <c r="K1087" t="n" s="3">
        <v>0</v>
      </c>
      <c r="L1087" t="n" s="3">
        <v>0</v>
      </c>
      <c r="M1087" t="n" s="3">
        <v>0</v>
      </c>
      <c r="N1087" s="3"/>
      <c r="O1087" s="3"/>
      <c r="P1087" s="3"/>
      <c r="Q1087" s="3"/>
      <c r="R1087" t="n" s="3">
        <v>0</v>
      </c>
      <c r="S1087" t="str" s="17">
        <v>本轮完整刷新挂接；有效坐标注入后验证</v>
      </c>
      <c r="T1087" t="n" s="18">
        <v>1046304</v>
      </c>
      <c r="U1087" t="n">
        <v>1900244</v>
      </c>
      <c r="V1087"/>
      <c r="W1087"/>
      <c r="X1087"/>
      <c r="Y1087"/>
      <c r="Z1087"/>
      <c r="AA1087"/>
    </row>
    <row r="1088">
      <c r="A1088" s="35"/>
      <c r="B1088" t="n" s="17">
        <v>70425901</v>
      </c>
      <c r="C1088" t="str" s="37">
        <v>云根露-可选遭遇锚点</v>
      </c>
      <c r="D1088" t="str" s="3">
        <v>新增局部遭遇锚点，待地编定位；不得覆盖灵植、安全与传送区域</v>
      </c>
      <c r="E1088" t="str" s="3">
        <v>70425901</v>
      </c>
      <c r="F1088" t="n" s="3">
        <v>42</v>
      </c>
      <c r="G1088" t="str" s="3">
        <v>怪物</v>
      </c>
      <c r="H1088" t="n" s="3">
        <v>5</v>
      </c>
      <c r="I1088" t="n" s="3">
        <v>9</v>
      </c>
      <c r="J1088" t="n" s="3">
        <v>1</v>
      </c>
      <c r="K1088" t="n" s="3">
        <v>0</v>
      </c>
      <c r="L1088" t="n" s="3">
        <v>0</v>
      </c>
      <c r="M1088" t="n" s="3">
        <v>0</v>
      </c>
      <c r="N1088" s="3"/>
      <c r="O1088" s="3"/>
      <c r="P1088" s="3"/>
      <c r="Q1088" s="3"/>
      <c r="R1088" t="n" s="3">
        <v>0</v>
      </c>
      <c r="S1088" t="str" s="17">
        <v>本轮完整刷新挂接；有效坐标注入后验证</v>
      </c>
      <c r="T1088" t="n" s="18">
        <v>1054304</v>
      </c>
      <c r="U1088" t="n">
        <v>1900248</v>
      </c>
      <c r="V1088"/>
      <c r="W1088"/>
      <c r="X1088"/>
      <c r="Y1088"/>
      <c r="Z1088"/>
      <c r="AA1088"/>
    </row>
    <row r="1089">
      <c r="A1089" s="35"/>
      <c r="B1089" t="n" s="17">
        <v>70435901</v>
      </c>
      <c r="C1089" t="str" s="37">
        <v>风痕苔生-可选遭遇锚点</v>
      </c>
      <c r="D1089" t="str" s="3">
        <v>新增局部遭遇锚点，待地编定位；不得覆盖灵植、安全与传送区域</v>
      </c>
      <c r="E1089" t="str" s="3">
        <v>70435901</v>
      </c>
      <c r="F1089" t="n" s="3">
        <v>43</v>
      </c>
      <c r="G1089" t="str" s="3">
        <v>怪物</v>
      </c>
      <c r="H1089" t="n" s="3">
        <v>5</v>
      </c>
      <c r="I1089" t="n" s="3">
        <v>9</v>
      </c>
      <c r="J1089" t="n" s="3">
        <v>1</v>
      </c>
      <c r="K1089" t="n" s="3">
        <v>0</v>
      </c>
      <c r="L1089" t="n" s="3">
        <v>0</v>
      </c>
      <c r="M1089" t="n" s="3">
        <v>0</v>
      </c>
      <c r="N1089" s="3"/>
      <c r="O1089" s="3"/>
      <c r="P1089" s="3"/>
      <c r="Q1089" s="3"/>
      <c r="R1089" t="n" s="3">
        <v>0</v>
      </c>
      <c r="S1089" t="str" s="17">
        <v>本轮完整刷新挂接；有效坐标注入后验证</v>
      </c>
      <c r="T1089" t="n" s="18">
        <v>1055304</v>
      </c>
      <c r="U1089" t="n">
        <v>1900249</v>
      </c>
      <c r="V1089"/>
      <c r="W1089"/>
      <c r="X1089"/>
      <c r="Y1089"/>
      <c r="Z1089"/>
      <c r="AA1089"/>
    </row>
    <row r="1090">
      <c r="A1090" s="35"/>
      <c r="B1090" t="n" s="17">
        <v>70535901</v>
      </c>
      <c r="C1090" t="str" s="37">
        <v>鞍窍-可选遭遇锚点</v>
      </c>
      <c r="D1090" t="str" s="3">
        <v>新增局部遭遇锚点，待地编定位；不得覆盖灵植、安全与传送区域</v>
      </c>
      <c r="E1090" t="str" s="3">
        <v>70535901</v>
      </c>
      <c r="F1090" t="n" s="3">
        <v>53</v>
      </c>
      <c r="G1090" t="str" s="3">
        <v>怪物</v>
      </c>
      <c r="H1090" t="n" s="3">
        <v>5</v>
      </c>
      <c r="I1090" t="n" s="3">
        <v>9</v>
      </c>
      <c r="J1090" t="n" s="3">
        <v>1</v>
      </c>
      <c r="K1090" t="n" s="3">
        <v>0</v>
      </c>
      <c r="L1090" t="n" s="3">
        <v>0</v>
      </c>
      <c r="M1090" t="n" s="3">
        <v>0</v>
      </c>
      <c r="N1090" s="3"/>
      <c r="O1090" s="3"/>
      <c r="P1090" s="3"/>
      <c r="Q1090" s="3"/>
      <c r="R1090" t="n" s="3">
        <v>0</v>
      </c>
      <c r="S1090" t="str" s="17">
        <v>本轮完整刷新挂接；有效坐标注入后验证</v>
      </c>
      <c r="T1090" t="n" s="18">
        <v>1060103</v>
      </c>
      <c r="U1090" t="n">
        <v>1060304</v>
      </c>
      <c r="V1090" t="n">
        <v>1060404</v>
      </c>
      <c r="W1090" t="n">
        <v>1060504</v>
      </c>
      <c r="X1090" t="n">
        <v>1900250</v>
      </c>
      <c r="Y1090"/>
      <c r="Z1090"/>
      <c r="AA1090"/>
    </row>
    <row r="1091">
      <c r="A1091" s="35"/>
      <c r="B1091" t="n" s="17">
        <v>70545901</v>
      </c>
      <c r="C1091" t="str" s="37">
        <v>霁台-可选遭遇锚点</v>
      </c>
      <c r="D1091" t="str" s="3">
        <v>新增局部遭遇锚点，待地编定位；不得覆盖灵植、安全与传送区域</v>
      </c>
      <c r="E1091" t="str" s="3">
        <v>70545901</v>
      </c>
      <c r="F1091" t="n" s="3">
        <v>54</v>
      </c>
      <c r="G1091" t="str" s="3">
        <v>怪物</v>
      </c>
      <c r="H1091" t="n" s="3">
        <v>5</v>
      </c>
      <c r="I1091" t="n" s="3">
        <v>9</v>
      </c>
      <c r="J1091" t="n" s="3">
        <v>1</v>
      </c>
      <c r="K1091" t="n" s="3">
        <v>0</v>
      </c>
      <c r="L1091" t="n" s="3">
        <v>0</v>
      </c>
      <c r="M1091" t="n" s="3">
        <v>0</v>
      </c>
      <c r="N1091" s="3"/>
      <c r="O1091" s="3"/>
      <c r="P1091" s="3"/>
      <c r="Q1091" s="3"/>
      <c r="R1091" t="n" s="3">
        <v>0</v>
      </c>
      <c r="S1091" t="str" s="17">
        <v>本轮完整刷新挂接；有效坐标注入后验证</v>
      </c>
      <c r="T1091" t="n" s="18">
        <v>1063103</v>
      </c>
      <c r="U1091" t="n">
        <v>1063304</v>
      </c>
      <c r="V1091" t="n">
        <v>1063404</v>
      </c>
      <c r="W1091" t="n">
        <v>1063504</v>
      </c>
      <c r="X1091" t="n">
        <v>1900251</v>
      </c>
      <c r="Y1091"/>
      <c r="Z1091"/>
      <c r="AA1091"/>
    </row>
    <row r="1092">
      <c r="A1092" s="35"/>
      <c r="B1092" t="n" s="17">
        <v>70605901</v>
      </c>
      <c r="C1092" t="str" s="37">
        <v>回光藓-可选遭遇锚点</v>
      </c>
      <c r="D1092" t="str" s="3">
        <v>新增局部遭遇锚点，待地编定位；不得覆盖灵植、安全与传送区域</v>
      </c>
      <c r="E1092" t="str" s="3">
        <v>70605901</v>
      </c>
      <c r="F1092" t="n" s="3">
        <v>60</v>
      </c>
      <c r="G1092" t="str" s="3">
        <v>怪物</v>
      </c>
      <c r="H1092" t="n" s="3">
        <v>5</v>
      </c>
      <c r="I1092" t="n" s="3">
        <v>9</v>
      </c>
      <c r="J1092" t="n" s="3">
        <v>1</v>
      </c>
      <c r="K1092" t="n" s="3">
        <v>0</v>
      </c>
      <c r="L1092" t="n" s="3">
        <v>0</v>
      </c>
      <c r="M1092" t="n" s="3">
        <v>0</v>
      </c>
      <c r="N1092" s="3"/>
      <c r="O1092" s="3"/>
      <c r="P1092" s="3"/>
      <c r="Q1092" s="3"/>
      <c r="R1092" t="n" s="3">
        <v>0</v>
      </c>
      <c r="S1092" t="str" s="17">
        <v>本轮完整刷新挂接；R08仅临时遭遇，待实例一次性状态接入</v>
      </c>
      <c r="T1092" t="n" s="18">
        <v>1069304</v>
      </c>
      <c r="U1092" t="n">
        <v>1900254</v>
      </c>
      <c r="V1092"/>
      <c r="W1092"/>
      <c r="X1092"/>
      <c r="Y1092"/>
      <c r="Z1092"/>
      <c r="AA1092"/>
    </row>
    <row r="1093">
      <c r="A1093" s="35"/>
      <c r="B1093" t="n" s="17">
        <v>70615901</v>
      </c>
      <c r="C1093" t="str" s="37">
        <v>风偃枝-可选遭遇锚点</v>
      </c>
      <c r="D1093" t="str" s="3">
        <v>新增局部遭遇锚点，待地编定位；不得覆盖灵植、安全与传送区域</v>
      </c>
      <c r="E1093" t="str" s="3">
        <v>70615901</v>
      </c>
      <c r="F1093" t="n" s="3">
        <v>61</v>
      </c>
      <c r="G1093" t="str" s="3">
        <v>怪物</v>
      </c>
      <c r="H1093" t="n" s="3">
        <v>5</v>
      </c>
      <c r="I1093" t="n" s="3">
        <v>9</v>
      </c>
      <c r="J1093" t="n" s="3">
        <v>1</v>
      </c>
      <c r="K1093" t="n" s="3">
        <v>0</v>
      </c>
      <c r="L1093" t="n" s="3">
        <v>0</v>
      </c>
      <c r="M1093" t="n" s="3">
        <v>0</v>
      </c>
      <c r="N1093" s="3"/>
      <c r="O1093" s="3"/>
      <c r="P1093" s="3"/>
      <c r="Q1093" s="3"/>
      <c r="R1093" t="n" s="3">
        <v>0</v>
      </c>
      <c r="S1093" t="str" s="17">
        <v>本轮完整刷新挂接；R08仅临时遭遇，待实例一次性状态接入</v>
      </c>
      <c r="T1093" t="n" s="18">
        <v>1070304</v>
      </c>
      <c r="U1093" t="n">
        <v>1900255</v>
      </c>
      <c r="V1093"/>
      <c r="W1093"/>
      <c r="X1093"/>
      <c r="Y1093"/>
      <c r="Z1093"/>
      <c r="AA1093"/>
    </row>
    <row r="1094">
      <c r="A1094" s="35"/>
      <c r="B1094" t="n" s="17">
        <v>70019001</v>
      </c>
      <c r="C1094" t="str" s="37">
        <v>万宝坊市-陆青-服务锚点</v>
      </c>
      <c r="D1094" t="str" s="3">
        <v>独立审核修复：服务NPC不得占用怪物刷新锚点；坐标待地编真实注入</v>
      </c>
      <c r="E1094" t="str" s="3">
        <v>WBF_NPC_70001</v>
      </c>
      <c r="F1094" t="n" s="3">
        <v>1</v>
      </c>
      <c r="G1094" t="str" s="3">
        <v>NPC</v>
      </c>
      <c r="H1094" t="n" s="3">
        <v>9</v>
      </c>
      <c r="I1094" t="n" s="3">
        <v>0</v>
      </c>
      <c r="J1094" t="n" s="3">
        <v>1</v>
      </c>
      <c r="K1094" t="n" s="3">
        <v>0</v>
      </c>
      <c r="L1094" t="n" s="3">
        <v>0</v>
      </c>
      <c r="M1094" t="n" s="3">
        <v>0</v>
      </c>
      <c r="N1094" s="3"/>
      <c r="O1094" s="3"/>
      <c r="P1094" s="3"/>
      <c r="Q1094" s="3"/>
      <c r="R1094" t="n" s="3">
        <v>0</v>
      </c>
      <c r="S1094" s="17"/>
      <c r="T1094" s="18"/>
      <c r="U1094"/>
      <c r="V1094"/>
      <c r="W1094"/>
      <c r="X1094"/>
      <c r="Y1094"/>
      <c r="Z1094"/>
      <c r="AA1094"/>
    </row>
    <row r="1095">
      <c r="A1095" s="35"/>
      <c r="B1095" t="n" s="17">
        <v>70019002</v>
      </c>
      <c r="C1095" t="str" s="37">
        <v>万宝坊市-莫离-服务锚点</v>
      </c>
      <c r="D1095" t="str" s="3">
        <v>独立审核修复：服务NPC不得占用怪物刷新锚点；坐标待地编真实注入</v>
      </c>
      <c r="E1095" t="str" s="3">
        <v>WBF_NPC_70002</v>
      </c>
      <c r="F1095" t="n" s="3">
        <v>1</v>
      </c>
      <c r="G1095" t="str" s="3">
        <v>NPC</v>
      </c>
      <c r="H1095" t="n" s="3">
        <v>9</v>
      </c>
      <c r="I1095" t="n" s="3">
        <v>0</v>
      </c>
      <c r="J1095" t="n" s="3">
        <v>2</v>
      </c>
      <c r="K1095" t="n" s="3">
        <v>0</v>
      </c>
      <c r="L1095" t="n" s="3">
        <v>0</v>
      </c>
      <c r="M1095" t="n" s="3">
        <v>0</v>
      </c>
      <c r="N1095" s="3"/>
      <c r="O1095" s="3"/>
      <c r="P1095" s="3"/>
      <c r="Q1095" s="3"/>
      <c r="R1095" t="n" s="3">
        <v>0</v>
      </c>
      <c r="S1095" s="17"/>
      <c r="T1095" s="18"/>
      <c r="U1095"/>
      <c r="V1095"/>
      <c r="W1095"/>
      <c r="X1095"/>
      <c r="Y1095"/>
      <c r="Z1095"/>
      <c r="AA1095"/>
    </row>
    <row r="1096">
      <c r="A1096" s="35"/>
      <c r="B1096" t="n" s="17">
        <v>70019003</v>
      </c>
      <c r="C1096" t="str" s="37">
        <v>万宝坊市-师兄-服务锚点</v>
      </c>
      <c r="D1096" t="str" s="3">
        <v>独立审核修复：服务NPC不得占用怪物刷新锚点；坐标待地编真实注入</v>
      </c>
      <c r="E1096" t="str" s="3">
        <v>WBF_NPC_70003</v>
      </c>
      <c r="F1096" t="n" s="3">
        <v>1</v>
      </c>
      <c r="G1096" t="str" s="3">
        <v>NPC</v>
      </c>
      <c r="H1096" t="n" s="3">
        <v>9</v>
      </c>
      <c r="I1096" t="n" s="3">
        <v>0</v>
      </c>
      <c r="J1096" t="n" s="3">
        <v>3</v>
      </c>
      <c r="K1096" t="n" s="3">
        <v>0</v>
      </c>
      <c r="L1096" t="n" s="3">
        <v>0</v>
      </c>
      <c r="M1096" t="n" s="3">
        <v>0</v>
      </c>
      <c r="N1096" s="3"/>
      <c r="O1096" s="3"/>
      <c r="P1096" s="3"/>
      <c r="Q1096" s="3"/>
      <c r="R1096" t="n" s="3">
        <v>0</v>
      </c>
      <c r="S1096" s="17"/>
      <c r="T1096" s="18"/>
      <c r="U1096"/>
      <c r="V1096"/>
      <c r="W1096"/>
      <c r="X1096"/>
      <c r="Y1096"/>
      <c r="Z1096"/>
      <c r="AA1096"/>
    </row>
    <row r="1097">
      <c r="A1097" s="35"/>
      <c r="B1097" t="n" s="17">
        <v>70019004</v>
      </c>
      <c r="C1097" t="str" s="37">
        <v>万宝坊市-孙玲-服务锚点</v>
      </c>
      <c r="D1097" t="str" s="3">
        <v>独立审核修复：服务NPC不得占用怪物刷新锚点；坐标待地编真实注入</v>
      </c>
      <c r="E1097" t="str" s="3">
        <v>WBF_NPC_70004</v>
      </c>
      <c r="F1097" t="n" s="3">
        <v>1</v>
      </c>
      <c r="G1097" t="str" s="3">
        <v>NPC</v>
      </c>
      <c r="H1097" t="n" s="3">
        <v>9</v>
      </c>
      <c r="I1097" t="n" s="3">
        <v>0</v>
      </c>
      <c r="J1097" t="n" s="3">
        <v>4</v>
      </c>
      <c r="K1097" t="n" s="3">
        <v>0</v>
      </c>
      <c r="L1097" t="n" s="3">
        <v>0</v>
      </c>
      <c r="M1097" t="n" s="3">
        <v>0</v>
      </c>
      <c r="N1097" s="3"/>
      <c r="O1097" s="3"/>
      <c r="P1097" s="3"/>
      <c r="Q1097" s="3"/>
      <c r="R1097" t="n" s="3">
        <v>0</v>
      </c>
      <c r="S1097" s="17"/>
      <c r="T1097" s="18"/>
      <c r="U1097"/>
      <c r="V1097"/>
      <c r="W1097"/>
      <c r="X1097"/>
      <c r="Y1097"/>
      <c r="Z1097"/>
      <c r="AA1097"/>
    </row>
    <row r="1098">
      <c r="A1098" s="35"/>
      <c r="B1098" t="n" s="17">
        <v>70019005</v>
      </c>
      <c r="C1098" t="str" s="37">
        <v>万宝坊市-周丹师-服务锚点</v>
      </c>
      <c r="D1098" t="str" s="3">
        <v>独立审核修复：服务NPC不得占用怪物刷新锚点；坐标待地编真实注入</v>
      </c>
      <c r="E1098" t="str" s="3">
        <v>WBF_NPC_70005</v>
      </c>
      <c r="F1098" t="n" s="3">
        <v>1</v>
      </c>
      <c r="G1098" t="str" s="3">
        <v>NPC</v>
      </c>
      <c r="H1098" t="n" s="3">
        <v>9</v>
      </c>
      <c r="I1098" t="n" s="3">
        <v>0</v>
      </c>
      <c r="J1098" t="n" s="3">
        <v>5</v>
      </c>
      <c r="K1098" t="n" s="3">
        <v>0</v>
      </c>
      <c r="L1098" t="n" s="3">
        <v>0</v>
      </c>
      <c r="M1098" t="n" s="3">
        <v>0</v>
      </c>
      <c r="N1098" s="3"/>
      <c r="O1098" s="3"/>
      <c r="P1098" s="3"/>
      <c r="Q1098" s="3"/>
      <c r="R1098" t="n" s="3">
        <v>0</v>
      </c>
      <c r="S1098" s="17"/>
      <c r="T1098" s="18"/>
      <c r="U1098"/>
      <c r="V1098"/>
      <c r="W1098"/>
      <c r="X1098"/>
      <c r="Y1098"/>
      <c r="Z1098"/>
      <c r="AA1098"/>
    </row>
  </sheetData>
  <mergeCells count="3">
    <mergeCell ref="T1:AA1"/>
    <mergeCell ref="T2:AA2"/>
    <mergeCell ref="T3:AA3"/>
  </mergeCells>
  <conditionalFormatting sqref="D9:E9">
    <cfRule type="duplicateValues" dxfId="0" priority="995"/>
  </conditionalFormatting>
  <conditionalFormatting sqref="D10:E10">
    <cfRule type="duplicateValues" dxfId="0" priority="994"/>
  </conditionalFormatting>
  <conditionalFormatting sqref="D11:E11">
    <cfRule type="duplicateValues" dxfId="0" priority="993"/>
  </conditionalFormatting>
  <conditionalFormatting sqref="D12:E12">
    <cfRule type="duplicateValues" dxfId="0" priority="992"/>
  </conditionalFormatting>
  <conditionalFormatting sqref="D13:E13">
    <cfRule type="duplicateValues" dxfId="0" priority="991"/>
  </conditionalFormatting>
  <conditionalFormatting sqref="D14:E14">
    <cfRule type="duplicateValues" dxfId="0" priority="990"/>
  </conditionalFormatting>
  <conditionalFormatting sqref="D15:E15">
    <cfRule type="duplicateValues" dxfId="0" priority="989"/>
  </conditionalFormatting>
  <conditionalFormatting sqref="D16:E16">
    <cfRule type="duplicateValues" dxfId="0" priority="988"/>
  </conditionalFormatting>
  <conditionalFormatting sqref="D19:E19">
    <cfRule type="duplicateValues" dxfId="0" priority="983"/>
  </conditionalFormatting>
  <conditionalFormatting sqref="D20:E20">
    <cfRule type="duplicateValues" dxfId="0" priority="982"/>
  </conditionalFormatting>
  <conditionalFormatting sqref="D21:E21">
    <cfRule type="duplicateValues" dxfId="0" priority="981"/>
  </conditionalFormatting>
  <conditionalFormatting sqref="D22:E22">
    <cfRule type="duplicateValues" dxfId="0" priority="980"/>
  </conditionalFormatting>
  <conditionalFormatting sqref="D23:E23">
    <cfRule type="duplicateValues" dxfId="0" priority="979"/>
  </conditionalFormatting>
  <conditionalFormatting sqref="D24:E24">
    <cfRule type="duplicateValues" dxfId="0" priority="340"/>
  </conditionalFormatting>
  <conditionalFormatting sqref="D25:E25">
    <cfRule type="duplicateValues" dxfId="0" priority="977"/>
  </conditionalFormatting>
  <conditionalFormatting sqref="D26:E26">
    <cfRule type="duplicateValues" dxfId="0" priority="975"/>
  </conditionalFormatting>
  <conditionalFormatting sqref="D27:E27">
    <cfRule type="duplicateValues" dxfId="0" priority="974"/>
  </conditionalFormatting>
  <conditionalFormatting sqref="D28:E28">
    <cfRule type="duplicateValues" dxfId="0" priority="973"/>
  </conditionalFormatting>
  <conditionalFormatting sqref="D29:E29">
    <cfRule type="duplicateValues" dxfId="0" priority="638"/>
  </conditionalFormatting>
  <conditionalFormatting sqref="D30:E30">
    <cfRule type="duplicateValues" dxfId="0" priority="976"/>
  </conditionalFormatting>
  <conditionalFormatting sqref="D31:E31">
    <cfRule type="duplicateValues" dxfId="0" priority="972"/>
  </conditionalFormatting>
  <conditionalFormatting sqref="D32:E32">
    <cfRule type="duplicateValues" dxfId="0" priority="971"/>
  </conditionalFormatting>
  <conditionalFormatting sqref="D33:E33">
    <cfRule type="duplicateValues" dxfId="0" priority="970"/>
  </conditionalFormatting>
  <conditionalFormatting sqref="D34:E34">
    <cfRule type="duplicateValues" dxfId="0" priority="967"/>
  </conditionalFormatting>
  <conditionalFormatting sqref="D35:E35">
    <cfRule type="duplicateValues" dxfId="0" priority="966"/>
  </conditionalFormatting>
  <conditionalFormatting sqref="D36:E36">
    <cfRule type="duplicateValues" dxfId="0" priority="965"/>
  </conditionalFormatting>
  <conditionalFormatting sqref="D37:E37">
    <cfRule type="duplicateValues" dxfId="0" priority="964"/>
  </conditionalFormatting>
  <conditionalFormatting sqref="D38:E38">
    <cfRule type="duplicateValues" dxfId="0" priority="963"/>
  </conditionalFormatting>
  <conditionalFormatting sqref="D39:E39">
    <cfRule type="duplicateValues" dxfId="0" priority="962"/>
  </conditionalFormatting>
  <conditionalFormatting sqref="D40:E40">
    <cfRule type="duplicateValues" dxfId="0" priority="961"/>
  </conditionalFormatting>
  <conditionalFormatting sqref="D41:E41">
    <cfRule type="duplicateValues" dxfId="0" priority="637"/>
  </conditionalFormatting>
  <conditionalFormatting sqref="D42:E42">
    <cfRule type="duplicateValues" dxfId="0" priority="960"/>
  </conditionalFormatting>
  <conditionalFormatting sqref="D43:E43">
    <cfRule type="duplicateValues" dxfId="0" priority="959"/>
  </conditionalFormatting>
  <conditionalFormatting sqref="D44:E44">
    <cfRule type="duplicateValues" dxfId="0" priority="958"/>
  </conditionalFormatting>
  <conditionalFormatting sqref="D45:E45">
    <cfRule type="duplicateValues" dxfId="0" priority="957"/>
  </conditionalFormatting>
  <conditionalFormatting sqref="D46:E46">
    <cfRule type="duplicateValues" dxfId="0" priority="956"/>
  </conditionalFormatting>
  <conditionalFormatting sqref="D47:E47">
    <cfRule type="duplicateValues" dxfId="0" priority="955"/>
  </conditionalFormatting>
  <conditionalFormatting sqref="D48:E48">
    <cfRule type="duplicateValues" dxfId="0" priority="946"/>
  </conditionalFormatting>
  <conditionalFormatting sqref="D49:E49">
    <cfRule type="duplicateValues" dxfId="0" priority="945"/>
  </conditionalFormatting>
  <conditionalFormatting sqref="D50:E50">
    <cfRule type="duplicateValues" dxfId="0" priority="944"/>
  </conditionalFormatting>
  <conditionalFormatting sqref="D51:E51">
    <cfRule type="duplicateValues" dxfId="0" priority="943"/>
  </conditionalFormatting>
  <conditionalFormatting sqref="D52:E52">
    <cfRule type="duplicateValues" dxfId="0" priority="942"/>
  </conditionalFormatting>
  <conditionalFormatting sqref="D53:E53">
    <cfRule type="duplicateValues" dxfId="0" priority="941"/>
  </conditionalFormatting>
  <conditionalFormatting sqref="D54:E54">
    <cfRule type="duplicateValues" dxfId="0" priority="901"/>
  </conditionalFormatting>
  <conditionalFormatting sqref="D55:E55">
    <cfRule type="duplicateValues" dxfId="0" priority="900"/>
  </conditionalFormatting>
  <conditionalFormatting sqref="D56:E56">
    <cfRule type="duplicateValues" dxfId="0" priority="899"/>
  </conditionalFormatting>
  <conditionalFormatting sqref="D57:E57">
    <cfRule type="duplicateValues" dxfId="0" priority="898"/>
  </conditionalFormatting>
  <conditionalFormatting sqref="D58:E58">
    <cfRule type="duplicateValues" dxfId="0" priority="897"/>
  </conditionalFormatting>
  <conditionalFormatting sqref="D59:E59">
    <cfRule type="duplicateValues" dxfId="0" priority="896"/>
  </conditionalFormatting>
  <conditionalFormatting sqref="D60:E60">
    <cfRule type="duplicateValues" dxfId="0" priority="895"/>
  </conditionalFormatting>
  <conditionalFormatting sqref="D61:E61">
    <cfRule type="duplicateValues" dxfId="0" priority="894"/>
  </conditionalFormatting>
  <conditionalFormatting sqref="D62:E62">
    <cfRule type="duplicateValues" dxfId="0" priority="893"/>
  </conditionalFormatting>
  <conditionalFormatting sqref="D63:E63">
    <cfRule type="duplicateValues" dxfId="0" priority="636"/>
  </conditionalFormatting>
  <conditionalFormatting sqref="D64:E64">
    <cfRule type="duplicateValues" dxfId="0" priority="635"/>
  </conditionalFormatting>
  <conditionalFormatting sqref="D65:E65">
    <cfRule type="duplicateValues" dxfId="0" priority="634"/>
  </conditionalFormatting>
  <conditionalFormatting sqref="D66:E66">
    <cfRule type="duplicateValues" dxfId="0" priority="633"/>
  </conditionalFormatting>
  <conditionalFormatting sqref="D67:E67">
    <cfRule type="duplicateValues" dxfId="0" priority="632"/>
  </conditionalFormatting>
  <conditionalFormatting sqref="D68:E68">
    <cfRule type="duplicateValues" dxfId="0" priority="892"/>
  </conditionalFormatting>
  <conditionalFormatting sqref="D69:E69">
    <cfRule type="duplicateValues" dxfId="0" priority="891"/>
  </conditionalFormatting>
  <conditionalFormatting sqref="D70:E70">
    <cfRule type="duplicateValues" dxfId="0" priority="890"/>
  </conditionalFormatting>
  <conditionalFormatting sqref="D71:E71">
    <cfRule type="duplicateValues" dxfId="0" priority="889"/>
  </conditionalFormatting>
  <conditionalFormatting sqref="D72:E72">
    <cfRule type="duplicateValues" dxfId="0" priority="888"/>
  </conditionalFormatting>
  <conditionalFormatting sqref="D73:E73">
    <cfRule type="duplicateValues" dxfId="0" priority="887"/>
  </conditionalFormatting>
  <conditionalFormatting sqref="D74:E74">
    <cfRule type="duplicateValues" dxfId="0" priority="631"/>
  </conditionalFormatting>
  <conditionalFormatting sqref="D75:E75">
    <cfRule type="duplicateValues" dxfId="0" priority="630"/>
  </conditionalFormatting>
  <conditionalFormatting sqref="D76:E76">
    <cfRule type="duplicateValues" dxfId="0" priority="886"/>
  </conditionalFormatting>
  <conditionalFormatting sqref="D77:E77">
    <cfRule type="duplicateValues" dxfId="0" priority="885"/>
  </conditionalFormatting>
  <conditionalFormatting sqref="D78:E78">
    <cfRule type="duplicateValues" dxfId="0" priority="884"/>
  </conditionalFormatting>
  <conditionalFormatting sqref="D79:E79">
    <cfRule type="duplicateValues" dxfId="0" priority="883"/>
  </conditionalFormatting>
  <conditionalFormatting sqref="D80:E80">
    <cfRule type="duplicateValues" dxfId="0" priority="882"/>
  </conditionalFormatting>
  <conditionalFormatting sqref="D81:E81">
    <cfRule type="duplicateValues" dxfId="0" priority="881"/>
  </conditionalFormatting>
  <conditionalFormatting sqref="D82:E82">
    <cfRule type="duplicateValues" dxfId="0" priority="880"/>
  </conditionalFormatting>
  <conditionalFormatting sqref="D83:E83">
    <cfRule type="duplicateValues" dxfId="0" priority="879"/>
  </conditionalFormatting>
  <conditionalFormatting sqref="D84:E84">
    <cfRule type="duplicateValues" dxfId="0" priority="878"/>
  </conditionalFormatting>
  <conditionalFormatting sqref="D85:E85">
    <cfRule type="duplicateValues" dxfId="0" priority="877"/>
  </conditionalFormatting>
  <conditionalFormatting sqref="D86:E86">
    <cfRule type="duplicateValues" dxfId="0" priority="875"/>
  </conditionalFormatting>
  <conditionalFormatting sqref="D87:E87">
    <cfRule type="duplicateValues" dxfId="0" priority="628"/>
  </conditionalFormatting>
  <conditionalFormatting sqref="D88:E88">
    <cfRule type="duplicateValues" dxfId="0" priority="627"/>
  </conditionalFormatting>
  <conditionalFormatting sqref="D89:E89">
    <cfRule type="duplicateValues" dxfId="0" priority="629"/>
  </conditionalFormatting>
  <conditionalFormatting sqref="D90:E90">
    <cfRule type="duplicateValues" dxfId="0" priority="876"/>
  </conditionalFormatting>
  <conditionalFormatting sqref="D91:E91">
    <cfRule type="duplicateValues" dxfId="0" priority="874"/>
  </conditionalFormatting>
  <conditionalFormatting sqref="D92:E92">
    <cfRule type="duplicateValues" dxfId="0" priority="873"/>
  </conditionalFormatting>
  <conditionalFormatting sqref="D93:E93">
    <cfRule type="duplicateValues" dxfId="0" priority="872"/>
  </conditionalFormatting>
  <conditionalFormatting sqref="D94:E94">
    <cfRule type="duplicateValues" dxfId="0" priority="871"/>
  </conditionalFormatting>
  <conditionalFormatting sqref="D95:E95">
    <cfRule type="duplicateValues" dxfId="0" priority="866"/>
  </conditionalFormatting>
  <conditionalFormatting sqref="D96:E96">
    <cfRule type="duplicateValues" dxfId="0" priority="865"/>
  </conditionalFormatting>
  <conditionalFormatting sqref="D97:E97">
    <cfRule type="duplicateValues" dxfId="0" priority="864"/>
  </conditionalFormatting>
  <conditionalFormatting sqref="D98:E98">
    <cfRule type="duplicateValues" dxfId="0" priority="863"/>
  </conditionalFormatting>
  <conditionalFormatting sqref="D99:E99">
    <cfRule type="duplicateValues" dxfId="0" priority="862"/>
  </conditionalFormatting>
  <conditionalFormatting sqref="D100:E100">
    <cfRule type="duplicateValues" dxfId="0" priority="861"/>
  </conditionalFormatting>
  <conditionalFormatting sqref="D101:E101">
    <cfRule type="duplicateValues" dxfId="0" priority="848"/>
  </conditionalFormatting>
  <conditionalFormatting sqref="D102:E102">
    <cfRule type="duplicateValues" dxfId="0" priority="847"/>
  </conditionalFormatting>
  <conditionalFormatting sqref="D103:E103">
    <cfRule type="duplicateValues" dxfId="0" priority="846"/>
  </conditionalFormatting>
  <conditionalFormatting sqref="D104:E104">
    <cfRule type="duplicateValues" dxfId="0" priority="845"/>
  </conditionalFormatting>
  <conditionalFormatting sqref="D105:E105">
    <cfRule type="duplicateValues" dxfId="0" priority="844"/>
  </conditionalFormatting>
  <conditionalFormatting sqref="D106:E106">
    <cfRule type="duplicateValues" dxfId="0" priority="843"/>
  </conditionalFormatting>
  <conditionalFormatting sqref="D107:E107">
    <cfRule type="duplicateValues" dxfId="0" priority="842"/>
  </conditionalFormatting>
  <conditionalFormatting sqref="D108:E108">
    <cfRule type="duplicateValues" dxfId="0" priority="841"/>
  </conditionalFormatting>
  <conditionalFormatting sqref="D109:E109">
    <cfRule type="duplicateValues" dxfId="0" priority="840"/>
  </conditionalFormatting>
  <conditionalFormatting sqref="D110:E110">
    <cfRule type="duplicateValues" dxfId="0" priority="839"/>
  </conditionalFormatting>
  <conditionalFormatting sqref="D111:E111">
    <cfRule type="duplicateValues" dxfId="0" priority="736"/>
  </conditionalFormatting>
  <conditionalFormatting sqref="D112:E112">
    <cfRule type="duplicateValues" dxfId="0" priority="714"/>
  </conditionalFormatting>
  <conditionalFormatting sqref="D113:E113">
    <cfRule type="duplicateValues" dxfId="0" priority="713"/>
  </conditionalFormatting>
  <conditionalFormatting sqref="D114:E114">
    <cfRule type="duplicateValues" dxfId="0" priority="712"/>
  </conditionalFormatting>
  <conditionalFormatting sqref="D115:E115">
    <cfRule type="duplicateValues" dxfId="0" priority="711"/>
  </conditionalFormatting>
  <conditionalFormatting sqref="D116:E116">
    <cfRule type="duplicateValues" dxfId="0" priority="710"/>
  </conditionalFormatting>
  <conditionalFormatting sqref="D117:E117">
    <cfRule type="duplicateValues" dxfId="0" priority="709"/>
  </conditionalFormatting>
  <conditionalFormatting sqref="D118:E118">
    <cfRule type="duplicateValues" dxfId="0" priority="1003"/>
  </conditionalFormatting>
  <conditionalFormatting sqref="D119:E119">
    <cfRule type="duplicateValues" dxfId="0" priority="737"/>
  </conditionalFormatting>
  <conditionalFormatting sqref="D120:E120">
    <cfRule type="duplicateValues" dxfId="0" priority="339"/>
  </conditionalFormatting>
  <conditionalFormatting sqref="D128:E128">
    <cfRule type="duplicateValues" dxfId="0" priority="1002"/>
  </conditionalFormatting>
  <conditionalFormatting sqref="D129:E129">
    <cfRule type="duplicateValues" dxfId="0" priority="501"/>
  </conditionalFormatting>
  <conditionalFormatting sqref="D130:E130">
    <cfRule type="duplicateValues" dxfId="0" priority="337"/>
  </conditionalFormatting>
  <conditionalFormatting sqref="D132:E132">
    <cfRule type="duplicateValues" dxfId="0" priority="1001"/>
  </conditionalFormatting>
  <conditionalFormatting sqref="D133:E133">
    <cfRule type="duplicateValues" dxfId="0" priority="500"/>
  </conditionalFormatting>
  <conditionalFormatting sqref="D134:E134">
    <cfRule type="duplicateValues" dxfId="0" priority="338"/>
  </conditionalFormatting>
  <conditionalFormatting sqref="E153">
    <cfRule type="duplicateValues" dxfId="0" priority="999"/>
  </conditionalFormatting>
  <conditionalFormatting sqref="D154:E154">
    <cfRule type="duplicateValues" dxfId="0" priority="998"/>
  </conditionalFormatting>
  <conditionalFormatting sqref="D155:E155">
    <cfRule type="duplicateValues" dxfId="0" priority="611"/>
  </conditionalFormatting>
  <conditionalFormatting sqref="D156:E156">
    <cfRule type="duplicateValues" dxfId="0" priority="336"/>
  </conditionalFormatting>
  <conditionalFormatting sqref="D158">
    <cfRule type="duplicateValues" dxfId="0" priority="1031"/>
  </conditionalFormatting>
  <conditionalFormatting sqref="E170">
    <cfRule type="duplicateValues" dxfId="0" priority="609"/>
  </conditionalFormatting>
  <conditionalFormatting sqref="E171">
    <cfRule type="duplicateValues" dxfId="0" priority="608"/>
  </conditionalFormatting>
  <conditionalFormatting sqref="E172">
    <cfRule type="duplicateValues" dxfId="0" priority="607"/>
  </conditionalFormatting>
  <conditionalFormatting sqref="E173">
    <cfRule type="duplicateValues" dxfId="0" priority="606"/>
  </conditionalFormatting>
  <conditionalFormatting sqref="E174">
    <cfRule type="duplicateValues" dxfId="0" priority="605"/>
  </conditionalFormatting>
  <conditionalFormatting sqref="E175">
    <cfRule type="duplicateValues" dxfId="0" priority="604"/>
  </conditionalFormatting>
  <conditionalFormatting sqref="E176">
    <cfRule type="duplicateValues" dxfId="0" priority="603"/>
  </conditionalFormatting>
  <conditionalFormatting sqref="E177">
    <cfRule type="duplicateValues" dxfId="0" priority="602"/>
  </conditionalFormatting>
  <conditionalFormatting sqref="E178">
    <cfRule type="duplicateValues" dxfId="0" priority="601"/>
  </conditionalFormatting>
  <conditionalFormatting sqref="E179">
    <cfRule type="duplicateValues" dxfId="0" priority="600"/>
  </conditionalFormatting>
  <conditionalFormatting sqref="E183">
    <cfRule type="duplicateValues" dxfId="0" priority="599"/>
  </conditionalFormatting>
  <conditionalFormatting sqref="E186">
    <cfRule type="duplicateValues" dxfId="0" priority="610"/>
  </conditionalFormatting>
  <conditionalFormatting sqref="D187:E187">
    <cfRule type="duplicateValues" dxfId="0" priority="335"/>
  </conditionalFormatting>
  <conditionalFormatting sqref="E188">
    <cfRule type="duplicateValues" dxfId="0" priority="591"/>
  </conditionalFormatting>
  <conditionalFormatting sqref="E189">
    <cfRule type="duplicateValues" dxfId="0" priority="590"/>
  </conditionalFormatting>
  <conditionalFormatting sqref="E190">
    <cfRule type="duplicateValues" dxfId="0" priority="589"/>
  </conditionalFormatting>
  <conditionalFormatting sqref="E191">
    <cfRule type="duplicateValues" dxfId="0" priority="588"/>
  </conditionalFormatting>
  <conditionalFormatting sqref="E192">
    <cfRule type="duplicateValues" dxfId="0" priority="587"/>
  </conditionalFormatting>
  <conditionalFormatting sqref="E193">
    <cfRule type="duplicateValues" dxfId="0" priority="586"/>
  </conditionalFormatting>
  <conditionalFormatting sqref="E194">
    <cfRule type="duplicateValues" dxfId="0" priority="585"/>
  </conditionalFormatting>
  <conditionalFormatting sqref="E195">
    <cfRule type="duplicateValues" dxfId="0" priority="584"/>
  </conditionalFormatting>
  <conditionalFormatting sqref="E196">
    <cfRule type="duplicateValues" dxfId="0" priority="583"/>
  </conditionalFormatting>
  <conditionalFormatting sqref="E197">
    <cfRule type="duplicateValues" dxfId="0" priority="582"/>
  </conditionalFormatting>
  <conditionalFormatting sqref="E198">
    <cfRule type="duplicateValues" dxfId="0" priority="581"/>
  </conditionalFormatting>
  <conditionalFormatting sqref="E199">
    <cfRule type="duplicateValues" dxfId="0" priority="580"/>
  </conditionalFormatting>
  <conditionalFormatting sqref="E200">
    <cfRule type="duplicateValues" dxfId="0" priority="579"/>
  </conditionalFormatting>
  <conditionalFormatting sqref="E201">
    <cfRule type="duplicateValues" dxfId="0" priority="578"/>
  </conditionalFormatting>
  <conditionalFormatting sqref="E202">
    <cfRule type="duplicateValues" dxfId="0" priority="577"/>
  </conditionalFormatting>
  <conditionalFormatting sqref="E203">
    <cfRule type="duplicateValues" dxfId="0" priority="576"/>
  </conditionalFormatting>
  <conditionalFormatting sqref="E204">
    <cfRule type="duplicateValues" dxfId="0" priority="575"/>
  </conditionalFormatting>
  <conditionalFormatting sqref="E205">
    <cfRule type="duplicateValues" dxfId="0" priority="574"/>
  </conditionalFormatting>
  <conditionalFormatting sqref="E206">
    <cfRule type="duplicateValues" dxfId="0" priority="573"/>
  </conditionalFormatting>
  <conditionalFormatting sqref="E207">
    <cfRule type="duplicateValues" dxfId="0" priority="572"/>
  </conditionalFormatting>
  <conditionalFormatting sqref="E208">
    <cfRule type="duplicateValues" dxfId="0" priority="571"/>
  </conditionalFormatting>
  <conditionalFormatting sqref="E209">
    <cfRule type="duplicateValues" dxfId="0" priority="570"/>
  </conditionalFormatting>
  <conditionalFormatting sqref="E210">
    <cfRule type="duplicateValues" dxfId="0" priority="569"/>
  </conditionalFormatting>
  <conditionalFormatting sqref="E211">
    <cfRule type="duplicateValues" dxfId="0" priority="568"/>
  </conditionalFormatting>
  <conditionalFormatting sqref="E212">
    <cfRule type="duplicateValues" dxfId="0" priority="567"/>
  </conditionalFormatting>
  <conditionalFormatting sqref="E213">
    <cfRule type="duplicateValues" dxfId="0" priority="566"/>
  </conditionalFormatting>
  <conditionalFormatting sqref="E214">
    <cfRule type="duplicateValues" dxfId="0" priority="565"/>
  </conditionalFormatting>
  <conditionalFormatting sqref="E215">
    <cfRule type="duplicateValues" dxfId="0" priority="594"/>
  </conditionalFormatting>
  <conditionalFormatting sqref="E216">
    <cfRule type="duplicateValues" dxfId="0" priority="593"/>
  </conditionalFormatting>
  <conditionalFormatting sqref="E217">
    <cfRule type="duplicateValues" dxfId="0" priority="592"/>
  </conditionalFormatting>
  <conditionalFormatting sqref="D218:E218">
    <cfRule type="duplicateValues" dxfId="0" priority="334"/>
  </conditionalFormatting>
  <conditionalFormatting sqref="E219">
    <cfRule type="duplicateValues" dxfId="0" priority="559"/>
  </conditionalFormatting>
  <conditionalFormatting sqref="E220">
    <cfRule type="duplicateValues" dxfId="0" priority="558"/>
  </conditionalFormatting>
  <conditionalFormatting sqref="E221">
    <cfRule type="duplicateValues" dxfId="0" priority="557"/>
  </conditionalFormatting>
  <conditionalFormatting sqref="E222">
    <cfRule type="duplicateValues" dxfId="0" priority="556"/>
  </conditionalFormatting>
  <conditionalFormatting sqref="E223">
    <cfRule type="duplicateValues" dxfId="0" priority="555"/>
  </conditionalFormatting>
  <conditionalFormatting sqref="E224">
    <cfRule type="duplicateValues" dxfId="0" priority="554"/>
  </conditionalFormatting>
  <conditionalFormatting sqref="E225">
    <cfRule type="duplicateValues" dxfId="0" priority="553"/>
  </conditionalFormatting>
  <conditionalFormatting sqref="E226">
    <cfRule type="duplicateValues" dxfId="0" priority="552"/>
  </conditionalFormatting>
  <conditionalFormatting sqref="E227">
    <cfRule type="duplicateValues" dxfId="0" priority="551"/>
  </conditionalFormatting>
  <conditionalFormatting sqref="E228">
    <cfRule type="duplicateValues" dxfId="0" priority="550"/>
  </conditionalFormatting>
  <conditionalFormatting sqref="E229">
    <cfRule type="duplicateValues" dxfId="0" priority="549"/>
  </conditionalFormatting>
  <conditionalFormatting sqref="E230">
    <cfRule type="duplicateValues" dxfId="0" priority="548"/>
  </conditionalFormatting>
  <conditionalFormatting sqref="E231">
    <cfRule type="duplicateValues" dxfId="0" priority="561"/>
  </conditionalFormatting>
  <conditionalFormatting sqref="E232">
    <cfRule type="duplicateValues" dxfId="0" priority="560"/>
  </conditionalFormatting>
  <conditionalFormatting sqref="E233">
    <cfRule type="duplicateValues" dxfId="0" priority="502"/>
  </conditionalFormatting>
  <conditionalFormatting sqref="D234:E234">
    <cfRule type="duplicateValues" dxfId="0" priority="333"/>
  </conditionalFormatting>
  <conditionalFormatting sqref="E235">
    <cfRule type="duplicateValues" dxfId="0" priority="545"/>
  </conditionalFormatting>
  <conditionalFormatting sqref="E236">
    <cfRule type="duplicateValues" dxfId="0" priority="543"/>
  </conditionalFormatting>
  <conditionalFormatting sqref="E237">
    <cfRule type="duplicateValues" dxfId="0" priority="542"/>
  </conditionalFormatting>
  <conditionalFormatting sqref="E238">
    <cfRule type="duplicateValues" dxfId="0" priority="541"/>
  </conditionalFormatting>
  <conditionalFormatting sqref="E239">
    <cfRule type="duplicateValues" dxfId="0" priority="540"/>
  </conditionalFormatting>
  <conditionalFormatting sqref="E240">
    <cfRule type="duplicateValues" dxfId="0" priority="539"/>
  </conditionalFormatting>
  <conditionalFormatting sqref="E241">
    <cfRule type="duplicateValues" dxfId="0" priority="538"/>
  </conditionalFormatting>
  <conditionalFormatting sqref="E242">
    <cfRule type="duplicateValues" dxfId="0" priority="537"/>
  </conditionalFormatting>
  <conditionalFormatting sqref="E243">
    <cfRule type="duplicateValues" dxfId="0" priority="536"/>
  </conditionalFormatting>
  <conditionalFormatting sqref="E244">
    <cfRule type="duplicateValues" dxfId="0" priority="535"/>
  </conditionalFormatting>
  <conditionalFormatting sqref="E245">
    <cfRule type="duplicateValues" dxfId="0" priority="534"/>
  </conditionalFormatting>
  <conditionalFormatting sqref="E246">
    <cfRule type="duplicateValues" dxfId="0" priority="547"/>
  </conditionalFormatting>
  <conditionalFormatting sqref="E247">
    <cfRule type="duplicateValues" dxfId="0" priority="546"/>
  </conditionalFormatting>
  <conditionalFormatting sqref="E248">
    <cfRule type="duplicateValues" dxfId="0" priority="544"/>
  </conditionalFormatting>
  <conditionalFormatting sqref="D249:E249">
    <cfRule type="duplicateValues" dxfId="0" priority="332"/>
  </conditionalFormatting>
  <conditionalFormatting sqref="E250">
    <cfRule type="duplicateValues" dxfId="0" priority="531"/>
  </conditionalFormatting>
  <conditionalFormatting sqref="E251">
    <cfRule type="duplicateValues" dxfId="0" priority="529"/>
  </conditionalFormatting>
  <conditionalFormatting sqref="E252">
    <cfRule type="duplicateValues" dxfId="0" priority="528"/>
  </conditionalFormatting>
  <conditionalFormatting sqref="E253">
    <cfRule type="duplicateValues" dxfId="0" priority="527"/>
  </conditionalFormatting>
  <conditionalFormatting sqref="E254">
    <cfRule type="duplicateValues" dxfId="0" priority="526"/>
  </conditionalFormatting>
  <conditionalFormatting sqref="E255">
    <cfRule type="duplicateValues" dxfId="0" priority="525"/>
  </conditionalFormatting>
  <conditionalFormatting sqref="E256">
    <cfRule type="duplicateValues" dxfId="0" priority="524"/>
  </conditionalFormatting>
  <conditionalFormatting sqref="E257">
    <cfRule type="duplicateValues" dxfId="0" priority="523"/>
  </conditionalFormatting>
  <conditionalFormatting sqref="E258">
    <cfRule type="duplicateValues" dxfId="0" priority="521"/>
  </conditionalFormatting>
  <conditionalFormatting sqref="E259">
    <cfRule type="duplicateValues" dxfId="0" priority="520"/>
  </conditionalFormatting>
  <conditionalFormatting sqref="E260">
    <cfRule type="duplicateValues" dxfId="0" priority="519"/>
  </conditionalFormatting>
  <conditionalFormatting sqref="E261">
    <cfRule type="duplicateValues" dxfId="0" priority="518"/>
  </conditionalFormatting>
  <conditionalFormatting sqref="E262">
    <cfRule type="duplicateValues" dxfId="0" priority="533"/>
  </conditionalFormatting>
  <conditionalFormatting sqref="E263">
    <cfRule type="duplicateValues" dxfId="0" priority="532"/>
  </conditionalFormatting>
  <conditionalFormatting sqref="E264">
    <cfRule type="duplicateValues" dxfId="0" priority="530"/>
  </conditionalFormatting>
  <conditionalFormatting sqref="D265:E265">
    <cfRule type="duplicateValues" dxfId="0" priority="331"/>
  </conditionalFormatting>
  <conditionalFormatting sqref="E266">
    <cfRule type="duplicateValues" dxfId="0" priority="515"/>
  </conditionalFormatting>
  <conditionalFormatting sqref="E267">
    <cfRule type="duplicateValues" dxfId="0" priority="513"/>
  </conditionalFormatting>
  <conditionalFormatting sqref="E268">
    <cfRule type="duplicateValues" dxfId="0" priority="512"/>
  </conditionalFormatting>
  <conditionalFormatting sqref="E269">
    <cfRule type="duplicateValues" dxfId="0" priority="511"/>
  </conditionalFormatting>
  <conditionalFormatting sqref="E270">
    <cfRule type="duplicateValues" dxfId="0" priority="510"/>
  </conditionalFormatting>
  <conditionalFormatting sqref="E271">
    <cfRule type="duplicateValues" dxfId="0" priority="509"/>
  </conditionalFormatting>
  <conditionalFormatting sqref="E272">
    <cfRule type="duplicateValues" dxfId="0" priority="508"/>
  </conditionalFormatting>
  <conditionalFormatting sqref="E273">
    <cfRule type="duplicateValues" dxfId="0" priority="507"/>
  </conditionalFormatting>
  <conditionalFormatting sqref="E274">
    <cfRule type="duplicateValues" dxfId="0" priority="506"/>
  </conditionalFormatting>
  <conditionalFormatting sqref="E275">
    <cfRule type="duplicateValues" dxfId="0" priority="505"/>
  </conditionalFormatting>
  <conditionalFormatting sqref="E276">
    <cfRule type="duplicateValues" dxfId="0" priority="504"/>
  </conditionalFormatting>
  <conditionalFormatting sqref="E277">
    <cfRule type="duplicateValues" dxfId="0" priority="517"/>
  </conditionalFormatting>
  <conditionalFormatting sqref="E278">
    <cfRule type="duplicateValues" dxfId="0" priority="516"/>
  </conditionalFormatting>
  <conditionalFormatting sqref="E279">
    <cfRule type="duplicateValues" dxfId="0" priority="514"/>
  </conditionalFormatting>
  <conditionalFormatting sqref="D280:E280">
    <cfRule type="duplicateValues" dxfId="0" priority="330"/>
  </conditionalFormatting>
  <conditionalFormatting sqref="E281">
    <cfRule type="duplicateValues" dxfId="0" priority="499"/>
  </conditionalFormatting>
  <conditionalFormatting sqref="E282">
    <cfRule type="duplicateValues" dxfId="0" priority="480"/>
  </conditionalFormatting>
  <conditionalFormatting sqref="E283">
    <cfRule type="duplicateValues" dxfId="0" priority="479"/>
  </conditionalFormatting>
  <conditionalFormatting sqref="D284:E284">
    <cfRule type="duplicateValues" dxfId="0" priority="329"/>
  </conditionalFormatting>
  <conditionalFormatting sqref="E285">
    <cfRule type="duplicateValues" dxfId="0" priority="496"/>
  </conditionalFormatting>
  <conditionalFormatting sqref="E286">
    <cfRule type="duplicateValues" dxfId="0" priority="475"/>
  </conditionalFormatting>
  <conditionalFormatting sqref="E287">
    <cfRule type="duplicateValues" dxfId="0" priority="474"/>
  </conditionalFormatting>
  <conditionalFormatting sqref="E288">
    <cfRule type="duplicateValues" dxfId="0" priority="473"/>
  </conditionalFormatting>
  <conditionalFormatting sqref="E289">
    <cfRule type="duplicateValues" dxfId="0" priority="472"/>
  </conditionalFormatting>
  <conditionalFormatting sqref="E290">
    <cfRule type="duplicateValues" dxfId="0" priority="471"/>
  </conditionalFormatting>
  <conditionalFormatting sqref="E291">
    <cfRule type="duplicateValues" dxfId="0" priority="470"/>
  </conditionalFormatting>
  <conditionalFormatting sqref="E292">
    <cfRule type="duplicateValues" dxfId="0" priority="469"/>
  </conditionalFormatting>
  <conditionalFormatting sqref="E293">
    <cfRule type="duplicateValues" dxfId="0" priority="468"/>
  </conditionalFormatting>
  <conditionalFormatting sqref="E294">
    <cfRule type="duplicateValues" dxfId="0" priority="476"/>
  </conditionalFormatting>
  <conditionalFormatting sqref="E295">
    <cfRule type="duplicateValues" dxfId="0" priority="478"/>
  </conditionalFormatting>
  <conditionalFormatting sqref="E296">
    <cfRule type="duplicateValues" dxfId="0" priority="477"/>
  </conditionalFormatting>
  <conditionalFormatting sqref="D297:E297">
    <cfRule type="duplicateValues" dxfId="0" priority="328"/>
  </conditionalFormatting>
  <conditionalFormatting sqref="E298">
    <cfRule type="duplicateValues" dxfId="0" priority="464"/>
  </conditionalFormatting>
  <conditionalFormatting sqref="E299">
    <cfRule type="duplicateValues" dxfId="0" priority="463"/>
  </conditionalFormatting>
  <conditionalFormatting sqref="E300">
    <cfRule type="duplicateValues" dxfId="0" priority="462"/>
  </conditionalFormatting>
  <conditionalFormatting sqref="E301">
    <cfRule type="duplicateValues" dxfId="0" priority="461"/>
  </conditionalFormatting>
  <conditionalFormatting sqref="E302">
    <cfRule type="duplicateValues" dxfId="0" priority="460"/>
  </conditionalFormatting>
  <conditionalFormatting sqref="E303">
    <cfRule type="duplicateValues" dxfId="0" priority="459"/>
  </conditionalFormatting>
  <conditionalFormatting sqref="E304">
    <cfRule type="duplicateValues" dxfId="0" priority="458"/>
  </conditionalFormatting>
  <conditionalFormatting sqref="E305">
    <cfRule type="duplicateValues" dxfId="0" priority="457"/>
  </conditionalFormatting>
  <conditionalFormatting sqref="E306">
    <cfRule type="duplicateValues" dxfId="0" priority="456"/>
  </conditionalFormatting>
  <conditionalFormatting sqref="E307">
    <cfRule type="duplicateValues" dxfId="0" priority="455"/>
  </conditionalFormatting>
  <conditionalFormatting sqref="E308">
    <cfRule type="duplicateValues" dxfId="0" priority="454"/>
  </conditionalFormatting>
  <conditionalFormatting sqref="E309">
    <cfRule type="duplicateValues" dxfId="0" priority="453"/>
  </conditionalFormatting>
  <conditionalFormatting sqref="E310">
    <cfRule type="duplicateValues" dxfId="0" priority="452"/>
  </conditionalFormatting>
  <conditionalFormatting sqref="E311">
    <cfRule type="duplicateValues" dxfId="0" priority="451"/>
  </conditionalFormatting>
  <conditionalFormatting sqref="E312">
    <cfRule type="duplicateValues" dxfId="0" priority="450"/>
  </conditionalFormatting>
  <conditionalFormatting sqref="E313">
    <cfRule type="duplicateValues" dxfId="0" priority="449"/>
  </conditionalFormatting>
  <conditionalFormatting sqref="E314">
    <cfRule type="duplicateValues" dxfId="0" priority="448"/>
  </conditionalFormatting>
  <conditionalFormatting sqref="E315">
    <cfRule type="duplicateValues" dxfId="0" priority="447"/>
  </conditionalFormatting>
  <conditionalFormatting sqref="E316">
    <cfRule type="duplicateValues" dxfId="0" priority="446"/>
  </conditionalFormatting>
  <conditionalFormatting sqref="E317">
    <cfRule type="duplicateValues" dxfId="0" priority="444"/>
  </conditionalFormatting>
  <conditionalFormatting sqref="E318">
    <cfRule type="duplicateValues" dxfId="0" priority="467"/>
  </conditionalFormatting>
  <conditionalFormatting sqref="E319">
    <cfRule type="duplicateValues" dxfId="0" priority="466"/>
  </conditionalFormatting>
  <conditionalFormatting sqref="E320">
    <cfRule type="duplicateValues" dxfId="0" priority="465"/>
  </conditionalFormatting>
  <conditionalFormatting sqref="D321:E321">
    <cfRule type="duplicateValues" dxfId="0" priority="327"/>
  </conditionalFormatting>
  <conditionalFormatting sqref="E322">
    <cfRule type="duplicateValues" dxfId="0" priority="440"/>
  </conditionalFormatting>
  <conditionalFormatting sqref="E323">
    <cfRule type="duplicateValues" dxfId="0" priority="439"/>
  </conditionalFormatting>
  <conditionalFormatting sqref="E324">
    <cfRule type="duplicateValues" dxfId="0" priority="438"/>
  </conditionalFormatting>
  <conditionalFormatting sqref="E325">
    <cfRule type="duplicateValues" dxfId="0" priority="437"/>
  </conditionalFormatting>
  <conditionalFormatting sqref="E326">
    <cfRule type="duplicateValues" dxfId="0" priority="436"/>
  </conditionalFormatting>
  <conditionalFormatting sqref="E327">
    <cfRule type="duplicateValues" dxfId="0" priority="435"/>
  </conditionalFormatting>
  <conditionalFormatting sqref="E328">
    <cfRule type="duplicateValues" dxfId="0" priority="434"/>
  </conditionalFormatting>
  <conditionalFormatting sqref="E329">
    <cfRule type="duplicateValues" dxfId="0" priority="433"/>
  </conditionalFormatting>
  <conditionalFormatting sqref="E330">
    <cfRule type="duplicateValues" dxfId="0" priority="432"/>
  </conditionalFormatting>
  <conditionalFormatting sqref="E331">
    <cfRule type="duplicateValues" dxfId="0" priority="431"/>
  </conditionalFormatting>
  <conditionalFormatting sqref="E332">
    <cfRule type="duplicateValues" dxfId="0" priority="430"/>
  </conditionalFormatting>
  <conditionalFormatting sqref="E333">
    <cfRule type="duplicateValues" dxfId="0" priority="429"/>
  </conditionalFormatting>
  <conditionalFormatting sqref="E334">
    <cfRule type="duplicateValues" dxfId="0" priority="428"/>
  </conditionalFormatting>
  <conditionalFormatting sqref="E335">
    <cfRule type="duplicateValues" dxfId="0" priority="427"/>
  </conditionalFormatting>
  <conditionalFormatting sqref="E336">
    <cfRule type="duplicateValues" dxfId="0" priority="426"/>
  </conditionalFormatting>
  <conditionalFormatting sqref="E337">
    <cfRule type="duplicateValues" dxfId="0" priority="425"/>
  </conditionalFormatting>
  <conditionalFormatting sqref="E338">
    <cfRule type="duplicateValues" dxfId="0" priority="424"/>
  </conditionalFormatting>
  <conditionalFormatting sqref="E339">
    <cfRule type="duplicateValues" dxfId="0" priority="443"/>
  </conditionalFormatting>
  <conditionalFormatting sqref="E340">
    <cfRule type="duplicateValues" dxfId="0" priority="442"/>
  </conditionalFormatting>
  <conditionalFormatting sqref="E341">
    <cfRule type="duplicateValues" dxfId="0" priority="441"/>
  </conditionalFormatting>
  <conditionalFormatting sqref="D342:E342">
    <cfRule type="duplicateValues" dxfId="0" priority="326"/>
  </conditionalFormatting>
  <conditionalFormatting sqref="E343">
    <cfRule type="duplicateValues" dxfId="0" priority="410"/>
  </conditionalFormatting>
  <conditionalFormatting sqref="E344">
    <cfRule type="duplicateValues" dxfId="0" priority="409"/>
  </conditionalFormatting>
  <conditionalFormatting sqref="E345">
    <cfRule type="duplicateValues" dxfId="0" priority="408"/>
  </conditionalFormatting>
  <conditionalFormatting sqref="E346">
    <cfRule type="duplicateValues" dxfId="0" priority="407"/>
  </conditionalFormatting>
  <conditionalFormatting sqref="E347">
    <cfRule type="duplicateValues" dxfId="0" priority="406"/>
  </conditionalFormatting>
  <conditionalFormatting sqref="E348">
    <cfRule type="duplicateValues" dxfId="0" priority="405"/>
  </conditionalFormatting>
  <conditionalFormatting sqref="E349">
    <cfRule type="duplicateValues" dxfId="0" priority="404"/>
  </conditionalFormatting>
  <conditionalFormatting sqref="E350">
    <cfRule type="duplicateValues" dxfId="0" priority="403"/>
  </conditionalFormatting>
  <conditionalFormatting sqref="E351">
    <cfRule type="duplicateValues" dxfId="0" priority="402"/>
  </conditionalFormatting>
  <conditionalFormatting sqref="E352">
    <cfRule type="duplicateValues" dxfId="0" priority="401"/>
  </conditionalFormatting>
  <conditionalFormatting sqref="E353">
    <cfRule type="duplicateValues" dxfId="0" priority="400"/>
  </conditionalFormatting>
  <conditionalFormatting sqref="E354">
    <cfRule type="duplicateValues" dxfId="0" priority="399"/>
  </conditionalFormatting>
  <conditionalFormatting sqref="E355">
    <cfRule type="duplicateValues" dxfId="0" priority="398"/>
  </conditionalFormatting>
  <conditionalFormatting sqref="E356">
    <cfRule type="duplicateValues" dxfId="0" priority="413"/>
  </conditionalFormatting>
  <conditionalFormatting sqref="E357">
    <cfRule type="duplicateValues" dxfId="0" priority="412"/>
  </conditionalFormatting>
  <conditionalFormatting sqref="E358">
    <cfRule type="duplicateValues" dxfId="0" priority="411"/>
  </conditionalFormatting>
  <conditionalFormatting sqref="D359:E359">
    <cfRule type="duplicateValues" dxfId="0" priority="325"/>
  </conditionalFormatting>
  <conditionalFormatting sqref="E360">
    <cfRule type="duplicateValues" dxfId="0" priority="391"/>
  </conditionalFormatting>
  <conditionalFormatting sqref="E361">
    <cfRule type="duplicateValues" dxfId="0" priority="390"/>
  </conditionalFormatting>
  <conditionalFormatting sqref="E362">
    <cfRule type="duplicateValues" dxfId="0" priority="389"/>
  </conditionalFormatting>
  <conditionalFormatting sqref="E363">
    <cfRule type="duplicateValues" dxfId="0" priority="388"/>
  </conditionalFormatting>
  <conditionalFormatting sqref="E364">
    <cfRule type="duplicateValues" dxfId="0" priority="387"/>
  </conditionalFormatting>
  <conditionalFormatting sqref="E365">
    <cfRule type="duplicateValues" dxfId="0" priority="386"/>
  </conditionalFormatting>
  <conditionalFormatting sqref="E366">
    <cfRule type="duplicateValues" dxfId="0" priority="385"/>
  </conditionalFormatting>
  <conditionalFormatting sqref="E367">
    <cfRule type="duplicateValues" dxfId="0" priority="384"/>
  </conditionalFormatting>
  <conditionalFormatting sqref="E368">
    <cfRule type="duplicateValues" dxfId="0" priority="383"/>
  </conditionalFormatting>
  <conditionalFormatting sqref="E369">
    <cfRule type="duplicateValues" dxfId="0" priority="394"/>
  </conditionalFormatting>
  <conditionalFormatting sqref="E370">
    <cfRule type="duplicateValues" dxfId="0" priority="393"/>
  </conditionalFormatting>
  <conditionalFormatting sqref="E371">
    <cfRule type="duplicateValues" dxfId="0" priority="392"/>
  </conditionalFormatting>
  <conditionalFormatting sqref="D372:E372">
    <cfRule type="duplicateValues" dxfId="0" priority="324"/>
  </conditionalFormatting>
  <conditionalFormatting sqref="E373">
    <cfRule type="duplicateValues" dxfId="0" priority="379"/>
  </conditionalFormatting>
  <conditionalFormatting sqref="E374">
    <cfRule type="duplicateValues" dxfId="0" priority="378"/>
  </conditionalFormatting>
  <conditionalFormatting sqref="E375">
    <cfRule type="duplicateValues" dxfId="0" priority="377"/>
  </conditionalFormatting>
  <conditionalFormatting sqref="E376">
    <cfRule type="duplicateValues" dxfId="0" priority="376"/>
  </conditionalFormatting>
  <conditionalFormatting sqref="E377">
    <cfRule type="duplicateValues" dxfId="0" priority="375"/>
  </conditionalFormatting>
  <conditionalFormatting sqref="E378">
    <cfRule type="duplicateValues" dxfId="0" priority="374"/>
  </conditionalFormatting>
  <conditionalFormatting sqref="E379">
    <cfRule type="duplicateValues" dxfId="0" priority="373"/>
  </conditionalFormatting>
  <conditionalFormatting sqref="E380">
    <cfRule type="duplicateValues" dxfId="0" priority="372"/>
  </conditionalFormatting>
  <conditionalFormatting sqref="E381">
    <cfRule type="duplicateValues" dxfId="0" priority="371"/>
  </conditionalFormatting>
  <conditionalFormatting sqref="E382">
    <cfRule type="duplicateValues" dxfId="0" priority="382"/>
  </conditionalFormatting>
  <conditionalFormatting sqref="E383">
    <cfRule type="duplicateValues" dxfId="0" priority="381"/>
  </conditionalFormatting>
  <conditionalFormatting sqref="E384">
    <cfRule type="duplicateValues" dxfId="0" priority="380"/>
  </conditionalFormatting>
  <conditionalFormatting sqref="D385:E385">
    <cfRule type="duplicateValues" dxfId="0" priority="323"/>
  </conditionalFormatting>
  <conditionalFormatting sqref="E386">
    <cfRule type="duplicateValues" dxfId="0" priority="367"/>
  </conditionalFormatting>
  <conditionalFormatting sqref="E387">
    <cfRule type="duplicateValues" dxfId="0" priority="366"/>
  </conditionalFormatting>
  <conditionalFormatting sqref="E388">
    <cfRule type="duplicateValues" dxfId="0" priority="365"/>
  </conditionalFormatting>
  <conditionalFormatting sqref="E389">
    <cfRule type="duplicateValues" dxfId="0" priority="364"/>
  </conditionalFormatting>
  <conditionalFormatting sqref="E390">
    <cfRule type="duplicateValues" dxfId="0" priority="363"/>
  </conditionalFormatting>
  <conditionalFormatting sqref="E391">
    <cfRule type="duplicateValues" dxfId="0" priority="362"/>
  </conditionalFormatting>
  <conditionalFormatting sqref="E392">
    <cfRule type="duplicateValues" dxfId="0" priority="361"/>
  </conditionalFormatting>
  <conditionalFormatting sqref="E393">
    <cfRule type="duplicateValues" dxfId="0" priority="360"/>
  </conditionalFormatting>
  <conditionalFormatting sqref="E394">
    <cfRule type="duplicateValues" dxfId="0" priority="359"/>
  </conditionalFormatting>
  <conditionalFormatting sqref="E395">
    <cfRule type="duplicateValues" dxfId="0" priority="358"/>
  </conditionalFormatting>
  <conditionalFormatting sqref="E396">
    <cfRule type="duplicateValues" dxfId="0" priority="357"/>
  </conditionalFormatting>
  <conditionalFormatting sqref="E397">
    <cfRule type="duplicateValues" dxfId="0" priority="356"/>
  </conditionalFormatting>
  <conditionalFormatting sqref="E398">
    <cfRule type="duplicateValues" dxfId="0" priority="355"/>
  </conditionalFormatting>
  <conditionalFormatting sqref="E399">
    <cfRule type="duplicateValues" dxfId="0" priority="370"/>
  </conditionalFormatting>
  <conditionalFormatting sqref="E400">
    <cfRule type="duplicateValues" dxfId="0" priority="369"/>
  </conditionalFormatting>
  <conditionalFormatting sqref="E401">
    <cfRule type="duplicateValues" dxfId="0" priority="368"/>
  </conditionalFormatting>
  <conditionalFormatting sqref="D402:E402">
    <cfRule type="duplicateValues" dxfId="0" priority="322"/>
  </conditionalFormatting>
  <conditionalFormatting sqref="E403">
    <cfRule type="duplicateValues" dxfId="0" priority="351"/>
  </conditionalFormatting>
  <conditionalFormatting sqref="E404">
    <cfRule type="duplicateValues" dxfId="0" priority="350"/>
  </conditionalFormatting>
  <conditionalFormatting sqref="E405">
    <cfRule type="duplicateValues" dxfId="0" priority="349"/>
  </conditionalFormatting>
  <conditionalFormatting sqref="E406">
    <cfRule type="duplicateValues" dxfId="0" priority="348"/>
  </conditionalFormatting>
  <conditionalFormatting sqref="E407">
    <cfRule type="duplicateValues" dxfId="0" priority="347"/>
  </conditionalFormatting>
  <conditionalFormatting sqref="E408">
    <cfRule type="duplicateValues" dxfId="0" priority="346"/>
  </conditionalFormatting>
  <conditionalFormatting sqref="E409">
    <cfRule type="duplicateValues" dxfId="0" priority="345"/>
  </conditionalFormatting>
  <conditionalFormatting sqref="E410">
    <cfRule type="duplicateValues" dxfId="0" priority="344"/>
  </conditionalFormatting>
  <conditionalFormatting sqref="E411">
    <cfRule type="duplicateValues" dxfId="0" priority="343"/>
  </conditionalFormatting>
  <conditionalFormatting sqref="E412">
    <cfRule type="duplicateValues" dxfId="0" priority="342"/>
  </conditionalFormatting>
  <conditionalFormatting sqref="E413">
    <cfRule type="duplicateValues" dxfId="0" priority="341"/>
  </conditionalFormatting>
  <conditionalFormatting sqref="E414">
    <cfRule type="duplicateValues" dxfId="0" priority="354"/>
  </conditionalFormatting>
  <conditionalFormatting sqref="E415">
    <cfRule type="duplicateValues" dxfId="0" priority="353"/>
  </conditionalFormatting>
  <conditionalFormatting sqref="E416">
    <cfRule type="duplicateValues" dxfId="0" priority="352"/>
  </conditionalFormatting>
  <conditionalFormatting sqref="D417:E417">
    <cfRule type="duplicateValues" dxfId="0" priority="321"/>
  </conditionalFormatting>
  <conditionalFormatting sqref="E418">
    <cfRule type="duplicateValues" dxfId="0" priority="320"/>
  </conditionalFormatting>
  <conditionalFormatting sqref="E419">
    <cfRule type="duplicateValues" dxfId="0" priority="319"/>
  </conditionalFormatting>
  <conditionalFormatting sqref="E420">
    <cfRule type="duplicateValues" dxfId="0" priority="318"/>
  </conditionalFormatting>
  <conditionalFormatting sqref="D421:E421">
    <cfRule type="duplicateValues" dxfId="0" priority="316"/>
  </conditionalFormatting>
  <conditionalFormatting sqref="E422">
    <cfRule type="duplicateValues" dxfId="0" priority="311"/>
  </conditionalFormatting>
  <conditionalFormatting sqref="E423">
    <cfRule type="duplicateValues" dxfId="0" priority="310"/>
  </conditionalFormatting>
  <conditionalFormatting sqref="E424">
    <cfRule type="duplicateValues" dxfId="0" priority="309"/>
  </conditionalFormatting>
  <conditionalFormatting sqref="E425">
    <cfRule type="duplicateValues" dxfId="0" priority="308"/>
  </conditionalFormatting>
  <conditionalFormatting sqref="E426">
    <cfRule type="duplicateValues" dxfId="0" priority="307"/>
  </conditionalFormatting>
  <conditionalFormatting sqref="E427">
    <cfRule type="duplicateValues" dxfId="0" priority="306"/>
  </conditionalFormatting>
  <conditionalFormatting sqref="E428">
    <cfRule type="duplicateValues" dxfId="0" priority="305"/>
  </conditionalFormatting>
  <conditionalFormatting sqref="E429">
    <cfRule type="duplicateValues" dxfId="0" priority="304"/>
  </conditionalFormatting>
  <conditionalFormatting sqref="E430">
    <cfRule type="duplicateValues" dxfId="0" priority="315"/>
  </conditionalFormatting>
  <conditionalFormatting sqref="E431">
    <cfRule type="duplicateValues" dxfId="0" priority="314"/>
  </conditionalFormatting>
  <conditionalFormatting sqref="E432">
    <cfRule type="duplicateValues" dxfId="0" priority="313"/>
  </conditionalFormatting>
  <conditionalFormatting sqref="D433:E433">
    <cfRule type="duplicateValues" dxfId="0" priority="312"/>
  </conditionalFormatting>
  <conditionalFormatting sqref="E434">
    <cfRule type="duplicateValues" dxfId="0" priority="273"/>
  </conditionalFormatting>
  <conditionalFormatting sqref="E435">
    <cfRule type="duplicateValues" dxfId="0" priority="272"/>
  </conditionalFormatting>
  <conditionalFormatting sqref="E436">
    <cfRule type="duplicateValues" dxfId="0" priority="271"/>
  </conditionalFormatting>
  <conditionalFormatting sqref="E437">
    <cfRule type="duplicateValues" dxfId="0" priority="270"/>
  </conditionalFormatting>
  <conditionalFormatting sqref="E438">
    <cfRule type="duplicateValues" dxfId="0" priority="269"/>
  </conditionalFormatting>
  <conditionalFormatting sqref="E439">
    <cfRule type="duplicateValues" dxfId="0" priority="268"/>
  </conditionalFormatting>
  <conditionalFormatting sqref="E440">
    <cfRule type="duplicateValues" dxfId="0" priority="267"/>
  </conditionalFormatting>
  <conditionalFormatting sqref="E441">
    <cfRule type="duplicateValues" dxfId="0" priority="266"/>
  </conditionalFormatting>
  <conditionalFormatting sqref="E442">
    <cfRule type="duplicateValues" dxfId="0" priority="265"/>
  </conditionalFormatting>
  <conditionalFormatting sqref="E443">
    <cfRule type="duplicateValues" dxfId="0" priority="264"/>
  </conditionalFormatting>
  <conditionalFormatting sqref="E444">
    <cfRule type="duplicateValues" dxfId="0" priority="263"/>
  </conditionalFormatting>
  <conditionalFormatting sqref="E445">
    <cfRule type="duplicateValues" dxfId="0" priority="262"/>
  </conditionalFormatting>
  <conditionalFormatting sqref="E446">
    <cfRule type="duplicateValues" dxfId="0" priority="261"/>
  </conditionalFormatting>
  <conditionalFormatting sqref="E447">
    <cfRule type="duplicateValues" dxfId="0" priority="260"/>
  </conditionalFormatting>
  <conditionalFormatting sqref="E448">
    <cfRule type="duplicateValues" dxfId="0" priority="259"/>
  </conditionalFormatting>
  <conditionalFormatting sqref="E449">
    <cfRule type="duplicateValues" dxfId="0" priority="258"/>
  </conditionalFormatting>
  <conditionalFormatting sqref="E450">
    <cfRule type="duplicateValues" dxfId="0" priority="302"/>
  </conditionalFormatting>
  <conditionalFormatting sqref="E451">
    <cfRule type="duplicateValues" dxfId="0" priority="301"/>
  </conditionalFormatting>
  <conditionalFormatting sqref="E452">
    <cfRule type="duplicateValues" dxfId="0" priority="300"/>
  </conditionalFormatting>
  <conditionalFormatting sqref="D453:E453">
    <cfRule type="duplicateValues" dxfId="0" priority="299"/>
  </conditionalFormatting>
  <conditionalFormatting sqref="E454">
    <cfRule type="duplicateValues" dxfId="0" priority="257"/>
  </conditionalFormatting>
  <conditionalFormatting sqref="E455">
    <cfRule type="duplicateValues" dxfId="0" priority="256"/>
  </conditionalFormatting>
  <conditionalFormatting sqref="E456">
    <cfRule type="duplicateValues" dxfId="0" priority="255"/>
  </conditionalFormatting>
  <conditionalFormatting sqref="E457">
    <cfRule type="duplicateValues" dxfId="0" priority="254"/>
  </conditionalFormatting>
  <conditionalFormatting sqref="E458">
    <cfRule type="duplicateValues" dxfId="0" priority="253"/>
  </conditionalFormatting>
  <conditionalFormatting sqref="E459">
    <cfRule type="duplicateValues" dxfId="0" priority="252"/>
  </conditionalFormatting>
  <conditionalFormatting sqref="E460">
    <cfRule type="duplicateValues" dxfId="0" priority="251"/>
  </conditionalFormatting>
  <conditionalFormatting sqref="E461">
    <cfRule type="duplicateValues" dxfId="0" priority="250"/>
  </conditionalFormatting>
  <conditionalFormatting sqref="E462">
    <cfRule type="duplicateValues" dxfId="0" priority="249"/>
  </conditionalFormatting>
  <conditionalFormatting sqref="E463">
    <cfRule type="duplicateValues" dxfId="0" priority="248"/>
  </conditionalFormatting>
  <conditionalFormatting sqref="E464">
    <cfRule type="duplicateValues" dxfId="0" priority="247"/>
  </conditionalFormatting>
  <conditionalFormatting sqref="E465">
    <cfRule type="duplicateValues" dxfId="0" priority="246"/>
  </conditionalFormatting>
  <conditionalFormatting sqref="E466">
    <cfRule type="duplicateValues" dxfId="0" priority="245"/>
  </conditionalFormatting>
  <conditionalFormatting sqref="E467">
    <cfRule type="duplicateValues" dxfId="0" priority="244"/>
  </conditionalFormatting>
  <conditionalFormatting sqref="E468">
    <cfRule type="duplicateValues" dxfId="0" priority="243"/>
  </conditionalFormatting>
  <conditionalFormatting sqref="E469">
    <cfRule type="duplicateValues" dxfId="0" priority="297"/>
  </conditionalFormatting>
  <conditionalFormatting sqref="E470">
    <cfRule type="duplicateValues" dxfId="0" priority="296"/>
  </conditionalFormatting>
  <conditionalFormatting sqref="E471">
    <cfRule type="duplicateValues" dxfId="0" priority="295"/>
  </conditionalFormatting>
  <conditionalFormatting sqref="D472:E472">
    <cfRule type="duplicateValues" dxfId="0" priority="294"/>
  </conditionalFormatting>
  <conditionalFormatting sqref="E473">
    <cfRule type="duplicateValues" dxfId="0" priority="241"/>
  </conditionalFormatting>
  <conditionalFormatting sqref="E474">
    <cfRule type="duplicateValues" dxfId="0" priority="240"/>
  </conditionalFormatting>
  <conditionalFormatting sqref="E475">
    <cfRule type="duplicateValues" dxfId="0" priority="239"/>
  </conditionalFormatting>
  <conditionalFormatting sqref="E476">
    <cfRule type="duplicateValues" dxfId="0" priority="238"/>
  </conditionalFormatting>
  <conditionalFormatting sqref="E477">
    <cfRule type="duplicateValues" dxfId="0" priority="237"/>
  </conditionalFormatting>
  <conditionalFormatting sqref="E478">
    <cfRule type="duplicateValues" dxfId="0" priority="236"/>
  </conditionalFormatting>
  <conditionalFormatting sqref="E479">
    <cfRule type="duplicateValues" dxfId="0" priority="235"/>
  </conditionalFormatting>
  <conditionalFormatting sqref="E480">
    <cfRule type="duplicateValues" dxfId="0" priority="234"/>
  </conditionalFormatting>
  <conditionalFormatting sqref="E481">
    <cfRule type="duplicateValues" dxfId="0" priority="233"/>
  </conditionalFormatting>
  <conditionalFormatting sqref="E482">
    <cfRule type="duplicateValues" dxfId="0" priority="232"/>
  </conditionalFormatting>
  <conditionalFormatting sqref="E483">
    <cfRule type="duplicateValues" dxfId="0" priority="231"/>
  </conditionalFormatting>
  <conditionalFormatting sqref="E484">
    <cfRule type="duplicateValues" dxfId="0" priority="230"/>
  </conditionalFormatting>
  <conditionalFormatting sqref="E485">
    <cfRule type="duplicateValues" dxfId="0" priority="293"/>
  </conditionalFormatting>
  <conditionalFormatting sqref="E486">
    <cfRule type="duplicateValues" dxfId="0" priority="292"/>
  </conditionalFormatting>
  <conditionalFormatting sqref="E487">
    <cfRule type="duplicateValues" dxfId="0" priority="291"/>
  </conditionalFormatting>
  <conditionalFormatting sqref="D488:E488">
    <cfRule type="duplicateValues" dxfId="0" priority="290"/>
  </conditionalFormatting>
  <conditionalFormatting sqref="E489">
    <cfRule type="duplicateValues" dxfId="0" priority="228"/>
  </conditionalFormatting>
  <conditionalFormatting sqref="E490">
    <cfRule type="duplicateValues" dxfId="0" priority="227"/>
  </conditionalFormatting>
  <conditionalFormatting sqref="E491">
    <cfRule type="duplicateValues" dxfId="0" priority="226"/>
  </conditionalFormatting>
  <conditionalFormatting sqref="E492">
    <cfRule type="duplicateValues" dxfId="0" priority="225"/>
  </conditionalFormatting>
  <conditionalFormatting sqref="E493">
    <cfRule type="duplicateValues" dxfId="0" priority="224"/>
  </conditionalFormatting>
  <conditionalFormatting sqref="E494">
    <cfRule type="duplicateValues" dxfId="0" priority="223"/>
  </conditionalFormatting>
  <conditionalFormatting sqref="E495">
    <cfRule type="duplicateValues" dxfId="0" priority="222"/>
  </conditionalFormatting>
  <conditionalFormatting sqref="E496">
    <cfRule type="duplicateValues" dxfId="0" priority="289"/>
  </conditionalFormatting>
  <conditionalFormatting sqref="E497">
    <cfRule type="duplicateValues" dxfId="0" priority="288"/>
  </conditionalFormatting>
  <conditionalFormatting sqref="E498">
    <cfRule type="duplicateValues" dxfId="0" priority="287"/>
  </conditionalFormatting>
  <conditionalFormatting sqref="D499:E499">
    <cfRule type="duplicateValues" dxfId="0" priority="286"/>
  </conditionalFormatting>
  <conditionalFormatting sqref="E500">
    <cfRule type="duplicateValues" dxfId="0" priority="216"/>
  </conditionalFormatting>
  <conditionalFormatting sqref="E501">
    <cfRule type="duplicateValues" dxfId="0" priority="215"/>
  </conditionalFormatting>
  <conditionalFormatting sqref="E502">
    <cfRule type="duplicateValues" dxfId="0" priority="214"/>
  </conditionalFormatting>
  <conditionalFormatting sqref="E503">
    <cfRule type="duplicateValues" dxfId="0" priority="213"/>
  </conditionalFormatting>
  <conditionalFormatting sqref="E504">
    <cfRule type="duplicateValues" dxfId="0" priority="212"/>
  </conditionalFormatting>
  <conditionalFormatting sqref="E505">
    <cfRule type="duplicateValues" dxfId="0" priority="211"/>
  </conditionalFormatting>
  <conditionalFormatting sqref="E506">
    <cfRule type="duplicateValues" dxfId="0" priority="210"/>
  </conditionalFormatting>
  <conditionalFormatting sqref="E507">
    <cfRule type="duplicateValues" dxfId="0" priority="285"/>
  </conditionalFormatting>
  <conditionalFormatting sqref="E508">
    <cfRule type="duplicateValues" dxfId="0" priority="284"/>
  </conditionalFormatting>
  <conditionalFormatting sqref="E509">
    <cfRule type="duplicateValues" dxfId="0" priority="283"/>
  </conditionalFormatting>
  <conditionalFormatting sqref="D510:E510">
    <cfRule type="duplicateValues" dxfId="0" priority="282"/>
  </conditionalFormatting>
  <conditionalFormatting sqref="E511">
    <cfRule type="duplicateValues" dxfId="0" priority="209"/>
  </conditionalFormatting>
  <conditionalFormatting sqref="E512">
    <cfRule type="duplicateValues" dxfId="0" priority="208"/>
  </conditionalFormatting>
  <conditionalFormatting sqref="E513">
    <cfRule type="duplicateValues" dxfId="0" priority="207"/>
  </conditionalFormatting>
  <conditionalFormatting sqref="E514">
    <cfRule type="duplicateValues" dxfId="0" priority="206"/>
  </conditionalFormatting>
  <conditionalFormatting sqref="E515">
    <cfRule type="duplicateValues" dxfId="0" priority="205"/>
  </conditionalFormatting>
  <conditionalFormatting sqref="E516">
    <cfRule type="duplicateValues" dxfId="0" priority="204"/>
  </conditionalFormatting>
  <conditionalFormatting sqref="E517">
    <cfRule type="duplicateValues" dxfId="0" priority="203"/>
  </conditionalFormatting>
  <conditionalFormatting sqref="E518">
    <cfRule type="duplicateValues" dxfId="0" priority="202"/>
  </conditionalFormatting>
  <conditionalFormatting sqref="E519">
    <cfRule type="duplicateValues" dxfId="0" priority="201"/>
  </conditionalFormatting>
  <conditionalFormatting sqref="E520">
    <cfRule type="duplicateValues" dxfId="0" priority="200"/>
  </conditionalFormatting>
  <conditionalFormatting sqref="E521">
    <cfRule type="duplicateValues" dxfId="0" priority="281"/>
  </conditionalFormatting>
  <conditionalFormatting sqref="E522">
    <cfRule type="duplicateValues" dxfId="0" priority="280"/>
  </conditionalFormatting>
  <conditionalFormatting sqref="E523">
    <cfRule type="duplicateValues" dxfId="0" priority="279"/>
  </conditionalFormatting>
  <conditionalFormatting sqref="D524:E524">
    <cfRule type="duplicateValues" dxfId="0" priority="278"/>
  </conditionalFormatting>
  <conditionalFormatting sqref="E525">
    <cfRule type="duplicateValues" dxfId="0" priority="197"/>
  </conditionalFormatting>
  <conditionalFormatting sqref="E526">
    <cfRule type="duplicateValues" dxfId="0" priority="196"/>
  </conditionalFormatting>
  <conditionalFormatting sqref="E527">
    <cfRule type="duplicateValues" dxfId="0" priority="195"/>
  </conditionalFormatting>
  <conditionalFormatting sqref="E528">
    <cfRule type="duplicateValues" dxfId="0" priority="194"/>
  </conditionalFormatting>
  <conditionalFormatting sqref="E529">
    <cfRule type="duplicateValues" dxfId="0" priority="189"/>
  </conditionalFormatting>
  <conditionalFormatting sqref="E530">
    <cfRule type="duplicateValues" dxfId="0" priority="193"/>
  </conditionalFormatting>
  <conditionalFormatting sqref="E531">
    <cfRule type="duplicateValues" dxfId="0" priority="192"/>
  </conditionalFormatting>
  <conditionalFormatting sqref="E532">
    <cfRule type="duplicateValues" dxfId="0" priority="191"/>
  </conditionalFormatting>
  <conditionalFormatting sqref="E533">
    <cfRule type="duplicateValues" dxfId="0" priority="190"/>
  </conditionalFormatting>
  <conditionalFormatting sqref="E534">
    <cfRule type="duplicateValues" dxfId="0" priority="188"/>
  </conditionalFormatting>
  <conditionalFormatting sqref="E535">
    <cfRule type="duplicateValues" dxfId="0" priority="277"/>
  </conditionalFormatting>
  <conditionalFormatting sqref="E536">
    <cfRule type="duplicateValues" dxfId="0" priority="276"/>
  </conditionalFormatting>
  <conditionalFormatting sqref="E537">
    <cfRule type="duplicateValues" dxfId="0" priority="275"/>
  </conditionalFormatting>
  <conditionalFormatting sqref="D538:E538">
    <cfRule type="duplicateValues" dxfId="0" priority="274"/>
  </conditionalFormatting>
  <conditionalFormatting sqref="E539">
    <cfRule type="duplicateValues" dxfId="0" priority="187"/>
  </conditionalFormatting>
  <conditionalFormatting sqref="E540">
    <cfRule type="duplicateValues" dxfId="0" priority="186"/>
  </conditionalFormatting>
  <conditionalFormatting sqref="E541">
    <cfRule type="duplicateValues" dxfId="0" priority="185"/>
  </conditionalFormatting>
  <conditionalFormatting sqref="D542:E542">
    <cfRule type="duplicateValues" dxfId="0" priority="184"/>
  </conditionalFormatting>
  <conditionalFormatting sqref="E543">
    <cfRule type="duplicateValues" dxfId="0" priority="178"/>
  </conditionalFormatting>
  <conditionalFormatting sqref="E544">
    <cfRule type="duplicateValues" dxfId="0" priority="177"/>
  </conditionalFormatting>
  <conditionalFormatting sqref="E545">
    <cfRule type="duplicateValues" dxfId="0" priority="176"/>
  </conditionalFormatting>
  <conditionalFormatting sqref="E546">
    <cfRule type="duplicateValues" dxfId="0" priority="175"/>
  </conditionalFormatting>
  <conditionalFormatting sqref="E547">
    <cfRule type="duplicateValues" dxfId="0" priority="174"/>
  </conditionalFormatting>
  <conditionalFormatting sqref="E548">
    <cfRule type="duplicateValues" dxfId="0" priority="173"/>
  </conditionalFormatting>
  <conditionalFormatting sqref="E549">
    <cfRule type="duplicateValues" dxfId="0" priority="172"/>
  </conditionalFormatting>
  <conditionalFormatting sqref="E550">
    <cfRule type="duplicateValues" dxfId="0" priority="171"/>
  </conditionalFormatting>
  <conditionalFormatting sqref="E551">
    <cfRule type="duplicateValues" dxfId="0" priority="170"/>
  </conditionalFormatting>
  <conditionalFormatting sqref="E552">
    <cfRule type="duplicateValues" dxfId="0" priority="169"/>
  </conditionalFormatting>
  <conditionalFormatting sqref="E553">
    <cfRule type="duplicateValues" dxfId="0" priority="168"/>
  </conditionalFormatting>
  <conditionalFormatting sqref="E554">
    <cfRule type="duplicateValues" dxfId="0" priority="182"/>
  </conditionalFormatting>
  <conditionalFormatting sqref="E555">
    <cfRule type="duplicateValues" dxfId="0" priority="181"/>
  </conditionalFormatting>
  <conditionalFormatting sqref="E556">
    <cfRule type="duplicateValues" dxfId="0" priority="180"/>
  </conditionalFormatting>
  <conditionalFormatting sqref="D557:E557">
    <cfRule type="duplicateValues" dxfId="0" priority="179"/>
  </conditionalFormatting>
  <conditionalFormatting sqref="E558">
    <cfRule type="duplicateValues" dxfId="0" priority="163"/>
  </conditionalFormatting>
  <conditionalFormatting sqref="E559">
    <cfRule type="duplicateValues" dxfId="0" priority="162"/>
  </conditionalFormatting>
  <conditionalFormatting sqref="E560">
    <cfRule type="duplicateValues" dxfId="0" priority="161"/>
  </conditionalFormatting>
  <conditionalFormatting sqref="E561">
    <cfRule type="duplicateValues" dxfId="0" priority="160"/>
  </conditionalFormatting>
  <conditionalFormatting sqref="E562">
    <cfRule type="duplicateValues" dxfId="0" priority="159"/>
  </conditionalFormatting>
  <conditionalFormatting sqref="E563">
    <cfRule type="duplicateValues" dxfId="0" priority="158"/>
  </conditionalFormatting>
  <conditionalFormatting sqref="E564">
    <cfRule type="duplicateValues" dxfId="0" priority="157"/>
  </conditionalFormatting>
  <conditionalFormatting sqref="E565">
    <cfRule type="duplicateValues" dxfId="0" priority="156"/>
  </conditionalFormatting>
  <conditionalFormatting sqref="E566">
    <cfRule type="duplicateValues" dxfId="0" priority="155"/>
  </conditionalFormatting>
  <conditionalFormatting sqref="E567">
    <cfRule type="duplicateValues" dxfId="0" priority="154"/>
  </conditionalFormatting>
  <conditionalFormatting sqref="E568">
    <cfRule type="duplicateValues" dxfId="0" priority="167"/>
  </conditionalFormatting>
  <conditionalFormatting sqref="E569">
    <cfRule type="duplicateValues" dxfId="0" priority="166"/>
  </conditionalFormatting>
  <conditionalFormatting sqref="E570">
    <cfRule type="duplicateValues" dxfId="0" priority="165"/>
  </conditionalFormatting>
  <conditionalFormatting sqref="D571:E571">
    <cfRule type="duplicateValues" dxfId="0" priority="164"/>
  </conditionalFormatting>
  <conditionalFormatting sqref="E572">
    <cfRule type="duplicateValues" dxfId="0" priority="148"/>
  </conditionalFormatting>
  <conditionalFormatting sqref="E573">
    <cfRule type="duplicateValues" dxfId="0" priority="147"/>
  </conditionalFormatting>
  <conditionalFormatting sqref="E574">
    <cfRule type="duplicateValues" dxfId="0" priority="146"/>
  </conditionalFormatting>
  <conditionalFormatting sqref="E575">
    <cfRule type="duplicateValues" dxfId="0" priority="145"/>
  </conditionalFormatting>
  <conditionalFormatting sqref="E576">
    <cfRule type="duplicateValues" dxfId="0" priority="144"/>
  </conditionalFormatting>
  <conditionalFormatting sqref="E577">
    <cfRule type="duplicateValues" dxfId="0" priority="143"/>
  </conditionalFormatting>
  <conditionalFormatting sqref="E578">
    <cfRule type="duplicateValues" dxfId="0" priority="142"/>
  </conditionalFormatting>
  <conditionalFormatting sqref="E579">
    <cfRule type="duplicateValues" dxfId="0" priority="141"/>
  </conditionalFormatting>
  <conditionalFormatting sqref="E580">
    <cfRule type="duplicateValues" dxfId="0" priority="140"/>
  </conditionalFormatting>
  <conditionalFormatting sqref="E581">
    <cfRule type="duplicateValues" dxfId="0" priority="139"/>
  </conditionalFormatting>
  <conditionalFormatting sqref="E582">
    <cfRule type="duplicateValues" dxfId="0" priority="138"/>
  </conditionalFormatting>
  <conditionalFormatting sqref="E583">
    <cfRule type="duplicateValues" dxfId="0" priority="137"/>
  </conditionalFormatting>
  <conditionalFormatting sqref="E584">
    <cfRule type="duplicateValues" dxfId="0" priority="152"/>
  </conditionalFormatting>
  <conditionalFormatting sqref="E585">
    <cfRule type="duplicateValues" dxfId="0" priority="151"/>
  </conditionalFormatting>
  <conditionalFormatting sqref="E586">
    <cfRule type="duplicateValues" dxfId="0" priority="150"/>
  </conditionalFormatting>
  <conditionalFormatting sqref="D587:E587">
    <cfRule type="duplicateValues" dxfId="0" priority="149"/>
  </conditionalFormatting>
  <conditionalFormatting sqref="E588">
    <cfRule type="duplicateValues" dxfId="0" priority="136"/>
  </conditionalFormatting>
  <conditionalFormatting sqref="E589">
    <cfRule type="duplicateValues" dxfId="0" priority="131"/>
  </conditionalFormatting>
  <conditionalFormatting sqref="E590">
    <cfRule type="duplicateValues" dxfId="0" priority="130"/>
  </conditionalFormatting>
  <conditionalFormatting sqref="E591">
    <cfRule type="duplicateValues" dxfId="0" priority="129"/>
  </conditionalFormatting>
  <conditionalFormatting sqref="E592">
    <cfRule type="duplicateValues" dxfId="0" priority="128"/>
  </conditionalFormatting>
  <conditionalFormatting sqref="E593">
    <cfRule type="duplicateValues" dxfId="0" priority="127"/>
  </conditionalFormatting>
  <conditionalFormatting sqref="E594">
    <cfRule type="duplicateValues" dxfId="0" priority="135"/>
  </conditionalFormatting>
  <conditionalFormatting sqref="E595">
    <cfRule type="duplicateValues" dxfId="0" priority="134"/>
  </conditionalFormatting>
  <conditionalFormatting sqref="E596">
    <cfRule type="duplicateValues" dxfId="0" priority="133"/>
  </conditionalFormatting>
  <conditionalFormatting sqref="D597:E597">
    <cfRule type="duplicateValues" dxfId="0" priority="132"/>
  </conditionalFormatting>
  <conditionalFormatting sqref="E598">
    <cfRule type="duplicateValues" dxfId="0" priority="122"/>
  </conditionalFormatting>
  <conditionalFormatting sqref="E599">
    <cfRule type="duplicateValues" dxfId="0" priority="121"/>
  </conditionalFormatting>
  <conditionalFormatting sqref="E600">
    <cfRule type="duplicateValues" dxfId="0" priority="120"/>
  </conditionalFormatting>
  <conditionalFormatting sqref="E601">
    <cfRule type="duplicateValues" dxfId="0" priority="119"/>
  </conditionalFormatting>
  <conditionalFormatting sqref="E602">
    <cfRule type="duplicateValues" dxfId="0" priority="118"/>
  </conditionalFormatting>
  <conditionalFormatting sqref="E603">
    <cfRule type="duplicateValues" dxfId="0" priority="117"/>
  </conditionalFormatting>
  <conditionalFormatting sqref="E604">
    <cfRule type="duplicateValues" dxfId="0" priority="116"/>
  </conditionalFormatting>
  <conditionalFormatting sqref="E605">
    <cfRule type="duplicateValues" dxfId="0" priority="126"/>
  </conditionalFormatting>
  <conditionalFormatting sqref="E606">
    <cfRule type="duplicateValues" dxfId="0" priority="125"/>
  </conditionalFormatting>
  <conditionalFormatting sqref="E607">
    <cfRule type="duplicateValues" dxfId="0" priority="124"/>
  </conditionalFormatting>
  <conditionalFormatting sqref="D608:E608">
    <cfRule type="duplicateValues" dxfId="0" priority="123"/>
  </conditionalFormatting>
  <conditionalFormatting sqref="E609">
    <cfRule type="duplicateValues" dxfId="0" priority="111"/>
  </conditionalFormatting>
  <conditionalFormatting sqref="E610">
    <cfRule type="duplicateValues" dxfId="0" priority="110"/>
  </conditionalFormatting>
  <conditionalFormatting sqref="E611">
    <cfRule type="duplicateValues" dxfId="0" priority="109"/>
  </conditionalFormatting>
  <conditionalFormatting sqref="E612">
    <cfRule type="duplicateValues" dxfId="0" priority="108"/>
  </conditionalFormatting>
  <conditionalFormatting sqref="E613">
    <cfRule type="duplicateValues" dxfId="0" priority="107"/>
  </conditionalFormatting>
  <conditionalFormatting sqref="E614">
    <cfRule type="duplicateValues" dxfId="0" priority="106"/>
  </conditionalFormatting>
  <conditionalFormatting sqref="E615">
    <cfRule type="duplicateValues" dxfId="0" priority="105"/>
  </conditionalFormatting>
  <conditionalFormatting sqref="E616">
    <cfRule type="duplicateValues" dxfId="0" priority="104"/>
  </conditionalFormatting>
  <conditionalFormatting sqref="E617">
    <cfRule type="duplicateValues" dxfId="0" priority="103"/>
  </conditionalFormatting>
  <conditionalFormatting sqref="E618">
    <cfRule type="duplicateValues" dxfId="0" priority="102"/>
  </conditionalFormatting>
  <conditionalFormatting sqref="E619">
    <cfRule type="duplicateValues" dxfId="0" priority="115"/>
  </conditionalFormatting>
  <conditionalFormatting sqref="E620">
    <cfRule type="duplicateValues" dxfId="0" priority="114"/>
  </conditionalFormatting>
  <conditionalFormatting sqref="E621">
    <cfRule type="duplicateValues" dxfId="0" priority="113"/>
  </conditionalFormatting>
  <conditionalFormatting sqref="D622:E622">
    <cfRule type="duplicateValues" dxfId="0" priority="112"/>
  </conditionalFormatting>
  <conditionalFormatting sqref="E623">
    <cfRule type="duplicateValues" dxfId="0" priority="97"/>
  </conditionalFormatting>
  <conditionalFormatting sqref="E624">
    <cfRule type="duplicateValues" dxfId="0" priority="96"/>
  </conditionalFormatting>
  <conditionalFormatting sqref="E625">
    <cfRule type="duplicateValues" dxfId="0" priority="95"/>
  </conditionalFormatting>
  <conditionalFormatting sqref="E626">
    <cfRule type="duplicateValues" dxfId="0" priority="94"/>
  </conditionalFormatting>
  <conditionalFormatting sqref="E627">
    <cfRule type="duplicateValues" dxfId="0" priority="93"/>
  </conditionalFormatting>
  <conditionalFormatting sqref="E628">
    <cfRule type="duplicateValues" dxfId="0" priority="92"/>
  </conditionalFormatting>
  <conditionalFormatting sqref="E629">
    <cfRule type="duplicateValues" dxfId="0" priority="91"/>
  </conditionalFormatting>
  <conditionalFormatting sqref="E630">
    <cfRule type="duplicateValues" dxfId="0" priority="90"/>
  </conditionalFormatting>
  <conditionalFormatting sqref="E631">
    <cfRule type="duplicateValues" dxfId="0" priority="89"/>
  </conditionalFormatting>
  <conditionalFormatting sqref="E632">
    <cfRule type="duplicateValues" dxfId="0" priority="101"/>
  </conditionalFormatting>
  <conditionalFormatting sqref="E633">
    <cfRule type="duplicateValues" dxfId="0" priority="100"/>
  </conditionalFormatting>
  <conditionalFormatting sqref="E634">
    <cfRule type="duplicateValues" dxfId="0" priority="99"/>
  </conditionalFormatting>
  <conditionalFormatting sqref="D635:E635">
    <cfRule type="duplicateValues" dxfId="0" priority="98"/>
  </conditionalFormatting>
  <conditionalFormatting sqref="E636">
    <cfRule type="duplicateValues" dxfId="0" priority="84"/>
  </conditionalFormatting>
  <conditionalFormatting sqref="E637">
    <cfRule type="duplicateValues" dxfId="0" priority="83"/>
  </conditionalFormatting>
  <conditionalFormatting sqref="E638">
    <cfRule type="duplicateValues" dxfId="0" priority="82"/>
  </conditionalFormatting>
  <conditionalFormatting sqref="E639">
    <cfRule type="duplicateValues" dxfId="0" priority="81"/>
  </conditionalFormatting>
  <conditionalFormatting sqref="E640">
    <cfRule type="duplicateValues" dxfId="0" priority="80"/>
  </conditionalFormatting>
  <conditionalFormatting sqref="E641">
    <cfRule type="duplicateValues" dxfId="0" priority="79"/>
  </conditionalFormatting>
  <conditionalFormatting sqref="E642">
    <cfRule type="duplicateValues" dxfId="0" priority="88"/>
  </conditionalFormatting>
  <conditionalFormatting sqref="E643">
    <cfRule type="duplicateValues" dxfId="0" priority="87"/>
  </conditionalFormatting>
  <conditionalFormatting sqref="E644">
    <cfRule type="duplicateValues" dxfId="0" priority="86"/>
  </conditionalFormatting>
  <conditionalFormatting sqref="D645:E645">
    <cfRule type="duplicateValues" dxfId="0" priority="85"/>
  </conditionalFormatting>
  <conditionalFormatting sqref="E646">
    <cfRule type="duplicateValues" dxfId="0" priority="74"/>
  </conditionalFormatting>
  <conditionalFormatting sqref="E647">
    <cfRule type="duplicateValues" dxfId="0" priority="78"/>
  </conditionalFormatting>
  <conditionalFormatting sqref="E648">
    <cfRule type="duplicateValues" dxfId="0" priority="77"/>
  </conditionalFormatting>
  <conditionalFormatting sqref="E649">
    <cfRule type="duplicateValues" dxfId="0" priority="76"/>
  </conditionalFormatting>
  <conditionalFormatting sqref="E650">
    <cfRule type="duplicateValues" dxfId="0" priority="72"/>
  </conditionalFormatting>
  <conditionalFormatting sqref="E651">
    <cfRule type="duplicateValues" dxfId="0" priority="71"/>
  </conditionalFormatting>
  <conditionalFormatting sqref="E652">
    <cfRule type="duplicateValues" dxfId="0" priority="70"/>
  </conditionalFormatting>
  <conditionalFormatting sqref="E653">
    <cfRule type="duplicateValues" dxfId="0" priority="69"/>
  </conditionalFormatting>
  <conditionalFormatting sqref="E654">
    <cfRule type="duplicateValues" dxfId="0" priority="68"/>
  </conditionalFormatting>
  <conditionalFormatting sqref="E655">
    <cfRule type="duplicateValues" dxfId="0" priority="67"/>
  </conditionalFormatting>
  <conditionalFormatting sqref="E656">
    <cfRule type="duplicateValues" dxfId="0" priority="66"/>
  </conditionalFormatting>
  <conditionalFormatting sqref="E657">
    <cfRule type="duplicateValues" dxfId="0" priority="65"/>
  </conditionalFormatting>
  <conditionalFormatting sqref="E658">
    <cfRule type="duplicateValues" dxfId="0" priority="64"/>
  </conditionalFormatting>
  <conditionalFormatting sqref="E659">
    <cfRule type="duplicateValues" dxfId="0" priority="63"/>
  </conditionalFormatting>
  <conditionalFormatting sqref="E660">
    <cfRule type="duplicateValues" dxfId="0" priority="62"/>
  </conditionalFormatting>
  <conditionalFormatting sqref="E661">
    <cfRule type="duplicateValues" dxfId="0" priority="61"/>
  </conditionalFormatting>
  <conditionalFormatting sqref="D662:E662">
    <cfRule type="duplicateValues" dxfId="0" priority="75"/>
  </conditionalFormatting>
  <conditionalFormatting sqref="E666">
    <cfRule type="duplicateValues" dxfId="0" priority="60"/>
  </conditionalFormatting>
  <conditionalFormatting sqref="E667">
    <cfRule type="duplicateValues" dxfId="0" priority="59"/>
  </conditionalFormatting>
  <conditionalFormatting sqref="E668">
    <cfRule type="duplicateValues" dxfId="0" priority="58"/>
  </conditionalFormatting>
  <conditionalFormatting sqref="E669">
    <cfRule type="duplicateValues" dxfId="0" priority="57"/>
  </conditionalFormatting>
  <conditionalFormatting sqref="E670">
    <cfRule type="duplicateValues" dxfId="0" priority="56"/>
  </conditionalFormatting>
  <conditionalFormatting sqref="E671">
    <cfRule type="duplicateValues" dxfId="0" priority="55"/>
  </conditionalFormatting>
  <conditionalFormatting sqref="E672">
    <cfRule type="duplicateValues" dxfId="0" priority="54"/>
  </conditionalFormatting>
  <conditionalFormatting sqref="E673">
    <cfRule type="duplicateValues" dxfId="0" priority="53"/>
  </conditionalFormatting>
  <conditionalFormatting sqref="E674">
    <cfRule type="duplicateValues" dxfId="0" priority="52"/>
  </conditionalFormatting>
  <conditionalFormatting sqref="E675">
    <cfRule type="duplicateValues" dxfId="0" priority="51"/>
  </conditionalFormatting>
  <conditionalFormatting sqref="E676">
    <cfRule type="duplicateValues" dxfId="0" priority="50"/>
  </conditionalFormatting>
  <conditionalFormatting sqref="E677">
    <cfRule type="duplicateValues" dxfId="0" priority="49"/>
  </conditionalFormatting>
  <conditionalFormatting sqref="E682">
    <cfRule type="duplicateValues" dxfId="0" priority="48"/>
  </conditionalFormatting>
  <conditionalFormatting sqref="E683">
    <cfRule type="duplicateValues" dxfId="0" priority="47"/>
  </conditionalFormatting>
  <conditionalFormatting sqref="E684">
    <cfRule type="duplicateValues" dxfId="0" priority="46"/>
  </conditionalFormatting>
  <conditionalFormatting sqref="E685">
    <cfRule type="duplicateValues" dxfId="0" priority="45"/>
  </conditionalFormatting>
  <conditionalFormatting sqref="E686">
    <cfRule type="duplicateValues" dxfId="0" priority="44"/>
  </conditionalFormatting>
  <conditionalFormatting sqref="E687">
    <cfRule type="duplicateValues" dxfId="0" priority="43"/>
  </conditionalFormatting>
  <conditionalFormatting sqref="E688">
    <cfRule type="duplicateValues" dxfId="0" priority="42"/>
  </conditionalFormatting>
  <conditionalFormatting sqref="E689">
    <cfRule type="duplicateValues" dxfId="0" priority="41"/>
  </conditionalFormatting>
  <conditionalFormatting sqref="E690">
    <cfRule type="duplicateValues" dxfId="0" priority="40"/>
  </conditionalFormatting>
  <conditionalFormatting sqref="E691">
    <cfRule type="duplicateValues" dxfId="0" priority="39"/>
  </conditionalFormatting>
  <conditionalFormatting sqref="E692">
    <cfRule type="duplicateValues" dxfId="0" priority="38"/>
  </conditionalFormatting>
  <conditionalFormatting sqref="E697">
    <cfRule type="duplicateValues" dxfId="0" priority="37"/>
  </conditionalFormatting>
  <conditionalFormatting sqref="E698">
    <cfRule type="duplicateValues" dxfId="0" priority="36"/>
  </conditionalFormatting>
  <conditionalFormatting sqref="E699">
    <cfRule type="duplicateValues" dxfId="0" priority="35"/>
  </conditionalFormatting>
  <conditionalFormatting sqref="E700">
    <cfRule type="duplicateValues" dxfId="0" priority="34"/>
  </conditionalFormatting>
  <conditionalFormatting sqref="E701">
    <cfRule type="duplicateValues" dxfId="0" priority="33"/>
  </conditionalFormatting>
  <conditionalFormatting sqref="E702">
    <cfRule type="duplicateValues" dxfId="0" priority="32"/>
  </conditionalFormatting>
  <conditionalFormatting sqref="E707">
    <cfRule type="duplicateValues" dxfId="0" priority="26"/>
  </conditionalFormatting>
  <conditionalFormatting sqref="E708">
    <cfRule type="duplicateValues" dxfId="0" priority="25"/>
  </conditionalFormatting>
  <conditionalFormatting sqref="E709">
    <cfRule type="duplicateValues" dxfId="0" priority="24"/>
  </conditionalFormatting>
  <conditionalFormatting sqref="E710">
    <cfRule type="duplicateValues" dxfId="0" priority="23"/>
  </conditionalFormatting>
  <conditionalFormatting sqref="E711">
    <cfRule type="duplicateValues" dxfId="0" priority="22"/>
  </conditionalFormatting>
  <conditionalFormatting sqref="E712">
    <cfRule type="duplicateValues" dxfId="0" priority="21"/>
  </conditionalFormatting>
  <conditionalFormatting sqref="E717">
    <cfRule type="duplicateValues" dxfId="0" priority="20"/>
  </conditionalFormatting>
  <conditionalFormatting sqref="E718">
    <cfRule type="duplicateValues" dxfId="0" priority="19"/>
  </conditionalFormatting>
  <conditionalFormatting sqref="E719">
    <cfRule type="duplicateValues" dxfId="0" priority="18"/>
  </conditionalFormatting>
  <conditionalFormatting sqref="E720">
    <cfRule type="duplicateValues" dxfId="0" priority="17"/>
  </conditionalFormatting>
  <conditionalFormatting sqref="E721">
    <cfRule type="duplicateValues" dxfId="0" priority="16"/>
  </conditionalFormatting>
  <conditionalFormatting sqref="E722">
    <cfRule type="duplicateValues" dxfId="0" priority="15"/>
  </conditionalFormatting>
  <conditionalFormatting sqref="E723">
    <cfRule type="duplicateValues" dxfId="0" priority="14"/>
  </conditionalFormatting>
  <conditionalFormatting sqref="E724">
    <cfRule type="duplicateValues" dxfId="0" priority="13"/>
  </conditionalFormatting>
  <conditionalFormatting sqref="E725">
    <cfRule type="duplicateValues" dxfId="0" priority="12"/>
  </conditionalFormatting>
  <conditionalFormatting sqref="E730">
    <cfRule type="duplicateValues" dxfId="0" priority="11"/>
  </conditionalFormatting>
  <conditionalFormatting sqref="E731">
    <cfRule type="duplicateValues" dxfId="0" priority="10"/>
  </conditionalFormatting>
  <conditionalFormatting sqref="E732">
    <cfRule type="duplicateValues" dxfId="0" priority="9"/>
  </conditionalFormatting>
  <conditionalFormatting sqref="E733">
    <cfRule type="duplicateValues" dxfId="0" priority="8"/>
  </conditionalFormatting>
  <conditionalFormatting sqref="E734">
    <cfRule type="duplicateValues" dxfId="0" priority="7"/>
  </conditionalFormatting>
  <conditionalFormatting sqref="E735">
    <cfRule type="duplicateValues" dxfId="0" priority="6"/>
  </conditionalFormatting>
  <conditionalFormatting sqref="E736">
    <cfRule type="duplicateValues" dxfId="0" priority="5"/>
  </conditionalFormatting>
  <conditionalFormatting sqref="E737">
    <cfRule type="duplicateValues" dxfId="0" priority="4"/>
  </conditionalFormatting>
  <conditionalFormatting sqref="E738">
    <cfRule type="duplicateValues" dxfId="0" priority="3"/>
  </conditionalFormatting>
  <conditionalFormatting sqref="E739">
    <cfRule type="duplicateValues" dxfId="0" priority="2"/>
  </conditionalFormatting>
  <conditionalFormatting sqref="E740">
    <cfRule type="duplicateValues" dxfId="0" priority="1"/>
  </conditionalFormatting>
  <conditionalFormatting sqref="D1:E1 D2 D3:E8 D17:E18 D121:E127 E131 E135:E152 E157:E169 E180:E182 E184:E185">
    <cfRule type="duplicateValues" dxfId="0" priority="1147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7"/>
  <sheetViews>
    <sheetView topLeftCell="A46" workbookViewId="0">
      <selection activeCell="B60" sqref="B60"/>
    </sheetView>
  </sheetViews>
  <sheetFormatPr defaultColWidth="9" defaultRowHeight="14.4"/>
  <cols>
    <col min="1" max="1" width="9" style="17" customWidth="1"/>
    <col min="2" max="2" width="10.7222222222222" style="3" customWidth="1"/>
    <col min="3" max="3" width="12.0925925925926" style="18" customWidth="1"/>
    <col min="4" max="4" width="14.5462962962963" style="3" customWidth="1"/>
    <col min="5" max="5" width="12.7222222222222" style="3" customWidth="1"/>
    <col min="6" max="6" width="13.9074074074074" style="3" customWidth="1"/>
    <col min="7" max="7" width="22.5462962962963" style="3" customWidth="1"/>
    <col min="8" max="9" width="15.3611111111111" style="3" customWidth="1"/>
    <col min="10" max="10" width="15.9074074074074" style="17" customWidth="1"/>
    <col min="12" max="16384" width="9" style="17" customWidth="1"/>
  </cols>
  <sheetData>
    <row r="1" s="3" customFormat="1" ht="13.2" customHeight="1" spans="1:9">
      <c r="A1" s="17" t="s">
        <v>0</v>
      </c>
      <c r="B1" s="3" t="s">
        <v>1</v>
      </c>
      <c r="C1" s="18" t="s">
        <v>3</v>
      </c>
      <c r="D1" s="3" t="s">
        <v>931</v>
      </c>
      <c r="E1" s="3" t="s">
        <v>932</v>
      </c>
      <c r="F1" s="3" t="s">
        <v>933</v>
      </c>
      <c r="G1" s="3" t="s">
        <v>934</v>
      </c>
      <c r="H1" s="3" t="s">
        <v>935</v>
      </c>
      <c r="I1" s="3" t="s">
        <v>936</v>
      </c>
    </row>
    <row r="2" s="3" customFormat="1" ht="13.2" customHeight="1" spans="1:9">
      <c r="A2" s="17" t="s">
        <v>14</v>
      </c>
      <c r="B2" s="3" t="s">
        <v>15</v>
      </c>
      <c r="C2" s="19" t="s">
        <v>16</v>
      </c>
      <c r="D2" s="3" t="s">
        <v>15</v>
      </c>
      <c r="E2" s="3" t="s">
        <v>15</v>
      </c>
      <c r="F2" s="20" t="s">
        <v>16</v>
      </c>
      <c r="G2" s="20" t="s">
        <v>16</v>
      </c>
      <c r="H2" s="3" t="s">
        <v>15</v>
      </c>
      <c r="I2" s="20" t="s">
        <v>15</v>
      </c>
    </row>
    <row r="3" s="3" customFormat="1" ht="13.2" customHeight="1" spans="1:9">
      <c r="A3" s="17" t="s">
        <v>20</v>
      </c>
      <c r="C3" s="18"/>
    </row>
    <row r="4" s="3" customFormat="1" ht="13.2" customHeight="1" spans="1:9">
      <c r="A4" s="17" t="s">
        <v>24</v>
      </c>
      <c r="B4" s="3" t="s">
        <v>937</v>
      </c>
      <c r="C4" s="18" t="s">
        <v>938</v>
      </c>
      <c r="D4" s="3" t="s">
        <v>939</v>
      </c>
      <c r="E4" s="3" t="s">
        <v>940</v>
      </c>
      <c r="F4" s="3" t="s">
        <v>171</v>
      </c>
      <c r="G4" s="21" t="s">
        <v>941</v>
      </c>
      <c r="H4" s="3" t="s">
        <v>942</v>
      </c>
      <c r="I4" s="21" t="s">
        <v>943</v>
      </c>
    </row>
    <row r="5" s="3" customFormat="1" ht="13.2" customHeight="1" spans="1:9">
      <c r="A5" s="17"/>
      <c r="B5" t="n" s="3">
        <v>1</v>
      </c>
      <c r="C5" t="str" s="18">
        <v>万宝坊市</v>
      </c>
      <c r="D5" t="n" s="3">
        <v>900</v>
      </c>
      <c r="E5" t="n" s="3">
        <v>315</v>
      </c>
      <c r="F5" t="str" s="3">
        <v>mini_zm</v>
      </c>
      <c r="G5" t="str" s="3">
        <v>big_zm</v>
      </c>
      <c r="H5" t="n" s="3">
        <v>0</v>
      </c>
      <c r="I5" t="n" s="3">
        <v>10003</v>
      </c>
    </row>
    <row r="6" spans="1:9">
      <c r="A6" t="str"/>
      <c r="B6" t="n" s="5">
        <v>2</v>
      </c>
      <c r="C6" t="str" s="22">
        <v>蚀苇沼·末流所积</v>
      </c>
      <c r="D6" t="n">
        <v>900</v>
      </c>
      <c r="E6" t="n">
        <v>315</v>
      </c>
      <c r="F6" t="str">
        <v>map_xiao_03</v>
      </c>
      <c r="G6" t="str"/>
      <c r="H6" t="n">
        <v>0</v>
      </c>
      <c r="I6" t="n" s="23">
        <v>10002</v>
      </c>
    </row>
    <row r="7" spans="1:9">
      <c r="A7" t="str"/>
      <c r="B7" t="n" s="5">
        <v>3</v>
      </c>
      <c r="C7" t="str" s="22">
        <v>望岳津</v>
      </c>
      <c r="D7" t="n">
        <v>900</v>
      </c>
      <c r="E7" t="n">
        <v>315</v>
      </c>
      <c r="F7" t="str">
        <v>map_xiao_02</v>
      </c>
      <c r="G7" t="str"/>
      <c r="H7" t="n">
        <v>0</v>
      </c>
      <c r="I7" t="n" s="23">
        <v>10002</v>
      </c>
    </row>
    <row r="8" spans="1:9">
      <c r="A8"/>
      <c r="B8" t="n" s="5">
        <v>4</v>
      </c>
      <c r="C8" t="str" s="22">
        <v>浮沉洲</v>
      </c>
      <c r="D8" t="n">
        <v>900</v>
      </c>
      <c r="E8" t="n">
        <v>315</v>
      </c>
      <c r="F8" t="str">
        <v>map_xiao_04</v>
      </c>
      <c r="G8" t="str"/>
      <c r="H8" t="n">
        <v>0</v>
      </c>
      <c r="I8" t="n" s="23">
        <v>10002</v>
      </c>
    </row>
    <row r="9" spans="1:9">
      <c r="A9" t="str"/>
      <c r="B9" t="n" s="5">
        <v>5</v>
      </c>
      <c r="C9" t="str" s="22">
        <v>蔽苇汀</v>
      </c>
      <c r="D9" t="n">
        <v>900</v>
      </c>
      <c r="E9" t="n">
        <v>315</v>
      </c>
      <c r="F9" t="str">
        <v>map_xiao_05</v>
      </c>
      <c r="G9" t="str"/>
      <c r="H9" t="n">
        <v>0</v>
      </c>
      <c r="I9" t="n" s="23">
        <v>10002</v>
      </c>
    </row>
    <row r="10" spans="1:9">
      <c r="A10" t="str"/>
      <c r="B10" t="n" s="5">
        <v>6</v>
      </c>
      <c r="C10" t="str" s="22">
        <v>岳骨阶</v>
      </c>
      <c r="D10" t="n">
        <v>900</v>
      </c>
      <c r="E10" t="n">
        <v>315</v>
      </c>
      <c r="F10" t="str">
        <v>map_xiao_06</v>
      </c>
      <c r="G10" t="str"/>
      <c r="H10" t="n">
        <v>0</v>
      </c>
      <c r="I10" t="n" s="23">
        <v>10002</v>
      </c>
    </row>
    <row r="11" spans="1:9">
      <c r="A11" t="str"/>
      <c r="B11" t="n" s="5">
        <v>7</v>
      </c>
      <c r="C11" t="str" s="22">
        <v>异霭浦</v>
      </c>
      <c r="D11" t="n">
        <v>900</v>
      </c>
      <c r="E11" t="n">
        <v>315</v>
      </c>
      <c r="F11" t="str">
        <v>map_xiao_07</v>
      </c>
      <c r="G11" t="str"/>
      <c r="H11" t="n">
        <v>0</v>
      </c>
      <c r="I11" t="n" s="23">
        <v>10002</v>
      </c>
    </row>
    <row r="12" spans="1:9">
      <c r="A12" t="str"/>
      <c r="B12" t="n" s="5">
        <v>8</v>
      </c>
      <c r="C12" t="str" s="22">
        <v>砾台</v>
      </c>
      <c r="D12" t="n">
        <v>900</v>
      </c>
      <c r="E12" t="n">
        <v>315</v>
      </c>
      <c r="F12" t="str">
        <v>map_xiao_08</v>
      </c>
      <c r="G12" t="str"/>
      <c r="H12" t="n">
        <v>0</v>
      </c>
      <c r="I12" t="n" s="23">
        <v>10002</v>
      </c>
    </row>
    <row r="13" spans="1:9">
      <c r="A13" t="str"/>
      <c r="B13" t="n" s="5">
        <v>9</v>
      </c>
      <c r="C13" t="str" s="22">
        <v>垂练岩·覆而偶开</v>
      </c>
      <c r="D13" t="n">
        <v>900</v>
      </c>
      <c r="E13" t="n">
        <v>315</v>
      </c>
      <c r="F13" t="str">
        <v>map_xiao_09</v>
      </c>
      <c r="G13" t="str"/>
      <c r="H13" t="n">
        <v>0</v>
      </c>
      <c r="I13" t="n" s="23">
        <v>10002</v>
      </c>
    </row>
    <row r="14" spans="1:9">
      <c r="A14" t="str"/>
      <c r="B14" t="n" s="5">
        <v>10</v>
      </c>
      <c r="C14" t="str" s="22">
        <v>水镜滩·水退方见</v>
      </c>
      <c r="D14" t="n">
        <v>900</v>
      </c>
      <c r="E14" t="n">
        <v>315</v>
      </c>
      <c r="F14" t="str">
        <v>map_xiao_10</v>
      </c>
      <c r="G14" t="str"/>
      <c r="H14" t="n">
        <v>0</v>
      </c>
      <c r="I14" t="n" s="23">
        <v>10002</v>
      </c>
    </row>
    <row r="15" spans="1:9">
      <c r="A15" s="17"/>
      <c r="B15" t="n" s="5">
        <v>11</v>
      </c>
      <c r="C15" t="str" s="22">
        <v>汇歧渚</v>
      </c>
      <c r="D15" t="n">
        <v>900</v>
      </c>
      <c r="E15" t="n">
        <v>315</v>
      </c>
      <c r="F15" t="str">
        <v>map_xiao_11</v>
      </c>
      <c r="G15" s="3"/>
      <c r="H15" t="n">
        <v>0</v>
      </c>
      <c r="I15" t="n" s="23">
        <v>10006</v>
      </c>
    </row>
    <row r="16" spans="1:9">
      <c r="A16" s="17"/>
      <c r="B16" t="n" s="5">
        <v>12</v>
      </c>
      <c r="C16" t="str" s="22">
        <v>沉浊坡</v>
      </c>
      <c r="D16" t="n">
        <v>900</v>
      </c>
      <c r="E16" t="n">
        <v>315</v>
      </c>
      <c r="F16" t="str">
        <v>map_xiao_12</v>
      </c>
      <c r="G16" s="3"/>
      <c r="H16" t="n">
        <v>0</v>
      </c>
      <c r="I16" t="n" s="23">
        <v>10006</v>
      </c>
    </row>
    <row r="17" spans="2:9">
      <c r="A17" s="17"/>
      <c r="B17" t="n" s="5">
        <v>13</v>
      </c>
      <c r="C17" t="str" s="22">
        <v>豁烟水</v>
      </c>
      <c r="D17" t="n">
        <v>900</v>
      </c>
      <c r="E17" t="n">
        <v>315</v>
      </c>
      <c r="F17" t="str">
        <v>map_xiao_13</v>
      </c>
      <c r="G17" s="3"/>
      <c r="H17" t="n">
        <v>0</v>
      </c>
      <c r="I17" t="n" s="23">
        <v>10006</v>
      </c>
    </row>
    <row r="18" spans="2:9">
      <c r="A18" s="17"/>
      <c r="B18" t="n" s="5">
        <v>14</v>
      </c>
      <c r="C18" t="str" s="22">
        <v>密荷影</v>
      </c>
      <c r="D18" t="n">
        <v>900</v>
      </c>
      <c r="E18" t="n">
        <v>315</v>
      </c>
      <c r="F18" t="str">
        <v>map_xiao_14</v>
      </c>
      <c r="G18" s="3"/>
      <c r="H18" t="n">
        <v>0</v>
      </c>
      <c r="I18" t="n" s="23">
        <v>10006</v>
      </c>
    </row>
    <row r="19" spans="2:9">
      <c r="A19" s="17"/>
      <c r="B19" t="n" s="5">
        <v>15</v>
      </c>
      <c r="C19" t="str" s="22">
        <v>末分石</v>
      </c>
      <c r="D19" t="n">
        <v>900</v>
      </c>
      <c r="E19" t="n">
        <v>315</v>
      </c>
      <c r="F19" t="str">
        <v>map_xiao_15</v>
      </c>
      <c r="G19" s="3"/>
      <c r="H19" t="n">
        <v>0</v>
      </c>
      <c r="I19" t="n" s="23">
        <v>10006</v>
      </c>
    </row>
    <row r="20" spans="2:9">
      <c r="A20" s="17"/>
      <c r="B20" t="n" s="5">
        <v>16</v>
      </c>
      <c r="C20" t="str" s="22">
        <v>粉浪风</v>
      </c>
      <c r="D20" t="n">
        <v>900</v>
      </c>
      <c r="E20" t="n">
        <v>315</v>
      </c>
      <c r="F20" t="str">
        <v>map_xiao_16</v>
      </c>
      <c r="G20" s="3"/>
      <c r="H20" t="n">
        <v>0</v>
      </c>
      <c r="I20" t="n" s="23">
        <v>10006</v>
      </c>
    </row>
    <row r="21" spans="2:9">
      <c r="A21" s="17"/>
      <c r="B21" t="n" s="5">
        <v>17</v>
      </c>
      <c r="C21" t="str" s="22">
        <v>漫莎台</v>
      </c>
      <c r="D21" t="n">
        <v>900</v>
      </c>
      <c r="E21" t="n">
        <v>315</v>
      </c>
      <c r="F21" t="str">
        <v>map_xiao_17</v>
      </c>
      <c r="G21" s="3"/>
      <c r="H21" t="n">
        <v>0</v>
      </c>
      <c r="I21" t="n" s="23">
        <v>10006</v>
      </c>
    </row>
    <row r="22" spans="2:9">
      <c r="A22" s="17"/>
      <c r="B22" t="n" s="5">
        <v>18</v>
      </c>
      <c r="C22" t="str" s="22">
        <v>匿汊口</v>
      </c>
      <c r="D22" t="n">
        <v>900</v>
      </c>
      <c r="E22" t="n">
        <v>315</v>
      </c>
      <c r="F22" t="str">
        <v>map_xiao_18</v>
      </c>
      <c r="G22" s="3"/>
      <c r="H22" t="n">
        <v>0</v>
      </c>
      <c r="I22" t="n" s="23">
        <v>10006</v>
      </c>
    </row>
    <row r="23" spans="2:9">
      <c r="A23" s="17"/>
      <c r="B23" t="n" s="5">
        <v>19</v>
      </c>
      <c r="C23" t="str" s="22">
        <v>砾藏岩</v>
      </c>
      <c r="D23" t="n">
        <v>900</v>
      </c>
      <c r="E23" t="n">
        <v>315</v>
      </c>
      <c r="F23" t="str">
        <v>map_xiao_28</v>
      </c>
      <c r="G23" s="3"/>
      <c r="H23" t="n">
        <v>0</v>
      </c>
      <c r="I23" t="n" s="23">
        <v>10006</v>
      </c>
    </row>
    <row r="24" spans="2:9">
      <c r="A24" s="17"/>
      <c r="B24" t="n" s="5">
        <v>20</v>
      </c>
      <c r="C24" t="str" s="22">
        <v>岔坡</v>
      </c>
      <c r="D24" t="n">
        <v>900</v>
      </c>
      <c r="E24" t="n">
        <v>315</v>
      </c>
      <c r="F24" t="str">
        <v>map_xiao_20</v>
      </c>
      <c r="G24" s="3"/>
      <c r="H24" t="n">
        <v>0</v>
      </c>
      <c r="I24" t="n" s="23">
        <v>10004</v>
      </c>
    </row>
    <row r="25" spans="2:9">
      <c r="A25" s="17"/>
      <c r="B25" t="n" s="5">
        <v>21</v>
      </c>
      <c r="C25" t="str" s="22">
        <v>风背余晦</v>
      </c>
      <c r="D25" t="n">
        <v>900</v>
      </c>
      <c r="E25" t="n">
        <v>315</v>
      </c>
      <c r="F25" t="str">
        <v>map_xiao_19</v>
      </c>
      <c r="G25" s="3"/>
      <c r="H25" t="n">
        <v>0</v>
      </c>
      <c r="I25" t="n" s="23">
        <v>10004</v>
      </c>
    </row>
    <row r="26" spans="2:9">
      <c r="A26" s="17"/>
      <c r="B26" t="n" s="5">
        <v>22</v>
      </c>
      <c r="C26" t="str" s="22">
        <v>砺赭坂</v>
      </c>
      <c r="D26" t="n">
        <v>900</v>
      </c>
      <c r="E26" t="n">
        <v>315</v>
      </c>
      <c r="F26" t="str">
        <v>map_xiao_21</v>
      </c>
      <c r="G26" s="3"/>
      <c r="H26" t="n">
        <v>0</v>
      </c>
      <c r="I26" t="n" s="23">
        <v>10004</v>
      </c>
    </row>
    <row r="27" spans="2:9">
      <c r="A27" s="17"/>
      <c r="B27" t="n" s="5">
        <v>23</v>
      </c>
      <c r="C27" t="str" s="22">
        <v>铁色横侵</v>
      </c>
      <c r="D27" t="n">
        <v>900</v>
      </c>
      <c r="E27" t="n">
        <v>315</v>
      </c>
      <c r="F27" t="str">
        <v>map_xiao_22</v>
      </c>
      <c r="G27" s="3"/>
      <c r="H27" t="n">
        <v>0</v>
      </c>
      <c r="I27" t="n" s="23">
        <v>10004</v>
      </c>
    </row>
    <row r="28" spans="2:9">
      <c r="A28" s="17"/>
      <c r="B28" t="n" s="5">
        <v>24</v>
      </c>
      <c r="C28" t="str" s="22">
        <v>伏沟鸣石</v>
      </c>
      <c r="D28" t="n">
        <v>900</v>
      </c>
      <c r="E28" t="n">
        <v>315</v>
      </c>
      <c r="F28" t="str">
        <v>map_xiao_23</v>
      </c>
      <c r="G28" s="3"/>
      <c r="H28" t="n">
        <v>0</v>
      </c>
      <c r="I28" t="n" s="23">
        <v>10004</v>
      </c>
    </row>
    <row r="29" spans="2:9">
      <c r="A29" s="17"/>
      <c r="B29" t="n" s="5">
        <v>25</v>
      </c>
      <c r="C29" t="str" s="22">
        <v>褐苔含润</v>
      </c>
      <c r="D29" t="n">
        <v>900</v>
      </c>
      <c r="E29" t="n">
        <v>315</v>
      </c>
      <c r="F29" t="str">
        <v>map_xiao_24</v>
      </c>
      <c r="G29" s="3"/>
      <c r="H29" t="n">
        <v>0</v>
      </c>
      <c r="I29" t="n" s="23">
        <v>10004</v>
      </c>
    </row>
    <row r="30" spans="2:9">
      <c r="A30" s="17"/>
      <c r="B30" t="n" s="5">
        <v>26</v>
      </c>
      <c r="C30" t="str" s="22">
        <v>肩生瘠芽</v>
      </c>
      <c r="D30" t="n">
        <v>900</v>
      </c>
      <c r="E30" t="n">
        <v>315</v>
      </c>
      <c r="F30" t="str">
        <v>map_xiao_25</v>
      </c>
      <c r="G30" s="3"/>
      <c r="H30" t="n">
        <v>0</v>
      </c>
      <c r="I30" t="n" s="23">
        <v>10004</v>
      </c>
    </row>
    <row r="31" spans="2:9">
      <c r="A31" s="17"/>
      <c r="B31" t="n" s="5">
        <v>27</v>
      </c>
      <c r="C31" t="str" s="22">
        <v>岩腹潜龛</v>
      </c>
      <c r="D31" t="n">
        <v>900</v>
      </c>
      <c r="E31" t="n">
        <v>315</v>
      </c>
      <c r="F31" t="str">
        <v>map_xiao_26</v>
      </c>
      <c r="G31" s="3"/>
      <c r="H31" t="n">
        <v>0</v>
      </c>
      <c r="I31" t="n" s="23">
        <v>10004</v>
      </c>
    </row>
    <row r="32" spans="2:9">
      <c r="A32" s="17"/>
      <c r="B32" t="n" s="5">
        <v>28</v>
      </c>
      <c r="C32" t="str" s="22">
        <v>水息留痕</v>
      </c>
      <c r="D32" t="n">
        <v>900</v>
      </c>
      <c r="E32" t="n">
        <v>315</v>
      </c>
      <c r="F32" t="str">
        <v>map_xiao_27</v>
      </c>
      <c r="G32" s="3"/>
      <c r="H32" t="n">
        <v>0</v>
      </c>
      <c r="I32" t="n" s="23">
        <v>10004</v>
      </c>
    </row>
    <row r="33" spans="2:9">
      <c r="A33" s="17"/>
      <c r="B33" t="n" s="5">
        <v>29</v>
      </c>
      <c r="C33" t="str" s="22">
        <v>断墙</v>
      </c>
      <c r="D33" t="n">
        <v>900</v>
      </c>
      <c r="E33" t="n">
        <v>315</v>
      </c>
      <c r="F33" t="str">
        <v>map_xiao_29</v>
      </c>
      <c r="G33" s="3"/>
      <c r="H33" t="n">
        <v>0</v>
      </c>
      <c r="I33" t="n" s="23">
        <v>10005</v>
      </c>
    </row>
    <row r="34" spans="2:9">
      <c r="A34" s="17"/>
      <c r="B34" t="n" s="5">
        <v>30</v>
      </c>
      <c r="C34" t="str" s="22">
        <v>泻砾堑</v>
      </c>
      <c r="D34" t="n">
        <v>900</v>
      </c>
      <c r="E34" t="n">
        <v>315</v>
      </c>
      <c r="F34" t="str">
        <v>map_xiao_30</v>
      </c>
      <c r="G34" s="3"/>
      <c r="H34" t="n">
        <v>0</v>
      </c>
      <c r="I34" t="n" s="23">
        <v>10005</v>
      </c>
    </row>
    <row r="35" spans="2:9">
      <c r="A35" s="17"/>
      <c r="B35" t="n" s="5">
        <v>31</v>
      </c>
      <c r="C35" t="str" s="22">
        <v>幽崩谷</v>
      </c>
      <c r="D35" t="n">
        <v>900</v>
      </c>
      <c r="E35" t="n">
        <v>315</v>
      </c>
      <c r="F35" t="str">
        <v>map_xiao_31</v>
      </c>
      <c r="G35" s="3"/>
      <c r="H35" t="n">
        <v>0</v>
      </c>
      <c r="I35" t="n" s="23">
        <v>10005</v>
      </c>
    </row>
    <row r="36" spans="2:9">
      <c r="A36" s="17"/>
      <c r="B36" t="n" s="5">
        <v>32</v>
      </c>
      <c r="C36" t="str" s="22">
        <v>截风坡</v>
      </c>
      <c r="D36" t="n">
        <v>900</v>
      </c>
      <c r="E36" t="n">
        <v>315</v>
      </c>
      <c r="F36" t="str">
        <v>map_xiao_32</v>
      </c>
      <c r="G36" s="3"/>
      <c r="H36" t="n">
        <v>0</v>
      </c>
      <c r="I36" t="n" s="23">
        <v>10005</v>
      </c>
    </row>
    <row r="37" spans="2:9">
      <c r="A37" s="17"/>
      <c r="B37" t="n" s="5">
        <v>33</v>
      </c>
      <c r="C37" t="str" s="22">
        <v>隙光苔</v>
      </c>
      <c r="D37" t="n">
        <v>900</v>
      </c>
      <c r="E37" t="n">
        <v>315</v>
      </c>
      <c r="F37" t="str">
        <v>map_xiao_33</v>
      </c>
      <c r="G37" s="3"/>
      <c r="H37" t="n">
        <v>0</v>
      </c>
      <c r="I37" t="n" s="23">
        <v>10005</v>
      </c>
    </row>
    <row r="38" spans="2:9">
      <c r="A38" s="17"/>
      <c r="B38" t="n" s="5">
        <v>34</v>
      </c>
      <c r="C38" t="str" s="22">
        <v>浸岩菖</v>
      </c>
      <c r="D38" t="n">
        <v>900</v>
      </c>
      <c r="E38" t="n">
        <v>315</v>
      </c>
      <c r="F38" t="str">
        <v>map_xiao_34</v>
      </c>
      <c r="G38" s="3"/>
      <c r="H38" t="n">
        <v>0</v>
      </c>
      <c r="I38" t="n" s="23">
        <v>10005</v>
      </c>
    </row>
    <row r="39" spans="2:9">
      <c r="A39" s="17"/>
      <c r="B39" t="n" s="5">
        <v>35</v>
      </c>
      <c r="C39" t="str" s="22">
        <v>裂口</v>
      </c>
      <c r="D39" t="n">
        <v>900</v>
      </c>
      <c r="E39" t="n">
        <v>315</v>
      </c>
      <c r="F39" t="str">
        <v>map_xiao_35</v>
      </c>
      <c r="G39" s="3"/>
      <c r="H39" t="n">
        <v>0</v>
      </c>
      <c r="I39" t="n" s="23">
        <v>10005</v>
      </c>
    </row>
    <row r="40" spans="2:9">
      <c r="A40" s="17"/>
      <c r="B40" t="n" s="5">
        <v>36</v>
      </c>
      <c r="C40" t="str" s="22">
        <v>承影</v>
      </c>
      <c r="D40" t="n">
        <v>900</v>
      </c>
      <c r="E40" t="n">
        <v>315</v>
      </c>
      <c r="F40" t="str">
        <v>map_xiao_36</v>
      </c>
      <c r="G40" s="3"/>
      <c r="H40" t="n">
        <v>0</v>
      </c>
      <c r="I40" t="n" s="23">
        <v>10005</v>
      </c>
    </row>
    <row r="41" spans="2:9">
      <c r="A41" s="17"/>
      <c r="B41" t="n" s="5">
        <v>37</v>
      </c>
      <c r="C41" t="str" s="22">
        <v>壅浊石</v>
      </c>
      <c r="D41" t="n">
        <v>900</v>
      </c>
      <c r="E41" t="n">
        <v>315</v>
      </c>
      <c r="F41" t="str">
        <v>map_xiao_37</v>
      </c>
      <c r="G41" s="3"/>
      <c r="H41" t="n">
        <v>0</v>
      </c>
      <c r="I41" t="n" s="23">
        <v>10005</v>
      </c>
    </row>
    <row r="42" spans="2:9">
      <c r="A42" s="17"/>
      <c r="B42" t="n" s="5">
        <v>38</v>
      </c>
      <c r="C42" t="str" s="18">
        <v>石息</v>
      </c>
      <c r="D42" t="n">
        <v>900</v>
      </c>
      <c r="E42" t="n">
        <v>315</v>
      </c>
      <c r="F42" t="str">
        <v>map_xiao_38</v>
      </c>
      <c r="G42" s="3"/>
      <c r="H42" t="n">
        <v>0</v>
      </c>
      <c r="I42" t="n" s="23">
        <v>10005</v>
      </c>
    </row>
    <row r="43" spans="2:9">
      <c r="A43" s="17"/>
      <c r="B43" t="n" s="5">
        <v>39</v>
      </c>
      <c r="C43" t="str" s="18">
        <v>沉岚</v>
      </c>
      <c r="D43" t="n">
        <v>900</v>
      </c>
      <c r="E43" t="n">
        <v>315</v>
      </c>
      <c r="F43" t="str">
        <v>map_xiao_39</v>
      </c>
      <c r="G43" s="3"/>
      <c r="H43" t="n">
        <v>0</v>
      </c>
      <c r="I43" t="n" s="23">
        <v>10005</v>
      </c>
    </row>
    <row r="44" spans="2:9">
      <c r="A44" s="17"/>
      <c r="B44" t="n" s="5">
        <v>40</v>
      </c>
      <c r="C44" t="str" s="18">
        <v>悬晖</v>
      </c>
      <c r="D44" t="n">
        <v>900</v>
      </c>
      <c r="E44" t="n">
        <v>315</v>
      </c>
      <c r="F44" t="str">
        <v>map_xiao_40</v>
      </c>
      <c r="G44" s="3"/>
      <c r="H44" t="n">
        <v>0</v>
      </c>
      <c r="I44" t="n" s="23">
        <v>10005</v>
      </c>
    </row>
    <row r="45" spans="2:9">
      <c r="A45" s="17"/>
      <c r="B45" t="n" s="5">
        <v>41</v>
      </c>
      <c r="C45" t="str" s="18">
        <v>隐翳</v>
      </c>
      <c r="D45" t="n">
        <v>900</v>
      </c>
      <c r="E45" t="n">
        <v>315</v>
      </c>
      <c r="F45" t="str">
        <v>map_xiao_41</v>
      </c>
      <c r="G45" s="3"/>
      <c r="H45" t="n">
        <v>0</v>
      </c>
      <c r="I45" t="n" s="23">
        <v>10005</v>
      </c>
    </row>
    <row r="46" spans="2:9">
      <c r="A46" s="17"/>
      <c r="B46" t="n" s="5">
        <v>42</v>
      </c>
      <c r="C46" t="str" s="18">
        <v>云根露</v>
      </c>
      <c r="D46" t="n">
        <v>900</v>
      </c>
      <c r="E46" t="n">
        <v>315</v>
      </c>
      <c r="F46" t="str">
        <v>map_xiao_42</v>
      </c>
      <c r="G46" s="3"/>
      <c r="H46" t="n">
        <v>0</v>
      </c>
      <c r="I46" t="n" s="23">
        <v>10005</v>
      </c>
    </row>
    <row r="47" spans="2:9">
      <c r="A47" s="17"/>
      <c r="B47" t="n" s="5">
        <v>43</v>
      </c>
      <c r="C47" t="str" s="18">
        <v>风痕苔生</v>
      </c>
      <c r="D47" t="n">
        <v>900</v>
      </c>
      <c r="E47" t="n">
        <v>315</v>
      </c>
      <c r="F47" t="str">
        <v>map_xiao_43</v>
      </c>
      <c r="G47" s="3"/>
      <c r="H47" t="n">
        <v>0</v>
      </c>
      <c r="I47" t="n" s="23">
        <v>10005</v>
      </c>
    </row>
    <row r="48" spans="2:9">
      <c r="A48" s="17"/>
      <c r="B48" t="n" s="5">
        <v>44</v>
      </c>
      <c r="C48" t="str" s="18">
        <v>涓台窦</v>
      </c>
      <c r="D48" t="n">
        <v>900</v>
      </c>
      <c r="E48" t="n">
        <v>315</v>
      </c>
      <c r="F48" t="str">
        <v>map_xiao_44</v>
      </c>
      <c r="G48" s="3"/>
      <c r="H48" t="n">
        <v>0</v>
      </c>
      <c r="I48" t="n" s="23">
        <v>10005</v>
      </c>
    </row>
    <row r="49" spans="2:9">
      <c r="A49" s="17"/>
      <c r="B49" t="n" s="5">
        <v>45</v>
      </c>
      <c r="C49" t="str" s="18">
        <v>孔收暮影</v>
      </c>
      <c r="D49" t="n">
        <v>900</v>
      </c>
      <c r="E49" t="n">
        <v>315</v>
      </c>
      <c r="F49" t="str">
        <v>map_xiao_45</v>
      </c>
      <c r="G49" s="3"/>
      <c r="H49" t="n">
        <v>0</v>
      </c>
      <c r="I49" t="n" s="23">
        <v>10005</v>
      </c>
    </row>
    <row r="50" spans="2:9">
      <c r="A50" s="17"/>
      <c r="B50" t="n" s="5">
        <v>46</v>
      </c>
      <c r="C50" t="str" s="18">
        <v>雾黯岩</v>
      </c>
      <c r="D50" t="n">
        <v>900</v>
      </c>
      <c r="E50" t="n">
        <v>315</v>
      </c>
      <c r="F50" t="str">
        <v>map_xiao_46</v>
      </c>
      <c r="G50" s="3"/>
      <c r="H50" t="n">
        <v>0</v>
      </c>
      <c r="I50" t="n" s="23">
        <v>10005</v>
      </c>
    </row>
    <row r="51" spans="2:9">
      <c r="A51" s="17"/>
      <c r="B51" t="n" s="5">
        <v>47</v>
      </c>
      <c r="C51" t="str" s="18">
        <v>风候</v>
      </c>
      <c r="D51" t="n">
        <v>900</v>
      </c>
      <c r="E51" t="n">
        <v>315</v>
      </c>
      <c r="F51" t="str">
        <v>map_xiao_47</v>
      </c>
      <c r="G51" s="3"/>
      <c r="H51" t="n">
        <v>0</v>
      </c>
      <c r="I51" t="n" s="23">
        <v>10005</v>
      </c>
    </row>
    <row r="52" spans="2:9">
      <c r="A52" s="17"/>
      <c r="B52" t="n" s="5">
        <v>48</v>
      </c>
      <c r="C52" t="str" s="18">
        <v>雪檐古兽</v>
      </c>
      <c r="D52" t="n">
        <v>900</v>
      </c>
      <c r="E52" t="n">
        <v>315</v>
      </c>
      <c r="F52" t="str">
        <v>map_xiao_48</v>
      </c>
      <c r="G52" s="3"/>
      <c r="H52" t="n">
        <v>0</v>
      </c>
      <c r="I52" t="n" s="23">
        <v>10005</v>
      </c>
    </row>
    <row r="53" spans="2:9">
      <c r="A53" s="17"/>
      <c r="B53" t="n" s="5">
        <v>49</v>
      </c>
      <c r="C53" t="str" s="18">
        <v>霰砾坡</v>
      </c>
      <c r="D53" t="n">
        <v>900</v>
      </c>
      <c r="E53" t="n">
        <v>315</v>
      </c>
      <c r="F53" t="str">
        <v>map_xiao_49</v>
      </c>
      <c r="G53" s="3"/>
      <c r="H53" t="n">
        <v>0</v>
      </c>
      <c r="I53" t="n" s="23">
        <v>10005</v>
      </c>
    </row>
    <row r="54" spans="2:9">
      <c r="A54" s="17"/>
      <c r="B54" t="n" s="5">
        <v>50</v>
      </c>
      <c r="C54" t="str" s="18">
        <v>融口初声</v>
      </c>
      <c r="D54" t="n">
        <v>900</v>
      </c>
      <c r="E54" t="n">
        <v>315</v>
      </c>
      <c r="F54" t="str">
        <v>map_xiao_50</v>
      </c>
      <c r="G54" s="3"/>
      <c r="H54" t="n">
        <v>0</v>
      </c>
      <c r="I54" t="n" s="23">
        <v>10005</v>
      </c>
    </row>
    <row r="55" spans="2:9">
      <c r="A55" s="17"/>
      <c r="B55" t="n" s="5">
        <v>51</v>
      </c>
      <c r="C55" t="str" s="18">
        <v>凇覆苔痕</v>
      </c>
      <c r="D55" t="n">
        <v>900</v>
      </c>
      <c r="E55" t="n">
        <v>315</v>
      </c>
      <c r="F55" t="str">
        <v>map_xiao_51</v>
      </c>
      <c r="G55" s="3"/>
      <c r="H55" t="n">
        <v>0</v>
      </c>
      <c r="I55" t="n" s="23">
        <v>10005</v>
      </c>
    </row>
    <row r="56" spans="2:9">
      <c r="A56" s="17"/>
      <c r="B56" t="n" s="5">
        <v>52</v>
      </c>
      <c r="C56" t="str" s="18">
        <v>寒水迟芽</v>
      </c>
      <c r="D56" t="n">
        <v>900</v>
      </c>
      <c r="E56" t="n">
        <v>315</v>
      </c>
      <c r="F56" t="str">
        <v>map_xiao_52</v>
      </c>
      <c r="G56" s="3"/>
      <c r="H56" t="n">
        <v>0</v>
      </c>
      <c r="I56" t="n" s="23">
        <v>10005</v>
      </c>
    </row>
    <row r="57" spans="2:9">
      <c r="A57" s="17"/>
      <c r="B57" t="n" s="5">
        <v>53</v>
      </c>
      <c r="C57" t="str" s="18">
        <v>鞍窍</v>
      </c>
      <c r="D57" t="n">
        <v>900</v>
      </c>
      <c r="E57" t="n">
        <v>315</v>
      </c>
      <c r="F57" t="str">
        <v>map_xiao_53</v>
      </c>
      <c r="G57" s="3"/>
      <c r="H57" t="n">
        <v>0</v>
      </c>
      <c r="I57" t="n" s="23">
        <v>10005</v>
      </c>
    </row>
    <row r="58" spans="2:9">
      <c r="A58" s="17"/>
      <c r="B58" t="n" s="5">
        <v>54</v>
      </c>
      <c r="C58" t="str" s="18">
        <v>霁台</v>
      </c>
      <c r="D58" t="n">
        <v>900</v>
      </c>
      <c r="E58" t="n">
        <v>315</v>
      </c>
      <c r="F58" t="str">
        <v>map_xiao_54</v>
      </c>
      <c r="G58" s="3"/>
      <c r="H58" t="n">
        <v>0</v>
      </c>
      <c r="I58" t="n" s="23">
        <v>10005</v>
      </c>
    </row>
    <row r="59" spans="2:9">
      <c r="A59" s="17"/>
      <c r="B59" t="n" s="5">
        <v>55</v>
      </c>
      <c r="C59" t="str" s="18">
        <v>脊阴</v>
      </c>
      <c r="D59" t="n">
        <v>900</v>
      </c>
      <c r="E59" t="n">
        <v>315</v>
      </c>
      <c r="F59" t="str">
        <v>map_xiao_55</v>
      </c>
      <c r="G59" s="3"/>
      <c r="H59" t="n">
        <v>0</v>
      </c>
      <c r="I59" t="n" s="23">
        <v>10005</v>
      </c>
    </row>
    <row r="60" spans="2:9">
      <c r="A60" s="17"/>
      <c r="B60" t="n" s="5">
        <v>56</v>
      </c>
      <c r="C60" t="str" s="24">
        <v>望来石</v>
      </c>
      <c r="D60" t="n">
        <v>900</v>
      </c>
      <c r="E60" t="n">
        <v>315</v>
      </c>
      <c r="F60" t="str">
        <v>map_xiao_56</v>
      </c>
      <c r="G60" s="3"/>
      <c r="H60" t="n">
        <v>0</v>
      </c>
      <c r="I60" t="n" s="23">
        <v>10005</v>
      </c>
    </row>
    <row r="61" spans="2:9">
      <c r="A61" s="17"/>
      <c r="B61" t="n" s="5">
        <v>57</v>
      </c>
      <c r="C61" t="str" s="24">
        <v>凛冽坡</v>
      </c>
      <c r="D61" t="n">
        <v>900</v>
      </c>
      <c r="E61" t="n">
        <v>315</v>
      </c>
      <c r="F61" t="str">
        <v>map_xiao_57</v>
      </c>
      <c r="G61" s="3"/>
      <c r="H61" t="n">
        <v>0</v>
      </c>
      <c r="I61" t="n" s="23">
        <v>10005</v>
      </c>
    </row>
    <row r="62" spans="2:9">
      <c r="A62" s="17"/>
      <c r="B62" t="n" s="5">
        <v>58</v>
      </c>
      <c r="C62" t="str" s="24">
        <v>虚浮台</v>
      </c>
      <c r="D62" t="n">
        <v>900</v>
      </c>
      <c r="E62" t="n">
        <v>315</v>
      </c>
      <c r="F62" t="str">
        <v>map_xiao_58</v>
      </c>
      <c r="G62" s="3"/>
      <c r="H62" t="n">
        <v>0</v>
      </c>
      <c r="I62" t="n" s="23">
        <v>10005</v>
      </c>
    </row>
    <row r="63" spans="2:9">
      <c r="A63" s="17"/>
      <c r="B63" t="n" s="5">
        <v>59</v>
      </c>
      <c r="C63" t="str" s="24">
        <v>照影窗</v>
      </c>
      <c r="D63" t="n">
        <v>900</v>
      </c>
      <c r="E63" t="n">
        <v>315</v>
      </c>
      <c r="F63" t="str">
        <v>map_xiao_59</v>
      </c>
      <c r="G63" s="3"/>
      <c r="H63" t="n">
        <v>0</v>
      </c>
      <c r="I63" t="n" s="23">
        <v>10005</v>
      </c>
    </row>
    <row r="64" spans="2:9">
      <c r="A64" s="17"/>
      <c r="B64" t="n" s="5">
        <v>60</v>
      </c>
      <c r="C64" t="str" s="24">
        <v>回光藓</v>
      </c>
      <c r="D64" t="n">
        <v>900</v>
      </c>
      <c r="E64" t="n">
        <v>315</v>
      </c>
      <c r="F64" t="str">
        <v>map_xiao_60</v>
      </c>
      <c r="G64" s="3"/>
      <c r="H64" t="n">
        <v>0</v>
      </c>
      <c r="I64" t="n" s="23">
        <v>10005</v>
      </c>
    </row>
    <row r="65" spans="2:9">
      <c r="A65" s="17"/>
      <c r="B65" t="n" s="5">
        <v>61</v>
      </c>
      <c r="C65" t="str" s="24">
        <v>风偃枝</v>
      </c>
      <c r="D65" t="n">
        <v>900</v>
      </c>
      <c r="E65" t="n">
        <v>315</v>
      </c>
      <c r="F65" t="str">
        <v>map_xiao_61</v>
      </c>
      <c r="G65" s="3"/>
      <c r="H65" t="n">
        <v>0</v>
      </c>
      <c r="I65" t="n" s="23">
        <v>10005</v>
      </c>
    </row>
    <row r="66" spans="2:9">
      <c r="A66" s="17"/>
      <c r="B66" t="n" s="5">
        <v>62</v>
      </c>
      <c r="C66" t="str" s="24">
        <v>阖岫口</v>
      </c>
      <c r="D66" t="n">
        <v>900</v>
      </c>
      <c r="E66" t="n">
        <v>315</v>
      </c>
      <c r="F66" t="str">
        <v>map_xiao_62</v>
      </c>
      <c r="G66" s="3"/>
      <c r="H66" t="n">
        <v>0</v>
      </c>
      <c r="I66" t="n" s="23">
        <v>10005</v>
      </c>
    </row>
    <row r="67" spans="2:9">
      <c r="A67" s="17"/>
      <c r="B67" t="n" s="5">
        <v>63</v>
      </c>
      <c r="C67" t="str" s="24">
        <v>坠尽渊</v>
      </c>
      <c r="D67" t="n">
        <v>900</v>
      </c>
      <c r="E67" t="n">
        <v>315</v>
      </c>
      <c r="F67" t="str">
        <v>map_xiao_63</v>
      </c>
      <c r="G67" s="3"/>
      <c r="H67" t="n">
        <v>0</v>
      </c>
      <c r="I67" t="n" s="23">
        <v>10005</v>
      </c>
    </row>
    <row r="68" spans="2:9">
      <c r="A68" s="17"/>
      <c r="B68" t="n" s="5">
        <v>64</v>
      </c>
      <c r="C68" t="str" s="24">
        <v>昏金岩</v>
      </c>
      <c r="D68" t="n">
        <v>900</v>
      </c>
      <c r="E68" t="n">
        <v>315</v>
      </c>
      <c r="F68" t="str">
        <v>map_xiao_63</v>
      </c>
      <c r="G68" s="3"/>
      <c r="H68" t="n">
        <v>0</v>
      </c>
      <c r="I68" t="n" s="23">
        <v>10005</v>
      </c>
    </row>
    <row r="69">
      <c r="A69" s="17"/>
      <c r="B69" t="n" s="5">
        <v>65</v>
      </c>
      <c r="C69" t="str" s="24">
        <v>渍岩罅</v>
      </c>
      <c r="D69" t="n" s="3">
        <v>900</v>
      </c>
      <c r="E69" t="n" s="3">
        <v>315</v>
      </c>
      <c r="F69" t="str" s="3"/>
      <c r="G69" t="str" s="3"/>
      <c r="H69" t="n" s="3">
        <v>0</v>
      </c>
      <c r="I69" t="n" s="23">
        <v>10002</v>
      </c>
    </row>
    <row r="70">
      <c r="A70" s="17"/>
      <c r="B70" t="n" s="5">
        <v>66</v>
      </c>
      <c r="C70" t="str" s="24">
        <v>危石夹</v>
      </c>
      <c r="D70" t="n" s="3">
        <v>900</v>
      </c>
      <c r="E70" t="n" s="3">
        <v>315</v>
      </c>
      <c r="F70" t="str" s="3"/>
      <c r="G70" t="str" s="3"/>
      <c r="H70" t="n" s="3">
        <v>0</v>
      </c>
      <c r="I70" t="n" s="23">
        <v>10002</v>
      </c>
    </row>
    <row r="71">
      <c r="A71" s="17"/>
      <c r="B71" t="n" s="5">
        <v>67</v>
      </c>
      <c r="C71" t="str" s="24">
        <v>一线湍</v>
      </c>
      <c r="D71" t="n" s="3">
        <v>900</v>
      </c>
      <c r="E71" t="n" s="3">
        <v>315</v>
      </c>
      <c r="F71" t="str" s="3"/>
      <c r="G71" t="str" s="3"/>
      <c r="H71" t="n" s="3">
        <v>0</v>
      </c>
      <c r="I71" t="n" s="23">
        <v>10002</v>
      </c>
    </row>
    <row r="72">
      <c r="A72" s="17"/>
      <c r="B72" t="n" s="5">
        <v>68</v>
      </c>
      <c r="C72" t="str" s="24">
        <v>垂水衣</v>
      </c>
      <c r="D72" t="n" s="3">
        <v>900</v>
      </c>
      <c r="E72" t="n" s="3">
        <v>315</v>
      </c>
      <c r="F72" t="str" s="3"/>
      <c r="G72" t="str" s="3"/>
      <c r="H72" t="n" s="3">
        <v>0</v>
      </c>
      <c r="I72" t="n" s="23">
        <v>10002</v>
      </c>
    </row>
    <row r="73">
      <c r="A73" s="17"/>
      <c r="B73" t="n" s="5">
        <v>69</v>
      </c>
      <c r="C73" t="str" s="24">
        <v>余光蕨</v>
      </c>
      <c r="D73" t="n" s="3">
        <v>900</v>
      </c>
      <c r="E73" t="n" s="3">
        <v>315</v>
      </c>
      <c r="F73" t="str" s="3"/>
      <c r="G73" t="str" s="3"/>
      <c r="H73" t="n" s="3">
        <v>0</v>
      </c>
      <c r="I73" t="n" s="23">
        <v>10002</v>
      </c>
    </row>
    <row r="74">
      <c r="A74" s="17"/>
      <c r="B74" t="n" s="5">
        <v>70</v>
      </c>
      <c r="C74" t="str" s="24">
        <v>掩流口</v>
      </c>
      <c r="D74" t="n" s="3">
        <v>900</v>
      </c>
      <c r="E74" t="n" s="3">
        <v>315</v>
      </c>
      <c r="F74" t="str" s="3"/>
      <c r="G74" t="str" s="3"/>
      <c r="H74" t="n" s="3">
        <v>0</v>
      </c>
      <c r="I74" t="n" s="23">
        <v>10002</v>
      </c>
    </row>
    <row r="75">
      <c r="A75" s="17"/>
      <c r="B75" t="n" s="5">
        <v>71</v>
      </c>
      <c r="C75" t="str" s="24">
        <v>涔缝</v>
      </c>
      <c r="D75" t="n" s="3">
        <v>900</v>
      </c>
      <c r="E75" t="n" s="3">
        <v>315</v>
      </c>
      <c r="F75" t="str" s="3"/>
      <c r="G75" t="str" s="3"/>
      <c r="H75" t="n" s="3">
        <v>0</v>
      </c>
      <c r="I75" t="n" s="23">
        <v>10002</v>
      </c>
    </row>
    <row r="76">
      <c r="A76" s="17"/>
      <c r="B76" t="n" s="5">
        <v>72</v>
      </c>
      <c r="C76" t="str" s="24">
        <v>浊影洄</v>
      </c>
      <c r="D76" t="n" s="3">
        <v>900</v>
      </c>
      <c r="E76" t="n" s="3">
        <v>315</v>
      </c>
      <c r="F76" t="str" s="3"/>
      <c r="G76" t="str" s="3"/>
      <c r="H76" t="n" s="3">
        <v>0</v>
      </c>
      <c r="I76" t="n" s="23">
        <v>10002</v>
      </c>
    </row>
    <row r="77">
      <c r="A77" s="17"/>
      <c r="B77" t="n" s="5">
        <v>73</v>
      </c>
      <c r="C77" t="str" s="24">
        <v>峡门</v>
      </c>
      <c r="D77" t="n" s="3">
        <v>900</v>
      </c>
      <c r="E77" t="n" s="3">
        <v>315</v>
      </c>
      <c r="F77" t="str" s="3"/>
      <c r="G77" t="str" s="3"/>
      <c r="H77" t="n" s="3">
        <v>0</v>
      </c>
      <c r="I77" t="n" s="23">
        <v>10002</v>
      </c>
    </row>
  </sheetData>
  <conditionalFormatting sqref="C33">
    <cfRule type="duplicateValues" dxfId="0" priority="13"/>
  </conditionalFormatting>
  <conditionalFormatting sqref="C34:C41">
    <cfRule type="duplicateValues" dxfId="0" priority="1"/>
  </conditionalFormatting>
  <conditionalFormatting sqref="C1 C4:C32 C42:C58 C60:C1048576">
    <cfRule type="duplicateValues" dxfId="0" priority="14"/>
  </conditionalFormatting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46"/>
  <sheetViews>
    <sheetView workbookViewId="0">
      <selection activeCell="T177" sqref="T177"/>
    </sheetView>
  </sheetViews>
  <sheetFormatPr defaultColWidth="8.72222222222222" defaultRowHeight="14.4"/>
  <cols>
    <col min="1" max="1" width="12.9074074074074" style="1" customWidth="1"/>
    <col min="13" max="16" width="13.0925925925926" style="1" customWidth="1"/>
    <col min="17" max="17" width="19.7222222222222" style="1" customWidth="1"/>
    <col min="18" max="21" width="13.0925925925926" style="1" customWidth="1"/>
  </cols>
  <sheetData>
    <row r="1" spans="1:20">
      <c r="A1" t="s">
        <v>938</v>
      </c>
      <c r="B1" t="s">
        <v>33</v>
      </c>
      <c r="C1" t="s">
        <v>28</v>
      </c>
      <c r="D1" t="s">
        <v>33</v>
      </c>
      <c r="E1" t="s">
        <v>30</v>
      </c>
      <c r="F1" t="s">
        <v>1073</v>
      </c>
      <c r="G1" t="s">
        <v>33</v>
      </c>
    </row>
    <row r="2" spans="1:20">
      <c r="A2" s="3" t="s">
        <v>1074</v>
      </c>
      <c r="B2" s="3">
        <v>1</v>
      </c>
      <c r="C2" s="3" t="s">
        <v>1075</v>
      </c>
      <c r="D2" s="3">
        <v>1</v>
      </c>
      <c r="E2" t="s">
        <v>52</v>
      </c>
      <c r="F2" t="s">
        <v>1076</v>
      </c>
      <c r="G2">
        <v>1</v>
      </c>
      <c r="I2" t="str">
        <f>F4&amp;"-"&amp;E3</f>
        <v>P-传送</v>
      </c>
      <c r="K2" t="s">
        <v>1077</v>
      </c>
    </row>
    <row r="3" spans="1:20">
      <c r="A3" s="3" t="s">
        <v>1078</v>
      </c>
      <c r="B3" s="3">
        <v>2</v>
      </c>
      <c r="C3" s="3" t="s">
        <v>1079</v>
      </c>
      <c r="D3" s="3">
        <v>2</v>
      </c>
      <c r="E3" t="s">
        <v>169</v>
      </c>
      <c r="F3" t="s">
        <v>1080</v>
      </c>
      <c r="G3">
        <v>2</v>
      </c>
      <c r="I3" t="str">
        <f>F3&amp;"-"&amp;E4</f>
        <v>T-NPC</v>
      </c>
      <c r="K3" t="s">
        <v>1081</v>
      </c>
    </row>
    <row r="4" spans="1:20">
      <c r="A4" s="3" t="s">
        <v>1082</v>
      </c>
      <c r="B4" s="3">
        <v>3</v>
      </c>
      <c r="C4" s="3" t="s">
        <v>1083</v>
      </c>
      <c r="D4" s="3">
        <v>3</v>
      </c>
      <c r="E4" t="s">
        <v>1084</v>
      </c>
      <c r="F4" t="s">
        <v>1085</v>
      </c>
      <c r="G4">
        <v>3</v>
      </c>
      <c r="I4" t="str">
        <f>F2&amp;"-"&amp;E2</f>
        <v>N-怪物</v>
      </c>
      <c r="K4" t="s">
        <v>1086</v>
      </c>
      <c r="O4" s="4"/>
      <c r="P4" s="4"/>
      <c r="Q4" s="4"/>
      <c r="R4" s="4"/>
      <c r="S4" s="4"/>
      <c r="T4" s="4"/>
    </row>
    <row r="5" spans="1:20">
      <c r="A5" s="3" t="s">
        <v>1087</v>
      </c>
      <c r="B5" s="3">
        <v>4</v>
      </c>
      <c r="C5" s="3" t="s">
        <v>1088</v>
      </c>
      <c r="D5" s="3">
        <v>4</v>
      </c>
      <c r="E5" t="s">
        <v>1089</v>
      </c>
      <c r="F5" t="s">
        <v>1090</v>
      </c>
      <c r="G5">
        <v>4</v>
      </c>
      <c r="I5" t="str">
        <f>F5&amp;"-"&amp;E5</f>
        <v>M-音效</v>
      </c>
      <c r="K5" t="s">
        <v>1091</v>
      </c>
      <c r="O5" s="4"/>
      <c r="P5" s="4"/>
      <c r="Q5" s="4"/>
      <c r="R5" s="4"/>
      <c r="S5" s="4"/>
      <c r="T5" s="4"/>
    </row>
    <row r="6" spans="1:20">
      <c r="A6" s="3" t="s">
        <v>1092</v>
      </c>
      <c r="B6" s="3">
        <v>5</v>
      </c>
      <c r="C6" s="3" t="s">
        <v>1093</v>
      </c>
      <c r="D6" s="3">
        <v>5</v>
      </c>
      <c r="E6" t="s">
        <v>167</v>
      </c>
      <c r="F6" t="s">
        <v>1094</v>
      </c>
      <c r="G6">
        <v>5</v>
      </c>
      <c r="I6" t="str">
        <f>F6&amp;"-"&amp;E6</f>
        <v>J-镜头</v>
      </c>
      <c r="K6" t="s">
        <v>1095</v>
      </c>
      <c r="O6" s="4"/>
      <c r="P6" s="4"/>
      <c r="Q6" s="4"/>
      <c r="R6" s="4"/>
      <c r="S6" s="4"/>
      <c r="T6" s="4"/>
    </row>
    <row r="7" spans="1:20">
      <c r="A7" s="3" t="s">
        <v>1096</v>
      </c>
      <c r="B7" s="3">
        <v>6</v>
      </c>
      <c r="C7" s="3" t="s">
        <v>1097</v>
      </c>
      <c r="D7" s="3">
        <v>6</v>
      </c>
      <c r="E7" t="s">
        <v>268</v>
      </c>
      <c r="F7" t="s">
        <v>1098</v>
      </c>
      <c r="G7">
        <v>6</v>
      </c>
      <c r="I7" t="s">
        <v>1095</v>
      </c>
      <c r="O7" s="4"/>
      <c r="P7" s="4"/>
      <c r="Q7" s="4"/>
      <c r="R7" s="4"/>
      <c r="S7" s="4"/>
      <c r="T7" s="4"/>
    </row>
    <row r="8" spans="1:20">
      <c r="A8" s="3" t="s">
        <v>1099</v>
      </c>
      <c r="B8" s="3">
        <v>7</v>
      </c>
      <c r="C8" s="3" t="s">
        <v>1100</v>
      </c>
      <c r="D8" s="3">
        <v>7</v>
      </c>
      <c r="E8" t="s">
        <v>171</v>
      </c>
      <c r="F8" t="s">
        <v>1101</v>
      </c>
      <c r="G8">
        <v>7</v>
      </c>
      <c r="O8" s="4"/>
      <c r="P8" s="4"/>
      <c r="Q8" s="4"/>
      <c r="R8" s="4"/>
      <c r="S8" s="4"/>
      <c r="T8" s="4"/>
    </row>
    <row r="9" spans="1:20">
      <c r="A9" s="3" t="s">
        <v>1102</v>
      </c>
      <c r="B9" s="3">
        <v>8</v>
      </c>
      <c r="C9" s="3" t="s">
        <v>1103</v>
      </c>
      <c r="D9" s="3">
        <v>8</v>
      </c>
      <c r="O9" s="4"/>
      <c r="P9" s="4"/>
      <c r="Q9" s="4"/>
      <c r="R9" s="4"/>
      <c r="S9" s="4"/>
      <c r="T9" s="4"/>
    </row>
    <row r="10" spans="1:20">
      <c r="A10" s="3" t="s">
        <v>1104</v>
      </c>
      <c r="B10" s="3">
        <v>9</v>
      </c>
      <c r="C10" s="3" t="s">
        <v>1105</v>
      </c>
      <c r="D10" s="3">
        <v>9</v>
      </c>
      <c r="O10" s="4"/>
      <c r="P10" s="4"/>
      <c r="Q10" s="4"/>
      <c r="R10" s="4"/>
      <c r="S10" s="4"/>
      <c r="T10" s="4"/>
    </row>
    <row r="11" spans="1:20">
      <c r="A11" s="3" t="s">
        <v>1106</v>
      </c>
      <c r="B11" s="3">
        <v>10</v>
      </c>
      <c r="C11" s="3" t="s">
        <v>1107</v>
      </c>
      <c r="D11" s="3">
        <v>10</v>
      </c>
    </row>
    <row r="12" spans="1:20">
      <c r="A12" s="3" t="s">
        <v>1108</v>
      </c>
      <c r="B12" s="3">
        <v>11</v>
      </c>
      <c r="C12" s="3" t="s">
        <v>1109</v>
      </c>
      <c r="D12" s="3">
        <v>11</v>
      </c>
    </row>
    <row r="13" spans="1:20">
      <c r="A13" s="3" t="s">
        <v>1110</v>
      </c>
      <c r="B13" s="3">
        <v>12</v>
      </c>
      <c r="C13" s="3" t="s">
        <v>1111</v>
      </c>
      <c r="D13" s="3">
        <v>12</v>
      </c>
    </row>
    <row r="14" spans="1:20">
      <c r="A14" s="3" t="s">
        <v>1112</v>
      </c>
      <c r="B14" s="3">
        <v>13</v>
      </c>
      <c r="C14" s="3" t="s">
        <v>1113</v>
      </c>
      <c r="D14" s="3">
        <v>13</v>
      </c>
    </row>
    <row r="15" spans="1:20">
      <c r="A15" s="3" t="s">
        <v>1114</v>
      </c>
      <c r="B15" s="3">
        <v>14</v>
      </c>
      <c r="C15" s="3" t="s">
        <v>1115</v>
      </c>
      <c r="D15" s="3">
        <v>14</v>
      </c>
    </row>
    <row r="16" spans="1:20">
      <c r="A16" s="3" t="s">
        <v>1116</v>
      </c>
      <c r="B16" s="3">
        <v>15</v>
      </c>
      <c r="C16" s="3" t="s">
        <v>1117</v>
      </c>
      <c r="D16" s="3">
        <v>15</v>
      </c>
    </row>
    <row r="17" spans="1:21">
      <c r="A17" s="3" t="s">
        <v>1118</v>
      </c>
      <c r="B17" s="3">
        <v>16</v>
      </c>
      <c r="C17" s="3" t="s">
        <v>1119</v>
      </c>
      <c r="D17" s="3">
        <v>16</v>
      </c>
    </row>
    <row r="18" spans="1:21">
      <c r="A18" s="3" t="s">
        <v>1120</v>
      </c>
      <c r="B18" s="3">
        <v>17</v>
      </c>
      <c r="C18" s="3" t="s">
        <v>1121</v>
      </c>
      <c r="D18" s="3">
        <v>17</v>
      </c>
    </row>
    <row r="19" spans="1:21">
      <c r="A19" s="3" t="s">
        <v>1122</v>
      </c>
      <c r="B19" s="3">
        <v>18</v>
      </c>
      <c r="C19" s="3" t="s">
        <v>1123</v>
      </c>
      <c r="D19" s="3">
        <v>18</v>
      </c>
    </row>
    <row r="20" spans="1:21">
      <c r="A20" s="3" t="s">
        <v>1124</v>
      </c>
      <c r="B20" s="3">
        <v>19</v>
      </c>
      <c r="C20" s="3" t="s">
        <v>1125</v>
      </c>
      <c r="D20" s="3">
        <v>19</v>
      </c>
    </row>
    <row r="21" spans="1:21">
      <c r="A21" s="3" t="s">
        <v>1126</v>
      </c>
      <c r="B21" s="3">
        <v>20</v>
      </c>
      <c r="C21" s="3" t="s">
        <v>1127</v>
      </c>
      <c r="D21" s="3">
        <v>20</v>
      </c>
    </row>
    <row r="22" spans="1:21">
      <c r="A22" s="3" t="s">
        <v>1128</v>
      </c>
      <c r="B22" s="3">
        <v>21</v>
      </c>
      <c r="C22" s="3" t="s">
        <v>1129</v>
      </c>
      <c r="D22" s="3">
        <v>21</v>
      </c>
    </row>
    <row r="23" spans="1:21">
      <c r="A23" s="3" t="s">
        <v>1130</v>
      </c>
      <c r="B23" s="3">
        <v>22</v>
      </c>
      <c r="C23" s="3" t="s">
        <v>1131</v>
      </c>
      <c r="D23" s="3">
        <v>22</v>
      </c>
    </row>
    <row r="24" spans="1:21">
      <c r="A24" s="3" t="s">
        <v>1132</v>
      </c>
      <c r="B24" s="3">
        <v>23</v>
      </c>
      <c r="C24" s="3" t="s">
        <v>1133</v>
      </c>
      <c r="D24" s="3">
        <v>23</v>
      </c>
    </row>
    <row r="25" spans="1:21">
      <c r="A25" s="3" t="s">
        <v>1134</v>
      </c>
      <c r="B25" s="3">
        <v>24</v>
      </c>
      <c r="C25" s="3" t="s">
        <v>1135</v>
      </c>
      <c r="D25" s="3">
        <v>24</v>
      </c>
      <c r="N25" s="5"/>
      <c r="O25" s="5"/>
      <c r="P25" s="5"/>
      <c r="Q25" s="5"/>
      <c r="R25" s="5"/>
      <c r="S25" s="5"/>
      <c r="T25" s="5"/>
      <c r="U25" s="5"/>
    </row>
    <row r="26" spans="1:21">
      <c r="A26" s="3" t="s">
        <v>1136</v>
      </c>
      <c r="B26" s="3">
        <v>25</v>
      </c>
      <c r="C26" s="3" t="s">
        <v>1137</v>
      </c>
      <c r="D26" s="3">
        <v>25</v>
      </c>
      <c r="M26" s="6" t="s">
        <v>1138</v>
      </c>
      <c r="N26" s="6">
        <v>1</v>
      </c>
      <c r="O26" s="6">
        <v>2</v>
      </c>
      <c r="P26" s="6">
        <v>3</v>
      </c>
      <c r="Q26" s="6">
        <v>4</v>
      </c>
      <c r="R26" s="6">
        <v>5</v>
      </c>
      <c r="S26" s="6">
        <v>6</v>
      </c>
      <c r="T26" s="6">
        <v>7</v>
      </c>
      <c r="U26" s="6">
        <v>8</v>
      </c>
    </row>
    <row r="27" spans="1:21">
      <c r="A27" s="3" t="s">
        <v>1139</v>
      </c>
      <c r="B27" s="3">
        <v>26</v>
      </c>
      <c r="C27" s="3" t="s">
        <v>1140</v>
      </c>
      <c r="D27" s="3">
        <v>26</v>
      </c>
      <c r="M27" s="6"/>
      <c r="N27" s="6" t="s">
        <v>1141</v>
      </c>
      <c r="O27" s="6" t="s">
        <v>1142</v>
      </c>
      <c r="P27" s="7"/>
      <c r="Q27" s="8"/>
      <c r="R27" s="6" t="s">
        <v>1143</v>
      </c>
      <c r="S27" s="9" t="s">
        <v>1144</v>
      </c>
      <c r="T27" s="6" t="s">
        <v>1145</v>
      </c>
      <c r="U27" s="8"/>
    </row>
    <row r="28" spans="1:21">
      <c r="A28" s="3" t="s">
        <v>1146</v>
      </c>
      <c r="B28" s="3">
        <v>27</v>
      </c>
      <c r="C28" s="3" t="s">
        <v>1147</v>
      </c>
      <c r="D28" s="3">
        <v>27</v>
      </c>
      <c r="M28" s="10"/>
      <c r="N28" s="10"/>
      <c r="O28" s="11"/>
      <c r="P28" s="12"/>
      <c r="Q28" s="13"/>
      <c r="R28" s="10"/>
      <c r="S28" s="10"/>
      <c r="T28" s="11"/>
      <c r="U28" s="13"/>
    </row>
    <row r="29" spans="1:21">
      <c r="A29" s="3" t="s">
        <v>1148</v>
      </c>
      <c r="B29" s="3">
        <v>28</v>
      </c>
      <c r="C29" s="3" t="s">
        <v>1149</v>
      </c>
      <c r="D29" s="3">
        <v>28</v>
      </c>
      <c r="M29" s="6" t="s">
        <v>1150</v>
      </c>
      <c r="N29" s="7"/>
      <c r="O29" s="7"/>
      <c r="P29" s="7"/>
      <c r="Q29" s="7"/>
      <c r="R29" s="7"/>
      <c r="S29" s="7"/>
      <c r="T29" s="7"/>
      <c r="U29" s="8"/>
    </row>
    <row r="30" spans="1:21">
      <c r="A30" s="3" t="s">
        <v>1151</v>
      </c>
      <c r="B30" s="3">
        <v>29</v>
      </c>
      <c r="C30" s="3" t="s">
        <v>1152</v>
      </c>
      <c r="D30" s="3">
        <v>29</v>
      </c>
      <c r="M30" s="11"/>
      <c r="N30" s="12"/>
      <c r="O30" s="12"/>
      <c r="P30" s="12"/>
      <c r="Q30" s="12"/>
      <c r="R30" s="12"/>
      <c r="S30" s="12"/>
      <c r="T30" s="12"/>
      <c r="U30" s="13"/>
    </row>
    <row r="31" spans="1:21">
      <c r="A31" s="3" t="s">
        <v>1153</v>
      </c>
      <c r="B31" s="3">
        <v>30</v>
      </c>
      <c r="C31" s="3" t="s">
        <v>1154</v>
      </c>
      <c r="D31" s="3">
        <v>30</v>
      </c>
      <c r="M31" s="14" t="s">
        <v>1155</v>
      </c>
      <c r="N31" s="7"/>
      <c r="O31" s="7"/>
      <c r="P31" s="7"/>
      <c r="Q31" s="7"/>
      <c r="R31" s="7"/>
      <c r="S31" s="7"/>
      <c r="T31" s="7"/>
      <c r="U31" s="8"/>
    </row>
    <row r="32" spans="1:21">
      <c r="A32" s="3" t="s">
        <v>1156</v>
      </c>
      <c r="B32" s="3">
        <v>31</v>
      </c>
      <c r="C32" s="3" t="s">
        <v>1157</v>
      </c>
      <c r="D32" s="3">
        <v>31</v>
      </c>
      <c r="M32" s="11"/>
      <c r="N32" s="12"/>
      <c r="O32" s="12"/>
      <c r="P32" s="12"/>
      <c r="Q32" s="12"/>
      <c r="R32" s="12"/>
      <c r="S32" s="12"/>
      <c r="T32" s="12"/>
      <c r="U32" s="13"/>
    </row>
    <row r="33" spans="1:21">
      <c r="A33" s="3" t="s">
        <v>1158</v>
      </c>
      <c r="B33" s="3">
        <v>32</v>
      </c>
      <c r="C33" s="3" t="s">
        <v>1159</v>
      </c>
      <c r="D33" s="3">
        <v>32</v>
      </c>
    </row>
    <row r="34" spans="1:21">
      <c r="A34" s="3" t="s">
        <v>1160</v>
      </c>
      <c r="B34" s="3">
        <v>33</v>
      </c>
      <c r="C34" s="3" t="s">
        <v>1161</v>
      </c>
      <c r="D34" s="3">
        <v>33</v>
      </c>
      <c r="M34" s="6" t="s">
        <v>1162</v>
      </c>
      <c r="N34" s="15">
        <v>1</v>
      </c>
      <c r="O34" s="15">
        <v>2</v>
      </c>
      <c r="P34" s="15">
        <v>3</v>
      </c>
      <c r="Q34" s="15">
        <v>4</v>
      </c>
      <c r="R34" s="15">
        <v>5</v>
      </c>
    </row>
    <row r="35" spans="1:21">
      <c r="A35" s="3" t="s">
        <v>1163</v>
      </c>
      <c r="B35" s="3">
        <v>34</v>
      </c>
      <c r="C35" s="3" t="s">
        <v>1164</v>
      </c>
      <c r="D35" s="3">
        <v>34</v>
      </c>
      <c r="M35" s="15"/>
      <c r="N35" s="6" t="s">
        <v>1142</v>
      </c>
      <c r="O35" s="16" t="s">
        <v>1165</v>
      </c>
      <c r="P35" s="6" t="s">
        <v>1143</v>
      </c>
      <c r="Q35" s="6" t="s">
        <v>1166</v>
      </c>
      <c r="R35" s="6" t="s">
        <v>1145</v>
      </c>
    </row>
    <row r="36" spans="1:21">
      <c r="A36" s="3" t="s">
        <v>1167</v>
      </c>
      <c r="B36" s="3">
        <v>35</v>
      </c>
      <c r="C36" s="3" t="s">
        <v>1168</v>
      </c>
      <c r="D36" s="3">
        <v>35</v>
      </c>
      <c r="O36" t="s">
        <v>1169</v>
      </c>
      <c r="P36" s="10"/>
      <c r="Q36" s="10"/>
      <c r="R36" s="10"/>
    </row>
    <row r="37" spans="1:21">
      <c r="A37" s="3" t="s">
        <v>1170</v>
      </c>
      <c r="B37" s="3">
        <v>36</v>
      </c>
      <c r="C37" s="3" t="s">
        <v>1171</v>
      </c>
      <c r="D37" s="3">
        <v>36</v>
      </c>
      <c r="O37" t="s">
        <v>1172</v>
      </c>
    </row>
    <row r="38" spans="1:21">
      <c r="A38" s="3" t="s">
        <v>1173</v>
      </c>
      <c r="B38" s="3">
        <v>37</v>
      </c>
      <c r="C38" s="3" t="s">
        <v>1174</v>
      </c>
      <c r="D38" s="3">
        <v>37</v>
      </c>
      <c r="O38" t="s">
        <v>1175</v>
      </c>
    </row>
    <row r="39" spans="1:21">
      <c r="A39" s="3" t="s">
        <v>1176</v>
      </c>
      <c r="B39" s="3">
        <v>38</v>
      </c>
      <c r="C39" s="3" t="s">
        <v>1177</v>
      </c>
      <c r="D39" s="3">
        <v>38</v>
      </c>
      <c r="O39" t="s">
        <v>1178</v>
      </c>
    </row>
    <row r="40" spans="1:21">
      <c r="A40" s="3" t="s">
        <v>1179</v>
      </c>
      <c r="B40" s="3">
        <v>39</v>
      </c>
      <c r="C40" s="3" t="s">
        <v>1180</v>
      </c>
      <c r="D40" s="3">
        <v>39</v>
      </c>
      <c r="O40" t="s">
        <v>1181</v>
      </c>
    </row>
    <row r="41" spans="1:21">
      <c r="A41" s="3" t="s">
        <v>1182</v>
      </c>
      <c r="B41" s="3">
        <v>40</v>
      </c>
      <c r="C41" s="3" t="s">
        <v>1183</v>
      </c>
      <c r="D41" s="3">
        <v>40</v>
      </c>
      <c r="M41" s="6" t="s">
        <v>1184</v>
      </c>
      <c r="N41" s="7"/>
      <c r="O41" s="7"/>
      <c r="P41" s="7"/>
      <c r="Q41" s="7"/>
      <c r="R41" s="7"/>
      <c r="S41" s="7"/>
      <c r="T41" s="7"/>
      <c r="U41" s="8"/>
    </row>
    <row r="42" spans="1:21">
      <c r="A42" s="3" t="s">
        <v>1185</v>
      </c>
      <c r="B42" s="3">
        <v>41</v>
      </c>
      <c r="C42" s="3" t="s">
        <v>1186</v>
      </c>
      <c r="D42" s="3">
        <v>41</v>
      </c>
      <c r="M42" s="11"/>
      <c r="N42" s="12"/>
      <c r="O42" s="12"/>
      <c r="P42" s="12"/>
      <c r="Q42" s="12"/>
      <c r="R42" s="12"/>
      <c r="S42" s="12"/>
      <c r="T42" s="12"/>
      <c r="U42" s="13"/>
    </row>
    <row r="43" spans="1:21">
      <c r="A43" s="3"/>
      <c r="B43" s="3"/>
      <c r="C43" s="3"/>
      <c r="D43" s="3">
        <v>42</v>
      </c>
    </row>
    <row r="44" spans="1:21">
      <c r="A44" s="3"/>
      <c r="B44" s="3"/>
      <c r="C44" s="3"/>
      <c r="D44" s="3">
        <v>43</v>
      </c>
    </row>
    <row r="45" spans="1:21">
      <c r="D45" s="3">
        <v>44</v>
      </c>
    </row>
    <row r="46" spans="1:21">
      <c r="D46" s="3">
        <v>45</v>
      </c>
    </row>
  </sheetData>
  <mergeCells count="12">
    <mergeCell ref="M27:M28"/>
    <mergeCell ref="N27:N28"/>
    <mergeCell ref="P35:P36"/>
    <mergeCell ref="Q35:Q36"/>
    <mergeCell ref="R27:R28"/>
    <mergeCell ref="R35:R36"/>
    <mergeCell ref="S27:S28"/>
    <mergeCell ref="O27:Q28"/>
    <mergeCell ref="M41:U42"/>
    <mergeCell ref="M31:U32"/>
    <mergeCell ref="T27:U28"/>
    <mergeCell ref="M29:U30"/>
  </mergeCells>
  <conditionalFormatting sqref="A2:D44 D45:D46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T177" sqref="T177"/>
    </sheetView>
  </sheetViews>
  <sheetFormatPr defaultColWidth="9" defaultRowHeight="14.4" outlineLevelCol="1"/>
  <cols>
    <col min="2" max="2" width="90.3611111111111" style="1" customWidth="1"/>
  </cols>
  <sheetData>
    <row r="1" spans="1:2">
      <c r="A1" t="s">
        <v>1187</v>
      </c>
      <c r="B1" t="s">
        <v>1188</v>
      </c>
    </row>
    <row r="2" spans="1:2">
      <c r="A2" t="s">
        <v>1189</v>
      </c>
      <c r="B2" t="s">
        <v>1190</v>
      </c>
    </row>
    <row r="3" spans="1:2">
      <c r="A3" t="s">
        <v>1191</v>
      </c>
      <c r="B3" t="s">
        <v>1192</v>
      </c>
    </row>
    <row r="4" spans="1:2">
      <c r="A4" t="s">
        <v>1193</v>
      </c>
    </row>
    <row r="5" spans="1:2">
      <c r="A5" t="s">
        <v>1194</v>
      </c>
    </row>
    <row r="6" spans="1:2">
      <c r="A6" t="s">
        <v>1195</v>
      </c>
      <c r="B6" t="s">
        <v>1196</v>
      </c>
    </row>
    <row r="7" spans="1:2">
      <c r="A7" t="s">
        <v>1197</v>
      </c>
      <c r="B7" t="s">
        <v>1198</v>
      </c>
    </row>
    <row r="8" spans="1:2">
      <c r="A8" t="s">
        <v>1199</v>
      </c>
      <c r="B8" t="s">
        <v>1200</v>
      </c>
    </row>
    <row r="9" spans="1:2">
      <c r="A9" t="s">
        <v>1201</v>
      </c>
      <c r="B9" t="s">
        <v>1202</v>
      </c>
    </row>
    <row r="10" spans="1:2">
      <c r="A10" t="s">
        <v>1203</v>
      </c>
      <c r="B10" t="s">
        <v>1204</v>
      </c>
    </row>
    <row r="11" spans="1:2">
      <c r="A11" t="s">
        <v>1205</v>
      </c>
      <c r="B11" t="s">
        <v>1206</v>
      </c>
    </row>
    <row r="12" spans="1:2">
      <c r="A12" t="s">
        <v>1207</v>
      </c>
      <c r="B12" t="s">
        <v>1208</v>
      </c>
    </row>
    <row r="13" spans="1:2">
      <c r="A13" t="s">
        <v>1209</v>
      </c>
      <c r="B13" t="s">
        <v>1210</v>
      </c>
    </row>
    <row r="14" ht="43.2" customHeight="1" spans="1:2">
      <c r="A14" t="s">
        <v>1211</v>
      </c>
      <c r="B14" s="2" t="s">
        <v>1212</v>
      </c>
    </row>
    <row r="15" ht="57.6" customHeight="1" spans="1:2">
      <c r="A15" t="s">
        <v>1213</v>
      </c>
      <c r="B15" s="2" t="s">
        <v>1214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64" hidden="0" customWidth="1"/>
  </x:cols>
  <x:sheetData>
    <x:row r="1" ht="40" customHeight="1">
      <x:c r="A1" s="50" t="str">
        <x:v>项目</x:v>
      </x:c>
      <x:c r="B1" s="50" t="str">
        <x:v>说明</x:v>
      </x:c>
    </x:row>
    <x:row r="2" ht="28" customHeight="1">
      <x:c r="A2" s="48" t="str">
        <x:v>状态</x:v>
      </x:c>
      <x:c r="B2" s="48" t="str">
        <x:v>完整内容草案，待用户审核；数值可调；非上线验收</x:v>
      </x:c>
    </x:row>
    <x:row r="3" ht="248" customHeight="1">
      <x:c r="A3" s="48" t="str">
        <x:v>本轮工作</x:v>
      </x:c>
      <x:c r="B3" t="str" s="48">
        <x:v>本轮把已有64场景扩为73场景：保留1–64的身份，补入缺失R02九格65–73。八区各三刷怪、二灵植、二秘境、一魔界、一剧情，共72格；ID1作为万宝坊市服务设施，位于冻结46明确的渡口边，不计九格配额。场景名取冻结44，R05/R07裂隙名称仍保留其暂定身份，不新增六处空间裂隙。
原960条区域的min_x/max_x/min_y/max_y均为空。本轮保留空值，新增R02功能锚点与剧情NPC锚点，共1094条登记。新矩形ID只表示待制作的登记身份；没有猜坐标，没有借用另一地区边界。每个活跃刷新方案已挂入正确场景的遭遇矩形，最多8方案；NPC使用独立锚点，不站到刷怪区充数。
R04全部为可选探索，不进入主线或突破必需链。R08仅临时一次性遭遇设计，不形成常驻资源农场。场景推荐境界只在设计台账说明风险，不增硬准入；地图geometry、小地图、碰撞与安全点验收完成前不可宣称地图可运行。</x:v>
      </x:c>
    </x:row>
    <x:row r="4" ht="28" customHeight="1">
      <x:c r="A4" s="48" t="str">
        <x:v>交付边界</x:v>
      </x:c>
      <x:c r="B4" s="48" t="str">
        <x:v>源文件未改；坐标/资源/程序挂接按需求清单另验收</x:v>
      </x:c>
    </x:row>
    <x:row r="5" ht="28" customHeight="1">
      <x:c r="A5" s="48" t="str">
        <x:v>详细说明</x:v>
      </x:c>
      <x:c r="B5" s="48" t="str">
        <x:v>世界01_场景区域补齐说明.md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22" hidden="0" customWidth="1"/>
    <x:col min="8" max="8" width="22" hidden="0" customWidth="1"/>
    <x:col min="9" max="9" width="22" hidden="0" customWidth="1"/>
  </x:cols>
  <x:sheetData>
    <x:row r="1" ht="40" customHeight="1">
      <x:c r="A1" s="50" t="str">
        <x:v>场景ID</x:v>
      </x:c>
      <x:c r="B1" s="50" t="str">
        <x:v>大境界</x:v>
      </x:c>
      <x:c r="C1" s="50" t="str">
        <x:v>槽位</x:v>
      </x:c>
      <x:c r="D1" s="50" t="str">
        <x:v>地理名</x:v>
      </x:c>
      <x:c r="E1" s="50" t="str">
        <x:v>玩法类型</x:v>
      </x:c>
      <x:c r="F1" s="50" t="str">
        <x:v>自然/历史锚点</x:v>
      </x:c>
      <x:c r="G1" s="50" t="str">
        <x:v>新建地图需求</x:v>
      </x:c>
      <x:c r="H1" s="50" t="str">
        <x:v>主线关系</x:v>
      </x:c>
      <x:c r="I1" s="50" t="str">
        <x:v>状态</x:v>
      </x:c>
    </x:row>
    <x:row r="2" ht="38" customHeight="1">
      <x:c r="A2" s="48" t="n">
        <x:v>4</x:v>
      </x:c>
      <x:c r="B2" s="48" t="n">
        <x:v>1</x:v>
      </x:c>
      <x:c r="C2" s="48" t="str">
        <x:v>M1</x:v>
      </x:c>
      <x:c r="D2" s="48" t="str">
        <x:v>浮沉洲</x:v>
      </x:c>
      <x:c r="E2" s="48" t="str">
        <x:v>刷怪</x:v>
      </x:c>
      <x:c r="F2" s="48" t="str">
        <x:v>②浅切水网</x:v>
      </x:c>
      <x:c r="G2" s="48" t="str">
        <x:v>源区域全缺坐标，待实际地图注入</x:v>
      </x:c>
      <x:c r="H2" s="48" t="str">
        <x:v>区域可自由进入，任务不作硬准入</x:v>
      </x:c>
      <x:c r="I2" s="48" t="str">
        <x:v>内容定义完成，待地图/资源验收</x:v>
      </x:c>
    </x:row>
    <x:row r="3" ht="38" customHeight="1">
      <x:c r="A3" s="48" t="n">
        <x:v>5</x:v>
      </x:c>
      <x:c r="B3" s="48" t="n">
        <x:v>1</x:v>
      </x:c>
      <x:c r="C3" s="48" t="str">
        <x:v>M2</x:v>
      </x:c>
      <x:c r="D3" s="48" t="str">
        <x:v>蔽苇汀</x:v>
      </x:c>
      <x:c r="E3" s="48" t="str">
        <x:v>刷怪</x:v>
      </x:c>
      <x:c r="F3" s="48" t="str">
        <x:v>③苇湿地遮蔽</x:v>
      </x:c>
      <x:c r="G3" s="48" t="str">
        <x:v>源区域全缺坐标，待实际地图注入</x:v>
      </x:c>
      <x:c r="H3" s="48" t="str">
        <x:v>区域可自由进入，任务不作硬准入</x:v>
      </x:c>
      <x:c r="I3" s="48" t="str">
        <x:v>内容定义完成，待地图/资源验收</x:v>
      </x:c>
    </x:row>
    <x:row r="4" ht="38" customHeight="1">
      <x:c r="A4" s="48" t="n">
        <x:v>6</x:v>
      </x:c>
      <x:c r="B4" s="48" t="n">
        <x:v>1</x:v>
      </x:c>
      <x:c r="C4" s="48" t="str">
        <x:v>M3</x:v>
      </x:c>
      <x:c r="D4" s="48" t="str">
        <x:v>岳骨阶</x:v>
      </x:c>
      <x:c r="E4" s="48" t="str">
        <x:v>刷怪</x:v>
      </x:c>
      <x:c r="F4" s="48" t="str">
        <x:v>④风化岩露头</x:v>
      </x:c>
      <x:c r="G4" s="48" t="str">
        <x:v>源区域全缺坐标，待实际地图注入</x:v>
      </x:c>
      <x:c r="H4" s="48" t="str">
        <x:v>区域可自由进入，任务不作硬准入</x:v>
      </x:c>
      <x:c r="I4" s="48" t="str">
        <x:v>内容定义完成，待地图/资源验收</x:v>
      </x:c>
    </x:row>
    <x:row r="5" ht="38" customHeight="1">
      <x:c r="A5" s="48" t="n">
        <x:v>7</x:v>
      </x:c>
      <x:c r="B5" s="48" t="n">
        <x:v>1</x:v>
      </x:c>
      <x:c r="C5" s="48" t="str">
        <x:v>P1</x:v>
      </x:c>
      <x:c r="D5" s="48" t="str">
        <x:v>异霭浦</x:v>
      </x:c>
      <x:c r="E5" s="48" t="str">
        <x:v>灵植</x:v>
      </x:c>
      <x:c r="F5" s="48" t="str">
        <x:v>③遮蔽反转</x:v>
      </x:c>
      <x:c r="G5" s="48" t="str">
        <x:v>源区域全缺坐标，待实际地图注入</x:v>
      </x:c>
      <x:c r="H5" s="48" t="str">
        <x:v>区域可自由进入，任务不作硬准入</x:v>
      </x:c>
      <x:c r="I5" s="48" t="str">
        <x:v>内容定义完成，待地图/资源验收</x:v>
      </x:c>
    </x:row>
    <x:row r="6" ht="38" customHeight="1">
      <x:c r="A6" s="48" t="n">
        <x:v>8</x:v>
      </x:c>
      <x:c r="B6" s="48" t="n">
        <x:v>1</x:v>
      </x:c>
      <x:c r="C6" s="48" t="str">
        <x:v>P2</x:v>
      </x:c>
      <x:c r="D6" s="48" t="str">
        <x:v>砾台</x:v>
      </x:c>
      <x:c r="E6" s="48" t="str">
        <x:v>灵植</x:v>
      </x:c>
      <x:c r="F6" s="48" t="str">
        <x:v>③苇湿地边缘</x:v>
      </x:c>
      <x:c r="G6" s="48" t="str">
        <x:v>源区域全缺坐标，待实际地图注入</x:v>
      </x:c>
      <x:c r="H6" s="48" t="str">
        <x:v>区域可自由进入，任务不作硬准入</x:v>
      </x:c>
      <x:c r="I6" s="48" t="str">
        <x:v>内容定义完成，待地图/资源验收</x:v>
      </x:c>
    </x:row>
    <x:row r="7" ht="38" customHeight="1">
      <x:c r="A7" s="48" t="n">
        <x:v>9</x:v>
      </x:c>
      <x:c r="B7" s="48" t="n">
        <x:v>1</x:v>
      </x:c>
      <x:c r="C7" s="48" t="str">
        <x:v>S1</x:v>
      </x:c>
      <x:c r="D7" s="48" t="str">
        <x:v>垂练岩</x:v>
      </x:c>
      <x:c r="E7" s="48" t="str">
        <x:v>秘境</x:v>
      </x:c>
      <x:c r="F7" s="48" t="str">
        <x:v>④框景</x:v>
      </x:c>
      <x:c r="G7" s="48" t="str">
        <x:v>源区域全缺坐标，待实际地图注入</x:v>
      </x:c>
      <x:c r="H7" s="48" t="str">
        <x:v>区域可自由进入，任务不作硬准入</x:v>
      </x:c>
      <x:c r="I7" s="48" t="str">
        <x:v>内容定义完成，待地图/资源验收</x:v>
      </x:c>
    </x:row>
    <x:row r="8" ht="38" customHeight="1">
      <x:c r="A8" s="48" t="n">
        <x:v>10</x:v>
      </x:c>
      <x:c r="B8" s="48" t="n">
        <x:v>1</x:v>
      </x:c>
      <x:c r="C8" s="48" t="str">
        <x:v>S2</x:v>
      </x:c>
      <x:c r="D8" s="48" t="str">
        <x:v>水镜滩</x:v>
      </x:c>
      <x:c r="E8" s="48" t="str">
        <x:v>秘境</x:v>
      </x:c>
      <x:c r="F8" s="48" t="str">
        <x:v>②浅切水网</x:v>
      </x:c>
      <x:c r="G8" s="48" t="str">
        <x:v>源区域全缺坐标，待实际地图注入</x:v>
      </x:c>
      <x:c r="H8" s="48" t="str">
        <x:v>区域可自由进入，任务不作硬准入</x:v>
      </x:c>
      <x:c r="I8" s="48" t="str">
        <x:v>内容定义完成，待地图/资源验收</x:v>
      </x:c>
    </x:row>
    <x:row r="9" ht="38" customHeight="1">
      <x:c r="A9" s="48" t="n">
        <x:v>2</x:v>
      </x:c>
      <x:c r="B9" s="48" t="n">
        <x:v>1</x:v>
      </x:c>
      <x:c r="C9" s="48" t="str">
        <x:v>D1</x:v>
      </x:c>
      <x:c r="D9" s="48" t="str">
        <x:v>蚀苇沼</x:v>
      </x:c>
      <x:c r="E9" s="48" t="str">
        <x:v>魔界</x:v>
      </x:c>
      <x:c r="F9" s="48" t="str">
        <x:v>③滞水角落</x:v>
      </x:c>
      <x:c r="G9" s="48" t="str">
        <x:v>源区域全缺坐标，待实际地图注入</x:v>
      </x:c>
      <x:c r="H9" s="48" t="str">
        <x:v>区域可自由进入，任务不作硬准入</x:v>
      </x:c>
      <x:c r="I9" s="48" t="str">
        <x:v>内容定义完成，待地图/资源验收</x:v>
      </x:c>
    </x:row>
    <x:row r="10" ht="38" customHeight="1">
      <x:c r="A10" s="48" t="n">
        <x:v>3</x:v>
      </x:c>
      <x:c r="B10" s="48" t="n">
        <x:v>1</x:v>
      </x:c>
      <x:c r="C10" s="48" t="str">
        <x:v>N1</x:v>
      </x:c>
      <x:c r="D10" s="48" t="str">
        <x:v>望岳津</x:v>
      </x:c>
      <x:c r="E10" s="48" t="str">
        <x:v>剧情</x:v>
      </x:c>
      <x:c r="F10" s="48" t="str">
        <x:v>①河口开阔</x:v>
      </x:c>
      <x:c r="G10" s="48" t="str">
        <x:v>源区域全缺坐标，待实际地图注入</x:v>
      </x:c>
      <x:c r="H10" s="48" t="str">
        <x:v>区域可自由进入，任务不作硬准入</x:v>
      </x:c>
      <x:c r="I10" s="48" t="str">
        <x:v>内容定义完成，待地图/资源验收</x:v>
      </x:c>
    </x:row>
    <x:row r="11" ht="38" customHeight="1">
      <x:c r="A11" s="48" t="n">
        <x:v>65</x:v>
      </x:c>
      <x:c r="B11" s="48" t="n">
        <x:v>2</x:v>
      </x:c>
      <x:c r="C11" s="48" t="str">
        <x:v>M1</x:v>
      </x:c>
      <x:c r="D11" s="48" t="str">
        <x:v>渍岩罅</x:v>
      </x:c>
      <x:c r="E11" s="48" t="str">
        <x:v>刷怪</x:v>
      </x:c>
      <x:c r="F11" s="48" t="str">
        <x:v>③贴壁读水／渗水</x:v>
      </x:c>
      <x:c r="G11" s="48" t="str">
        <x:v>R02需新地图块/缩略图/边界</x:v>
      </x:c>
      <x:c r="H11" s="48" t="str">
        <x:v>区域可自由进入，任务不作硬准入</x:v>
      </x:c>
      <x:c r="I11" s="48" t="str">
        <x:v>内容定义完成，待地图/资源验收</x:v>
      </x:c>
    </x:row>
    <x:row r="12" ht="38" customHeight="1">
      <x:c r="A12" s="48" t="n">
        <x:v>66</x:v>
      </x:c>
      <x:c r="B12" s="48" t="n">
        <x:v>2</x:v>
      </x:c>
      <x:c r="C12" s="48" t="str">
        <x:v>M2</x:v>
      </x:c>
      <x:c r="D12" s="48" t="str">
        <x:v>危石夹</x:v>
      </x:c>
      <x:c r="E12" s="48" t="str">
        <x:v>刷怪</x:v>
      </x:c>
      <x:c r="F12" s="48" t="str">
        <x:v>④近壁压迫</x:v>
      </x:c>
      <x:c r="G12" s="48" t="str">
        <x:v>R02需新地图块/缩略图/边界</x:v>
      </x:c>
      <x:c r="H12" s="48" t="str">
        <x:v>区域可自由进入，任务不作硬准入</x:v>
      </x:c>
      <x:c r="I12" s="48" t="str">
        <x:v>内容定义完成，待地图/资源验收</x:v>
      </x:c>
    </x:row>
    <x:row r="13" ht="38" customHeight="1">
      <x:c r="A13" s="48" t="n">
        <x:v>67</x:v>
      </x:c>
      <x:c r="B13" s="48" t="n">
        <x:v>2</x:v>
      </x:c>
      <x:c r="C13" s="48" t="str">
        <x:v>M3</x:v>
      </x:c>
      <x:c r="D13" s="48" t="str">
        <x:v>一线湍</x:v>
      </x:c>
      <x:c r="E13" s="48" t="str">
        <x:v>刷怪</x:v>
      </x:c>
      <x:c r="F13" s="48" t="str">
        <x:v>②入峡收束</x:v>
      </x:c>
      <x:c r="G13" s="48" t="str">
        <x:v>R02需新地图块/缩略图/边界</x:v>
      </x:c>
      <x:c r="H13" s="48" t="str">
        <x:v>区域可自由进入，任务不作硬准入</x:v>
      </x:c>
      <x:c r="I13" s="48" t="str">
        <x:v>内容定义完成，待地图/资源验收</x:v>
      </x:c>
    </x:row>
    <x:row r="14" ht="38" customHeight="1">
      <x:c r="A14" s="48" t="n">
        <x:v>68</x:v>
      </x:c>
      <x:c r="B14" s="48" t="n">
        <x:v>2</x:v>
      </x:c>
      <x:c r="C14" s="48" t="str">
        <x:v>P1</x:v>
      </x:c>
      <x:c r="D14" s="48" t="str">
        <x:v>垂水衣</x:v>
      </x:c>
      <x:c r="E14" s="48" t="str">
        <x:v>灵植</x:v>
      </x:c>
      <x:c r="F14" s="48" t="str">
        <x:v>③渗水线</x:v>
      </x:c>
      <x:c r="G14" s="48" t="str">
        <x:v>R02需新地图块/缩略图/边界</x:v>
      </x:c>
      <x:c r="H14" s="48" t="str">
        <x:v>区域可自由进入，任务不作硬准入</x:v>
      </x:c>
      <x:c r="I14" s="48" t="str">
        <x:v>内容定义完成，待地图/资源验收</x:v>
      </x:c>
    </x:row>
    <x:row r="15" ht="38" customHeight="1">
      <x:c r="A15" s="48" t="n">
        <x:v>69</x:v>
      </x:c>
      <x:c r="B15" s="48" t="n">
        <x:v>2</x:v>
      </x:c>
      <x:c r="C15" s="48" t="str">
        <x:v>P2</x:v>
      </x:c>
      <x:c r="D15" s="48" t="str">
        <x:v>余光蕨</x:v>
      </x:c>
      <x:c r="E15" s="48" t="str">
        <x:v>灵植</x:v>
      </x:c>
      <x:c r="F15" s="48" t="str">
        <x:v>④背光岩壁凹处</x:v>
      </x:c>
      <x:c r="G15" s="48" t="str">
        <x:v>R02需新地图块/缩略图/边界</x:v>
      </x:c>
      <x:c r="H15" s="48" t="str">
        <x:v>区域可自由进入，任务不作硬准入</x:v>
      </x:c>
      <x:c r="I15" s="48" t="str">
        <x:v>内容定义完成，待地图/资源验收</x:v>
      </x:c>
    </x:row>
    <x:row r="16" ht="38" customHeight="1">
      <x:c r="A16" s="48" t="n">
        <x:v>70</x:v>
      </x:c>
      <x:c r="B16" s="48" t="n">
        <x:v>2</x:v>
      </x:c>
      <x:c r="C16" s="48" t="str">
        <x:v>S1</x:v>
      </x:c>
      <x:c r="D16" s="48" t="str">
        <x:v>掩流口</x:v>
      </x:c>
      <x:c r="E16" s="48" t="str">
        <x:v>秘境</x:v>
      </x:c>
      <x:c r="F16" s="48" t="str">
        <x:v>②入峡收束·**临水面**</x:v>
      </x:c>
      <x:c r="G16" s="48" t="str">
        <x:v>R02需新地图块/缩略图/边界</x:v>
      </x:c>
      <x:c r="H16" s="48" t="str">
        <x:v>区域可自由进入，任务不作硬准入</x:v>
      </x:c>
      <x:c r="I16" s="48" t="str">
        <x:v>内容定义完成，待地图/资源验收</x:v>
      </x:c>
    </x:row>
    <x:row r="17" ht="38" customHeight="1">
      <x:c r="A17" s="48" t="n">
        <x:v>71</x:v>
      </x:c>
      <x:c r="B17" s="48" t="n">
        <x:v>2</x:v>
      </x:c>
      <x:c r="C17" s="48" t="str">
        <x:v>S2</x:v>
      </x:c>
      <x:c r="D17" s="48" t="str">
        <x:v>涔缝</x:v>
      </x:c>
      <x:c r="E17" s="48" t="str">
        <x:v>秘境</x:v>
      </x:c>
      <x:c r="F17" s="48" t="str">
        <x:v>③贴壁读水·**渗水面**</x:v>
      </x:c>
      <x:c r="G17" s="48" t="str">
        <x:v>R02需新地图块/缩略图/边界</x:v>
      </x:c>
      <x:c r="H17" s="48" t="str">
        <x:v>区域可自由进入，任务不作硬准入</x:v>
      </x:c>
      <x:c r="I17" s="48" t="str">
        <x:v>内容定义完成，待地图/资源验收</x:v>
      </x:c>
    </x:row>
    <x:row r="18" ht="38" customHeight="1">
      <x:c r="A18" s="48" t="n">
        <x:v>72</x:v>
      </x:c>
      <x:c r="B18" s="48" t="n">
        <x:v>2</x:v>
      </x:c>
      <x:c r="C18" s="48" t="str">
        <x:v>D1</x:v>
      </x:c>
      <x:c r="D18" s="48" t="str">
        <x:v>浊影洄</x:v>
      </x:c>
      <x:c r="E18" s="48" t="str">
        <x:v>魔界</x:v>
      </x:c>
      <x:c r="F18" s="48" t="str">
        <x:v>②／③滞水角落</x:v>
      </x:c>
      <x:c r="G18" s="48" t="str">
        <x:v>R02需新地图块/缩略图/边界</x:v>
      </x:c>
      <x:c r="H18" s="48" t="str">
        <x:v>区域可自由进入，任务不作硬准入</x:v>
      </x:c>
      <x:c r="I18" s="48" t="str">
        <x:v>内容定义完成，待地图/资源验收</x:v>
      </x:c>
    </x:row>
    <x:row r="19" ht="38" customHeight="1">
      <x:c r="A19" s="48" t="n">
        <x:v>73</x:v>
      </x:c>
      <x:c r="B19" s="48" t="n">
        <x:v>2</x:v>
      </x:c>
      <x:c r="C19" s="48" t="str">
        <x:v>N1</x:v>
      </x:c>
      <x:c r="D19" s="48" t="str">
        <x:v>峡门</x:v>
      </x:c>
      <x:c r="E19" s="48" t="str">
        <x:v>剧情</x:v>
      </x:c>
      <x:c r="F19" s="48" t="str">
        <x:v>②入峡收束〔`42号` 场景分布〕</x:v>
      </x:c>
      <x:c r="G19" s="48" t="str">
        <x:v>R02需新地图块/缩略图/边界</x:v>
      </x:c>
      <x:c r="H19" s="48" t="str">
        <x:v>区域可自由进入，任务不作硬准入</x:v>
      </x:c>
      <x:c r="I19" s="48" t="str">
        <x:v>内容定义完成，待地图/资源验收</x:v>
      </x:c>
    </x:row>
    <x:row r="20" ht="38" customHeight="1">
      <x:c r="A20" s="48" t="n">
        <x:v>13</x:v>
      </x:c>
      <x:c r="B20" s="48" t="n">
        <x:v>3</x:v>
      </x:c>
      <x:c r="C20" s="48" t="str">
        <x:v>M1</x:v>
      </x:c>
      <x:c r="D20" s="48" t="str">
        <x:v>豁烟水</x:v>
      </x:c>
      <x:c r="E20" s="48" t="str">
        <x:v>刷怪</x:v>
      </x:c>
      <x:c r="F20" s="48" t="str">
        <x:v>出峡后第一片开阔</x:v>
      </x:c>
      <x:c r="G20" s="48" t="str">
        <x:v>源区域全缺坐标，待实际地图注入</x:v>
      </x:c>
      <x:c r="H20" s="48" t="str">
        <x:v>区域可自由进入，任务不作硬准入</x:v>
      </x:c>
      <x:c r="I20" s="48" t="str">
        <x:v>内容定义完成，待地图/资源验收</x:v>
      </x:c>
    </x:row>
    <x:row r="21" ht="38" customHeight="1">
      <x:c r="A21" s="48" t="n">
        <x:v>14</x:v>
      </x:c>
      <x:c r="B21" s="48" t="n">
        <x:v>3</x:v>
      </x:c>
      <x:c r="C21" s="48" t="str">
        <x:v>M2</x:v>
      </x:c>
      <x:c r="D21" s="48" t="str">
        <x:v>密荷影</x:v>
      </x:c>
      <x:c r="E21" s="48" t="str">
        <x:v>刷怪</x:v>
      </x:c>
      <x:c r="F21" s="48" t="str">
        <x:v>支汊深处</x:v>
      </x:c>
      <x:c r="G21" s="48" t="str">
        <x:v>源区域全缺坐标，待实际地图注入</x:v>
      </x:c>
      <x:c r="H21" s="48" t="str">
        <x:v>区域可自由进入，任务不作硬准入</x:v>
      </x:c>
      <x:c r="I21" s="48" t="str">
        <x:v>内容定义完成，待地图/资源验收</x:v>
      </x:c>
    </x:row>
    <x:row r="22" ht="38" customHeight="1">
      <x:c r="A22" s="48" t="n">
        <x:v>15</x:v>
      </x:c>
      <x:c r="B22" s="48" t="n">
        <x:v>3</x:v>
      </x:c>
      <x:c r="C22" s="48" t="str">
        <x:v>M3</x:v>
      </x:c>
      <x:c r="D22" s="48" t="str">
        <x:v>末分石</x:v>
      </x:c>
      <x:c r="E22" s="48" t="str">
        <x:v>刷怪</x:v>
      </x:c>
      <x:c r="F22" s="48" t="str">
        <x:v>北缘消薄带</x:v>
      </x:c>
      <x:c r="G22" s="48" t="str">
        <x:v>源区域全缺坐标，待实际地图注入</x:v>
      </x:c>
      <x:c r="H22" s="48" t="str">
        <x:v>区域可自由进入，任务不作硬准入</x:v>
      </x:c>
      <x:c r="I22" s="48" t="str">
        <x:v>内容定义完成，待地图/资源验收</x:v>
      </x:c>
    </x:row>
    <x:row r="23" ht="38" customHeight="1">
      <x:c r="A23" s="48" t="n">
        <x:v>16</x:v>
      </x:c>
      <x:c r="B23" s="48" t="n">
        <x:v>3</x:v>
      </x:c>
      <x:c r="C23" s="48" t="str">
        <x:v>P1</x:v>
      </x:c>
      <x:c r="D23" s="48" t="str">
        <x:v>粉浪风</x:v>
      </x:c>
      <x:c r="E23" s="48" t="str">
        <x:v>灵植</x:v>
      </x:c>
      <x:c r="F23" s="48" t="str">
        <x:v>人烟带·**规模灵田**</x:v>
      </x:c>
      <x:c r="G23" s="48" t="str">
        <x:v>源区域全缺坐标，待实际地图注入</x:v>
      </x:c>
      <x:c r="H23" s="48" t="str">
        <x:v>区域可自由进入，任务不作硬准入</x:v>
      </x:c>
      <x:c r="I23" s="48" t="str">
        <x:v>内容定义完成，待地图/资源验收</x:v>
      </x:c>
    </x:row>
    <x:row r="24" ht="38" customHeight="1">
      <x:c r="A24" s="48" t="n">
        <x:v>17</x:v>
      </x:c>
      <x:c r="B24" s="48" t="n">
        <x:v>3</x:v>
      </x:c>
      <x:c r="C24" s="48" t="str">
        <x:v>P2</x:v>
      </x:c>
      <x:c r="D24" s="48" t="str">
        <x:v>漫莎台</x:v>
      </x:c>
      <x:c r="E24" s="48" t="str">
        <x:v>灵植</x:v>
      </x:c>
      <x:c r="F24" s="48" t="str">
        <x:v>支汊深处·低岛</x:v>
      </x:c>
      <x:c r="G24" s="48" t="str">
        <x:v>源区域全缺坐标，待实际地图注入</x:v>
      </x:c>
      <x:c r="H24" s="48" t="str">
        <x:v>区域可自由进入，任务不作硬准入</x:v>
      </x:c>
      <x:c r="I24" s="48" t="str">
        <x:v>内容定义完成，待地图/资源验收</x:v>
      </x:c>
    </x:row>
    <x:row r="25" ht="38" customHeight="1">
      <x:c r="A25" s="48" t="n">
        <x:v>18</x:v>
      </x:c>
      <x:c r="B25" s="48" t="n">
        <x:v>3</x:v>
      </x:c>
      <x:c r="C25" s="48" t="str">
        <x:v>S1</x:v>
      </x:c>
      <x:c r="D25" s="48" t="str">
        <x:v>匿汊口</x:v>
      </x:c>
      <x:c r="E25" s="48" t="str">
        <x:v>秘境</x:v>
      </x:c>
      <x:c r="F25" s="48" t="str">
        <x:v>支汊深处</x:v>
      </x:c>
      <x:c r="G25" s="48" t="str">
        <x:v>源区域全缺坐标，待实际地图注入</x:v>
      </x:c>
      <x:c r="H25" s="48" t="str">
        <x:v>区域可自由进入，任务不作硬准入</x:v>
      </x:c>
      <x:c r="I25" s="48" t="str">
        <x:v>内容定义完成，待地图/资源验收</x:v>
      </x:c>
    </x:row>
    <x:row r="26" ht="38" customHeight="1">
      <x:c r="A26" s="48" t="n">
        <x:v>19</x:v>
      </x:c>
      <x:c r="B26" s="48" t="n">
        <x:v>3</x:v>
      </x:c>
      <x:c r="C26" s="48" t="str">
        <x:v>S2</x:v>
      </x:c>
      <x:c r="D26" s="48" t="str">
        <x:v>砾藏岩</x:v>
      </x:c>
      <x:c r="E26" s="48" t="str">
        <x:v>秘境</x:v>
      </x:c>
      <x:c r="F26" s="48" t="str">
        <x:v>低岛下·砾质低岛</x:v>
      </x:c>
      <x:c r="G26" s="48" t="str">
        <x:v>源区域全缺坐标，待实际地图注入</x:v>
      </x:c>
      <x:c r="H26" s="48" t="str">
        <x:v>区域可自由进入，任务不作硬准入</x:v>
      </x:c>
      <x:c r="I26" s="48" t="str">
        <x:v>内容定义完成，待地图/资源验收</x:v>
      </x:c>
    </x:row>
    <x:row r="27" ht="38" customHeight="1">
      <x:c r="A27" s="48" t="n">
        <x:v>12</x:v>
      </x:c>
      <x:c r="B27" s="48" t="n">
        <x:v>3</x:v>
      </x:c>
      <x:c r="C27" s="48" t="str">
        <x:v>D1</x:v>
      </x:c>
      <x:c r="D27" s="48" t="str">
        <x:v>沉浊坡</x:v>
      </x:c>
      <x:c r="E27" s="48" t="str">
        <x:v>魔界</x:v>
      </x:c>
      <x:c r="F27" s="48" t="str">
        <x:v>北缘消薄带</x:v>
      </x:c>
      <x:c r="G27" s="48" t="str">
        <x:v>源区域全缺坐标，待实际地图注入</x:v>
      </x:c>
      <x:c r="H27" s="48" t="str">
        <x:v>区域可自由进入，任务不作硬准入</x:v>
      </x:c>
      <x:c r="I27" s="48" t="str">
        <x:v>内容定义完成，待地图/资源验收</x:v>
      </x:c>
    </x:row>
    <x:row r="28" ht="38" customHeight="1">
      <x:c r="A28" s="48" t="n">
        <x:v>11</x:v>
      </x:c>
      <x:c r="B28" s="48" t="n">
        <x:v>3</x:v>
      </x:c>
      <x:c r="C28" s="48" t="str">
        <x:v>N1</x:v>
      </x:c>
      <x:c r="D28" s="48" t="str">
        <x:v>汇歧渚</x:v>
      </x:c>
      <x:c r="E28" s="48" t="str">
        <x:v>剧情</x:v>
      </x:c>
      <x:c r="F28" s="48" t="str">
        <x:v>主分岔</x:v>
      </x:c>
      <x:c r="G28" s="48" t="str">
        <x:v>源区域全缺坐标，待实际地图注入</x:v>
      </x:c>
      <x:c r="H28" s="48" t="str">
        <x:v>区域可自由进入，任务不作硬准入</x:v>
      </x:c>
      <x:c r="I28" s="48" t="str">
        <x:v>内容定义完成，待地图/资源验收</x:v>
      </x:c>
    </x:row>
    <x:row r="29" ht="38" customHeight="1">
      <x:c r="A29" s="48" t="n">
        <x:v>22</x:v>
      </x:c>
      <x:c r="B29" s="48" t="n">
        <x:v>4</x:v>
      </x:c>
      <x:c r="C29" s="48" t="str">
        <x:v>M1</x:v>
      </x:c>
      <x:c r="D29" s="48" t="str">
        <x:v>砺赭坂</x:v>
      </x:c>
      <x:c r="E29" s="48" t="str">
        <x:v>刷怪</x:v>
      </x:c>
      <x:c r="F29" s="48" t="str">
        <x:v>②上坡·碎屑坡</x:v>
      </x:c>
      <x:c r="G29" s="48" t="str">
        <x:v>源区域全缺坐标，待实际地图注入</x:v>
      </x:c>
      <x:c r="H29" s="48" t="str">
        <x:v>R04全部可跳过</x:v>
      </x:c>
      <x:c r="I29" s="48" t="str">
        <x:v>内容定义完成，待地图/资源验收</x:v>
      </x:c>
    </x:row>
    <x:row r="30" ht="38" customHeight="1">
      <x:c r="A30" s="48" t="n">
        <x:v>23</x:v>
      </x:c>
      <x:c r="B30" s="48" t="n">
        <x:v>4</x:v>
      </x:c>
      <x:c r="C30" s="48" t="str">
        <x:v>M2</x:v>
      </x:c>
      <x:c r="D30" s="48" t="str">
        <x:v>铁色横侵</x:v>
      </x:c>
      <x:c r="E30" s="48" t="str">
        <x:v>刷怪</x:v>
      </x:c>
      <x:c r="F30" s="48" t="str">
        <x:v>③横移·暗铁断面</x:v>
      </x:c>
      <x:c r="G30" s="48" t="str">
        <x:v>源区域全缺坐标，待实际地图注入</x:v>
      </x:c>
      <x:c r="H30" s="48" t="str">
        <x:v>R04全部可跳过</x:v>
      </x:c>
      <x:c r="I30" s="48" t="str">
        <x:v>内容定义完成，待地图/资源验收</x:v>
      </x:c>
    </x:row>
    <x:row r="31" ht="38" customHeight="1">
      <x:c r="A31" s="48" t="n">
        <x:v>24</x:v>
      </x:c>
      <x:c r="B31" s="48" t="n">
        <x:v>4</x:v>
      </x:c>
      <x:c r="C31" s="48" t="str">
        <x:v>M3</x:v>
      </x:c>
      <x:c r="D31" s="48" t="str">
        <x:v>伏沟鸣石</x:v>
      </x:c>
      <x:c r="E31" s="48" t="str">
        <x:v>刷怪</x:v>
      </x:c>
      <x:c r="F31" s="48" t="str">
        <x:v>④短支沟下端</x:v>
      </x:c>
      <x:c r="G31" s="48" t="str">
        <x:v>源区域全缺坐标，待实际地图注入</x:v>
      </x:c>
      <x:c r="H31" s="48" t="str">
        <x:v>R04全部可跳过</x:v>
      </x:c>
      <x:c r="I31" s="48" t="str">
        <x:v>内容定义完成，待地图/资源验收</x:v>
      </x:c>
    </x:row>
    <x:row r="32" ht="38" customHeight="1">
      <x:c r="A32" s="48" t="n">
        <x:v>25</x:v>
      </x:c>
      <x:c r="B32" s="48" t="n">
        <x:v>4</x:v>
      </x:c>
      <x:c r="C32" s="48" t="str">
        <x:v>P1</x:v>
      </x:c>
      <x:c r="D32" s="48" t="str">
        <x:v>褐苔含润</x:v>
      </x:c>
      <x:c r="E32" s="48" t="str">
        <x:v>灵植</x:v>
      </x:c>
      <x:c r="F32" s="48" t="str">
        <x:v>①南口横出·局部湿苔</x:v>
      </x:c>
      <x:c r="G32" s="48" t="str">
        <x:v>源区域全缺坐标，待实际地图注入</x:v>
      </x:c>
      <x:c r="H32" s="48" t="str">
        <x:v>R04全部可跳过</x:v>
      </x:c>
      <x:c r="I32" s="48" t="str">
        <x:v>内容定义完成，待地图/资源验收</x:v>
      </x:c>
    </x:row>
    <x:row r="33" ht="38" customHeight="1">
      <x:c r="A33" s="48" t="n">
        <x:v>26</x:v>
      </x:c>
      <x:c r="B33" s="48" t="n">
        <x:v>4</x:v>
      </x:c>
      <x:c r="C33" s="48" t="str">
        <x:v>P2</x:v>
      </x:c>
      <x:c r="D33" s="48" t="str">
        <x:v>肩生瘠芽</x:v>
      </x:c>
      <x:c r="E33" s="48" t="str">
        <x:v>灵植</x:v>
      </x:c>
      <x:c r="F33" s="48" t="str">
        <x:v>②上坡·贫瘠薄土</x:v>
      </x:c>
      <x:c r="G33" s="48" t="str">
        <x:v>源区域全缺坐标，待实际地图注入</x:v>
      </x:c>
      <x:c r="H33" s="48" t="str">
        <x:v>R04全部可跳过</x:v>
      </x:c>
      <x:c r="I33" s="48" t="str">
        <x:v>内容定义完成，待地图/资源验收</x:v>
      </x:c>
    </x:row>
    <x:row r="34" ht="38" customHeight="1">
      <x:c r="A34" s="48" t="n">
        <x:v>27</x:v>
      </x:c>
      <x:c r="B34" s="48" t="n">
        <x:v>4</x:v>
      </x:c>
      <x:c r="C34" s="48" t="str">
        <x:v>S1</x:v>
      </x:c>
      <x:c r="D34" s="48" t="str">
        <x:v>岩腹潜龛</x:v>
      </x:c>
      <x:c r="E34" s="48" t="str">
        <x:v>秘境</x:v>
      </x:c>
      <x:c r="F34" s="48" t="str">
        <x:v>③横移·暗铁断面旁浅腔</x:v>
      </x:c>
      <x:c r="G34" s="48" t="str">
        <x:v>源区域全缺坐标，待实际地图注入</x:v>
      </x:c>
      <x:c r="H34" s="48" t="str">
        <x:v>R04全部可跳过</x:v>
      </x:c>
      <x:c r="I34" s="48" t="str">
        <x:v>内容定义完成，待地图/资源验收</x:v>
      </x:c>
    </x:row>
    <x:row r="35" ht="38" customHeight="1">
      <x:c r="A35" s="48" t="n">
        <x:v>28</x:v>
      </x:c>
      <x:c r="B35" s="48" t="n">
        <x:v>4</x:v>
      </x:c>
      <x:c r="C35" s="48" t="str">
        <x:v>S2</x:v>
      </x:c>
      <x:c r="D35" s="48" t="str">
        <x:v>水息留痕</x:v>
      </x:c>
      <x:c r="E35" s="48" t="str">
        <x:v>秘境</x:v>
      </x:c>
      <x:c r="F35" s="48" t="str">
        <x:v>④短支沟下端</x:v>
      </x:c>
      <x:c r="G35" s="48" t="str">
        <x:v>源区域全缺坐标，待实际地图注入</x:v>
      </x:c>
      <x:c r="H35" s="48" t="str">
        <x:v>R04全部可跳过</x:v>
      </x:c>
      <x:c r="I35" s="48" t="str">
        <x:v>内容定义完成，待地图/资源验收</x:v>
      </x:c>
    </x:row>
    <x:row r="36" ht="38" customHeight="1">
      <x:c r="A36" s="48" t="n">
        <x:v>21</x:v>
      </x:c>
      <x:c r="B36" s="48" t="n">
        <x:v>4</x:v>
      </x:c>
      <x:c r="C36" s="48" t="str">
        <x:v>D1</x:v>
      </x:c>
      <x:c r="D36" s="48" t="str">
        <x:v>风背余晦</x:v>
      </x:c>
      <x:c r="E36" s="48" t="str">
        <x:v>魔界</x:v>
      </x:c>
      <x:c r="F36" s="48" t="str">
        <x:v>④背风微凹</x:v>
      </x:c>
      <x:c r="G36" s="48" t="str">
        <x:v>源区域全缺坐标，待实际地图注入</x:v>
      </x:c>
      <x:c r="H36" s="48" t="str">
        <x:v>R04全部可跳过</x:v>
      </x:c>
      <x:c r="I36" s="48" t="str">
        <x:v>内容定义完成，待地图/资源验收</x:v>
      </x:c>
    </x:row>
    <x:row r="37" ht="38" customHeight="1">
      <x:c r="A37" s="48" t="n">
        <x:v>20</x:v>
      </x:c>
      <x:c r="B37" s="48" t="n">
        <x:v>4</x:v>
      </x:c>
      <x:c r="C37" s="48" t="str">
        <x:v>N1</x:v>
      </x:c>
      <x:c r="D37" s="48" t="str">
        <x:v>岔坡</x:v>
      </x:c>
      <x:c r="E37" s="48" t="str">
        <x:v>剧情</x:v>
      </x:c>
      <x:c r="F37" s="48" t="str">
        <x:v>③横移</x:v>
      </x:c>
      <x:c r="G37" s="48" t="str">
        <x:v>源区域全缺坐标，待实际地图注入</x:v>
      </x:c>
      <x:c r="H37" s="48" t="str">
        <x:v>R04全部可跳过</x:v>
      </x:c>
      <x:c r="I37" s="48" t="str">
        <x:v>内容定义完成，待地图/资源验收</x:v>
      </x:c>
    </x:row>
    <x:row r="38" ht="38" customHeight="1">
      <x:c r="A38" s="48" t="n">
        <x:v>30</x:v>
      </x:c>
      <x:c r="B38" s="48" t="n">
        <x:v>5</x:v>
      </x:c>
      <x:c r="C38" s="48" t="str">
        <x:v>M1</x:v>
      </x:c>
      <x:c r="D38" s="48" t="str">
        <x:v>泻砾堑</x:v>
      </x:c>
      <x:c r="E38" s="48" t="str">
        <x:v>刷怪</x:v>
      </x:c>
      <x:c r="F38" s="48" t="str">
        <x:v>②下探·碎屑滑坠</x:v>
      </x:c>
      <x:c r="G38" s="48" t="str">
        <x:v>源区域全缺坐标，待实际地图注入</x:v>
      </x:c>
      <x:c r="H38" s="48" t="str">
        <x:v>区域可自由进入，任务不作硬准入</x:v>
      </x:c>
      <x:c r="I38" s="48" t="str">
        <x:v>内容定义完成，待地图/资源验收</x:v>
      </x:c>
    </x:row>
    <x:row r="39" ht="38" customHeight="1">
      <x:c r="A39" s="48" t="n">
        <x:v>31</x:v>
      </x:c>
      <x:c r="B39" s="48" t="n">
        <x:v>5</x:v>
      </x:c>
      <x:c r="C39" s="48" t="str">
        <x:v>M2</x:v>
      </x:c>
      <x:c r="D39" s="48" t="str">
        <x:v>幽崩谷</x:v>
      </x:c>
      <x:c r="E39" s="48" t="str">
        <x:v>刷怪</x:v>
      </x:c>
      <x:c r="F39" s="48" t="str">
        <x:v>③谷底</x:v>
      </x:c>
      <x:c r="G39" s="48" t="str">
        <x:v>源区域全缺坐标，待实际地图注入</x:v>
      </x:c>
      <x:c r="H39" s="48" t="str">
        <x:v>区域可自由进入，任务不作硬准入</x:v>
      </x:c>
      <x:c r="I39" s="48" t="str">
        <x:v>内容定义完成，待地图/资源验收</x:v>
      </x:c>
    </x:row>
    <x:row r="40" ht="38" customHeight="1">
      <x:c r="A40" s="48" t="n">
        <x:v>32</x:v>
      </x:c>
      <x:c r="B40" s="48" t="n">
        <x:v>5</x:v>
      </x:c>
      <x:c r="C40" s="48" t="str">
        <x:v>M3</x:v>
      </x:c>
      <x:c r="D40" s="48" t="str">
        <x:v>截风坡</x:v>
      </x:c>
      <x:c r="E40" s="48" t="str">
        <x:v>刷怪</x:v>
      </x:c>
      <x:c r="F40" s="48" t="str">
        <x:v>④横移</x:v>
      </x:c>
      <x:c r="G40" s="48" t="str">
        <x:v>源区域全缺坐标，待实际地图注入</x:v>
      </x:c>
      <x:c r="H40" s="48" t="str">
        <x:v>区域可自由进入，任务不作硬准入</x:v>
      </x:c>
      <x:c r="I40" s="48" t="str">
        <x:v>内容定义完成，待地图/资源验收</x:v>
      </x:c>
    </x:row>
    <x:row r="41" ht="38" customHeight="1">
      <x:c r="A41" s="48" t="n">
        <x:v>33</x:v>
      </x:c>
      <x:c r="B41" s="48" t="n">
        <x:v>5</x:v>
      </x:c>
      <x:c r="C41" s="48" t="str">
        <x:v>P1</x:v>
      </x:c>
      <x:c r="D41" s="48" t="str">
        <x:v>隙光苔</x:v>
      </x:c>
      <x:c r="E41" s="48" t="str">
        <x:v>灵植</x:v>
      </x:c>
      <x:c r="F41" s="48" t="str">
        <x:v>③谷底裂隙</x:v>
      </x:c>
      <x:c r="G41" s="48" t="str">
        <x:v>源区域全缺坐标，待实际地图注入</x:v>
      </x:c>
      <x:c r="H41" s="48" t="str">
        <x:v>区域可自由进入，任务不作硬准入</x:v>
      </x:c>
      <x:c r="I41" s="48" t="str">
        <x:v>内容定义完成，待地图/资源验收</x:v>
      </x:c>
    </x:row>
    <x:row r="42" ht="38" customHeight="1">
      <x:c r="A42" s="48" t="n">
        <x:v>34</x:v>
      </x:c>
      <x:c r="B42" s="48" t="n">
        <x:v>5</x:v>
      </x:c>
      <x:c r="C42" s="48" t="str">
        <x:v>P2</x:v>
      </x:c>
      <x:c r="D42" s="48" t="str">
        <x:v>浸岩菖</x:v>
      </x:c>
      <x:c r="E42" s="48" t="str">
        <x:v>灵植</x:v>
      </x:c>
      <x:c r="F42" s="48" t="str">
        <x:v>②／④渗水线</x:v>
      </x:c>
      <x:c r="G42" s="48" t="str">
        <x:v>源区域全缺坐标，待实际地图注入</x:v>
      </x:c>
      <x:c r="H42" s="48" t="str">
        <x:v>区域可自由进入，任务不作硬准入</x:v>
      </x:c>
      <x:c r="I42" s="48" t="str">
        <x:v>内容定义完成，待地图/资源验收</x:v>
      </x:c>
    </x:row>
    <x:row r="43" ht="38" customHeight="1">
      <x:c r="A43" s="48" t="n">
        <x:v>35</x:v>
      </x:c>
      <x:c r="B43" s="48" t="n">
        <x:v>5</x:v>
      </x:c>
      <x:c r="C43" s="48" t="str">
        <x:v>S1</x:v>
      </x:c>
      <x:c r="D43" s="48" t="str">
        <x:v>裂口</x:v>
      </x:c>
      <x:c r="E43" s="48" t="str">
        <x:v>秘境</x:v>
      </x:c>
      <x:c r="F43" s="48" t="str">
        <x:v>③／④</x:v>
      </x:c>
      <x:c r="G43" s="48" t="str">
        <x:v>源区域全缺坐标，待实际地图注入</x:v>
      </x:c>
      <x:c r="H43" s="48" t="str">
        <x:v>区域可自由进入，任务不作硬准入</x:v>
      </x:c>
      <x:c r="I43" s="48" t="str">
        <x:v>内容定义完成，待地图/资源验收</x:v>
      </x:c>
    </x:row>
    <x:row r="44" ht="38" customHeight="1">
      <x:c r="A44" s="48" t="n">
        <x:v>36</x:v>
      </x:c>
      <x:c r="B44" s="48" t="n">
        <x:v>5</x:v>
      </x:c>
      <x:c r="C44" s="48" t="str">
        <x:v>S2</x:v>
      </x:c>
      <x:c r="D44" s="48" t="str">
        <x:v>承影</x:v>
      </x:c>
      <x:c r="E44" s="48" t="str">
        <x:v>秘境</x:v>
      </x:c>
      <x:c r="F44" s="48" t="str">
        <x:v>①谷肩·H1-R05 嵌槽</x:v>
      </x:c>
      <x:c r="G44" s="48" t="str">
        <x:v>源区域全缺坐标，待实际地图注入</x:v>
      </x:c>
      <x:c r="H44" s="48" t="str">
        <x:v>区域可自由进入，任务不作硬准入</x:v>
      </x:c>
      <x:c r="I44" s="48" t="str">
        <x:v>内容定义完成，待地图/资源验收</x:v>
      </x:c>
    </x:row>
    <x:row r="45" ht="38" customHeight="1">
      <x:c r="A45" s="48" t="n">
        <x:v>37</x:v>
      </x:c>
      <x:c r="B45" s="48" t="n">
        <x:v>5</x:v>
      </x:c>
      <x:c r="C45" s="48" t="str">
        <x:v>D1</x:v>
      </x:c>
      <x:c r="D45" s="48" t="str">
        <x:v>壅浊石</x:v>
      </x:c>
      <x:c r="E45" s="48" t="str">
        <x:v>魔界</x:v>
      </x:c>
      <x:c r="F45" s="48" t="str">
        <x:v>③谷底</x:v>
      </x:c>
      <x:c r="G45" s="48" t="str">
        <x:v>源区域全缺坐标，待实际地图注入</x:v>
      </x:c>
      <x:c r="H45" s="48" t="str">
        <x:v>区域可自由进入，任务不作硬准入</x:v>
      </x:c>
      <x:c r="I45" s="48" t="str">
        <x:v>内容定义完成，待地图/资源验收</x:v>
      </x:c>
    </x:row>
    <x:row r="46" ht="38" customHeight="1">
      <x:c r="A46" s="48" t="n">
        <x:v>29</x:v>
      </x:c>
      <x:c r="B46" s="48" t="n">
        <x:v>5</x:v>
      </x:c>
      <x:c r="C46" s="48" t="str">
        <x:v>N1</x:v>
      </x:c>
      <x:c r="D46" s="48" t="str">
        <x:v>断墙</x:v>
      </x:c>
      <x:c r="E46" s="48" t="str">
        <x:v>剧情</x:v>
      </x:c>
      <x:c r="F46" s="48" t="str">
        <x:v>①抵达谷肩</x:v>
      </x:c>
      <x:c r="G46" s="48" t="str">
        <x:v>源区域全缺坐标，待实际地图注入</x:v>
      </x:c>
      <x:c r="H46" s="48" t="str">
        <x:v>区域可自由进入，任务不作硬准入</x:v>
      </x:c>
      <x:c r="I46" s="48" t="str">
        <x:v>内容定义完成，待地图/资源验收</x:v>
      </x:c>
    </x:row>
    <x:row r="47" ht="38" customHeight="1">
      <x:c r="A47" s="48" t="n">
        <x:v>39</x:v>
      </x:c>
      <x:c r="B47" s="48" t="n">
        <x:v>6</x:v>
      </x:c>
      <x:c r="C47" s="48" t="str">
        <x:v>M1</x:v>
      </x:c>
      <x:c r="D47" s="48" t="str">
        <x:v>沉岚</x:v>
      </x:c>
      <x:c r="E47" s="48" t="str">
        <x:v>刷怪</x:v>
      </x:c>
      <x:c r="F47" s="48" t="str">
        <x:v>①雾中抵达</x:v>
      </x:c>
      <x:c r="G47" s="48" t="str">
        <x:v>源区域全缺坐标，待实际地图注入</x:v>
      </x:c>
      <x:c r="H47" s="48" t="str">
        <x:v>区域可自由进入，任务不作硬准入</x:v>
      </x:c>
      <x:c r="I47" s="48" t="str">
        <x:v>内容定义完成，待地图/资源验收</x:v>
      </x:c>
    </x:row>
    <x:row r="48" ht="38" customHeight="1">
      <x:c r="A48" s="48" t="n">
        <x:v>40</x:v>
      </x:c>
      <x:c r="B48" s="48" t="n">
        <x:v>6</x:v>
      </x:c>
      <x:c r="C48" s="48" t="str">
        <x:v>M2</x:v>
      </x:c>
      <x:c r="D48" s="48" t="str">
        <x:v>悬晖</x:v>
      </x:c>
      <x:c r="E48" s="48" t="str">
        <x:v>刷怪</x:v>
      </x:c>
      <x:c r="F48" s="48" t="str">
        <x:v>③雾窗边缘</x:v>
      </x:c>
      <x:c r="G48" s="48" t="str">
        <x:v>源区域全缺坐标，待实际地图注入</x:v>
      </x:c>
      <x:c r="H48" s="48" t="str">
        <x:v>区域可自由进入，任务不作硬准入</x:v>
      </x:c>
      <x:c r="I48" s="48" t="str">
        <x:v>内容定义完成，待地图/资源验收</x:v>
      </x:c>
    </x:row>
    <x:row r="49" ht="38" customHeight="1">
      <x:c r="A49" s="48" t="n">
        <x:v>41</x:v>
      </x:c>
      <x:c r="B49" s="48" t="n">
        <x:v>6</x:v>
      </x:c>
      <x:c r="C49" s="48" t="str">
        <x:v>M3</x:v>
      </x:c>
      <x:c r="D49" s="48" t="str">
        <x:v>隐翳</x:v>
      </x:c>
      <x:c r="E49" s="48" t="str">
        <x:v>刷怪</x:v>
      </x:c>
      <x:c r="F49" s="48" t="str">
        <x:v>④深处暗角</x:v>
      </x:c>
      <x:c r="G49" s="48" t="str">
        <x:v>源区域全缺坐标，待实际地图注入</x:v>
      </x:c>
      <x:c r="H49" s="48" t="str">
        <x:v>区域可自由进入，任务不作硬准入</x:v>
      </x:c>
      <x:c r="I49" s="48" t="str">
        <x:v>内容定义完成，待地图/资源验收</x:v>
      </x:c>
    </x:row>
    <x:row r="50" ht="38" customHeight="1">
      <x:c r="A50" s="48" t="n">
        <x:v>42</x:v>
      </x:c>
      <x:c r="B50" s="48" t="n">
        <x:v>6</x:v>
      </x:c>
      <x:c r="C50" s="48" t="str">
        <x:v>P1</x:v>
      </x:c>
      <x:c r="D50" s="48" t="str">
        <x:v>云根露</x:v>
      </x:c>
      <x:c r="E50" s="48" t="str">
        <x:v>灵植</x:v>
      </x:c>
      <x:c r="F50" s="48" t="str">
        <x:v>②台缘排泄处</x:v>
      </x:c>
      <x:c r="G50" s="48" t="str">
        <x:v>源区域全缺坐标，待实际地图注入</x:v>
      </x:c>
      <x:c r="H50" s="48" t="str">
        <x:v>区域可自由进入，任务不作硬准入</x:v>
      </x:c>
      <x:c r="I50" s="48" t="str">
        <x:v>内容定义完成，待地图/资源验收</x:v>
      </x:c>
    </x:row>
    <x:row r="51" ht="38" customHeight="1">
      <x:c r="A51" s="48" t="n">
        <x:v>43</x:v>
      </x:c>
      <x:c r="B51" s="48" t="n">
        <x:v>6</x:v>
      </x:c>
      <x:c r="C51" s="48" t="str">
        <x:v>P2</x:v>
      </x:c>
      <x:c r="D51" s="48" t="str">
        <x:v>风痕苔生</x:v>
      </x:c>
      <x:c r="E51" s="48" t="str">
        <x:v>灵植</x:v>
      </x:c>
      <x:c r="F51" s="48" t="str">
        <x:v>⑤雾线全程</x:v>
      </x:c>
      <x:c r="G51" s="48" t="str">
        <x:v>源区域全缺坐标，待实际地图注入</x:v>
      </x:c>
      <x:c r="H51" s="48" t="str">
        <x:v>区域可自由进入，任务不作硬准入</x:v>
      </x:c>
      <x:c r="I51" s="48" t="str">
        <x:v>内容定义完成，待地图/资源验收</x:v>
      </x:c>
    </x:row>
    <x:row r="52" ht="38" customHeight="1">
      <x:c r="A52" s="48" t="n">
        <x:v>44</x:v>
      </x:c>
      <x:c r="B52" s="48" t="n">
        <x:v>6</x:v>
      </x:c>
      <x:c r="C52" s="48" t="str">
        <x:v>S1</x:v>
      </x:c>
      <x:c r="D52" s="48" t="str">
        <x:v>涓台窦</x:v>
      </x:c>
      <x:c r="E52" s="48" t="str">
        <x:v>秘境</x:v>
      </x:c>
      <x:c r="F52" s="48" t="str">
        <x:v>②台缘揭示</x:v>
      </x:c>
      <x:c r="G52" s="48" t="str">
        <x:v>源区域全缺坐标，待实际地图注入</x:v>
      </x:c>
      <x:c r="H52" s="48" t="str">
        <x:v>区域可自由进入，任务不作硬准入</x:v>
      </x:c>
      <x:c r="I52" s="48" t="str">
        <x:v>内容定义完成，待地图/资源验收</x:v>
      </x:c>
    </x:row>
    <x:row r="53" ht="38" customHeight="1">
      <x:c r="A53" s="48" t="n">
        <x:v>45</x:v>
      </x:c>
      <x:c r="B53" s="48" t="n">
        <x:v>6</x:v>
      </x:c>
      <x:c r="C53" s="48" t="str">
        <x:v>S2</x:v>
      </x:c>
      <x:c r="D53" s="48" t="str">
        <x:v>孔收暮影</x:v>
      </x:c>
      <x:c r="E53" s="48" t="str">
        <x:v>秘境</x:v>
      </x:c>
      <x:c r="F53" s="48" t="str">
        <x:v>④深处暗角</x:v>
      </x:c>
      <x:c r="G53" s="48" t="str">
        <x:v>源区域全缺坐标，待实际地图注入</x:v>
      </x:c>
      <x:c r="H53" s="48" t="str">
        <x:v>区域可自由进入，任务不作硬准入</x:v>
      </x:c>
      <x:c r="I53" s="48" t="str">
        <x:v>内容定义完成，待地图/资源验收</x:v>
      </x:c>
    </x:row>
    <x:row r="54" ht="38" customHeight="1">
      <x:c r="A54" s="48" t="n">
        <x:v>46</x:v>
      </x:c>
      <x:c r="B54" s="48" t="n">
        <x:v>6</x:v>
      </x:c>
      <x:c r="C54" s="48" t="str">
        <x:v>D1</x:v>
      </x:c>
      <x:c r="D54" s="48" t="str">
        <x:v>雾黯岩</x:v>
      </x:c>
      <x:c r="E54" s="48" t="str">
        <x:v>魔界</x:v>
      </x:c>
      <x:c r="F54" s="48" t="str">
        <x:v>④深处暗角</x:v>
      </x:c>
      <x:c r="G54" s="48" t="str">
        <x:v>源区域全缺坐标，待实际地图注入</x:v>
      </x:c>
      <x:c r="H54" s="48" t="str">
        <x:v>区域可自由进入，任务不作硬准入</x:v>
      </x:c>
      <x:c r="I54" s="48" t="str">
        <x:v>内容定义完成，待地图/资源验收</x:v>
      </x:c>
    </x:row>
    <x:row r="55" ht="38" customHeight="1">
      <x:c r="A55" s="48" t="n">
        <x:v>38</x:v>
      </x:c>
      <x:c r="B55" s="48" t="n">
        <x:v>6</x:v>
      </x:c>
      <x:c r="C55" s="48" t="str">
        <x:v>N1</x:v>
      </x:c>
      <x:c r="D55" s="48" t="str">
        <x:v>石息</x:v>
      </x:c>
      <x:c r="E55" s="48" t="str">
        <x:v>剧情</x:v>
      </x:c>
      <x:c r="F55" s="48" t="str">
        <x:v>②台缘</x:v>
      </x:c>
      <x:c r="G55" s="48" t="str">
        <x:v>源区域全缺坐标，待实际地图注入</x:v>
      </x:c>
      <x:c r="H55" s="48" t="str">
        <x:v>区域可自由进入，任务不作硬准入</x:v>
      </x:c>
      <x:c r="I55" s="48" t="str">
        <x:v>内容定义完成，待地图/资源验收</x:v>
      </x:c>
    </x:row>
    <x:row r="56" ht="38" customHeight="1">
      <x:c r="A56" s="48" t="n">
        <x:v>48</x:v>
      </x:c>
      <x:c r="B56" s="48" t="n">
        <x:v>7</x:v>
      </x:c>
      <x:c r="C56" s="48" t="str">
        <x:v>M1</x:v>
      </x:c>
      <x:c r="D56" s="48" t="str">
        <x:v>雪檐古兽</x:v>
      </x:c>
      <x:c r="E56" s="48" t="str">
        <x:v>刷怪</x:v>
      </x:c>
      <x:c r="F56" s="48" t="str">
        <x:v>①鞍脊</x:v>
      </x:c>
      <x:c r="G56" s="48" t="str">
        <x:v>源区域全缺坐标，待实际地图注入</x:v>
      </x:c>
      <x:c r="H56" s="48" t="str">
        <x:v>区域可自由进入，任务不作硬准入</x:v>
      </x:c>
      <x:c r="I56" s="48" t="str">
        <x:v>内容定义完成，待地图/资源验收</x:v>
      </x:c>
    </x:row>
    <x:row r="57" ht="38" customHeight="1">
      <x:c r="A57" s="48" t="n">
        <x:v>49</x:v>
      </x:c>
      <x:c r="B57" s="48" t="n">
        <x:v>7</x:v>
      </x:c>
      <x:c r="C57" s="48" t="str">
        <x:v>M2</x:v>
      </x:c>
      <x:c r="D57" s="48" t="str">
        <x:v>霰砾坡</x:v>
      </x:c>
      <x:c r="E57" s="48" t="str">
        <x:v>刷怪</x:v>
      </x:c>
      <x:c r="F57" s="48" t="str">
        <x:v>③沿脊撤离</x:v>
      </x:c>
      <x:c r="G57" s="48" t="str">
        <x:v>源区域全缺坐标，待实际地图注入</x:v>
      </x:c>
      <x:c r="H57" s="48" t="str">
        <x:v>区域可自由进入，任务不作硬准入</x:v>
      </x:c>
      <x:c r="I57" s="48" t="str">
        <x:v>内容定义完成，待地图/资源验收</x:v>
      </x:c>
    </x:row>
    <x:row r="58" ht="38" customHeight="1">
      <x:c r="A58" s="48" t="n">
        <x:v>50</x:v>
      </x:c>
      <x:c r="B58" s="48" t="n">
        <x:v>7</x:v>
      </x:c>
      <x:c r="C58" s="48" t="str">
        <x:v>M3</x:v>
      </x:c>
      <x:c r="D58" s="48" t="str">
        <x:v>融口初声</x:v>
      </x:c>
      <x:c r="E58" s="48" t="str">
        <x:v>刷怪</x:v>
      </x:c>
      <x:c r="F58" s="48" t="str">
        <x:v>②融雪口</x:v>
      </x:c>
      <x:c r="G58" s="48" t="str">
        <x:v>源区域全缺坐标，待实际地图注入</x:v>
      </x:c>
      <x:c r="H58" s="48" t="str">
        <x:v>区域可自由进入，任务不作硬准入</x:v>
      </x:c>
      <x:c r="I58" s="48" t="str">
        <x:v>内容定义完成，待地图/资源验收</x:v>
      </x:c>
    </x:row>
    <x:row r="59" ht="38" customHeight="1">
      <x:c r="A59" s="48" t="n">
        <x:v>51</x:v>
      </x:c>
      <x:c r="B59" s="48" t="n">
        <x:v>7</x:v>
      </x:c>
      <x:c r="C59" s="48" t="str">
        <x:v>P1</x:v>
      </x:c>
      <x:c r="D59" s="48" t="str">
        <x:v>凇覆苔痕</x:v>
      </x:c>
      <x:c r="E59" s="48" t="str">
        <x:v>灵植</x:v>
      </x:c>
      <x:c r="F59" s="48" t="str">
        <x:v>①雪凹</x:v>
      </x:c>
      <x:c r="G59" s="48" t="str">
        <x:v>源区域全缺坐标，待实际地图注入</x:v>
      </x:c>
      <x:c r="H59" s="48" t="str">
        <x:v>区域可自由进入，任务不作硬准入</x:v>
      </x:c>
      <x:c r="I59" s="48" t="str">
        <x:v>内容定义完成，待地图/资源验收</x:v>
      </x:c>
    </x:row>
    <x:row r="60" ht="38" customHeight="1">
      <x:c r="A60" s="48" t="n">
        <x:v>52</x:v>
      </x:c>
      <x:c r="B60" s="48" t="n">
        <x:v>7</x:v>
      </x:c>
      <x:c r="C60" s="48" t="str">
        <x:v>P2</x:v>
      </x:c>
      <x:c r="D60" s="48" t="str">
        <x:v>寒水迟芽</x:v>
      </x:c>
      <x:c r="E60" s="48" t="str">
        <x:v>灵植</x:v>
      </x:c>
      <x:c r="F60" s="48" t="str">
        <x:v>②融雪短流旁</x:v>
      </x:c>
      <x:c r="G60" s="48" t="str">
        <x:v>源区域全缺坐标，待实际地图注入</x:v>
      </x:c>
      <x:c r="H60" s="48" t="str">
        <x:v>区域可自由进入，任务不作硬准入</x:v>
      </x:c>
      <x:c r="I60" s="48" t="str">
        <x:v>内容定义完成，待地图/资源验收</x:v>
      </x:c>
    </x:row>
    <x:row r="61" ht="38" customHeight="1">
      <x:c r="A61" s="48" t="n">
        <x:v>53</x:v>
      </x:c>
      <x:c r="B61" s="48" t="n">
        <x:v>7</x:v>
      </x:c>
      <x:c r="C61" s="48" t="str">
        <x:v>S1</x:v>
      </x:c>
      <x:c r="D61" s="48" t="str">
        <x:v>鞍窍</x:v>
      </x:c>
      <x:c r="E61" s="48" t="str">
        <x:v>秘境</x:v>
      </x:c>
      <x:c r="F61" s="48" t="str">
        <x:v>④秘境上下层</x:v>
      </x:c>
      <x:c r="G61" s="48" t="str">
        <x:v>源区域全缺坐标，待实际地图注入</x:v>
      </x:c>
      <x:c r="H61" s="48" t="str">
        <x:v>区域可自由进入，任务不作硬准入</x:v>
      </x:c>
      <x:c r="I61" s="48" t="str">
        <x:v>内容定义完成，待地图/资源验收</x:v>
      </x:c>
    </x:row>
    <x:row r="62" ht="38" customHeight="1">
      <x:c r="A62" s="48" t="n">
        <x:v>54</x:v>
      </x:c>
      <x:c r="B62" s="48" t="n">
        <x:v>7</x:v>
      </x:c>
      <x:c r="C62" s="48" t="str">
        <x:v>S2</x:v>
      </x:c>
      <x:c r="D62" s="48" t="str">
        <x:v>霁台</x:v>
      </x:c>
      <x:c r="E62" s="48" t="str">
        <x:v>秘境</x:v>
      </x:c>
      <x:c r="F62" s="48" t="str">
        <x:v>②融雪口远望</x:v>
      </x:c>
      <x:c r="G62" s="48" t="str">
        <x:v>源区域全缺坐标，待实际地图注入</x:v>
      </x:c>
      <x:c r="H62" s="48" t="str">
        <x:v>区域可自由进入，任务不作硬准入</x:v>
      </x:c>
      <x:c r="I62" s="48" t="str">
        <x:v>内容定义完成，待地图/资源验收</x:v>
      </x:c>
    </x:row>
    <x:row r="63" ht="38" customHeight="1">
      <x:c r="A63" s="48" t="n">
        <x:v>55</x:v>
      </x:c>
      <x:c r="B63" s="48" t="n">
        <x:v>7</x:v>
      </x:c>
      <x:c r="C63" s="48" t="str">
        <x:v>D1</x:v>
      </x:c>
      <x:c r="D63" s="48" t="str">
        <x:v>脊阴</x:v>
      </x:c>
      <x:c r="E63" s="48" t="str">
        <x:v>魔界</x:v>
      </x:c>
      <x:c r="F63" s="48" t="str">
        <x:v>④</x:v>
      </x:c>
      <x:c r="G63" s="48" t="str">
        <x:v>源区域全缺坐标，待实际地图注入</x:v>
      </x:c>
      <x:c r="H63" s="48" t="str">
        <x:v>区域可自由进入，任务不作硬准入</x:v>
      </x:c>
      <x:c r="I63" s="48" t="str">
        <x:v>内容定义完成，待地图/资源验收</x:v>
      </x:c>
    </x:row>
    <x:row r="64" ht="38" customHeight="1">
      <x:c r="A64" s="48" t="n">
        <x:v>47</x:v>
      </x:c>
      <x:c r="B64" s="48" t="n">
        <x:v>7</x:v>
      </x:c>
      <x:c r="C64" s="48" t="str">
        <x:v>N1</x:v>
      </x:c>
      <x:c r="D64" s="48" t="str">
        <x:v>风候</x:v>
      </x:c>
      <x:c r="E64" s="48" t="str">
        <x:v>剧情</x:v>
      </x:c>
      <x:c r="F64" s="48" t="str">
        <x:v>①鞍脊初见</x:v>
      </x:c>
      <x:c r="G64" s="48" t="str">
        <x:v>源区域全缺坐标，待实际地图注入</x:v>
      </x:c>
      <x:c r="H64" s="48" t="str">
        <x:v>区域可自由进入，任务不作硬准入</x:v>
      </x:c>
      <x:c r="I64" s="48" t="str">
        <x:v>内容定义完成，待地图/资源验收</x:v>
      </x:c>
    </x:row>
    <x:row r="65" ht="38" customHeight="1">
      <x:c r="A65" s="48" t="n">
        <x:v>57</x:v>
      </x:c>
      <x:c r="B65" s="48" t="n">
        <x:v>8</x:v>
      </x:c>
      <x:c r="C65" s="48" t="str">
        <x:v>M1</x:v>
      </x:c>
      <x:c r="D65" s="48" t="str">
        <x:v>凛冽坡</x:v>
      </x:c>
      <x:c r="E65" s="48" t="str">
        <x:v>刷怪</x:v>
      </x:c>
      <x:c r="F65" s="48" t="str">
        <x:v>①登顶段</x:v>
      </x:c>
      <x:c r="G65" s="48" t="str">
        <x:v>源区域全缺坐标，待实际地图注入</x:v>
      </x:c>
      <x:c r="H65" s="48" t="str">
        <x:v>区域可自由进入，任务不作硬准入</x:v>
      </x:c>
      <x:c r="I65" s="48" t="str">
        <x:v>R08只临时一次性遭遇</x:v>
      </x:c>
    </x:row>
    <x:row r="66" ht="38" customHeight="1">
      <x:c r="A66" s="48" t="n">
        <x:v>58</x:v>
      </x:c>
      <x:c r="B66" s="48" t="n">
        <x:v>8</x:v>
      </x:c>
      <x:c r="C66" s="48" t="str">
        <x:v>M2</x:v>
      </x:c>
      <x:c r="D66" s="48" t="str">
        <x:v>虚浮台</x:v>
      </x:c>
      <x:c r="E66" s="48" t="str">
        <x:v>刷怪</x:v>
      </x:c>
      <x:c r="F66" s="48" t="str">
        <x:v>②峰顶平台·浮岩</x:v>
      </x:c>
      <x:c r="G66" s="48" t="str">
        <x:v>源区域全缺坐标，待实际地图注入</x:v>
      </x:c>
      <x:c r="H66" s="48" t="str">
        <x:v>区域可自由进入，任务不作硬准入</x:v>
      </x:c>
      <x:c r="I66" s="48" t="str">
        <x:v>R08只临时一次性遭遇</x:v>
      </x:c>
    </x:row>
    <x:row r="67" ht="38" customHeight="1">
      <x:c r="A67" s="48" t="n">
        <x:v>59</x:v>
      </x:c>
      <x:c r="B67" s="48" t="n">
        <x:v>8</x:v>
      </x:c>
      <x:c r="C67" s="48" t="str">
        <x:v>M3</x:v>
      </x:c>
      <x:c r="D67" s="48" t="str">
        <x:v>照影窗</x:v>
      </x:c>
      <x:c r="E67" s="48" t="str">
        <x:v>刷怪</x:v>
      </x:c>
      <x:c r="F67" s="48" t="str">
        <x:v>③风蚀岩窗</x:v>
      </x:c>
      <x:c r="G67" s="48" t="str">
        <x:v>源区域全缺坐标，待实际地图注入</x:v>
      </x:c>
      <x:c r="H67" s="48" t="str">
        <x:v>区域可自由进入，任务不作硬准入</x:v>
      </x:c>
      <x:c r="I67" s="48" t="str">
        <x:v>R08只临时一次性遭遇</x:v>
      </x:c>
    </x:row>
    <x:row r="68" ht="38" customHeight="1">
      <x:c r="A68" s="48" t="n">
        <x:v>60</x:v>
      </x:c>
      <x:c r="B68" s="48" t="n">
        <x:v>8</x:v>
      </x:c>
      <x:c r="C68" s="48" t="str">
        <x:v>P1</x:v>
      </x:c>
      <x:c r="D68" s="48" t="str">
        <x:v>回光藓</x:v>
      </x:c>
      <x:c r="E68" s="48" t="str">
        <x:v>灵植</x:v>
      </x:c>
      <x:c r="F68" s="48" t="str">
        <x:v>③岩窗孔缘·H1-R08</x:v>
      </x:c>
      <x:c r="G68" s="48" t="str">
        <x:v>源区域全缺坐标，待实际地图注入</x:v>
      </x:c>
      <x:c r="H68" s="48" t="str">
        <x:v>区域可自由进入，任务不作硬准入</x:v>
      </x:c>
      <x:c r="I68" s="48" t="str">
        <x:v>R08只临时一次性遭遇</x:v>
      </x:c>
    </x:row>
    <x:row r="69" ht="38" customHeight="1">
      <x:c r="A69" s="48" t="n">
        <x:v>61</x:v>
      </x:c>
      <x:c r="B69" s="48" t="n">
        <x:v>8</x:v>
      </x:c>
      <x:c r="C69" s="48" t="str">
        <x:v>P2</x:v>
      </x:c>
      <x:c r="D69" s="48" t="str">
        <x:v>风偃枝</x:v>
      </x:c>
      <x:c r="E69" s="48" t="str">
        <x:v>灵植</x:v>
      </x:c>
      <x:c r="F69" s="48" t="str">
        <x:v>①风剪矮灌带</x:v>
      </x:c>
      <x:c r="G69" s="48" t="str">
        <x:v>源区域全缺坐标，待实际地图注入</x:v>
      </x:c>
      <x:c r="H69" s="48" t="str">
        <x:v>区域可自由进入，任务不作硬准入</x:v>
      </x:c>
      <x:c r="I69" s="48" t="str">
        <x:v>R08只临时一次性遭遇</x:v>
      </x:c>
    </x:row>
    <x:row r="70" ht="38" customHeight="1">
      <x:c r="A70" s="48" t="n">
        <x:v>62</x:v>
      </x:c>
      <x:c r="B70" s="48" t="n">
        <x:v>8</x:v>
      </x:c>
      <x:c r="C70" s="48" t="str">
        <x:v>S1</x:v>
      </x:c>
      <x:c r="D70" s="48" t="str">
        <x:v>阖岫口</x:v>
      </x:c>
      <x:c r="E70" s="48" t="str">
        <x:v>秘境</x:v>
      </x:c>
      <x:c r="F70" s="48" t="str">
        <x:v>②／③峰顶洞天</x:v>
      </x:c>
      <x:c r="G70" s="48" t="str">
        <x:v>源区域全缺坐标，待实际地图注入</x:v>
      </x:c>
      <x:c r="H70" s="48" t="str">
        <x:v>区域可自由进入，任务不作硬准入</x:v>
      </x:c>
      <x:c r="I70" s="48" t="str">
        <x:v>R08只临时一次性遭遇</x:v>
      </x:c>
    </x:row>
    <x:row r="71" ht="38" customHeight="1">
      <x:c r="A71" s="48" t="n">
        <x:v>63</x:v>
      </x:c>
      <x:c r="B71" s="48" t="n">
        <x:v>8</x:v>
      </x:c>
      <x:c r="C71" s="48" t="str">
        <x:v>S2</x:v>
      </x:c>
      <x:c r="D71" s="48" t="str">
        <x:v>坠尽渊</x:v>
      </x:c>
      <x:c r="E71" s="48" t="str">
        <x:v>秘境</x:v>
      </x:c>
      <x:c r="F71" s="48" t="str">
        <x:v>④近旁·深层</x:v>
      </x:c>
      <x:c r="G71" s="48" t="str">
        <x:v>源区域全缺坐标，待实际地图注入</x:v>
      </x:c>
      <x:c r="H71" s="48" t="str">
        <x:v>区域可自由进入，任务不作硬准入</x:v>
      </x:c>
      <x:c r="I71" s="48" t="str">
        <x:v>R08只临时一次性遭遇</x:v>
      </x:c>
    </x:row>
    <x:row r="72" ht="38" customHeight="1">
      <x:c r="A72" s="48" t="n">
        <x:v>64</x:v>
      </x:c>
      <x:c r="B72" s="48" t="n">
        <x:v>8</x:v>
      </x:c>
      <x:c r="C72" s="48" t="str">
        <x:v>D1</x:v>
      </x:c>
      <x:c r="D72" s="48" t="str">
        <x:v>昏金岩</x:v>
      </x:c>
      <x:c r="E72" s="48" t="str">
        <x:v>魔界</x:v>
      </x:c>
      <x:c r="F72" s="48" t="str">
        <x:v>①／③</x:v>
      </x:c>
      <x:c r="G72" s="48" t="str">
        <x:v>源区域全缺坐标，待实际地图注入</x:v>
      </x:c>
      <x:c r="H72" s="48" t="str">
        <x:v>区域可自由进入，任务不作硬准入</x:v>
      </x:c>
      <x:c r="I72" s="48" t="str">
        <x:v>R08只临时一次性遭遇</x:v>
      </x:c>
    </x:row>
    <x:row r="73" ht="38" customHeight="1">
      <x:c r="A73" s="48" t="n">
        <x:v>56</x:v>
      </x:c>
      <x:c r="B73" s="48" t="n">
        <x:v>8</x:v>
      </x:c>
      <x:c r="C73" s="48" t="str">
        <x:v>N1</x:v>
      </x:c>
      <x:c r="D73" s="48" t="str">
        <x:v>望来石</x:v>
      </x:c>
      <x:c r="E73" s="48" t="str">
        <x:v>剧情</x:v>
      </x:c>
      <x:c r="F73" s="48" t="str">
        <x:v>④**S01 核验接口**</x:v>
      </x:c>
      <x:c r="G73" s="48" t="str">
        <x:v>源区域全缺坐标，待实际地图注入</x:v>
      </x:c>
      <x:c r="H73" s="48" t="str">
        <x:v>区域可自由进入，任务不作硬准入</x:v>
      </x:c>
      <x:c r="I73" s="48" t="str">
        <x:v>R08只临时一次性遭遇</x:v>
      </x:c>
    </x:row>
    <x:row r="74" ht="38" customHeight="1">
      <x:c r="A74" s="48" t="n">
        <x:v>8</x:v>
      </x:c>
      <x:c r="B74" s="48" t="n">
        <x:v>1</x:v>
      </x:c>
      <x:c r="C74" s="48" t="str">
        <x:v>P2</x:v>
      </x:c>
      <x:c r="D74" s="48" t="str">
        <x:v>砾台</x:v>
      </x:c>
      <x:c r="E74" s="48" t="str">
        <x:v>衍砾台</x:v>
      </x:c>
      <x:c r="F74" s="48"/>
      <x:c r="G74" s="48" t="str">
        <x:v>源区域全缺坐标，待实际地图注入</x:v>
      </x:c>
      <x:c r="H74" s="48" t="str">
        <x:v>区域可自由进入，任务不作硬准入</x:v>
      </x:c>
      <x:c r="I74" s="48" t="str">
        <x:v>内容定义完成，待地图/资源验收</x:v>
      </x:c>
    </x:row>
    <x:row r="75" ht="38" customHeight="1">
      <x:c r="A75" s="48" t="n">
        <x:v>35</x:v>
      </x:c>
      <x:c r="B75" s="48" t="n">
        <x:v>5</x:v>
      </x:c>
      <x:c r="C75" s="48" t="str">
        <x:v>S1</x:v>
      </x:c>
      <x:c r="D75" s="48" t="str">
        <x:v>裂口</x:v>
      </x:c>
      <x:c r="E75" s="48" t="str">
        <x:v>杳裂口</x:v>
      </x:c>
      <x:c r="F75" s="48"/>
      <x:c r="G75" s="48" t="str">
        <x:v>源区域全缺坐标，待实际地图注入</x:v>
      </x:c>
      <x:c r="H75" s="48" t="str">
        <x:v>区域可自由进入，任务不作硬准入</x:v>
      </x:c>
      <x:c r="I75" s="48" t="str">
        <x:v>内容定义完成，待地图/资源验收</x:v>
      </x:c>
    </x:row>
    <x:row r="76" ht="38" customHeight="1">
      <x:c r="A76" s="48" t="n">
        <x:v>37</x:v>
      </x:c>
      <x:c r="B76" s="48" t="n">
        <x:v>5</x:v>
      </x:c>
      <x:c r="C76" s="48" t="str">
        <x:v>D1</x:v>
      </x:c>
      <x:c r="D76" s="48" t="str">
        <x:v>壅浊石</x:v>
      </x:c>
      <x:c r="E76" s="48" t="str">
        <x:v>壅浊石⚠</x:v>
      </x:c>
      <x:c r="F76" s="48"/>
      <x:c r="G76" s="48" t="str">
        <x:v>源区域全缺坐标，待实际地图注入</x:v>
      </x:c>
      <x:c r="H76" s="48" t="str">
        <x:v>区域可自由进入，任务不作硬准入</x:v>
      </x:c>
      <x:c r="I76" s="48" t="str">
        <x:v>内容定义完成，待地图/资源验收</x:v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region_config</vt:lpstr>
      <vt:lpstr>ConfigScene</vt:lpstr>
      <vt:lpstr>编号表</vt:lpstr>
      <vt:lpstr>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白鸠-PuFF</cp:lastModifiedBy>
  <dcterms:created xsi:type="dcterms:W3CDTF">2026-08-30T13:25:00Z</dcterms:created>
  <dcterms:modified xsi:type="dcterms:W3CDTF">2026-10-13T02:59:29Z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E31C9E8AA7784645A5404638612DFF1C_12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