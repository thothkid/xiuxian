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ffix_confi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<sst xmlns="http://schemas.openxmlformats.org/spreadsheetml/2006/main" count="437" uniqueCount="268">
  <si>
    <t xml:space="preserve">##var</t>
  </si>
  <si>
    <t xml:space="preserve">id</t>
  </si>
  <si>
    <t xml:space="preserve">name</t>
  </si>
  <si>
    <t xml:space="preserve">description</t>
  </si>
  <si>
    <t xml:space="preserve">skill_class</t>
  </si>
  <si>
    <t xml:space="preserve">skill_identify_id</t>
  </si>
  <si>
    <t xml:space="preserve">mods</t>
  </si>
  <si>
    <t xml:space="preserve">##type</t>
  </si>
  <si>
    <t xml:space="preserve">int</t>
  </si>
  <si>
    <t xml:space="preserve">string</t>
  </si>
  <si>
    <t xml:space="preserve">ClassType</t>
  </si>
  <si>
    <t xml:space="preserve">array,AffixMod</t>
  </si>
  <si>
    <t xml:space="preserve">##group</t>
  </si>
  <si>
    <t xml:space="preserve">c</t>
  </si>
  <si>
    <t xml:space="preserve">##</t>
  </si>
  <si>
    <r>
      <rPr>
        <sz val="12"/>
        <rFont val="Noto Sans CJK SC"/>
        <family val="2"/>
      </rPr>
      <t xml:space="preserve">词条</t>
    </r>
    <r>
      <rPr>
        <sz val="12"/>
        <rFont val="微软雅黑"/>
        <family val="0"/>
        <charset val="1"/>
      </rPr>
      <t xml:space="preserve">ID</t>
    </r>
  </si>
  <si>
    <t xml:space="preserve">词条名称</t>
  </si>
  <si>
    <t xml:space="preserve">词条描述</t>
  </si>
  <si>
    <r>
      <rPr>
        <sz val="12"/>
        <rFont val="Noto Sans CJK SC"/>
        <family val="2"/>
      </rPr>
      <t xml:space="preserve">作用系别（与识别</t>
    </r>
    <r>
      <rPr>
        <sz val="12"/>
        <rFont val="微软雅黑"/>
        <family val="0"/>
        <charset val="1"/>
      </rPr>
      <t xml:space="preserve">ID</t>
    </r>
    <r>
      <rPr>
        <sz val="12"/>
        <rFont val="Noto Sans CJK SC"/>
        <family val="2"/>
      </rPr>
      <t xml:space="preserve">二选一；无</t>
    </r>
    <r>
      <rPr>
        <sz val="12"/>
        <rFont val="微软雅黑"/>
        <family val="0"/>
        <charset val="1"/>
      </rPr>
      <t xml:space="preserve">=</t>
    </r>
    <r>
      <rPr>
        <sz val="12"/>
        <rFont val="Noto Sans CJK SC"/>
        <family val="2"/>
      </rPr>
      <t xml:space="preserve">不按系别）</t>
    </r>
  </si>
  <si>
    <r>
      <rPr>
        <sz val="12"/>
        <rFont val="Noto Sans CJK SC"/>
        <family val="2"/>
      </rPr>
      <t xml:space="preserve">作用神通识别</t>
    </r>
    <r>
      <rPr>
        <sz val="12"/>
        <rFont val="微软雅黑"/>
        <family val="0"/>
        <charset val="1"/>
      </rPr>
      <t xml:space="preserve">ID</t>
    </r>
    <r>
      <rPr>
        <sz val="12"/>
        <rFont val="Noto Sans CJK SC"/>
        <family val="2"/>
      </rPr>
      <t xml:space="preserve">（与系别二选一；</t>
    </r>
    <r>
      <rPr>
        <sz val="12"/>
        <rFont val="微软雅黑"/>
        <family val="0"/>
        <charset val="1"/>
      </rPr>
      <t xml:space="preserve">0=</t>
    </r>
    <r>
      <rPr>
        <sz val="12"/>
        <rFont val="Noto Sans CJK SC"/>
        <family val="2"/>
      </rPr>
      <t xml:space="preserve">不按识别</t>
    </r>
    <r>
      <rPr>
        <sz val="12"/>
        <rFont val="微软雅黑"/>
        <family val="0"/>
        <charset val="1"/>
      </rPr>
      <t xml:space="preserve">ID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</si>
  <si>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修改类型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</si>
  <si>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占位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</si>
  <si>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</si>
  <si>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</si>
  <si>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3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</si>
  <si>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4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</si>
  <si>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5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</si>
  <si>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6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</si>
  <si>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7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</si>
  <si>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8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</si>
  <si>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9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</si>
  <si>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10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</si>
  <si>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11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</si>
  <si>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</si>
  <si>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13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</si>
  <si>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14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</si>
  <si>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15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</si>
  <si>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16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</si>
  <si>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17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</si>
  <si>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18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</si>
  <si>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19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</si>
  <si>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1·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20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</si>
  <si>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修改类型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</si>
  <si>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占位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</si>
  <si>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</si>
  <si>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</si>
  <si>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3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</si>
  <si>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4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</si>
  <si>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5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</si>
  <si>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6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</si>
  <si>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7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</si>
  <si>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8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</si>
  <si>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9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</si>
  <si>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10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</si>
  <si>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11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</si>
  <si>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</si>
  <si>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13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</si>
  <si>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14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</si>
  <si>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15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</si>
  <si>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16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</si>
  <si>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17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</si>
  <si>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18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</si>
  <si>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19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</si>
  <si>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2·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20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</si>
  <si>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修改类型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</si>
  <si>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占位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</si>
  <si>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</si>
  <si>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</si>
  <si>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3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</si>
  <si>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4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</si>
  <si>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5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</si>
  <si>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6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</si>
  <si>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7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</si>
  <si>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8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</si>
  <si>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9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</si>
  <si>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10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</si>
  <si>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11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</si>
  <si>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</si>
  <si>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13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</si>
  <si>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14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</si>
  <si>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15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</si>
  <si>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16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</si>
  <si>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17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</si>
  <si>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18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</si>
  <si>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19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</si>
  <si>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3·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20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</si>
  <si>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修改类型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</si>
  <si>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占位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</si>
  <si>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</si>
  <si>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</si>
  <si>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3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</si>
  <si>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4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</si>
  <si>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5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</si>
  <si>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6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</si>
  <si>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7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</si>
  <si>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8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</si>
  <si>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9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</si>
  <si>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10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</si>
  <si>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11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</si>
  <si>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</si>
  <si>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13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</si>
  <si>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14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</si>
  <si>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15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</si>
  <si>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16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</si>
  <si>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17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</si>
  <si>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18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</si>
  <si>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19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</si>
  <si>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4·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20</t>
    </r>
  </si>
  <si>
    <t xml:space="preserve">【辅助】对象检查</t>
  </si>
  <si>
    <t xml:space="preserve">【辅助】配置备注</t>
  </si>
  <si>
    <t xml:space="preserve">【填写说明】</t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</si>
  <si>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基础参数：各参数位含义（修改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</si>
  <si>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基础参数</t>
    </r>
  </si>
  <si>
    <t xml:space="preserve">留空</t>
  </si>
  <si>
    <r>
      <rPr>
        <sz val="12"/>
        <rFont val="Noto Sans CJK SC"/>
        <family val="2"/>
      </rPr>
      <t xml:space="preserve">参数：基础威力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灵力消耗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冷却时间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前摇帧数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后摇帧数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施法距离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智能施法查询半径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最大充能层数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单层充能恢复时间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引导时长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引导结算间隔</t>
    </r>
  </si>
  <si>
    <r>
      <rPr>
        <sz val="12"/>
        <rFont val="Noto Sans CJK SC"/>
        <family val="2"/>
      </rPr>
      <t xml:space="preserve">修改方式：固定增减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按比例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设定</t>
    </r>
  </si>
  <si>
    <r>
      <rPr>
        <sz val="12"/>
        <rFont val="Noto Sans CJK SC"/>
        <family val="2"/>
      </rPr>
      <t xml:space="preserve">数值：固定增减按参数单位；按比例填万分比增量</t>
    </r>
    <r>
      <rPr>
        <sz val="12"/>
        <rFont val="微软雅黑"/>
        <family val="0"/>
        <charset val="1"/>
      </rPr>
      <t xml:space="preserve">(2000=+20%)</t>
    </r>
    <r>
      <rPr>
        <sz val="12"/>
        <rFont val="Noto Sans CJK SC"/>
        <family val="2"/>
      </rPr>
      <t xml:space="preserve">；设定填目标值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</si>
  <si>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瞄准类型：各参数位含义（修改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</si>
  <si>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瞄准类型</t>
    </r>
  </si>
  <si>
    <r>
      <rPr>
        <sz val="12"/>
        <rFont val="Noto Sans CJK SC"/>
        <family val="2"/>
      </rPr>
      <t xml:space="preserve">瞄准类型：无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单位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目标点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目标方向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</si>
  <si>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选择器参数：各参数位含义（修改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</si>
  <si>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选择器参数</t>
    </r>
  </si>
  <si>
    <r>
      <rPr>
        <sz val="12"/>
        <rFont val="Noto Sans CJK SC"/>
        <family val="2"/>
      </rPr>
      <t xml:space="preserve">选择器：主选择器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子选择器</t>
    </r>
  </si>
  <si>
    <r>
      <rPr>
        <sz val="12"/>
        <rFont val="Noto Sans CJK SC"/>
        <family val="2"/>
      </rPr>
      <t xml:space="preserve">参数：友方最大目标数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敌对最大目标数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1/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</t>
    </r>
  </si>
  <si>
    <t xml:space="preserve">修改方式</t>
  </si>
  <si>
    <t xml:space="preserve">数值</t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</si>
  <si>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选择器筛选：各参数位含义（修改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</si>
  <si>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选择器筛选</t>
    </r>
  </si>
  <si>
    <r>
      <rPr>
        <sz val="12"/>
        <rFont val="Noto Sans CJK SC"/>
        <family val="2"/>
      </rPr>
      <t xml:space="preserve">目标阵营（无</t>
    </r>
    <r>
      <rPr>
        <sz val="12"/>
        <rFont val="微软雅黑"/>
        <family val="0"/>
        <charset val="1"/>
      </rPr>
      <t xml:space="preserve">=</t>
    </r>
    <r>
      <rPr>
        <sz val="12"/>
        <rFont val="Noto Sans CJK SC"/>
        <family val="2"/>
      </rPr>
      <t xml:space="preserve">不改）</t>
    </r>
  </si>
  <si>
    <r>
      <rPr>
        <sz val="12"/>
        <rFont val="Noto Sans CJK SC"/>
        <family val="2"/>
      </rPr>
      <t xml:space="preserve">是否包含施法者（空</t>
    </r>
    <r>
      <rPr>
        <sz val="12"/>
        <rFont val="微软雅黑"/>
        <family val="0"/>
        <charset val="1"/>
      </rPr>
      <t xml:space="preserve">=</t>
    </r>
    <r>
      <rPr>
        <sz val="12"/>
        <rFont val="Noto Sans CJK SC"/>
        <family val="2"/>
      </rPr>
      <t xml:space="preserve">不改）</t>
    </r>
  </si>
  <si>
    <r>
      <rPr>
        <sz val="12"/>
        <rFont val="Noto Sans CJK SC"/>
        <family val="2"/>
      </rPr>
      <t xml:space="preserve">优先级（无</t>
    </r>
    <r>
      <rPr>
        <sz val="12"/>
        <rFont val="微软雅黑"/>
        <family val="0"/>
        <charset val="1"/>
      </rPr>
      <t xml:space="preserve">=</t>
    </r>
    <r>
      <rPr>
        <sz val="12"/>
        <rFont val="Noto Sans CJK SC"/>
        <family val="2"/>
      </rPr>
      <t xml:space="preserve">不改）</t>
    </r>
  </si>
  <si>
    <r>
      <rPr>
        <sz val="12"/>
        <rFont val="Noto Sans CJK SC"/>
        <family val="2"/>
      </rPr>
      <t xml:space="preserve">替换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选择器：各参数位含义（修改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</si>
  <si>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替换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选择器</t>
    </r>
  </si>
  <si>
    <r>
      <rPr>
        <sz val="12"/>
        <rFont val="Noto Sans CJK SC"/>
        <family val="2"/>
      </rPr>
      <t xml:space="preserve">新形状：单体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圆形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扇形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线形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环形</t>
    </r>
  </si>
  <si>
    <t xml:space="preserve">目标阵营</t>
  </si>
  <si>
    <t xml:space="preserve">友方最大目标数</t>
  </si>
  <si>
    <t xml:space="preserve">敌对最大目标数</t>
  </si>
  <si>
    <t xml:space="preserve">是否包含施法者</t>
  </si>
  <si>
    <t xml:space="preserve">优先级</t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</si>
  <si>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</si>
  <si>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2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</si>
  <si>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效果参数：各参数位含义（修改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</si>
  <si>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效果参数</t>
    </r>
  </si>
  <si>
    <r>
      <rPr>
        <sz val="12"/>
        <rFont val="Noto Sans CJK SC"/>
        <family val="2"/>
      </rPr>
      <t xml:space="preserve">效果位置：</t>
    </r>
    <r>
      <rPr>
        <sz val="12"/>
        <rFont val="微软雅黑"/>
        <family val="0"/>
        <charset val="1"/>
      </rPr>
      <t xml:space="preserve">1/2/3</t>
    </r>
    <r>
      <rPr>
        <sz val="12"/>
        <rFont val="Noto Sans CJK SC"/>
        <family val="2"/>
      </rPr>
      <t xml:space="preserve">；</t>
    </r>
    <r>
      <rPr>
        <sz val="12"/>
        <rFont val="微软雅黑"/>
        <family val="0"/>
        <charset val="1"/>
      </rPr>
      <t xml:space="preserve">0=</t>
    </r>
    <r>
      <rPr>
        <sz val="12"/>
        <rFont val="Noto Sans CJK SC"/>
        <family val="2"/>
      </rPr>
      <t xml:space="preserve">全部同类型</t>
    </r>
  </si>
  <si>
    <r>
      <rPr>
        <sz val="12"/>
        <rFont val="Noto Sans CJK SC"/>
        <family val="2"/>
      </rPr>
      <t xml:space="preserve">效果类型：位置为</t>
    </r>
    <r>
      <rPr>
        <sz val="12"/>
        <rFont val="微软雅黑"/>
        <family val="0"/>
        <charset val="1"/>
      </rPr>
      <t xml:space="preserve">0</t>
    </r>
    <r>
      <rPr>
        <sz val="12"/>
        <rFont val="Noto Sans CJK SC"/>
        <family val="2"/>
      </rPr>
      <t xml:space="preserve">时填（如 技能效果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伤害），否则填 无</t>
    </r>
  </si>
  <si>
    <r>
      <rPr>
        <sz val="12"/>
        <rFont val="Noto Sans CJK SC"/>
        <family val="2"/>
      </rPr>
      <t xml:space="preserve">参数：触发概率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延迟触发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生效血量阈值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～参数</t>
    </r>
    <r>
      <rPr>
        <sz val="12"/>
        <rFont val="微软雅黑"/>
        <family val="0"/>
        <charset val="1"/>
      </rPr>
      <t xml:space="preserve">13</t>
    </r>
  </si>
  <si>
    <t xml:space="preserve">文本值：字符串型参数用（如弹体模型路径）</t>
  </si>
  <si>
    <r>
      <rPr>
        <sz val="12"/>
        <rFont val="Noto Sans CJK SC"/>
        <family val="2"/>
      </rPr>
      <t xml:space="preserve">替换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效果：各参数位含义（修改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</si>
  <si>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替换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效果</t>
    </r>
  </si>
  <si>
    <r>
      <rPr>
        <sz val="12"/>
        <rFont val="Noto Sans CJK SC"/>
        <family val="2"/>
      </rPr>
      <t xml:space="preserve">效果位置：</t>
    </r>
    <r>
      <rPr>
        <sz val="12"/>
        <rFont val="微软雅黑"/>
        <family val="0"/>
        <charset val="1"/>
      </rPr>
      <t xml:space="preserve">1/2/3</t>
    </r>
  </si>
  <si>
    <t xml:space="preserve">效果类型</t>
  </si>
  <si>
    <t xml:space="preserve">应用目标阵营</t>
  </si>
  <si>
    <t xml:space="preserve">触发概率</t>
  </si>
  <si>
    <t xml:space="preserve">延迟触发</t>
  </si>
  <si>
    <t xml:space="preserve">作用范围</t>
  </si>
  <si>
    <t xml:space="preserve">生效血量阈值</t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</si>
  <si>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3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</si>
  <si>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4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</si>
  <si>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5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</si>
  <si>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6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</si>
  <si>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7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</si>
  <si>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8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</si>
  <si>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9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</si>
  <si>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10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</si>
  <si>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11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</si>
  <si>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12</t>
    </r>
  </si>
  <si>
    <r>
      <rPr>
        <sz val="12"/>
        <rFont val="Noto Sans CJK SC"/>
        <family val="2"/>
      </rPr>
      <t xml:space="preserve">参数</t>
    </r>
    <r>
      <rPr>
        <sz val="12"/>
        <rFont val="微软雅黑"/>
        <family val="0"/>
        <charset val="1"/>
      </rPr>
      <t xml:space="preserve">13</t>
    </r>
  </si>
  <si>
    <r>
      <rPr>
        <sz val="12"/>
        <rFont val="Noto Sans CJK SC"/>
        <family val="2"/>
      </rPr>
      <t xml:space="preserve">追加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效果：各参数位含义（修改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</si>
  <si>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追加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效果</t>
    </r>
  </si>
  <si>
    <r>
      <rPr>
        <sz val="12"/>
        <rFont val="Noto Sans CJK SC"/>
        <family val="2"/>
      </rPr>
      <t xml:space="preserve">移除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效果：各参数位含义（修改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</si>
  <si>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移除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效果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</si>
  <si>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表现资源：各参数位含义（修改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4 </t>
    </r>
    <r>
      <rPr>
        <sz val="12"/>
        <rFont val="Noto Sans CJK SC"/>
        <family val="2"/>
      </rPr>
      <t xml:space="preserve">同修改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）</t>
    </r>
  </si>
  <si>
    <r>
      <rPr>
        <sz val="12"/>
        <rFont val="Noto Sans CJK SC"/>
        <family val="2"/>
      </rPr>
      <t xml:space="preserve">修改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表现资源</t>
    </r>
  </si>
  <si>
    <r>
      <rPr>
        <sz val="12"/>
        <rFont val="Noto Sans CJK SC"/>
        <family val="2"/>
      </rPr>
      <t xml:space="preserve">参数：施法动作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施法特效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施法点特效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受击特效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施法音效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受击音效</t>
    </r>
  </si>
  <si>
    <r>
      <rPr>
        <sz val="12"/>
        <rFont val="Noto Sans CJK SC"/>
        <family val="2"/>
      </rPr>
      <t xml:space="preserve">文本值：动作名</t>
    </r>
    <r>
      <rPr>
        <sz val="12"/>
        <rFont val="微软雅黑"/>
        <family val="0"/>
        <charset val="1"/>
      </rPr>
      <t xml:space="preserve">/</t>
    </r>
    <r>
      <rPr>
        <sz val="12"/>
        <rFont val="Noto Sans CJK SC"/>
        <family val="2"/>
      </rPr>
      <t xml:space="preserve">资源路径</t>
    </r>
    <r>
      <rPr>
        <sz val="12"/>
        <rFont val="微软雅黑"/>
        <family val="0"/>
        <charset val="1"/>
      </rPr>
      <t xml:space="preserve">/ID</t>
    </r>
  </si>
  <si>
    <t xml:space="preserve">S01</t>
  </si>
  <si>
    <r>
      <rPr>
        <sz val="12"/>
        <rFont val="Noto Sans CJK SC"/>
        <family val="2"/>
      </rPr>
      <t xml:space="preserve">剑道神通基础威力增加</t>
    </r>
    <r>
      <rPr>
        <sz val="12"/>
        <rFont val="微软雅黑"/>
        <family val="0"/>
        <charset val="1"/>
      </rPr>
      <t xml:space="preserve">10</t>
    </r>
    <r>
      <rPr>
        <sz val="12"/>
        <rFont val="Noto Sans CJK SC"/>
        <family val="2"/>
      </rPr>
      <t xml:space="preserve">个百分点</t>
    </r>
  </si>
  <si>
    <t xml:space="preserve">剑道</t>
  </si>
  <si>
    <t xml:space="preserve">基础威力</t>
  </si>
  <si>
    <t xml:space="preserve">固定增减</t>
  </si>
  <si>
    <r>
      <rPr>
        <sz val="12"/>
        <rFont val="Noto Sans CJK SC"/>
        <family val="2"/>
      </rPr>
      <t xml:space="preserve">万分比，</t>
    </r>
    <r>
      <rPr>
        <sz val="12"/>
        <rFont val="微软雅黑"/>
        <family val="0"/>
        <charset val="1"/>
      </rPr>
      <t xml:space="preserve">1000=10</t>
    </r>
    <r>
      <rPr>
        <sz val="12"/>
        <rFont val="Noto Sans CJK SC"/>
        <family val="2"/>
      </rPr>
      <t xml:space="preserve">个百分点</t>
    </r>
  </si>
  <si>
    <t xml:space="preserve">S02</t>
  </si>
  <si>
    <r>
      <rPr>
        <sz val="12"/>
        <rFont val="Noto Sans CJK SC"/>
        <family val="2"/>
      </rPr>
      <t xml:space="preserve">基础剑术灵力消耗减少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点</t>
    </r>
  </si>
  <si>
    <t xml:space="preserve">无</t>
  </si>
  <si>
    <t xml:space="preserve">灵力消耗</t>
  </si>
  <si>
    <r>
      <rPr>
        <sz val="12"/>
        <rFont val="Noto Sans CJK SC"/>
        <family val="2"/>
      </rPr>
      <t xml:space="preserve">识别</t>
    </r>
    <r>
      <rPr>
        <sz val="12"/>
        <rFont val="微软雅黑"/>
        <family val="0"/>
        <charset val="1"/>
      </rPr>
      <t xml:space="preserve">ID</t>
    </r>
    <r>
      <rPr>
        <sz val="12"/>
        <rFont val="Noto Sans CJK SC"/>
        <family val="2"/>
      </rPr>
      <t xml:space="preserve">匹配该门神通各等级</t>
    </r>
  </si>
  <si>
    <t xml:space="preserve">S03</t>
  </si>
  <si>
    <r>
      <rPr>
        <sz val="12"/>
        <rFont val="Noto Sans CJK SC"/>
        <family val="2"/>
      </rPr>
      <t xml:space="preserve">术法神通冷却缩短</t>
    </r>
    <r>
      <rPr>
        <sz val="12"/>
        <rFont val="微软雅黑"/>
        <family val="0"/>
        <charset val="1"/>
      </rPr>
      <t xml:space="preserve">10%</t>
    </r>
  </si>
  <si>
    <t xml:space="preserve">术法</t>
  </si>
  <si>
    <t xml:space="preserve">冷却时间</t>
  </si>
  <si>
    <t xml:space="preserve">按比例</t>
  </si>
  <si>
    <t xml:space="preserve">按比例填万分比增量</t>
  </si>
  <si>
    <t xml:space="preserve">S04</t>
  </si>
  <si>
    <r>
      <rPr>
        <sz val="12"/>
        <rFont val="Noto Sans CJK SC"/>
        <family val="2"/>
      </rPr>
      <t xml:space="preserve">基础剑术前摇减少</t>
    </r>
    <r>
      <rPr>
        <sz val="12"/>
        <rFont val="微软雅黑"/>
        <family val="0"/>
        <charset val="1"/>
      </rPr>
      <t xml:space="preserve">2</t>
    </r>
    <r>
      <rPr>
        <sz val="12"/>
        <rFont val="Noto Sans CJK SC"/>
        <family val="2"/>
      </rPr>
      <t xml:space="preserve">帧，灵力消耗增加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点</t>
    </r>
  </si>
  <si>
    <t xml:space="preserve">前摇帧数</t>
  </si>
  <si>
    <t xml:space="preserve">一条词条两个修改块</t>
  </si>
  <si>
    <t xml:space="preserve">S05</t>
  </si>
  <si>
    <r>
      <rPr>
        <sz val="12"/>
        <rFont val="Noto Sans CJK SC"/>
        <family val="2"/>
      </rPr>
      <t xml:space="preserve">术法神通敌方目标上限增加</t>
    </r>
    <r>
      <rPr>
        <sz val="12"/>
        <rFont val="微软雅黑"/>
        <family val="0"/>
        <charset val="1"/>
      </rPr>
      <t xml:space="preserve">2</t>
    </r>
  </si>
  <si>
    <t xml:space="preserve">主选择器</t>
  </si>
  <si>
    <t xml:space="preserve">S06</t>
  </si>
  <si>
    <r>
      <rPr>
        <sz val="12"/>
        <rFont val="Noto Sans CJK SC"/>
        <family val="2"/>
      </rPr>
      <t xml:space="preserve">术法圆形神通选取半径提高</t>
    </r>
    <r>
      <rPr>
        <sz val="12"/>
        <rFont val="微软雅黑"/>
        <family val="0"/>
        <charset val="1"/>
      </rPr>
      <t xml:space="preserve">20%</t>
    </r>
  </si>
  <si>
    <r>
      <rPr>
        <sz val="12"/>
        <rFont val="Noto Sans CJK SC"/>
        <family val="2"/>
      </rPr>
      <t xml:space="preserve">圆形时参数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为半径</t>
    </r>
  </si>
  <si>
    <t xml:space="preserve">S07</t>
  </si>
  <si>
    <r>
      <rPr>
        <sz val="12"/>
        <rFont val="Noto Sans CJK SC"/>
        <family val="2"/>
      </rPr>
      <t xml:space="preserve">火行神通第二段伤害系数提高</t>
    </r>
    <r>
      <rPr>
        <sz val="12"/>
        <rFont val="微软雅黑"/>
        <family val="0"/>
        <charset val="1"/>
      </rPr>
      <t xml:space="preserve">20%</t>
    </r>
  </si>
  <si>
    <t xml:space="preserve">火行</t>
  </si>
  <si>
    <r>
      <rPr>
        <sz val="12"/>
        <rFont val="Noto Sans CJK SC"/>
        <family val="2"/>
      </rPr>
      <t xml:space="preserve">技能效果</t>
    </r>
    <r>
      <rPr>
        <sz val="12"/>
        <rFont val="微软雅黑"/>
        <family val="0"/>
        <charset val="1"/>
      </rPr>
      <t xml:space="preserve">2 </t>
    </r>
    <r>
      <rPr>
        <sz val="12"/>
        <rFont val="Noto Sans CJK SC"/>
        <family val="2"/>
      </rPr>
      <t xml:space="preserve">的参数</t>
    </r>
    <r>
      <rPr>
        <sz val="12"/>
        <rFont val="微软雅黑"/>
        <family val="0"/>
        <charset val="1"/>
      </rPr>
      <t xml:space="preserve">2</t>
    </r>
  </si>
  <si>
    <t xml:space="preserve">S08</t>
  </si>
  <si>
    <r>
      <rPr>
        <sz val="12"/>
        <rFont val="Noto Sans CJK SC"/>
        <family val="2"/>
      </rPr>
      <t xml:space="preserve">木行神通全部治疗效果固定治疗值增加</t>
    </r>
    <r>
      <rPr>
        <sz val="12"/>
        <rFont val="微软雅黑"/>
        <family val="0"/>
        <charset val="1"/>
      </rPr>
      <t xml:space="preserve">50</t>
    </r>
  </si>
  <si>
    <t xml:space="preserve">木行</t>
  </si>
  <si>
    <r>
      <rPr>
        <sz val="12"/>
        <rFont val="Noto Sans CJK SC"/>
        <family val="2"/>
      </rPr>
      <t xml:space="preserve">技能效果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治疗</t>
    </r>
  </si>
  <si>
    <r>
      <rPr>
        <sz val="12"/>
        <rFont val="Noto Sans CJK SC"/>
        <family val="2"/>
      </rPr>
      <t xml:space="preserve">位置</t>
    </r>
    <r>
      <rPr>
        <sz val="12"/>
        <rFont val="微软雅黑"/>
        <family val="0"/>
        <charset val="1"/>
      </rPr>
      <t xml:space="preserve">0=</t>
    </r>
    <r>
      <rPr>
        <sz val="12"/>
        <rFont val="Noto Sans CJK SC"/>
        <family val="2"/>
      </rPr>
      <t xml:space="preserve">该类型全部效果</t>
    </r>
  </si>
  <si>
    <t xml:space="preserve">S09</t>
  </si>
  <si>
    <r>
      <rPr>
        <sz val="12"/>
        <rFont val="Noto Sans CJK SC"/>
        <family val="2"/>
      </rPr>
      <t xml:space="preserve">术法神通弹道弹体总数量增加</t>
    </r>
    <r>
      <rPr>
        <sz val="12"/>
        <rFont val="微软雅黑"/>
        <family val="0"/>
        <charset val="1"/>
      </rPr>
      <t xml:space="preserve">1</t>
    </r>
  </si>
  <si>
    <t xml:space="preserve">S10</t>
  </si>
  <si>
    <r>
      <rPr>
        <sz val="12"/>
        <rFont val="Noto Sans CJK SC"/>
        <family val="2"/>
      </rPr>
      <t xml:space="preserve">术法神通直线弹道穿透次数增加</t>
    </r>
    <r>
      <rPr>
        <sz val="12"/>
        <rFont val="微软雅黑"/>
        <family val="0"/>
        <charset val="1"/>
      </rPr>
      <t xml:space="preserve">1</t>
    </r>
  </si>
  <si>
    <t xml:space="preserve">S11</t>
  </si>
  <si>
    <t xml:space="preserve">术法单体神通改为圆形范围攻击</t>
  </si>
  <si>
    <t xml:space="preserve">目标点</t>
  </si>
  <si>
    <t xml:space="preserve">圆形</t>
  </si>
  <si>
    <t xml:space="preserve">敌对</t>
  </si>
  <si>
    <t xml:space="preserve">最近</t>
  </si>
  <si>
    <r>
      <rPr>
        <sz val="12"/>
        <rFont val="Noto Sans CJK SC"/>
        <family val="2"/>
      </rPr>
      <t xml:space="preserve">瞄准</t>
    </r>
    <r>
      <rPr>
        <sz val="12"/>
        <rFont val="微软雅黑"/>
        <family val="0"/>
        <charset val="1"/>
      </rPr>
      <t xml:space="preserve">+</t>
    </r>
    <r>
      <rPr>
        <sz val="12"/>
        <rFont val="Noto Sans CJK SC"/>
        <family val="2"/>
      </rPr>
      <t xml:space="preserve">整组选择器两个块</t>
    </r>
  </si>
  <si>
    <t xml:space="preserve">S12</t>
  </si>
  <si>
    <r>
      <rPr>
        <sz val="12"/>
        <rFont val="Noto Sans CJK SC"/>
        <family val="2"/>
      </rPr>
      <t xml:space="preserve">基础剑术施法动作替换为 </t>
    </r>
    <r>
      <rPr>
        <sz val="12"/>
        <rFont val="微软雅黑"/>
        <family val="0"/>
        <charset val="1"/>
      </rPr>
      <t xml:space="preserve">Spell One</t>
    </r>
  </si>
  <si>
    <t xml:space="preserve">施法动作</t>
  </si>
  <si>
    <t xml:space="preserve">Spell One</t>
  </si>
  <si>
    <t xml:space="preserve">S13</t>
  </si>
  <si>
    <r>
      <rPr>
        <sz val="12"/>
        <rFont val="Noto Sans CJK SC"/>
        <family val="2"/>
      </rPr>
      <t xml:space="preserve">水行神通子选择器圆形半径提高</t>
    </r>
    <r>
      <rPr>
        <sz val="12"/>
        <rFont val="微软雅黑"/>
        <family val="0"/>
        <charset val="1"/>
      </rPr>
      <t xml:space="preserve">20%</t>
    </r>
  </si>
  <si>
    <t xml:space="preserve">水行</t>
  </si>
  <si>
    <t xml:space="preserve">子选择器</t>
  </si>
  <si>
    <t xml:space="preserve">S14</t>
  </si>
  <si>
    <r>
      <rPr>
        <sz val="12"/>
        <rFont val="Noto Sans CJK SC"/>
        <family val="2"/>
      </rPr>
      <t xml:space="preserve">御兽神通召唤效果单次数量增加</t>
    </r>
    <r>
      <rPr>
        <sz val="12"/>
        <rFont val="微软雅黑"/>
        <family val="0"/>
        <charset val="1"/>
      </rPr>
      <t xml:space="preserve">1</t>
    </r>
  </si>
  <si>
    <t xml:space="preserve">御兽</t>
  </si>
  <si>
    <t xml:space="preserve">S15</t>
  </si>
  <si>
    <r>
      <rPr>
        <sz val="12"/>
        <rFont val="Noto Sans CJK SC"/>
        <family val="2"/>
      </rPr>
      <t xml:space="preserve">炼体神通击退距离增加</t>
    </r>
    <r>
      <rPr>
        <sz val="12"/>
        <rFont val="微软雅黑"/>
        <family val="0"/>
        <charset val="1"/>
      </rPr>
      <t xml:space="preserve">100</t>
    </r>
  </si>
  <si>
    <t xml:space="preserve">炼体</t>
  </si>
  <si>
    <t xml:space="preserve">S16</t>
  </si>
  <si>
    <r>
      <rPr>
        <sz val="12"/>
        <rFont val="Noto Sans CJK SC"/>
        <family val="2"/>
      </rPr>
      <t xml:space="preserve">术法神通弹道速度提高</t>
    </r>
    <r>
      <rPr>
        <sz val="12"/>
        <rFont val="微软雅黑"/>
        <family val="0"/>
        <charset val="1"/>
      </rPr>
      <t xml:space="preserve">10%</t>
    </r>
  </si>
  <si>
    <t xml:space="preserve">S17</t>
  </si>
  <si>
    <r>
      <rPr>
        <sz val="12"/>
        <rFont val="Noto Sans CJK SC"/>
        <family val="2"/>
      </rPr>
      <t xml:space="preserve">五行系神通全部伤害系数提高</t>
    </r>
    <r>
      <rPr>
        <sz val="12"/>
        <rFont val="微软雅黑"/>
        <family val="0"/>
        <charset val="1"/>
      </rPr>
      <t xml:space="preserve">5%</t>
    </r>
  </si>
  <si>
    <t xml:space="preserve">五行</t>
  </si>
  <si>
    <r>
      <rPr>
        <sz val="12"/>
        <rFont val="Noto Sans CJK SC"/>
        <family val="2"/>
      </rPr>
      <t xml:space="preserve">技能效果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伤害</t>
    </r>
  </si>
  <si>
    <t xml:space="preserve">五行匹配六类</t>
  </si>
  <si>
    <t xml:space="preserve">S18</t>
  </si>
  <si>
    <r>
      <rPr>
        <sz val="12"/>
        <rFont val="Noto Sans CJK SC"/>
        <family val="2"/>
      </rPr>
      <t xml:space="preserve">金行神通全部伤害系数提高</t>
    </r>
    <r>
      <rPr>
        <sz val="12"/>
        <rFont val="微软雅黑"/>
        <family val="0"/>
        <charset val="1"/>
      </rPr>
      <t xml:space="preserve">5%</t>
    </r>
  </si>
  <si>
    <t xml:space="preserve">金行</t>
  </si>
  <si>
    <t xml:space="preserve">只匹配金行</t>
  </si>
  <si>
    <t xml:space="preserve">S19</t>
  </si>
  <si>
    <r>
      <rPr>
        <sz val="12"/>
        <rFont val="Noto Sans CJK SC"/>
        <family val="2"/>
      </rPr>
      <t xml:space="preserve">术法神通弹道命中调用改为</t>
    </r>
    <r>
      <rPr>
        <sz val="12"/>
        <rFont val="微软雅黑"/>
        <family val="0"/>
        <charset val="1"/>
      </rPr>
      <t xml:space="preserve">10010001</t>
    </r>
  </si>
  <si>
    <t xml:space="preserve">设定</t>
  </si>
  <si>
    <t xml:space="preserve">S20</t>
  </si>
  <si>
    <t xml:space="preserve">火行神通移除第二段伤害</t>
  </si>
  <si>
    <t xml:space="preserve">S21</t>
  </si>
  <si>
    <r>
      <rPr>
        <sz val="12"/>
        <rFont val="Noto Sans CJK SC"/>
        <family val="2"/>
      </rPr>
      <t xml:space="preserve">术法神通弹道散布角设为</t>
    </r>
    <r>
      <rPr>
        <sz val="12"/>
        <rFont val="微软雅黑"/>
        <family val="0"/>
        <charset val="1"/>
      </rPr>
      <t xml:space="preserve">30</t>
    </r>
    <r>
      <rPr>
        <sz val="12"/>
        <rFont val="Noto Sans CJK SC"/>
        <family val="2"/>
      </rPr>
      <t xml:space="preserve">度</t>
    </r>
  </si>
  <si>
    <t xml:space="preserve">S22</t>
  </si>
  <si>
    <r>
      <rPr>
        <sz val="12"/>
        <rFont val="Noto Sans CJK SC"/>
        <family val="2"/>
      </rPr>
      <t xml:space="preserve">术法神通追加一次调用</t>
    </r>
    <r>
      <rPr>
        <sz val="12"/>
        <rFont val="微软雅黑"/>
        <family val="0"/>
        <charset val="1"/>
      </rPr>
      <t xml:space="preserve">10010001</t>
    </r>
  </si>
  <si>
    <r>
      <rPr>
        <sz val="12"/>
        <rFont val="Noto Sans CJK SC"/>
        <family val="2"/>
      </rPr>
      <t xml:space="preserve">技能效果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调用技能</t>
    </r>
  </si>
  <si>
    <t xml:space="preserve">全部</t>
  </si>
  <si>
    <t xml:space="preserve">追加到效果列表末尾</t>
  </si>
  <si>
    <t xml:space="preserve">S23</t>
  </si>
  <si>
    <r>
      <rPr>
        <sz val="12"/>
        <rFont val="Noto Sans CJK SC"/>
        <family val="2"/>
      </rPr>
      <t xml:space="preserve">术法神通第二段改为调用</t>
    </r>
    <r>
      <rPr>
        <sz val="12"/>
        <rFont val="微软雅黑"/>
        <family val="0"/>
        <charset val="1"/>
      </rPr>
      <t xml:space="preserve">10010001</t>
    </r>
  </si>
  <si>
    <t xml:space="preserve">整条效果按技能表效果列填写</t>
  </si>
  <si>
    <t xml:space="preserve">S24</t>
  </si>
  <si>
    <r>
      <rPr>
        <sz val="12"/>
        <rFont val="Noto Sans CJK SC"/>
        <family val="2"/>
      </rPr>
      <t xml:space="preserve">基础剑术第一段效果改为弹道，命中调用</t>
    </r>
    <r>
      <rPr>
        <sz val="12"/>
        <rFont val="微软雅黑"/>
        <family val="0"/>
        <charset val="1"/>
      </rPr>
      <t xml:space="preserve">10010001</t>
    </r>
  </si>
  <si>
    <r>
      <rPr>
        <sz val="12"/>
        <rFont val="Noto Sans CJK SC"/>
        <family val="2"/>
      </rPr>
      <t xml:space="preserve">技能效果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弹道</t>
    </r>
  </si>
  <si>
    <t xml:space="preserve">Abilities\Weapons\FireBallMissile\FireBallMissile.mdl</t>
  </si>
  <si>
    <t xml:space="preserve">直线</t>
  </si>
  <si>
    <r>
      <rPr>
        <sz val="12"/>
        <rFont val="Noto Sans CJK SC"/>
        <family val="2"/>
      </rPr>
      <t xml:space="preserve">非弹道改弹道：替换整条效果为 技能效果</t>
    </r>
    <r>
      <rPr>
        <sz val="12"/>
        <rFont val="微软雅黑"/>
        <family val="0"/>
        <charset val="1"/>
      </rPr>
      <t xml:space="preserve">_</t>
    </r>
    <r>
      <rPr>
        <sz val="12"/>
        <rFont val="Noto Sans CJK SC"/>
        <family val="2"/>
      </rPr>
      <t xml:space="preserve">弹道，参数</t>
    </r>
    <r>
      <rPr>
        <sz val="12"/>
        <rFont val="微软雅黑"/>
        <family val="0"/>
        <charset val="1"/>
      </rPr>
      <t xml:space="preserve">1</t>
    </r>
    <r>
      <rPr>
        <sz val="12"/>
        <rFont val="Noto Sans CJK SC"/>
        <family val="2"/>
      </rPr>
      <t xml:space="preserve">～</t>
    </r>
    <r>
      <rPr>
        <sz val="12"/>
        <rFont val="微软雅黑"/>
        <family val="0"/>
        <charset val="1"/>
      </rPr>
      <t xml:space="preserve">13 </t>
    </r>
    <r>
      <rPr>
        <sz val="12"/>
        <rFont val="Noto Sans CJK SC"/>
        <family val="2"/>
      </rPr>
      <t xml:space="preserve">与技能表弹道效果相同；示例数值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</si>
</sst>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微软雅黑"/>
      <family val="0"/>
      <charset val="1"/>
    </font>
    <font>
      <sz val="12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G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false" outlineLevel="0" max="28" min="9" style="0" width="13"/>
    <col collapsed="false" customWidth="true" hidden="false" outlineLevel="0" max="29" min="29" style="0" width="18"/>
    <col collapsed="false" customWidth="true" hidden="false" outlineLevel="0" max="30" min="30" style="0" width="8"/>
    <col collapsed="false" customWidth="true" hidden="false" outlineLevel="0" max="50" min="31" style="0" width="13"/>
    <col collapsed="false" customWidth="true" hidden="false" outlineLevel="0" max="51" min="51" style="0" width="18"/>
    <col collapsed="false" customWidth="true" hidden="false" outlineLevel="0" max="52" min="52" style="0" width="8"/>
    <col collapsed="false" customWidth="true" hidden="false" outlineLevel="0" max="72" min="53" style="0" width="13"/>
    <col collapsed="false" customWidth="true" hidden="false" outlineLevel="0" max="73" min="73" style="0" width="18"/>
    <col collapsed="false" customWidth="true" hidden="false" outlineLevel="0" max="74" min="74" style="0" width="8"/>
    <col collapsed="false" customWidth="true" hidden="false" outlineLevel="0" max="94" min="75" style="0" width="13"/>
    <col collapsed="false" customWidth="true" hidden="false" outlineLevel="0" max="95" min="95" style="0" width="16"/>
    <col collapsed="false" customWidth="true" hidden="false" outlineLevel="0" max="96" min="96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1"/>
      <c r="CR1" s="1"/>
    </row>
    <row r="2" customFormat="false" ht="15" hidden="false" customHeight="false" outlineLevel="0" collapsed="false">
      <c r="A2" s="1" t="s">
        <v>7</v>
      </c>
      <c r="B2" s="1" t="s">
        <v>8</v>
      </c>
      <c r="C2" s="1" t="s">
        <v>9</v>
      </c>
      <c r="D2" s="1" t="s">
        <v>9</v>
      </c>
      <c r="E2" s="1" t="s">
        <v>10</v>
      </c>
      <c r="F2" s="1" t="s">
        <v>8</v>
      </c>
      <c r="G2" s="2" t="s">
        <v>11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1"/>
      <c r="CR2" s="1"/>
    </row>
    <row r="3" customFormat="false" ht="15" hidden="false" customHeight="false" outlineLevel="0" collapsed="false">
      <c r="A3" s="1" t="s">
        <v>12</v>
      </c>
      <c r="B3" s="1"/>
      <c r="C3" s="1" t="s">
        <v>13</v>
      </c>
      <c r="D3" s="1" t="s">
        <v>13</v>
      </c>
      <c r="E3" s="1"/>
      <c r="F3" s="1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1"/>
      <c r="CR3" s="1"/>
    </row>
    <row r="4" customFormat="false" ht="19.4" hidden="false" customHeight="false" outlineLevel="0" collapsed="false">
      <c r="A4" s="1" t="s">
        <v>14</v>
      </c>
      <c r="B4" s="4" t="s">
        <v>15</v>
      </c>
      <c r="C4" s="4" t="s">
        <v>16</v>
      </c>
      <c r="D4" s="4" t="s">
        <v>17</v>
      </c>
      <c r="E4" s="4" t="s">
        <v>18</v>
      </c>
      <c r="F4" s="4" t="s">
        <v>19</v>
      </c>
      <c r="G4" s="4" t="s">
        <v>20</v>
      </c>
      <c r="H4" s="4" t="s">
        <v>21</v>
      </c>
      <c r="I4" s="4" t="s">
        <v>22</v>
      </c>
      <c r="J4" s="4" t="s">
        <v>23</v>
      </c>
      <c r="K4" s="4" t="s">
        <v>24</v>
      </c>
      <c r="L4" s="4" t="s">
        <v>25</v>
      </c>
      <c r="M4" s="4" t="s">
        <v>26</v>
      </c>
      <c r="N4" s="4" t="s">
        <v>27</v>
      </c>
      <c r="O4" s="4" t="s">
        <v>28</v>
      </c>
      <c r="P4" s="4" t="s">
        <v>29</v>
      </c>
      <c r="Q4" s="4" t="s">
        <v>30</v>
      </c>
      <c r="R4" s="4" t="s">
        <v>31</v>
      </c>
      <c r="S4" s="4" t="s">
        <v>32</v>
      </c>
      <c r="T4" s="4" t="s">
        <v>33</v>
      </c>
      <c r="U4" s="4" t="s">
        <v>34</v>
      </c>
      <c r="V4" s="4" t="s">
        <v>35</v>
      </c>
      <c r="W4" s="4" t="s">
        <v>36</v>
      </c>
      <c r="X4" s="4" t="s">
        <v>37</v>
      </c>
      <c r="Y4" s="4" t="s">
        <v>38</v>
      </c>
      <c r="Z4" s="4" t="s">
        <v>39</v>
      </c>
      <c r="AA4" s="4" t="s">
        <v>40</v>
      </c>
      <c r="AB4" s="4" t="s">
        <v>41</v>
      </c>
      <c r="AC4" s="4" t="s">
        <v>42</v>
      </c>
      <c r="AD4" s="4" t="s">
        <v>43</v>
      </c>
      <c r="AE4" s="4" t="s">
        <v>44</v>
      </c>
      <c r="AF4" s="4" t="s">
        <v>45</v>
      </c>
      <c r="AG4" s="4" t="s">
        <v>46</v>
      </c>
      <c r="AH4" s="4" t="s">
        <v>47</v>
      </c>
      <c r="AI4" s="4" t="s">
        <v>48</v>
      </c>
      <c r="AJ4" s="4" t="s">
        <v>49</v>
      </c>
      <c r="AK4" s="4" t="s">
        <v>50</v>
      </c>
      <c r="AL4" s="4" t="s">
        <v>51</v>
      </c>
      <c r="AM4" s="4" t="s">
        <v>52</v>
      </c>
      <c r="AN4" s="4" t="s">
        <v>53</v>
      </c>
      <c r="AO4" s="4" t="s">
        <v>54</v>
      </c>
      <c r="AP4" s="4" t="s">
        <v>55</v>
      </c>
      <c r="AQ4" s="4" t="s">
        <v>56</v>
      </c>
      <c r="AR4" s="4" t="s">
        <v>57</v>
      </c>
      <c r="AS4" s="4" t="s">
        <v>58</v>
      </c>
      <c r="AT4" s="4" t="s">
        <v>59</v>
      </c>
      <c r="AU4" s="4" t="s">
        <v>60</v>
      </c>
      <c r="AV4" s="4" t="s">
        <v>61</v>
      </c>
      <c r="AW4" s="4" t="s">
        <v>62</v>
      </c>
      <c r="AX4" s="4" t="s">
        <v>63</v>
      </c>
      <c r="AY4" s="4" t="s">
        <v>64</v>
      </c>
      <c r="AZ4" s="4" t="s">
        <v>65</v>
      </c>
      <c r="BA4" s="4" t="s">
        <v>66</v>
      </c>
      <c r="BB4" s="4" t="s">
        <v>67</v>
      </c>
      <c r="BC4" s="4" t="s">
        <v>68</v>
      </c>
      <c r="BD4" s="4" t="s">
        <v>69</v>
      </c>
      <c r="BE4" s="4" t="s">
        <v>70</v>
      </c>
      <c r="BF4" s="4" t="s">
        <v>71</v>
      </c>
      <c r="BG4" s="4" t="s">
        <v>72</v>
      </c>
      <c r="BH4" s="4" t="s">
        <v>73</v>
      </c>
      <c r="BI4" s="4" t="s">
        <v>74</v>
      </c>
      <c r="BJ4" s="4" t="s">
        <v>75</v>
      </c>
      <c r="BK4" s="4" t="s">
        <v>76</v>
      </c>
      <c r="BL4" s="4" t="s">
        <v>77</v>
      </c>
      <c r="BM4" s="4" t="s">
        <v>78</v>
      </c>
      <c r="BN4" s="4" t="s">
        <v>79</v>
      </c>
      <c r="BO4" s="4" t="s">
        <v>80</v>
      </c>
      <c r="BP4" s="4" t="s">
        <v>81</v>
      </c>
      <c r="BQ4" s="4" t="s">
        <v>82</v>
      </c>
      <c r="BR4" s="4" t="s">
        <v>83</v>
      </c>
      <c r="BS4" s="4" t="s">
        <v>84</v>
      </c>
      <c r="BT4" s="4" t="s">
        <v>85</v>
      </c>
      <c r="BU4" s="4" t="s">
        <v>86</v>
      </c>
      <c r="BV4" s="4" t="s">
        <v>87</v>
      </c>
      <c r="BW4" s="4" t="s">
        <v>88</v>
      </c>
      <c r="BX4" s="4" t="s">
        <v>89</v>
      </c>
      <c r="BY4" s="4" t="s">
        <v>90</v>
      </c>
      <c r="BZ4" s="4" t="s">
        <v>91</v>
      </c>
      <c r="CA4" s="4" t="s">
        <v>92</v>
      </c>
      <c r="CB4" s="4" t="s">
        <v>93</v>
      </c>
      <c r="CC4" s="4" t="s">
        <v>94</v>
      </c>
      <c r="CD4" s="4" t="s">
        <v>95</v>
      </c>
      <c r="CE4" s="4" t="s">
        <v>96</v>
      </c>
      <c r="CF4" s="4" t="s">
        <v>97</v>
      </c>
      <c r="CG4" s="4" t="s">
        <v>98</v>
      </c>
      <c r="CH4" s="4" t="s">
        <v>99</v>
      </c>
      <c r="CI4" s="4" t="s">
        <v>100</v>
      </c>
      <c r="CJ4" s="4" t="s">
        <v>101</v>
      </c>
      <c r="CK4" s="4" t="s">
        <v>102</v>
      </c>
      <c r="CL4" s="4" t="s">
        <v>103</v>
      </c>
      <c r="CM4" s="4" t="s">
        <v>104</v>
      </c>
      <c r="CN4" s="4" t="s">
        <v>105</v>
      </c>
      <c r="CO4" s="4" t="s">
        <v>106</v>
      </c>
      <c r="CP4" s="4" t="s">
        <v>107</v>
      </c>
      <c r="CQ4" s="4" t="s">
        <v>108</v>
      </c>
      <c r="CR4" s="4" t="s">
        <v>109</v>
      </c>
    </row>
    <row r="5" customFormat="false" ht="19.4" hidden="false" customHeight="false" outlineLevel="0" collapsed="false">
      <c r="A5" s="5" t="s">
        <v>14</v>
      </c>
      <c r="B5" s="5"/>
      <c r="C5" s="6" t="s">
        <v>110</v>
      </c>
      <c r="D5" s="6" t="s">
        <v>111</v>
      </c>
      <c r="E5" s="5"/>
      <c r="F5" s="5"/>
      <c r="G5" s="6" t="s">
        <v>112</v>
      </c>
      <c r="H5" s="6" t="s">
        <v>113</v>
      </c>
      <c r="I5" s="6" t="s">
        <v>114</v>
      </c>
      <c r="J5" s="6" t="s">
        <v>115</v>
      </c>
      <c r="K5" s="6" t="s">
        <v>116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</row>
    <row r="6" customFormat="false" ht="19.4" hidden="false" customHeight="false" outlineLevel="0" collapsed="false">
      <c r="A6" s="5" t="s">
        <v>14</v>
      </c>
      <c r="B6" s="5"/>
      <c r="C6" s="6" t="s">
        <v>110</v>
      </c>
      <c r="D6" s="6" t="s">
        <v>117</v>
      </c>
      <c r="E6" s="5"/>
      <c r="F6" s="5"/>
      <c r="G6" s="6" t="s">
        <v>118</v>
      </c>
      <c r="H6" s="6" t="s">
        <v>113</v>
      </c>
      <c r="I6" s="6" t="s">
        <v>119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</row>
    <row r="7" customFormat="false" ht="19.4" hidden="false" customHeight="false" outlineLevel="0" collapsed="false">
      <c r="A7" s="5" t="s">
        <v>14</v>
      </c>
      <c r="B7" s="5"/>
      <c r="C7" s="6" t="s">
        <v>110</v>
      </c>
      <c r="D7" s="6" t="s">
        <v>120</v>
      </c>
      <c r="E7" s="5"/>
      <c r="F7" s="5"/>
      <c r="G7" s="6" t="s">
        <v>121</v>
      </c>
      <c r="H7" s="6" t="s">
        <v>113</v>
      </c>
      <c r="I7" s="6" t="s">
        <v>122</v>
      </c>
      <c r="J7" s="6" t="s">
        <v>123</v>
      </c>
      <c r="K7" s="6" t="s">
        <v>124</v>
      </c>
      <c r="L7" s="6" t="s">
        <v>125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</row>
    <row r="8" customFormat="false" ht="19.4" hidden="false" customHeight="false" outlineLevel="0" collapsed="false">
      <c r="A8" s="5" t="s">
        <v>14</v>
      </c>
      <c r="B8" s="5"/>
      <c r="C8" s="6" t="s">
        <v>110</v>
      </c>
      <c r="D8" s="6" t="s">
        <v>126</v>
      </c>
      <c r="E8" s="5"/>
      <c r="F8" s="5"/>
      <c r="G8" s="6" t="s">
        <v>127</v>
      </c>
      <c r="H8" s="6" t="s">
        <v>113</v>
      </c>
      <c r="I8" s="6" t="s">
        <v>122</v>
      </c>
      <c r="J8" s="6" t="s">
        <v>128</v>
      </c>
      <c r="K8" s="6" t="s">
        <v>129</v>
      </c>
      <c r="L8" s="6" t="s">
        <v>130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</row>
    <row r="9" customFormat="false" ht="19.4" hidden="false" customHeight="false" outlineLevel="0" collapsed="false">
      <c r="A9" s="5" t="s">
        <v>14</v>
      </c>
      <c r="B9" s="5"/>
      <c r="C9" s="6" t="s">
        <v>110</v>
      </c>
      <c r="D9" s="6" t="s">
        <v>131</v>
      </c>
      <c r="E9" s="5"/>
      <c r="F9" s="5"/>
      <c r="G9" s="6" t="s">
        <v>132</v>
      </c>
      <c r="H9" s="6" t="s">
        <v>113</v>
      </c>
      <c r="I9" s="6" t="s">
        <v>122</v>
      </c>
      <c r="J9" s="6" t="s">
        <v>133</v>
      </c>
      <c r="K9" s="6" t="s">
        <v>134</v>
      </c>
      <c r="L9" s="6" t="s">
        <v>135</v>
      </c>
      <c r="M9" s="6" t="s">
        <v>136</v>
      </c>
      <c r="N9" s="6" t="s">
        <v>137</v>
      </c>
      <c r="O9" s="6" t="s">
        <v>138</v>
      </c>
      <c r="P9" s="6" t="s">
        <v>139</v>
      </c>
      <c r="Q9" s="6" t="s">
        <v>140</v>
      </c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</row>
    <row r="10" customFormat="false" ht="19.4" hidden="false" customHeight="false" outlineLevel="0" collapsed="false">
      <c r="A10" s="5" t="s">
        <v>14</v>
      </c>
      <c r="B10" s="5"/>
      <c r="C10" s="6" t="s">
        <v>110</v>
      </c>
      <c r="D10" s="6" t="s">
        <v>141</v>
      </c>
      <c r="E10" s="5"/>
      <c r="F10" s="5"/>
      <c r="G10" s="6" t="s">
        <v>142</v>
      </c>
      <c r="H10" s="6" t="s">
        <v>113</v>
      </c>
      <c r="I10" s="6" t="s">
        <v>143</v>
      </c>
      <c r="J10" s="6" t="s">
        <v>144</v>
      </c>
      <c r="K10" s="6" t="s">
        <v>145</v>
      </c>
      <c r="L10" s="6" t="s">
        <v>124</v>
      </c>
      <c r="M10" s="6" t="s">
        <v>125</v>
      </c>
      <c r="N10" s="6" t="s">
        <v>146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</row>
    <row r="11" customFormat="false" ht="19.4" hidden="false" customHeight="false" outlineLevel="0" collapsed="false">
      <c r="A11" s="5" t="s">
        <v>14</v>
      </c>
      <c r="B11" s="5"/>
      <c r="C11" s="6" t="s">
        <v>110</v>
      </c>
      <c r="D11" s="6" t="s">
        <v>147</v>
      </c>
      <c r="E11" s="5"/>
      <c r="F11" s="5"/>
      <c r="G11" s="6" t="s">
        <v>148</v>
      </c>
      <c r="H11" s="6" t="s">
        <v>113</v>
      </c>
      <c r="I11" s="6" t="s">
        <v>149</v>
      </c>
      <c r="J11" s="6" t="s">
        <v>150</v>
      </c>
      <c r="K11" s="6" t="s">
        <v>151</v>
      </c>
      <c r="L11" s="6" t="s">
        <v>152</v>
      </c>
      <c r="M11" s="6" t="s">
        <v>153</v>
      </c>
      <c r="N11" s="6" t="s">
        <v>154</v>
      </c>
      <c r="O11" s="6" t="s">
        <v>155</v>
      </c>
      <c r="P11" s="6" t="s">
        <v>139</v>
      </c>
      <c r="Q11" s="6" t="s">
        <v>140</v>
      </c>
      <c r="R11" s="6" t="s">
        <v>156</v>
      </c>
      <c r="S11" s="6" t="s">
        <v>157</v>
      </c>
      <c r="T11" s="6" t="s">
        <v>158</v>
      </c>
      <c r="U11" s="6" t="s">
        <v>159</v>
      </c>
      <c r="V11" s="6" t="s">
        <v>160</v>
      </c>
      <c r="W11" s="6" t="s">
        <v>161</v>
      </c>
      <c r="X11" s="6" t="s">
        <v>162</v>
      </c>
      <c r="Y11" s="6" t="s">
        <v>163</v>
      </c>
      <c r="Z11" s="6" t="s">
        <v>164</v>
      </c>
      <c r="AA11" s="6" t="s">
        <v>165</v>
      </c>
      <c r="AB11" s="6" t="s">
        <v>166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</row>
    <row r="12" customFormat="false" ht="19.4" hidden="false" customHeight="false" outlineLevel="0" collapsed="false">
      <c r="A12" s="5" t="s">
        <v>14</v>
      </c>
      <c r="B12" s="5"/>
      <c r="C12" s="6" t="s">
        <v>110</v>
      </c>
      <c r="D12" s="6" t="s">
        <v>167</v>
      </c>
      <c r="E12" s="5"/>
      <c r="F12" s="5"/>
      <c r="G12" s="6" t="s">
        <v>168</v>
      </c>
      <c r="H12" s="6" t="s">
        <v>113</v>
      </c>
      <c r="I12" s="6" t="s">
        <v>150</v>
      </c>
      <c r="J12" s="6" t="s">
        <v>151</v>
      </c>
      <c r="K12" s="6" t="s">
        <v>152</v>
      </c>
      <c r="L12" s="6" t="s">
        <v>153</v>
      </c>
      <c r="M12" s="6" t="s">
        <v>154</v>
      </c>
      <c r="N12" s="6" t="s">
        <v>155</v>
      </c>
      <c r="O12" s="6" t="s">
        <v>139</v>
      </c>
      <c r="P12" s="6" t="s">
        <v>140</v>
      </c>
      <c r="Q12" s="6" t="s">
        <v>156</v>
      </c>
      <c r="R12" s="6" t="s">
        <v>157</v>
      </c>
      <c r="S12" s="6" t="s">
        <v>158</v>
      </c>
      <c r="T12" s="6" t="s">
        <v>159</v>
      </c>
      <c r="U12" s="6" t="s">
        <v>160</v>
      </c>
      <c r="V12" s="6" t="s">
        <v>161</v>
      </c>
      <c r="W12" s="6" t="s">
        <v>162</v>
      </c>
      <c r="X12" s="6" t="s">
        <v>163</v>
      </c>
      <c r="Y12" s="6" t="s">
        <v>164</v>
      </c>
      <c r="Z12" s="6" t="s">
        <v>165</v>
      </c>
      <c r="AA12" s="6" t="s">
        <v>166</v>
      </c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</row>
    <row r="13" customFormat="false" ht="19.4" hidden="false" customHeight="false" outlineLevel="0" collapsed="false">
      <c r="A13" s="5" t="s">
        <v>14</v>
      </c>
      <c r="B13" s="5"/>
      <c r="C13" s="6" t="s">
        <v>110</v>
      </c>
      <c r="D13" s="6" t="s">
        <v>169</v>
      </c>
      <c r="E13" s="5"/>
      <c r="F13" s="5"/>
      <c r="G13" s="6" t="s">
        <v>170</v>
      </c>
      <c r="H13" s="6" t="s">
        <v>113</v>
      </c>
      <c r="I13" s="6" t="s">
        <v>149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</row>
    <row r="14" customFormat="false" ht="19.4" hidden="false" customHeight="false" outlineLevel="0" collapsed="false">
      <c r="A14" s="5" t="s">
        <v>14</v>
      </c>
      <c r="B14" s="5"/>
      <c r="C14" s="6" t="s">
        <v>110</v>
      </c>
      <c r="D14" s="6" t="s">
        <v>171</v>
      </c>
      <c r="E14" s="5"/>
      <c r="F14" s="5"/>
      <c r="G14" s="6" t="s">
        <v>172</v>
      </c>
      <c r="H14" s="6" t="s">
        <v>113</v>
      </c>
      <c r="I14" s="6" t="s">
        <v>173</v>
      </c>
      <c r="J14" s="6" t="s">
        <v>174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</row>
    <row r="15" customFormat="false" ht="19.4" hidden="false" customHeight="false" outlineLevel="0" collapsed="false">
      <c r="A15" s="7" t="s">
        <v>14</v>
      </c>
      <c r="B15" s="7" t="n">
        <v>1</v>
      </c>
      <c r="C15" s="7" t="s">
        <v>175</v>
      </c>
      <c r="D15" s="8" t="s">
        <v>176</v>
      </c>
      <c r="E15" s="8" t="s">
        <v>177</v>
      </c>
      <c r="F15" s="7" t="n">
        <v>0</v>
      </c>
      <c r="G15" s="8" t="s">
        <v>112</v>
      </c>
      <c r="H15" s="7"/>
      <c r="I15" s="8" t="s">
        <v>178</v>
      </c>
      <c r="J15" s="8" t="s">
        <v>179</v>
      </c>
      <c r="K15" s="7" t="n">
        <v>1000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 t="str">
        <f aca="false">IF((E15&lt;&gt;"无")+(F15&lt;&gt;0)=1,"通过","检查对象填写")</f>
        <v>通过</v>
      </c>
      <c r="CR15" s="8" t="s">
        <v>180</v>
      </c>
    </row>
    <row r="16" customFormat="false" ht="19.4" hidden="false" customHeight="false" outlineLevel="0" collapsed="false">
      <c r="A16" s="7" t="s">
        <v>14</v>
      </c>
      <c r="B16" s="7" t="n">
        <v>2</v>
      </c>
      <c r="C16" s="7" t="s">
        <v>181</v>
      </c>
      <c r="D16" s="8" t="s">
        <v>182</v>
      </c>
      <c r="E16" s="8" t="s">
        <v>183</v>
      </c>
      <c r="F16" s="7" t="n">
        <v>100100</v>
      </c>
      <c r="G16" s="8" t="s">
        <v>112</v>
      </c>
      <c r="H16" s="7"/>
      <c r="I16" s="8" t="s">
        <v>184</v>
      </c>
      <c r="J16" s="8" t="s">
        <v>179</v>
      </c>
      <c r="K16" s="7" t="n">
        <v>-1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 t="str">
        <f aca="false">IF((E16&lt;&gt;"无")+(F16&lt;&gt;0)=1,"通过","检查对象填写")</f>
        <v>通过</v>
      </c>
      <c r="CR16" s="8" t="s">
        <v>185</v>
      </c>
    </row>
    <row r="17" customFormat="false" ht="19.4" hidden="false" customHeight="false" outlineLevel="0" collapsed="false">
      <c r="A17" s="7" t="s">
        <v>14</v>
      </c>
      <c r="B17" s="7" t="n">
        <v>3</v>
      </c>
      <c r="C17" s="7" t="s">
        <v>186</v>
      </c>
      <c r="D17" s="8" t="s">
        <v>187</v>
      </c>
      <c r="E17" s="8" t="s">
        <v>188</v>
      </c>
      <c r="F17" s="7" t="n">
        <v>0</v>
      </c>
      <c r="G17" s="8" t="s">
        <v>112</v>
      </c>
      <c r="H17" s="7"/>
      <c r="I17" s="8" t="s">
        <v>189</v>
      </c>
      <c r="J17" s="8" t="s">
        <v>190</v>
      </c>
      <c r="K17" s="7" t="n">
        <v>-1000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 t="str">
        <f aca="false">IF((E17&lt;&gt;"无")+(F17&lt;&gt;0)=1,"通过","检查对象填写")</f>
        <v>通过</v>
      </c>
      <c r="CR17" s="8" t="s">
        <v>191</v>
      </c>
    </row>
    <row r="18" customFormat="false" ht="19.4" hidden="false" customHeight="false" outlineLevel="0" collapsed="false">
      <c r="A18" s="7" t="s">
        <v>14</v>
      </c>
      <c r="B18" s="7" t="n">
        <v>4</v>
      </c>
      <c r="C18" s="7" t="s">
        <v>192</v>
      </c>
      <c r="D18" s="8" t="s">
        <v>193</v>
      </c>
      <c r="E18" s="8" t="s">
        <v>183</v>
      </c>
      <c r="F18" s="7" t="n">
        <v>100100</v>
      </c>
      <c r="G18" s="8" t="s">
        <v>112</v>
      </c>
      <c r="H18" s="7"/>
      <c r="I18" s="8" t="s">
        <v>194</v>
      </c>
      <c r="J18" s="8" t="s">
        <v>179</v>
      </c>
      <c r="K18" s="7" t="n">
        <v>-2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8" t="s">
        <v>112</v>
      </c>
      <c r="AD18" s="7"/>
      <c r="AE18" s="8" t="s">
        <v>184</v>
      </c>
      <c r="AF18" s="8" t="s">
        <v>179</v>
      </c>
      <c r="AG18" s="7" t="n">
        <v>1</v>
      </c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 t="str">
        <f aca="false">IF((E18&lt;&gt;"无")+(F18&lt;&gt;0)=1,"通过","检查对象填写")</f>
        <v>通过</v>
      </c>
      <c r="CR18" s="8" t="s">
        <v>195</v>
      </c>
    </row>
    <row r="19" customFormat="false" ht="19.4" hidden="false" customHeight="false" outlineLevel="0" collapsed="false">
      <c r="A19" s="7" t="s">
        <v>14</v>
      </c>
      <c r="B19" s="7" t="n">
        <v>5</v>
      </c>
      <c r="C19" s="7" t="s">
        <v>196</v>
      </c>
      <c r="D19" s="8" t="s">
        <v>197</v>
      </c>
      <c r="E19" s="8" t="s">
        <v>188</v>
      </c>
      <c r="F19" s="7" t="n">
        <v>0</v>
      </c>
      <c r="G19" s="8" t="s">
        <v>121</v>
      </c>
      <c r="H19" s="7"/>
      <c r="I19" s="8" t="s">
        <v>198</v>
      </c>
      <c r="J19" s="8" t="s">
        <v>136</v>
      </c>
      <c r="K19" s="8" t="s">
        <v>179</v>
      </c>
      <c r="L19" s="7" t="n">
        <v>2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 t="str">
        <f aca="false">IF((E19&lt;&gt;"无")+(F19&lt;&gt;0)=1,"通过","检查对象填写")</f>
        <v>通过</v>
      </c>
      <c r="CR19" s="7"/>
    </row>
    <row r="20" customFormat="false" ht="19.4" hidden="false" customHeight="false" outlineLevel="0" collapsed="false">
      <c r="A20" s="7" t="s">
        <v>14</v>
      </c>
      <c r="B20" s="7" t="n">
        <v>6</v>
      </c>
      <c r="C20" s="7" t="s">
        <v>199</v>
      </c>
      <c r="D20" s="8" t="s">
        <v>200</v>
      </c>
      <c r="E20" s="8" t="s">
        <v>188</v>
      </c>
      <c r="F20" s="7" t="n">
        <v>0</v>
      </c>
      <c r="G20" s="8" t="s">
        <v>121</v>
      </c>
      <c r="H20" s="7"/>
      <c r="I20" s="8" t="s">
        <v>198</v>
      </c>
      <c r="J20" s="8" t="s">
        <v>139</v>
      </c>
      <c r="K20" s="8" t="s">
        <v>190</v>
      </c>
      <c r="L20" s="7" t="n">
        <v>2000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 t="str">
        <f aca="false">IF((E20&lt;&gt;"无")+(F20&lt;&gt;0)=1,"通过","检查对象填写")</f>
        <v>通过</v>
      </c>
      <c r="CR20" s="8" t="s">
        <v>201</v>
      </c>
    </row>
    <row r="21" customFormat="false" ht="19.4" hidden="false" customHeight="false" outlineLevel="0" collapsed="false">
      <c r="A21" s="7" t="s">
        <v>14</v>
      </c>
      <c r="B21" s="7" t="n">
        <v>7</v>
      </c>
      <c r="C21" s="7" t="s">
        <v>202</v>
      </c>
      <c r="D21" s="8" t="s">
        <v>203</v>
      </c>
      <c r="E21" s="8" t="s">
        <v>204</v>
      </c>
      <c r="F21" s="7" t="n">
        <v>0</v>
      </c>
      <c r="G21" s="8" t="s">
        <v>142</v>
      </c>
      <c r="H21" s="7"/>
      <c r="I21" s="7" t="n">
        <v>2</v>
      </c>
      <c r="J21" s="8" t="s">
        <v>183</v>
      </c>
      <c r="K21" s="8" t="s">
        <v>140</v>
      </c>
      <c r="L21" s="8" t="s">
        <v>190</v>
      </c>
      <c r="M21" s="7" t="n">
        <v>2000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 t="str">
        <f aca="false">IF((E21&lt;&gt;"无")+(F21&lt;&gt;0)=1,"通过","检查对象填写")</f>
        <v>通过</v>
      </c>
      <c r="CR21" s="8" t="s">
        <v>205</v>
      </c>
    </row>
    <row r="22" customFormat="false" ht="19.4" hidden="false" customHeight="false" outlineLevel="0" collapsed="false">
      <c r="A22" s="7" t="s">
        <v>14</v>
      </c>
      <c r="B22" s="7" t="n">
        <v>8</v>
      </c>
      <c r="C22" s="7" t="s">
        <v>206</v>
      </c>
      <c r="D22" s="8" t="s">
        <v>207</v>
      </c>
      <c r="E22" s="8" t="s">
        <v>208</v>
      </c>
      <c r="F22" s="7" t="n">
        <v>0</v>
      </c>
      <c r="G22" s="8" t="s">
        <v>142</v>
      </c>
      <c r="H22" s="7"/>
      <c r="I22" s="7" t="n">
        <v>0</v>
      </c>
      <c r="J22" s="8" t="s">
        <v>209</v>
      </c>
      <c r="K22" s="8" t="s">
        <v>156</v>
      </c>
      <c r="L22" s="8" t="s">
        <v>179</v>
      </c>
      <c r="M22" s="7" t="n">
        <v>50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 t="str">
        <f aca="false">IF((E22&lt;&gt;"无")+(F22&lt;&gt;0)=1,"通过","检查对象填写")</f>
        <v>通过</v>
      </c>
      <c r="CR22" s="8" t="s">
        <v>210</v>
      </c>
    </row>
    <row r="23" customFormat="false" ht="19.4" hidden="false" customHeight="false" outlineLevel="0" collapsed="false">
      <c r="A23" s="7" t="s">
        <v>14</v>
      </c>
      <c r="B23" s="7" t="n">
        <v>9</v>
      </c>
      <c r="C23" s="7" t="s">
        <v>211</v>
      </c>
      <c r="D23" s="8" t="s">
        <v>212</v>
      </c>
      <c r="E23" s="8" t="s">
        <v>188</v>
      </c>
      <c r="F23" s="7" t="n">
        <v>0</v>
      </c>
      <c r="G23" s="8" t="s">
        <v>142</v>
      </c>
      <c r="H23" s="7"/>
      <c r="I23" s="7" t="n">
        <v>1</v>
      </c>
      <c r="J23" s="8" t="s">
        <v>183</v>
      </c>
      <c r="K23" s="8" t="s">
        <v>159</v>
      </c>
      <c r="L23" s="8" t="s">
        <v>179</v>
      </c>
      <c r="M23" s="7" t="n">
        <v>1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 t="str">
        <f aca="false">IF((E23&lt;&gt;"无")+(F23&lt;&gt;0)=1,"通过","检查对象填写")</f>
        <v>通过</v>
      </c>
      <c r="CR23" s="7"/>
    </row>
    <row r="24" customFormat="false" ht="19.4" hidden="false" customHeight="false" outlineLevel="0" collapsed="false">
      <c r="A24" s="7" t="s">
        <v>14</v>
      </c>
      <c r="B24" s="7" t="n">
        <v>10</v>
      </c>
      <c r="C24" s="7" t="s">
        <v>213</v>
      </c>
      <c r="D24" s="8" t="s">
        <v>214</v>
      </c>
      <c r="E24" s="8" t="s">
        <v>188</v>
      </c>
      <c r="F24" s="7" t="n">
        <v>0</v>
      </c>
      <c r="G24" s="8" t="s">
        <v>142</v>
      </c>
      <c r="H24" s="7"/>
      <c r="I24" s="7" t="n">
        <v>1</v>
      </c>
      <c r="J24" s="8" t="s">
        <v>183</v>
      </c>
      <c r="K24" s="8" t="s">
        <v>165</v>
      </c>
      <c r="L24" s="8" t="s">
        <v>179</v>
      </c>
      <c r="M24" s="7" t="n">
        <v>1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 t="str">
        <f aca="false">IF((E24&lt;&gt;"无")+(F24&lt;&gt;0)=1,"通过","检查对象填写")</f>
        <v>通过</v>
      </c>
      <c r="CR24" s="7"/>
    </row>
    <row r="25" customFormat="false" ht="19.4" hidden="false" customHeight="false" outlineLevel="0" collapsed="false">
      <c r="A25" s="7" t="s">
        <v>14</v>
      </c>
      <c r="B25" s="7" t="n">
        <v>11</v>
      </c>
      <c r="C25" s="7" t="s">
        <v>215</v>
      </c>
      <c r="D25" s="8" t="s">
        <v>216</v>
      </c>
      <c r="E25" s="8" t="s">
        <v>188</v>
      </c>
      <c r="F25" s="7" t="n">
        <v>0</v>
      </c>
      <c r="G25" s="8" t="s">
        <v>118</v>
      </c>
      <c r="H25" s="7"/>
      <c r="I25" s="8" t="s">
        <v>217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8" t="s">
        <v>132</v>
      </c>
      <c r="AD25" s="7"/>
      <c r="AE25" s="8" t="s">
        <v>198</v>
      </c>
      <c r="AF25" s="8" t="s">
        <v>218</v>
      </c>
      <c r="AG25" s="8" t="s">
        <v>219</v>
      </c>
      <c r="AH25" s="7" t="n">
        <v>0</v>
      </c>
      <c r="AI25" s="7" t="n">
        <v>5</v>
      </c>
      <c r="AJ25" s="9" t="b">
        <f aca="false">FALSE()</f>
        <v>0</v>
      </c>
      <c r="AK25" s="8" t="s">
        <v>220</v>
      </c>
      <c r="AL25" s="7" t="n">
        <v>300</v>
      </c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 t="str">
        <f aca="false">IF((E25&lt;&gt;"无")+(F25&lt;&gt;0)=1,"通过","检查对象填写")</f>
        <v>通过</v>
      </c>
      <c r="CR25" s="8" t="s">
        <v>221</v>
      </c>
    </row>
    <row r="26" customFormat="false" ht="19.4" hidden="false" customHeight="false" outlineLevel="0" collapsed="false">
      <c r="A26" s="7" t="s">
        <v>14</v>
      </c>
      <c r="B26" s="7" t="n">
        <v>12</v>
      </c>
      <c r="C26" s="7" t="s">
        <v>222</v>
      </c>
      <c r="D26" s="8" t="s">
        <v>223</v>
      </c>
      <c r="E26" s="8" t="s">
        <v>183</v>
      </c>
      <c r="F26" s="7" t="n">
        <v>100100</v>
      </c>
      <c r="G26" s="8" t="s">
        <v>172</v>
      </c>
      <c r="H26" s="7"/>
      <c r="I26" s="8" t="s">
        <v>224</v>
      </c>
      <c r="J26" s="7" t="s">
        <v>225</v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 t="str">
        <f aca="false">IF((E26&lt;&gt;"无")+(F26&lt;&gt;0)=1,"通过","检查对象填写")</f>
        <v>通过</v>
      </c>
      <c r="CR26" s="7"/>
    </row>
    <row r="27" customFormat="false" ht="19.4" hidden="false" customHeight="false" outlineLevel="0" collapsed="false">
      <c r="A27" s="7" t="s">
        <v>14</v>
      </c>
      <c r="B27" s="7" t="n">
        <v>13</v>
      </c>
      <c r="C27" s="7" t="s">
        <v>226</v>
      </c>
      <c r="D27" s="8" t="s">
        <v>227</v>
      </c>
      <c r="E27" s="8" t="s">
        <v>228</v>
      </c>
      <c r="F27" s="7" t="n">
        <v>0</v>
      </c>
      <c r="G27" s="8" t="s">
        <v>121</v>
      </c>
      <c r="H27" s="7"/>
      <c r="I27" s="8" t="s">
        <v>229</v>
      </c>
      <c r="J27" s="8" t="s">
        <v>139</v>
      </c>
      <c r="K27" s="8" t="s">
        <v>190</v>
      </c>
      <c r="L27" s="7" t="n">
        <v>2000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 t="str">
        <f aca="false">IF((E27&lt;&gt;"无")+(F27&lt;&gt;0)=1,"通过","检查对象填写")</f>
        <v>通过</v>
      </c>
      <c r="CR27" s="7"/>
    </row>
    <row r="28" customFormat="false" ht="19.4" hidden="false" customHeight="false" outlineLevel="0" collapsed="false">
      <c r="A28" s="7" t="s">
        <v>14</v>
      </c>
      <c r="B28" s="7" t="n">
        <v>14</v>
      </c>
      <c r="C28" s="7" t="s">
        <v>230</v>
      </c>
      <c r="D28" s="8" t="s">
        <v>231</v>
      </c>
      <c r="E28" s="8" t="s">
        <v>232</v>
      </c>
      <c r="F28" s="7" t="n">
        <v>0</v>
      </c>
      <c r="G28" s="8" t="s">
        <v>142</v>
      </c>
      <c r="H28" s="7"/>
      <c r="I28" s="7" t="n">
        <v>1</v>
      </c>
      <c r="J28" s="8" t="s">
        <v>183</v>
      </c>
      <c r="K28" s="8" t="s">
        <v>158</v>
      </c>
      <c r="L28" s="8" t="s">
        <v>179</v>
      </c>
      <c r="M28" s="7" t="n">
        <v>1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 t="str">
        <f aca="false">IF((E28&lt;&gt;"无")+(F28&lt;&gt;0)=1,"通过","检查对象填写")</f>
        <v>通过</v>
      </c>
      <c r="CR28" s="7"/>
    </row>
    <row r="29" customFormat="false" ht="19.4" hidden="false" customHeight="false" outlineLevel="0" collapsed="false">
      <c r="A29" s="7" t="s">
        <v>14</v>
      </c>
      <c r="B29" s="7" t="n">
        <v>15</v>
      </c>
      <c r="C29" s="7" t="s">
        <v>233</v>
      </c>
      <c r="D29" s="8" t="s">
        <v>234</v>
      </c>
      <c r="E29" s="8" t="s">
        <v>235</v>
      </c>
      <c r="F29" s="7" t="n">
        <v>0</v>
      </c>
      <c r="G29" s="8" t="s">
        <v>142</v>
      </c>
      <c r="H29" s="7"/>
      <c r="I29" s="7" t="n">
        <v>1</v>
      </c>
      <c r="J29" s="8" t="s">
        <v>183</v>
      </c>
      <c r="K29" s="8" t="s">
        <v>140</v>
      </c>
      <c r="L29" s="8" t="s">
        <v>179</v>
      </c>
      <c r="M29" s="7" t="n">
        <v>100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 t="str">
        <f aca="false">IF((E29&lt;&gt;"无")+(F29&lt;&gt;0)=1,"通过","检查对象填写")</f>
        <v>通过</v>
      </c>
      <c r="CR29" s="7"/>
    </row>
    <row r="30" customFormat="false" ht="19.4" hidden="false" customHeight="false" outlineLevel="0" collapsed="false">
      <c r="A30" s="7" t="s">
        <v>14</v>
      </c>
      <c r="B30" s="7" t="n">
        <v>16</v>
      </c>
      <c r="C30" s="7" t="s">
        <v>236</v>
      </c>
      <c r="D30" s="8" t="s">
        <v>237</v>
      </c>
      <c r="E30" s="8" t="s">
        <v>188</v>
      </c>
      <c r="F30" s="7" t="n">
        <v>0</v>
      </c>
      <c r="G30" s="8" t="s">
        <v>142</v>
      </c>
      <c r="H30" s="7"/>
      <c r="I30" s="7" t="n">
        <v>1</v>
      </c>
      <c r="J30" s="8" t="s">
        <v>183</v>
      </c>
      <c r="K30" s="8" t="s">
        <v>156</v>
      </c>
      <c r="L30" s="8" t="s">
        <v>190</v>
      </c>
      <c r="M30" s="7" t="n">
        <v>1000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 t="str">
        <f aca="false">IF((E30&lt;&gt;"无")+(F30&lt;&gt;0)=1,"通过","检查对象填写")</f>
        <v>通过</v>
      </c>
      <c r="CR30" s="7"/>
    </row>
    <row r="31" customFormat="false" ht="19.4" hidden="false" customHeight="false" outlineLevel="0" collapsed="false">
      <c r="A31" s="7" t="s">
        <v>14</v>
      </c>
      <c r="B31" s="7" t="n">
        <v>17</v>
      </c>
      <c r="C31" s="7" t="s">
        <v>238</v>
      </c>
      <c r="D31" s="8" t="s">
        <v>239</v>
      </c>
      <c r="E31" s="8" t="s">
        <v>240</v>
      </c>
      <c r="F31" s="7" t="n">
        <v>0</v>
      </c>
      <c r="G31" s="8" t="s">
        <v>142</v>
      </c>
      <c r="H31" s="7"/>
      <c r="I31" s="7" t="n">
        <v>0</v>
      </c>
      <c r="J31" s="8" t="s">
        <v>241</v>
      </c>
      <c r="K31" s="8" t="s">
        <v>140</v>
      </c>
      <c r="L31" s="8" t="s">
        <v>190</v>
      </c>
      <c r="M31" s="7" t="n">
        <v>500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 t="str">
        <f aca="false">IF((E31&lt;&gt;"无")+(F31&lt;&gt;0)=1,"通过","检查对象填写")</f>
        <v>通过</v>
      </c>
      <c r="CR31" s="8" t="s">
        <v>242</v>
      </c>
    </row>
    <row r="32" customFormat="false" ht="19.4" hidden="false" customHeight="false" outlineLevel="0" collapsed="false">
      <c r="A32" s="7" t="s">
        <v>14</v>
      </c>
      <c r="B32" s="7" t="n">
        <v>18</v>
      </c>
      <c r="C32" s="7" t="s">
        <v>243</v>
      </c>
      <c r="D32" s="8" t="s">
        <v>244</v>
      </c>
      <c r="E32" s="8" t="s">
        <v>245</v>
      </c>
      <c r="F32" s="7" t="n">
        <v>0</v>
      </c>
      <c r="G32" s="8" t="s">
        <v>142</v>
      </c>
      <c r="H32" s="7"/>
      <c r="I32" s="7" t="n">
        <v>0</v>
      </c>
      <c r="J32" s="8" t="s">
        <v>241</v>
      </c>
      <c r="K32" s="8" t="s">
        <v>140</v>
      </c>
      <c r="L32" s="8" t="s">
        <v>190</v>
      </c>
      <c r="M32" s="7" t="n">
        <v>500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 t="str">
        <f aca="false">IF((E32&lt;&gt;"无")+(F32&lt;&gt;0)=1,"通过","检查对象填写")</f>
        <v>通过</v>
      </c>
      <c r="CR32" s="8" t="s">
        <v>246</v>
      </c>
    </row>
    <row r="33" customFormat="false" ht="19.4" hidden="false" customHeight="false" outlineLevel="0" collapsed="false">
      <c r="A33" s="7" t="s">
        <v>14</v>
      </c>
      <c r="B33" s="7" t="n">
        <v>19</v>
      </c>
      <c r="C33" s="7" t="s">
        <v>247</v>
      </c>
      <c r="D33" s="8" t="s">
        <v>248</v>
      </c>
      <c r="E33" s="8" t="s">
        <v>188</v>
      </c>
      <c r="F33" s="7" t="n">
        <v>0</v>
      </c>
      <c r="G33" s="8" t="s">
        <v>142</v>
      </c>
      <c r="H33" s="7"/>
      <c r="I33" s="7" t="n">
        <v>1</v>
      </c>
      <c r="J33" s="8" t="s">
        <v>183</v>
      </c>
      <c r="K33" s="8" t="s">
        <v>166</v>
      </c>
      <c r="L33" s="8" t="s">
        <v>249</v>
      </c>
      <c r="M33" s="7" t="n">
        <v>10010001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 t="str">
        <f aca="false">IF((E33&lt;&gt;"无")+(F33&lt;&gt;0)=1,"通过","检查对象填写")</f>
        <v>通过</v>
      </c>
      <c r="CR33" s="7"/>
    </row>
    <row r="34" customFormat="false" ht="19.4" hidden="false" customHeight="false" outlineLevel="0" collapsed="false">
      <c r="A34" s="7" t="s">
        <v>14</v>
      </c>
      <c r="B34" s="7" t="n">
        <v>20</v>
      </c>
      <c r="C34" s="7" t="s">
        <v>250</v>
      </c>
      <c r="D34" s="8" t="s">
        <v>251</v>
      </c>
      <c r="E34" s="8" t="s">
        <v>204</v>
      </c>
      <c r="F34" s="7" t="n">
        <v>0</v>
      </c>
      <c r="G34" s="8" t="s">
        <v>170</v>
      </c>
      <c r="H34" s="7"/>
      <c r="I34" s="7" t="n">
        <v>2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 t="str">
        <f aca="false">IF((E34&lt;&gt;"无")+(F34&lt;&gt;0)=1,"通过","检查对象填写")</f>
        <v>通过</v>
      </c>
      <c r="CR34" s="7"/>
    </row>
    <row r="35" customFormat="false" ht="19.4" hidden="false" customHeight="false" outlineLevel="0" collapsed="false">
      <c r="A35" s="7" t="s">
        <v>14</v>
      </c>
      <c r="B35" s="7" t="n">
        <v>21</v>
      </c>
      <c r="C35" s="7" t="s">
        <v>252</v>
      </c>
      <c r="D35" s="8" t="s">
        <v>253</v>
      </c>
      <c r="E35" s="8" t="s">
        <v>188</v>
      </c>
      <c r="F35" s="7" t="n">
        <v>0</v>
      </c>
      <c r="G35" s="8" t="s">
        <v>142</v>
      </c>
      <c r="H35" s="7"/>
      <c r="I35" s="7" t="n">
        <v>1</v>
      </c>
      <c r="J35" s="8" t="s">
        <v>183</v>
      </c>
      <c r="K35" s="8" t="s">
        <v>164</v>
      </c>
      <c r="L35" s="8" t="s">
        <v>249</v>
      </c>
      <c r="M35" s="7" t="n">
        <v>30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 t="str">
        <f aca="false">IF((E35&lt;&gt;"无")+(F35&lt;&gt;0)=1,"通过","检查对象填写")</f>
        <v>通过</v>
      </c>
      <c r="CR35" s="7"/>
    </row>
    <row r="36" customFormat="false" ht="19.4" hidden="false" customHeight="false" outlineLevel="0" collapsed="false">
      <c r="A36" s="7" t="s">
        <v>14</v>
      </c>
      <c r="B36" s="7" t="n">
        <v>22</v>
      </c>
      <c r="C36" s="7" t="s">
        <v>254</v>
      </c>
      <c r="D36" s="8" t="s">
        <v>255</v>
      </c>
      <c r="E36" s="8" t="s">
        <v>188</v>
      </c>
      <c r="F36" s="7" t="n">
        <v>0</v>
      </c>
      <c r="G36" s="8" t="s">
        <v>168</v>
      </c>
      <c r="H36" s="7"/>
      <c r="I36" s="8" t="s">
        <v>256</v>
      </c>
      <c r="J36" s="8" t="s">
        <v>183</v>
      </c>
      <c r="K36" s="7" t="n">
        <v>10000</v>
      </c>
      <c r="L36" s="7" t="n">
        <v>0</v>
      </c>
      <c r="M36" s="8" t="s">
        <v>257</v>
      </c>
      <c r="N36" s="7" t="n">
        <v>0</v>
      </c>
      <c r="O36" s="7" t="n">
        <v>10010001</v>
      </c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 t="str">
        <f aca="false">IF((E36&lt;&gt;"无")+(F36&lt;&gt;0)=1,"通过","检查对象填写")</f>
        <v>通过</v>
      </c>
      <c r="CR36" s="8" t="s">
        <v>258</v>
      </c>
    </row>
    <row r="37" customFormat="false" ht="19.4" hidden="false" customHeight="false" outlineLevel="0" collapsed="false">
      <c r="A37" s="7" t="s">
        <v>14</v>
      </c>
      <c r="B37" s="7" t="n">
        <v>23</v>
      </c>
      <c r="C37" s="7" t="s">
        <v>259</v>
      </c>
      <c r="D37" s="8" t="s">
        <v>260</v>
      </c>
      <c r="E37" s="8" t="s">
        <v>188</v>
      </c>
      <c r="F37" s="7" t="n">
        <v>0</v>
      </c>
      <c r="G37" s="8" t="s">
        <v>148</v>
      </c>
      <c r="H37" s="7"/>
      <c r="I37" s="7" t="n">
        <v>2</v>
      </c>
      <c r="J37" s="8" t="s">
        <v>256</v>
      </c>
      <c r="K37" s="8" t="s">
        <v>219</v>
      </c>
      <c r="L37" s="7" t="n">
        <v>10000</v>
      </c>
      <c r="M37" s="7" t="n">
        <v>0</v>
      </c>
      <c r="N37" s="8" t="s">
        <v>257</v>
      </c>
      <c r="O37" s="7" t="n">
        <v>0</v>
      </c>
      <c r="P37" s="7" t="n">
        <v>10010001</v>
      </c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 t="str">
        <f aca="false">IF((E37&lt;&gt;"无")+(F37&lt;&gt;0)=1,"通过","检查对象填写")</f>
        <v>通过</v>
      </c>
      <c r="CR37" s="8" t="s">
        <v>261</v>
      </c>
    </row>
    <row r="38" customFormat="false" ht="19.4" hidden="false" customHeight="false" outlineLevel="0" collapsed="false">
      <c r="A38" s="7" t="s">
        <v>14</v>
      </c>
      <c r="B38" s="7" t="n">
        <v>24</v>
      </c>
      <c r="C38" s="7" t="s">
        <v>262</v>
      </c>
      <c r="D38" s="8" t="s">
        <v>263</v>
      </c>
      <c r="E38" s="8" t="s">
        <v>183</v>
      </c>
      <c r="F38" s="7" t="n">
        <v>100100</v>
      </c>
      <c r="G38" s="8" t="s">
        <v>148</v>
      </c>
      <c r="H38" s="7"/>
      <c r="I38" s="7" t="n">
        <v>1</v>
      </c>
      <c r="J38" s="8" t="s">
        <v>264</v>
      </c>
      <c r="K38" s="8" t="s">
        <v>219</v>
      </c>
      <c r="L38" s="7" t="n">
        <v>10000</v>
      </c>
      <c r="M38" s="7" t="n">
        <v>0</v>
      </c>
      <c r="N38" s="8" t="s">
        <v>257</v>
      </c>
      <c r="O38" s="7" t="n">
        <v>0</v>
      </c>
      <c r="P38" s="7" t="s">
        <v>265</v>
      </c>
      <c r="Q38" s="7"/>
      <c r="R38" s="7" t="n">
        <v>900</v>
      </c>
      <c r="S38" s="7" t="n">
        <v>60</v>
      </c>
      <c r="T38" s="8" t="s">
        <v>266</v>
      </c>
      <c r="U38" s="7" t="n">
        <v>1</v>
      </c>
      <c r="V38" s="7" t="n">
        <v>0</v>
      </c>
      <c r="W38" s="7" t="n">
        <v>1</v>
      </c>
      <c r="X38" s="7" t="n">
        <v>800</v>
      </c>
      <c r="Y38" s="7" t="n">
        <v>60</v>
      </c>
      <c r="Z38" s="7" t="n">
        <v>0</v>
      </c>
      <c r="AA38" s="7" t="n">
        <v>0</v>
      </c>
      <c r="AB38" s="7" t="n">
        <v>10010001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 t="str">
        <f aca="false">IF((E38&lt;&gt;"无")+(F38&lt;&gt;0)=1,"通过","检查对象填写")</f>
        <v>通过</v>
      </c>
      <c r="CR38" s="8" t="s">
        <v>267</v>
      </c>
    </row>
  </sheetData>
  <mergeCells count="3">
    <mergeCell ref="G1:CP1"/>
    <mergeCell ref="G2:CP2"/>
    <mergeCell ref="G3:C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2026-09-06T23:57:48Z</dcterms:created>
  <dc:creator>openpyxl</dc:creator>
  <dc:description/>
  <dc:language>en-US</dc:language>
  <cp:lastModifiedBy/>
  <dcterms:modified xsi:type="dcterms:W3CDTF">2026-09-06T23:57:48Z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