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works\mortal-cultivation-war3\xlsx\"/>
    </mc:Choice>
  </mc:AlternateContent>
  <bookViews>
    <workbookView windowWidth="22188" windowHeight="9180"/>
  </bookViews>
  <sheets>
    <sheet name="spawn_config" sheetId="1" r:id="rId1"/>
    <sheet name="更新说明" sheetId="2" r:id="rId2"/>
    <sheet name="Sheet1" sheetId="3" r:id="rId3"/>
    <sheet name="编号表" sheetId="4" r:id="rId4"/>
  </sheets>
  <externalReferences>
    <externalReference r:id="rId5"/>
    <externalReference r:id="rId6"/>
  </externalReferences>
  <definedNames>
    <definedName name="_xlnm._FilterDatabase" localSheetId="0" hidden="1">spawn_config!$A$2:$Z$51</definedName>
    <definedName name="怪物类型">[1]名称表!$A$3:$A$26</definedName>
    <definedName name="说明">[2]名称表!$A$3:$A$26</definedName>
    <definedName name="阵营">[1]名称表!$H$2:$H$9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1" authorId="0">
      <text>
        <r>
          <rPr>
            <sz val="11"/>
            <color rgb="FF000000"/>
            <rFont val="宋体"/>
            <scheme val="minor"/>
            <charset val="0"/>
          </rPr>
          <t>Admin:
1、区域中心 刷新数量固定是1，刷新面向角度由[刷新参数1]指定
2、区域随机 刷新数量由[刷新参数1]指定,刷新面向角度随机</t>
        </r>
      </text>
    </comment>
  </commentList>
</comments>
</file>

<file path=xl/sharedStrings.xml><?xml version="1.0" encoding="utf-8"?>
<sst xmlns="http://schemas.openxmlformats.org/spreadsheetml/2006/main" count="475" uniqueCount="207">
  <si>
    <t>##var</t>
  </si>
  <si>
    <t>config_id</t>
  </si>
  <si>
    <t>position</t>
  </si>
  <si>
    <t>spawn_monsters</t>
  </si>
  <si>
    <t>##type</t>
  </si>
  <si>
    <t>int</t>
  </si>
  <si>
    <t>string</t>
  </si>
  <si>
    <t>array,SpawnMonster</t>
  </si>
  <si>
    <t>##group</t>
  </si>
  <si>
    <t>##</t>
  </si>
  <si>
    <t>编号</t>
  </si>
  <si>
    <t>场景名称</t>
  </si>
  <si>
    <t>怪物类型</t>
  </si>
  <si>
    <t>怪物数量</t>
  </si>
  <si>
    <t>说明</t>
  </si>
  <si>
    <t>刷新位置</t>
  </si>
  <si>
    <t>怪物1配置ID</t>
  </si>
  <si>
    <t>怪物1数量</t>
  </si>
  <si>
    <t>怪物2配置ID</t>
  </si>
  <si>
    <t>怪物2数量</t>
  </si>
  <si>
    <t>怪物3配置ID</t>
  </si>
  <si>
    <t>怪物3数量</t>
  </si>
  <si>
    <t>怪物4配置ID</t>
  </si>
  <si>
    <t>怪物4数量</t>
  </si>
  <si>
    <t>怪物5配置ID</t>
  </si>
  <si>
    <t>怪物5数量</t>
  </si>
  <si>
    <t>怪物6配置ID</t>
  </si>
  <si>
    <t>怪物6数量</t>
  </si>
  <si>
    <t>怪物7配置ID</t>
  </si>
  <si>
    <t>怪物7数量</t>
  </si>
  <si>
    <t>怪物8配置ID</t>
  </si>
  <si>
    <t>怪物8数量</t>
  </si>
  <si>
    <t>怪物9配置ID</t>
  </si>
  <si>
    <t>怪物9数量</t>
  </si>
  <si>
    <t>怪物10配置ID</t>
  </si>
  <si>
    <t>怪物10数量</t>
  </si>
  <si>
    <t>天元宗门</t>
  </si>
  <si>
    <t>小怪0</t>
  </si>
  <si>
    <t>鸡</t>
  </si>
  <si>
    <t>区域随机</t>
  </si>
  <si>
    <t>小怪1</t>
  </si>
  <si>
    <t>鹿</t>
  </si>
  <si>
    <t>小怪2</t>
  </si>
  <si>
    <t>羊</t>
  </si>
  <si>
    <t>小怪3</t>
  </si>
  <si>
    <t>稻草人</t>
  </si>
  <si>
    <t>小怪4</t>
  </si>
  <si>
    <t>蛤蟆</t>
  </si>
  <si>
    <t>小怪5</t>
  </si>
  <si>
    <t>蝙蝠</t>
  </si>
  <si>
    <t>小怪6</t>
  </si>
  <si>
    <t>虎卫</t>
  </si>
  <si>
    <t>小怪7</t>
  </si>
  <si>
    <t>鹰卫</t>
  </si>
  <si>
    <t>蚀苇沼·末流所积</t>
  </si>
  <si>
    <t>青魂煞灵</t>
  </si>
  <si>
    <t>深渊水魔</t>
  </si>
  <si>
    <t>冥海幽灵</t>
  </si>
  <si>
    <t>冥河幽魂</t>
  </si>
  <si>
    <t>精英</t>
  </si>
  <si>
    <t>浮沉洲</t>
  </si>
  <si>
    <t>骷髅长枪兵</t>
  </si>
  <si>
    <t>骷髅弓箭手</t>
  </si>
  <si>
    <t>骷髅锤兵</t>
  </si>
  <si>
    <t>骷髅刀斧手</t>
  </si>
  <si>
    <t>骷髅盾卫</t>
  </si>
  <si>
    <t>蔽苇汀</t>
  </si>
  <si>
    <t>跳跳蜂</t>
  </si>
  <si>
    <t>楔蛾</t>
  </si>
  <si>
    <t>蝎蛇</t>
  </si>
  <si>
    <t>腐毒妖灵</t>
  </si>
  <si>
    <t>赤发魔童</t>
  </si>
  <si>
    <t>岳骨阶</t>
  </si>
  <si>
    <t>蜈蚣</t>
  </si>
  <si>
    <t>血炼尸妖</t>
  </si>
  <si>
    <t>碎骨妖兵</t>
  </si>
  <si>
    <t>骨棺祭司</t>
  </si>
  <si>
    <t>boss</t>
  </si>
  <si>
    <t>狂骨妖刀将</t>
  </si>
  <si>
    <t>区域中心</t>
  </si>
  <si>
    <t xml:space="preserve">异霭浦 </t>
  </si>
  <si>
    <t>砾台</t>
  </si>
  <si>
    <t>狼</t>
  </si>
  <si>
    <t>红蛇</t>
  </si>
  <si>
    <t>垂练岩·覆而偶开</t>
  </si>
  <si>
    <t>霜锋客</t>
  </si>
  <si>
    <t>霜锋戟将</t>
  </si>
  <si>
    <t>苍玄真人</t>
  </si>
  <si>
    <t>霜锋阵仙</t>
  </si>
  <si>
    <t>水镜滩·水退方见</t>
  </si>
  <si>
    <t>蚀骨血核</t>
  </si>
  <si>
    <t>石像魔狮</t>
  </si>
  <si>
    <t>灵心石魔</t>
  </si>
  <si>
    <t>机关兽</t>
  </si>
  <si>
    <t>版本号</t>
  </si>
  <si>
    <t>内容</t>
  </si>
  <si>
    <t>V1.12</t>
  </si>
  <si>
    <t>减少数量</t>
  </si>
  <si>
    <t>V1.13</t>
  </si>
  <si>
    <t>增加刷怪场景</t>
  </si>
  <si>
    <t>V1.14</t>
  </si>
  <si>
    <t>增加两个测试木桩，30和31</t>
  </si>
  <si>
    <t>V1.15</t>
  </si>
  <si>
    <t>增加蛤蟆刷新场景</t>
  </si>
  <si>
    <t>V1.16</t>
  </si>
  <si>
    <t>重新整理怪物刷新配置，新增，改ID规则等</t>
  </si>
  <si>
    <t>V1.17</t>
  </si>
  <si>
    <t>新增新手村刷怪方案；比奇城boss怪物更改为木桩；</t>
  </si>
  <si>
    <t>V1.18</t>
  </si>
  <si>
    <t>V1.19</t>
  </si>
  <si>
    <t>V1.20</t>
  </si>
  <si>
    <t>V1.21</t>
  </si>
  <si>
    <t>V1.22</t>
  </si>
  <si>
    <t>V1.23</t>
  </si>
  <si>
    <t>V1.24</t>
  </si>
  <si>
    <t>V1.25</t>
  </si>
  <si>
    <t>V1.26</t>
  </si>
  <si>
    <t>V1.27</t>
  </si>
  <si>
    <t>V1.28</t>
  </si>
  <si>
    <t>V1.29</t>
  </si>
  <si>
    <t>V1.30</t>
  </si>
  <si>
    <t>V1.31</t>
  </si>
  <si>
    <t>V1.32</t>
  </si>
  <si>
    <t>MonsterID1</t>
  </si>
  <si>
    <t>MonsterCount1</t>
  </si>
  <si>
    <t>MonsterID2</t>
  </si>
  <si>
    <t>MonsterCount2</t>
  </si>
  <si>
    <t>MonsterID3</t>
  </si>
  <si>
    <t>MonsterCount3</t>
  </si>
  <si>
    <t>MonsterID4</t>
  </si>
  <si>
    <t>MonsterCount4</t>
  </si>
  <si>
    <t>MonsterID5</t>
  </si>
  <si>
    <t>MonsterCount5</t>
  </si>
  <si>
    <t>MonsterID6</t>
  </si>
  <si>
    <t>MonsterCount6</t>
  </si>
  <si>
    <t>MonsterID7</t>
  </si>
  <si>
    <t>MonsterCount7</t>
  </si>
  <si>
    <t>MonsterID8</t>
  </si>
  <si>
    <t>MonsterCount8</t>
  </si>
  <si>
    <t>MonsterID9</t>
  </si>
  <si>
    <t>MonsterCount9</t>
  </si>
  <si>
    <t>MonsterID10</t>
  </si>
  <si>
    <t>MonsterCount10</t>
  </si>
  <si>
    <t>比奇城</t>
  </si>
  <si>
    <t>祖玛寺庙一层</t>
  </si>
  <si>
    <t>祖玛寺庙二层</t>
  </si>
  <si>
    <t>祖玛阁</t>
  </si>
  <si>
    <t>教主大殿</t>
  </si>
  <si>
    <t>兽人古墓一层</t>
  </si>
  <si>
    <t>兽人古墓二层</t>
  </si>
  <si>
    <t>国王陵墓</t>
  </si>
  <si>
    <t>废矿区东部</t>
  </si>
  <si>
    <t>尸王殿</t>
  </si>
  <si>
    <t>地牢</t>
  </si>
  <si>
    <t>黑暗地带</t>
  </si>
  <si>
    <t>死亡棺材</t>
  </si>
  <si>
    <t>未知暗殿</t>
  </si>
  <si>
    <t>沃玛寺庙一层</t>
  </si>
  <si>
    <t>沃玛寺庙二层</t>
  </si>
  <si>
    <t>沃玛教主大殿</t>
  </si>
  <si>
    <t>石墓一层</t>
  </si>
  <si>
    <t>石墓阵入口</t>
  </si>
  <si>
    <t>石墓阵出口</t>
  </si>
  <si>
    <t>石墓阵顶层</t>
  </si>
  <si>
    <t>桃源之门</t>
  </si>
  <si>
    <t>困惑殿堂</t>
  </si>
  <si>
    <t>怪1</t>
  </si>
  <si>
    <t>怪2</t>
  </si>
  <si>
    <t>怪3</t>
  </si>
  <si>
    <t>怪4</t>
  </si>
  <si>
    <t>怪5</t>
  </si>
  <si>
    <t>怪6</t>
  </si>
  <si>
    <t>BOSS</t>
  </si>
  <si>
    <t>石墓顶层</t>
  </si>
  <si>
    <t>祖玛教主之家</t>
  </si>
  <si>
    <t>封魔矿区</t>
  </si>
  <si>
    <t>光芒回廊</t>
  </si>
  <si>
    <t>封魔殿</t>
  </si>
  <si>
    <t>尸魔洞一层</t>
  </si>
  <si>
    <t>尸魔洞二层</t>
  </si>
  <si>
    <t>骨魔洞一层</t>
  </si>
  <si>
    <t>骨魔洞二层</t>
  </si>
  <si>
    <t>牛魔寺庙入口</t>
  </si>
  <si>
    <t>牛魔寺庙一层</t>
  </si>
  <si>
    <t>牛魔寺庙大厅</t>
  </si>
  <si>
    <t>丛林迷宫</t>
  </si>
  <si>
    <t>赤月峡谷西走廊</t>
  </si>
  <si>
    <t>赤月峡谷东二层</t>
  </si>
  <si>
    <t>赤月峡谷广场</t>
  </si>
  <si>
    <t>抉择之地</t>
  </si>
  <si>
    <t>恶魔祭坛</t>
  </si>
  <si>
    <t>赤月魔穴</t>
  </si>
  <si>
    <t>场景名</t>
  </si>
  <si>
    <t>类型</t>
  </si>
  <si>
    <t>望岳津</t>
  </si>
  <si>
    <t>怪物刷新配置1开头7位数</t>
  </si>
  <si>
    <t>第1位</t>
  </si>
  <si>
    <t>1开头</t>
  </si>
  <si>
    <t>第2位</t>
  </si>
  <si>
    <t>用场景来代表级别。相当于装备的阶级，沃玛级，祖玛级，苍月级，赤月级等，2位应该够，暂时用3位保险。这个级别和场景区域配置严格匹配，相等。和其他一样，表示在哪个地图</t>
  </si>
  <si>
    <t>第3位</t>
  </si>
  <si>
    <t>第4位</t>
  </si>
  <si>
    <t>第5位</t>
  </si>
  <si>
    <t>怪物身份，区分普通/精英怪/BOSS</t>
  </si>
  <si>
    <t>第6位</t>
  </si>
  <si>
    <t>具体数字表示这个怪物刷新配置里刷多少个怪100以内可以随便填
也可以用不同数字代表不同的BOSS，比如末位配置1，2，3，4表示都刷新一个，分别代表BOSS1,BOSS2,BOSS3,BOSS4</t>
  </si>
  <si>
    <t>第7位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</si>
</sst>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9"/>
      <color indexed="8"/>
      <name val="微软雅黑"/>
      <charset val="134"/>
    </font>
    <font>
      <sz val="9"/>
      <color rgb="FF000000"/>
      <name val="微软雅黑"/>
      <charset val="134"/>
    </font>
    <font>
      <sz val="9"/>
      <color rgb="FFFF0000"/>
      <name val="微软雅黑"/>
      <charset val="134"/>
    </font>
    <font>
      <sz val="11"/>
      <color indexed="8"/>
      <name val="宋体"/>
      <charset val="134"/>
    </font>
    <font>
      <sz val="9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right" vertical="center"/>
    </xf>
    <xf numFmtId="0" fontId="5" fillId="3" borderId="0" xfId="0" applyFont="1" applyFill="1" applyAlignment="1">
      <alignment horizontal="center" vertical="center"/>
    </xf>
    <xf numFmtId="0" fontId="5" fillId="3" borderId="0" xfId="0" applyFont="1" applyFill="1">
      <alignment vertical="center"/>
    </xf>
    <xf numFmtId="0" fontId="5" fillId="3" borderId="0" xfId="0" applyFont="1" applyFill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GuaiWu1.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24618;&#29289;&#34920;1.40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onfigMonster"/>
      <sheetName val="策划用表"/>
      <sheetName val="编号表"/>
      <sheetName val="名称表"/>
      <sheetName val="版本变更"/>
      <sheetName val="Sheet1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onfigMonster"/>
      <sheetName val="编号表"/>
      <sheetName val="名称表"/>
      <sheetName val="版本变更"/>
      <sheetName val="Sheet1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51"/>
  <sheetViews>
    <sheetView tabSelected="1" workbookViewId="0">
      <pane ySplit="2" topLeftCell="A27" activePane="bottomLeft" state="frozen"/>
      <selection/>
      <selection pane="bottomLeft" activeCell="F45" sqref="F45"/>
    </sheetView>
  </sheetViews>
  <sheetFormatPr defaultColWidth="8.72222222222222" defaultRowHeight="13.2"/>
  <cols>
    <col min="1" max="1" width="8.81481481481481" style="11" customWidth="1"/>
    <col min="2" max="2" width="8.4537037037037" style="11" customWidth="1"/>
    <col min="3" max="3" width="13" style="11" customWidth="1"/>
    <col min="4" max="4" width="7.81481481481481" style="11" customWidth="1"/>
    <col min="5" max="5" width="23.0925925925926" style="11" customWidth="1"/>
    <col min="6" max="6" width="25.5462962962963" style="11" customWidth="1"/>
    <col min="7" max="7" width="11.2685185185185" style="11" customWidth="1"/>
    <col min="8" max="8" width="10.6296296296296" style="11" customWidth="1"/>
    <col min="9" max="9" width="11.2685185185185" style="12" customWidth="1"/>
    <col min="10" max="10" width="8.72222222222222" style="11" customWidth="1"/>
    <col min="11" max="11" width="11.2685185185185" style="11" customWidth="1"/>
    <col min="12" max="12" width="8.72222222222222" style="11" customWidth="1"/>
    <col min="13" max="13" width="11.2685185185185" style="11" customWidth="1"/>
    <col min="14" max="14" width="8.72222222222222" style="11" customWidth="1"/>
    <col min="15" max="15" width="11.2685185185185" style="11" customWidth="1"/>
    <col min="16" max="16" width="8.72222222222222" style="11" customWidth="1"/>
    <col min="17" max="17" width="11.2685185185185" style="11" customWidth="1"/>
    <col min="18" max="18" width="8.72222222222222" style="11" customWidth="1"/>
    <col min="19" max="19" width="11.2685185185185" style="11" customWidth="1"/>
    <col min="20" max="20" width="8.72222222222222" style="11" customWidth="1"/>
    <col min="21" max="21" width="11.2685185185185" style="11" customWidth="1"/>
    <col min="22" max="22" width="8.72222222222222" style="11" customWidth="1"/>
    <col min="23" max="23" width="11.2685185185185" style="11" customWidth="1"/>
    <col min="24" max="24" width="8.72222222222222" style="11" customWidth="1"/>
    <col min="25" max="25" width="11.2685185185185" style="11" customWidth="1"/>
    <col min="26" max="26" width="8.72222222222222" style="11" customWidth="1"/>
    <col min="27" max="16384" width="8.72222222222222" style="11"/>
  </cols>
  <sheetData>
    <row r="1" spans="1:27">
      <c r="A1" s="13" t="s">
        <v>0</v>
      </c>
      <c r="B1" s="13" t="s">
        <v>1</v>
      </c>
      <c r="C1" s="14"/>
      <c r="D1" s="14"/>
      <c r="E1" s="14"/>
      <c r="F1" s="14"/>
      <c r="G1" s="13" t="s">
        <v>2</v>
      </c>
      <c r="H1" s="13" t="s">
        <v>3</v>
      </c>
      <c r="I1" s="15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</row>
    <row r="2" spans="1:27">
      <c r="A2" s="13" t="s">
        <v>4</v>
      </c>
      <c r="B2" s="13" t="s">
        <v>5</v>
      </c>
      <c r="C2" s="14"/>
      <c r="D2" s="14"/>
      <c r="E2" s="14"/>
      <c r="F2" s="14"/>
      <c r="G2" s="13" t="s">
        <v>6</v>
      </c>
      <c r="H2" s="13" t="s">
        <v>7</v>
      </c>
      <c r="I2" s="15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</row>
    <row r="3" spans="1:27">
      <c r="A3" s="13" t="s">
        <v>8</v>
      </c>
      <c r="B3" s="13"/>
      <c r="C3" s="14"/>
      <c r="D3" s="14"/>
      <c r="E3" s="14"/>
      <c r="F3" s="14"/>
      <c r="G3" s="13"/>
      <c r="H3" s="13"/>
      <c r="I3" s="15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</row>
    <row r="4" spans="1:27">
      <c r="A4" s="13" t="s">
        <v>9</v>
      </c>
      <c r="B4" s="14" t="s">
        <v>10</v>
      </c>
      <c r="C4" s="14" t="s">
        <v>11</v>
      </c>
      <c r="D4" s="14" t="s">
        <v>12</v>
      </c>
      <c r="E4" s="14" t="s">
        <v>13</v>
      </c>
      <c r="F4" s="14" t="s">
        <v>14</v>
      </c>
      <c r="G4" s="13" t="s">
        <v>15</v>
      </c>
      <c r="H4" s="13" t="s">
        <v>16</v>
      </c>
      <c r="I4" s="15" t="s">
        <v>17</v>
      </c>
      <c r="J4" s="13" t="s">
        <v>18</v>
      </c>
      <c r="K4" s="14" t="s">
        <v>19</v>
      </c>
      <c r="L4" s="13" t="s">
        <v>20</v>
      </c>
      <c r="M4" s="14" t="s">
        <v>21</v>
      </c>
      <c r="N4" s="13" t="s">
        <v>22</v>
      </c>
      <c r="O4" s="14" t="s">
        <v>23</v>
      </c>
      <c r="P4" s="13" t="s">
        <v>24</v>
      </c>
      <c r="Q4" s="14" t="s">
        <v>25</v>
      </c>
      <c r="R4" s="13" t="s">
        <v>26</v>
      </c>
      <c r="S4" s="14" t="s">
        <v>27</v>
      </c>
      <c r="T4" s="13" t="s">
        <v>28</v>
      </c>
      <c r="U4" s="14" t="s">
        <v>29</v>
      </c>
      <c r="V4" s="13" t="s">
        <v>30</v>
      </c>
      <c r="W4" s="14" t="s">
        <v>31</v>
      </c>
      <c r="X4" s="13" t="s">
        <v>32</v>
      </c>
      <c r="Y4" s="14" t="s">
        <v>33</v>
      </c>
      <c r="Z4" s="13" t="s">
        <v>34</v>
      </c>
      <c r="AA4" s="14" t="s">
        <v>35</v>
      </c>
    </row>
    <row r="5" spans="1:27">
      <c r="B5" s="11">
        <f>1000000+INDEX(编号表!$B:$B,MATCH(C5,编号表!$A:$A,0))*1000+INDEX(编号表!$D:$D,MATCH(D5,编号表!$C:$C,0))*100+E5</f>
        <v>1001205</v>
      </c>
      <c r="C5" s="3" t="s">
        <v>36</v>
      </c>
      <c r="D5" s="11" t="s">
        <v>37</v>
      </c>
      <c r="E5" s="11">
        <v>5</v>
      </c>
      <c r="F5" s="3" t="s">
        <v>38</v>
      </c>
      <c r="G5" s="16" t="s">
        <v>39</v>
      </c>
      <c r="H5" s="3">
        <v>60011000</v>
      </c>
      <c r="I5" s="11">
        <v>5</v>
      </c>
    </row>
    <row r="6" spans="1:27">
      <c r="B6" s="11">
        <f>1000000+INDEX(编号表!$B:$B,MATCH(C6,编号表!$A:$A,0))*1000+INDEX(编号表!$D:$D,MATCH(D6,编号表!$C:$C,0))*100+E6</f>
        <v>1001305</v>
      </c>
      <c r="C6" s="3" t="s">
        <v>36</v>
      </c>
      <c r="D6" s="11" t="s">
        <v>40</v>
      </c>
      <c r="E6" s="11">
        <v>5</v>
      </c>
      <c r="F6" s="3" t="s">
        <v>41</v>
      </c>
      <c r="G6" s="16" t="s">
        <v>39</v>
      </c>
      <c r="H6" s="3">
        <v>60011001</v>
      </c>
      <c r="I6" s="11">
        <v>5</v>
      </c>
    </row>
    <row r="7" spans="1:27">
      <c r="B7" s="11">
        <f>1000000+INDEX(编号表!$B:$B,MATCH(C7,编号表!$A:$A,0))*1000+INDEX(编号表!$D:$D,MATCH(D7,编号表!$C:$C,0))*100+E7</f>
        <v>1001405</v>
      </c>
      <c r="C7" s="3" t="s">
        <v>36</v>
      </c>
      <c r="D7" s="11" t="s">
        <v>42</v>
      </c>
      <c r="E7" s="11">
        <v>5</v>
      </c>
      <c r="F7" s="3" t="s">
        <v>43</v>
      </c>
      <c r="G7" s="16" t="s">
        <v>39</v>
      </c>
      <c r="H7" s="3">
        <v>60011002</v>
      </c>
      <c r="I7" s="11">
        <v>5</v>
      </c>
    </row>
    <row r="8" spans="1:27">
      <c r="B8" s="11">
        <f>1000000+INDEX(编号表!$B:$B,MATCH(C8,编号表!$A:$A,0))*1000+INDEX(编号表!$D:$D,MATCH(D8,编号表!$C:$C,0))*100+E8</f>
        <v>1001505</v>
      </c>
      <c r="C8" s="3" t="s">
        <v>36</v>
      </c>
      <c r="D8" s="11" t="s">
        <v>44</v>
      </c>
      <c r="E8" s="11">
        <v>5</v>
      </c>
      <c r="F8" s="3" t="s">
        <v>45</v>
      </c>
      <c r="G8" s="16" t="s">
        <v>39</v>
      </c>
      <c r="H8" s="3">
        <v>60011003</v>
      </c>
      <c r="I8" s="11">
        <v>5</v>
      </c>
    </row>
    <row r="9" spans="1:27">
      <c r="B9" s="11">
        <f>1000000+INDEX(编号表!$B:$B,MATCH(C9,编号表!$A:$A,0))*1000+INDEX(编号表!$D:$D,MATCH(D9,编号表!$C:$C,0))*100+E9</f>
        <v>1001605</v>
      </c>
      <c r="C9" s="3" t="s">
        <v>36</v>
      </c>
      <c r="D9" s="11" t="s">
        <v>46</v>
      </c>
      <c r="E9" s="11">
        <v>5</v>
      </c>
      <c r="F9" s="3" t="s">
        <v>47</v>
      </c>
      <c r="G9" s="16" t="s">
        <v>39</v>
      </c>
      <c r="H9" s="3">
        <v>60011004</v>
      </c>
      <c r="I9" s="11">
        <v>5</v>
      </c>
    </row>
    <row r="10" spans="1:27">
      <c r="B10" s="11">
        <f>1000000+INDEX(编号表!$B:$B,MATCH(C10,编号表!$A:$A,0))*1000+INDEX(编号表!$D:$D,MATCH(D10,编号表!$C:$C,0))*100+E10</f>
        <v>1001705</v>
      </c>
      <c r="C10" s="3" t="s">
        <v>36</v>
      </c>
      <c r="D10" s="11" t="s">
        <v>48</v>
      </c>
      <c r="E10" s="11">
        <v>5</v>
      </c>
      <c r="F10" s="3" t="s">
        <v>49</v>
      </c>
      <c r="G10" s="16" t="s">
        <v>39</v>
      </c>
      <c r="H10" s="3">
        <v>60011013</v>
      </c>
      <c r="I10" s="11">
        <v>5</v>
      </c>
    </row>
    <row r="11" spans="1:27">
      <c r="B11" s="11">
        <f>1000000+INDEX(编号表!$B:$B,MATCH(C11,编号表!$A:$A,0))*1000+INDEX(编号表!$D:$D,MATCH(D11,编号表!$C:$C,0))*100+E11</f>
        <v>1001805</v>
      </c>
      <c r="C11" s="3" t="s">
        <v>36</v>
      </c>
      <c r="D11" s="11" t="s">
        <v>50</v>
      </c>
      <c r="E11" s="11">
        <v>5</v>
      </c>
      <c r="F11" s="11" t="s">
        <v>51</v>
      </c>
      <c r="G11" s="16" t="s">
        <v>39</v>
      </c>
      <c r="H11" s="3">
        <v>60011011</v>
      </c>
      <c r="I11" s="11">
        <v>5</v>
      </c>
    </row>
    <row r="12" spans="1:27">
      <c r="B12" s="11">
        <f>1000000+INDEX(编号表!$B:$B,MATCH(C12,编号表!$A:$A,0))*1000+INDEX(编号表!$D:$D,MATCH(D12,编号表!$C:$C,0))*100+E12</f>
        <v>1001905</v>
      </c>
      <c r="C12" s="3" t="s">
        <v>36</v>
      </c>
      <c r="D12" s="11" t="s">
        <v>52</v>
      </c>
      <c r="E12" s="11">
        <v>5</v>
      </c>
      <c r="F12" s="11" t="s">
        <v>53</v>
      </c>
      <c r="G12" s="16" t="s">
        <v>39</v>
      </c>
      <c r="H12" s="3">
        <v>60011012</v>
      </c>
      <c r="I12" s="11">
        <v>5</v>
      </c>
    </row>
    <row r="13" spans="1:27">
      <c r="B13" s="11">
        <f>1000000+INDEX(编号表!$B:$B,MATCH(C13,编号表!$A:$A,0))*1000+INDEX(编号表!$D:$D,MATCH(D13,编号表!$C:$C,0))*100+E13</f>
        <v>1002305</v>
      </c>
      <c r="C13" s="3" t="s">
        <v>54</v>
      </c>
      <c r="D13" s="11" t="s">
        <v>40</v>
      </c>
      <c r="E13" s="11">
        <v>5</v>
      </c>
      <c r="F13" s="11" t="s">
        <v>55</v>
      </c>
      <c r="G13" s="16" t="s">
        <v>39</v>
      </c>
      <c r="H13" s="11">
        <v>60021014</v>
      </c>
      <c r="I13" s="11">
        <v>5</v>
      </c>
      <c r="J13" s="16"/>
      <c r="K13" s="16"/>
      <c r="M13" s="16"/>
      <c r="O13" s="16"/>
      <c r="Q13" s="16"/>
      <c r="S13" s="16"/>
      <c r="U13" s="16"/>
      <c r="W13" s="16"/>
      <c r="Y13" s="16"/>
      <c r="AA13" s="16"/>
    </row>
    <row r="14" spans="1:27">
      <c r="B14" s="11">
        <f>1000000+INDEX(编号表!$B:$B,MATCH(C14,编号表!$A:$A,0))*1000+INDEX(编号表!$D:$D,MATCH(D14,编号表!$C:$C,0))*100+E14</f>
        <v>1002405</v>
      </c>
      <c r="C14" s="3" t="s">
        <v>54</v>
      </c>
      <c r="D14" s="11" t="s">
        <v>42</v>
      </c>
      <c r="E14" s="11">
        <v>5</v>
      </c>
      <c r="F14" s="17" t="s">
        <v>56</v>
      </c>
      <c r="G14" s="16" t="s">
        <v>39</v>
      </c>
      <c r="H14" s="11">
        <v>60021015</v>
      </c>
      <c r="I14" s="11">
        <v>5</v>
      </c>
      <c r="J14" s="16"/>
      <c r="K14" s="16"/>
      <c r="M14" s="16"/>
      <c r="O14" s="16"/>
      <c r="Q14" s="16"/>
      <c r="S14" s="16"/>
      <c r="U14" s="16"/>
      <c r="W14" s="16"/>
      <c r="Y14" s="16"/>
      <c r="AA14" s="16"/>
    </row>
    <row r="15" spans="1:27">
      <c r="B15" s="11">
        <f>1000000+INDEX(编号表!$B:$B,MATCH(C15,编号表!$A:$A,0))*1000+INDEX(编号表!$D:$D,MATCH(D15,编号表!$C:$C,0))*100+E15</f>
        <v>1002505</v>
      </c>
      <c r="C15" s="3" t="s">
        <v>54</v>
      </c>
      <c r="D15" s="11" t="s">
        <v>44</v>
      </c>
      <c r="E15" s="11">
        <v>5</v>
      </c>
      <c r="F15" s="17" t="s">
        <v>57</v>
      </c>
      <c r="G15" s="16" t="s">
        <v>39</v>
      </c>
      <c r="H15" s="11">
        <v>60021016</v>
      </c>
      <c r="I15" s="11">
        <v>5</v>
      </c>
      <c r="J15" s="16"/>
      <c r="K15" s="16"/>
      <c r="M15" s="16"/>
      <c r="O15" s="16"/>
      <c r="Q15" s="16"/>
      <c r="S15" s="16"/>
      <c r="U15" s="16"/>
      <c r="W15" s="16"/>
      <c r="Y15" s="16"/>
      <c r="AA15" s="16"/>
    </row>
    <row r="16" spans="1:27">
      <c r="B16" s="11">
        <f>1000000+INDEX(编号表!$B:$B,MATCH(C16,编号表!$A:$A,0))*1000+INDEX(编号表!$D:$D,MATCH(D16,编号表!$C:$C,0))*100+E16</f>
        <v>1002605</v>
      </c>
      <c r="C16" s="3" t="s">
        <v>54</v>
      </c>
      <c r="D16" s="11" t="s">
        <v>46</v>
      </c>
      <c r="E16" s="11">
        <v>5</v>
      </c>
      <c r="F16" s="17" t="s">
        <v>58</v>
      </c>
      <c r="G16" s="16" t="s">
        <v>39</v>
      </c>
      <c r="H16" s="11">
        <v>60021017</v>
      </c>
      <c r="I16" s="11">
        <v>5</v>
      </c>
      <c r="J16" s="16"/>
      <c r="K16" s="16"/>
      <c r="M16" s="16"/>
      <c r="O16" s="16"/>
      <c r="Q16" s="16"/>
      <c r="S16" s="16"/>
      <c r="U16" s="16"/>
      <c r="W16" s="16"/>
      <c r="Y16" s="16"/>
      <c r="AA16" s="16"/>
    </row>
    <row r="17" spans="2:27">
      <c r="B17" s="11">
        <f>1000000+INDEX(编号表!$B:$B,MATCH(C17,编号表!$A:$A,0))*1000+INDEX(编号表!$D:$D,MATCH(D17,编号表!$C:$C,0))*100+E17</f>
        <v>1002105</v>
      </c>
      <c r="C17" s="3" t="s">
        <v>54</v>
      </c>
      <c r="D17" s="11" t="s">
        <v>59</v>
      </c>
      <c r="E17" s="11">
        <v>5</v>
      </c>
      <c r="F17" s="17" t="s">
        <v>58</v>
      </c>
      <c r="G17" s="16" t="s">
        <v>39</v>
      </c>
      <c r="H17" s="11">
        <v>60022018</v>
      </c>
      <c r="I17" s="11">
        <v>5</v>
      </c>
      <c r="J17" s="16"/>
      <c r="K17" s="16"/>
      <c r="M17" s="16"/>
      <c r="O17" s="16"/>
      <c r="Q17" s="16"/>
      <c r="S17" s="16"/>
      <c r="U17" s="16"/>
      <c r="W17" s="16"/>
      <c r="Y17" s="16"/>
      <c r="AA17" s="16"/>
    </row>
    <row r="18" spans="2:27">
      <c r="B18" s="11">
        <f>1000000+INDEX(编号表!$B:$B,MATCH(C18,编号表!$A:$A,0))*1000+INDEX(编号表!$D:$D,MATCH(D18,编号表!$C:$C,0))*100+E18</f>
        <v>1004307</v>
      </c>
      <c r="C18" s="3" t="s">
        <v>60</v>
      </c>
      <c r="D18" s="11" t="s">
        <v>40</v>
      </c>
      <c r="E18" s="11">
        <v>7</v>
      </c>
      <c r="F18" s="11" t="s">
        <v>61</v>
      </c>
      <c r="G18" s="16" t="s">
        <v>39</v>
      </c>
      <c r="H18" s="11">
        <v>60031019</v>
      </c>
      <c r="I18" s="11">
        <v>7</v>
      </c>
      <c r="J18" s="16"/>
      <c r="K18" s="16"/>
      <c r="M18" s="16"/>
      <c r="O18" s="16"/>
      <c r="Q18" s="16"/>
      <c r="S18" s="16"/>
      <c r="U18" s="16"/>
      <c r="W18" s="16"/>
      <c r="Y18" s="16"/>
      <c r="AA18" s="16"/>
    </row>
    <row r="19" spans="2:27">
      <c r="B19" s="11">
        <f>1000000+INDEX(编号表!$B:$B,MATCH(C19,编号表!$A:$A,0))*1000+INDEX(编号表!$D:$D,MATCH(D19,编号表!$C:$C,0))*100+E19</f>
        <v>1004407</v>
      </c>
      <c r="C19" s="3" t="s">
        <v>60</v>
      </c>
      <c r="D19" s="11" t="s">
        <v>42</v>
      </c>
      <c r="E19" s="11">
        <v>7</v>
      </c>
      <c r="F19" s="11" t="s">
        <v>62</v>
      </c>
      <c r="G19" s="16" t="s">
        <v>39</v>
      </c>
      <c r="H19" s="11">
        <v>60031020</v>
      </c>
      <c r="I19" s="11">
        <v>7</v>
      </c>
      <c r="J19" s="16"/>
      <c r="K19" s="16"/>
      <c r="M19" s="16"/>
      <c r="O19" s="16"/>
      <c r="Q19" s="16"/>
      <c r="S19" s="16"/>
      <c r="U19" s="16"/>
      <c r="W19" s="16"/>
      <c r="Y19" s="16"/>
      <c r="AA19" s="16"/>
    </row>
    <row r="20" spans="2:27">
      <c r="B20" s="11">
        <f>1000000+INDEX(编号表!$B:$B,MATCH(C20,编号表!$A:$A,0))*1000+INDEX(编号表!$D:$D,MATCH(D20,编号表!$C:$C,0))*100+E20</f>
        <v>1004507</v>
      </c>
      <c r="C20" s="3" t="s">
        <v>60</v>
      </c>
      <c r="D20" s="11" t="s">
        <v>44</v>
      </c>
      <c r="E20" s="11">
        <v>7</v>
      </c>
      <c r="F20" s="11" t="s">
        <v>63</v>
      </c>
      <c r="G20" s="16" t="s">
        <v>39</v>
      </c>
      <c r="H20" s="11">
        <v>60031021</v>
      </c>
      <c r="I20" s="11">
        <v>7</v>
      </c>
      <c r="J20" s="16"/>
      <c r="K20" s="16"/>
      <c r="M20" s="16"/>
      <c r="O20" s="16"/>
      <c r="Q20" s="16"/>
      <c r="S20" s="16"/>
      <c r="U20" s="16"/>
      <c r="W20" s="16"/>
      <c r="Y20" s="16"/>
      <c r="AA20" s="16"/>
    </row>
    <row r="21" spans="2:27">
      <c r="B21" s="11">
        <f>1000000+INDEX(编号表!$B:$B,MATCH(C21,编号表!$A:$A,0))*1000+INDEX(编号表!$D:$D,MATCH(D21,编号表!$C:$C,0))*100+E21</f>
        <v>1004607</v>
      </c>
      <c r="C21" s="3" t="s">
        <v>60</v>
      </c>
      <c r="D21" s="11" t="s">
        <v>46</v>
      </c>
      <c r="E21" s="11">
        <v>7</v>
      </c>
      <c r="F21" s="11" t="s">
        <v>64</v>
      </c>
      <c r="G21" s="16" t="s">
        <v>39</v>
      </c>
      <c r="H21" s="11">
        <v>60031022</v>
      </c>
      <c r="I21" s="11">
        <v>7</v>
      </c>
      <c r="J21" s="16"/>
      <c r="K21" s="16"/>
      <c r="M21" s="16"/>
      <c r="O21" s="16"/>
      <c r="Q21" s="16"/>
      <c r="S21" s="16"/>
      <c r="U21" s="16"/>
      <c r="W21" s="16"/>
      <c r="Y21" s="16"/>
      <c r="AA21" s="16"/>
    </row>
    <row r="22" spans="2:27">
      <c r="B22" s="11">
        <f>1000000+INDEX(编号表!$B:$B,MATCH(C22,编号表!$A:$A,0))*1000+INDEX(编号表!$D:$D,MATCH(D22,编号表!$C:$C,0))*100+E22</f>
        <v>1004707</v>
      </c>
      <c r="C22" s="3" t="s">
        <v>60</v>
      </c>
      <c r="D22" s="11" t="s">
        <v>48</v>
      </c>
      <c r="E22" s="11">
        <v>7</v>
      </c>
      <c r="F22" s="17" t="s">
        <v>65</v>
      </c>
      <c r="G22" s="16" t="s">
        <v>39</v>
      </c>
      <c r="H22" s="11">
        <v>60031023</v>
      </c>
      <c r="I22" s="11">
        <v>7</v>
      </c>
      <c r="J22" s="16"/>
      <c r="K22" s="16"/>
      <c r="M22" s="16"/>
      <c r="O22" s="16"/>
      <c r="Q22" s="16"/>
      <c r="S22" s="16"/>
      <c r="U22" s="16"/>
      <c r="W22" s="16"/>
      <c r="Y22" s="16"/>
      <c r="AA22" s="16"/>
    </row>
    <row r="23" spans="2:27">
      <c r="B23" s="11">
        <f>1000000+INDEX(编号表!$B:$B,MATCH(C23,编号表!$A:$A,0))*1000+INDEX(编号表!$D:$D,MATCH(D23,编号表!$C:$C,0))*100+E23</f>
        <v>1004107</v>
      </c>
      <c r="C23" s="3" t="s">
        <v>60</v>
      </c>
      <c r="D23" s="11" t="s">
        <v>59</v>
      </c>
      <c r="E23" s="11">
        <v>7</v>
      </c>
      <c r="F23" s="17" t="s">
        <v>65</v>
      </c>
      <c r="G23" s="16" t="s">
        <v>39</v>
      </c>
      <c r="H23" s="11">
        <v>60032024</v>
      </c>
      <c r="I23" s="11">
        <v>7</v>
      </c>
      <c r="J23" s="16"/>
      <c r="K23" s="16"/>
      <c r="M23" s="16"/>
      <c r="O23" s="16"/>
      <c r="Q23" s="16"/>
      <c r="S23" s="16"/>
      <c r="U23" s="16"/>
      <c r="W23" s="16"/>
      <c r="Y23" s="16"/>
      <c r="AA23" s="16"/>
    </row>
    <row r="24" spans="2:27">
      <c r="B24" s="11">
        <f>1000000+INDEX(编号表!$B:$B,MATCH(C24,编号表!$A:$A,0))*1000+INDEX(编号表!$D:$D,MATCH(D24,编号表!$C:$C,0))*100+E24</f>
        <v>1005307</v>
      </c>
      <c r="C24" s="3" t="s">
        <v>66</v>
      </c>
      <c r="D24" s="11" t="s">
        <v>40</v>
      </c>
      <c r="E24" s="11">
        <v>7</v>
      </c>
      <c r="F24" s="17" t="s">
        <v>67</v>
      </c>
      <c r="G24" s="16" t="s">
        <v>39</v>
      </c>
      <c r="H24" s="11">
        <v>60041025</v>
      </c>
      <c r="I24" s="11">
        <v>7</v>
      </c>
      <c r="J24" s="16"/>
      <c r="K24" s="16"/>
      <c r="M24" s="16"/>
      <c r="O24" s="16"/>
      <c r="Q24" s="16"/>
      <c r="S24" s="16"/>
      <c r="U24" s="16"/>
      <c r="W24" s="16"/>
      <c r="Y24" s="16"/>
      <c r="AA24" s="16"/>
    </row>
    <row r="25" spans="2:27">
      <c r="B25" s="11">
        <f>1000000+INDEX(编号表!$B:$B,MATCH(C25,编号表!$A:$A,0))*1000+INDEX(编号表!$D:$D,MATCH(D25,编号表!$C:$C,0))*100+E25</f>
        <v>1005407</v>
      </c>
      <c r="C25" s="3" t="s">
        <v>66</v>
      </c>
      <c r="D25" s="11" t="s">
        <v>42</v>
      </c>
      <c r="E25" s="11">
        <v>7</v>
      </c>
      <c r="F25" s="17" t="s">
        <v>68</v>
      </c>
      <c r="G25" s="16" t="s">
        <v>39</v>
      </c>
      <c r="H25" s="11">
        <v>60041026</v>
      </c>
      <c r="I25" s="11">
        <v>7</v>
      </c>
      <c r="J25" s="16"/>
      <c r="K25" s="16"/>
      <c r="M25" s="16"/>
      <c r="O25" s="16"/>
      <c r="Q25" s="16"/>
      <c r="S25" s="16"/>
      <c r="U25" s="16"/>
      <c r="W25" s="16"/>
      <c r="Y25" s="16"/>
      <c r="AA25" s="16"/>
    </row>
    <row r="26" spans="2:27">
      <c r="B26" s="11">
        <f>1000000+INDEX(编号表!$B:$B,MATCH(C26,编号表!$A:$A,0))*1000+INDEX(编号表!$D:$D,MATCH(D26,编号表!$C:$C,0))*100+E26</f>
        <v>1005507</v>
      </c>
      <c r="C26" s="3" t="s">
        <v>66</v>
      </c>
      <c r="D26" s="11" t="s">
        <v>44</v>
      </c>
      <c r="E26" s="11">
        <v>7</v>
      </c>
      <c r="F26" s="17" t="s">
        <v>69</v>
      </c>
      <c r="G26" s="16" t="s">
        <v>39</v>
      </c>
      <c r="H26" s="11">
        <v>60041027</v>
      </c>
      <c r="I26" s="11">
        <v>7</v>
      </c>
      <c r="J26" s="16"/>
      <c r="K26" s="16"/>
      <c r="M26" s="16"/>
      <c r="O26" s="16"/>
      <c r="Q26" s="16"/>
      <c r="S26" s="16"/>
      <c r="U26" s="16"/>
      <c r="W26" s="16"/>
      <c r="Y26" s="16"/>
      <c r="AA26" s="16"/>
    </row>
    <row r="27" spans="2:27">
      <c r="B27" s="11">
        <f>1000000+INDEX(编号表!$B:$B,MATCH(C27,编号表!$A:$A,0))*1000+INDEX(编号表!$D:$D,MATCH(D27,编号表!$C:$C,0))*100+E27</f>
        <v>1005607</v>
      </c>
      <c r="C27" s="3" t="s">
        <v>66</v>
      </c>
      <c r="D27" s="11" t="s">
        <v>46</v>
      </c>
      <c r="E27" s="11">
        <v>7</v>
      </c>
      <c r="F27" s="17" t="s">
        <v>70</v>
      </c>
      <c r="G27" s="16" t="s">
        <v>39</v>
      </c>
      <c r="H27" s="11">
        <v>60041028</v>
      </c>
      <c r="I27" s="11">
        <v>7</v>
      </c>
      <c r="J27" s="16"/>
      <c r="K27" s="16"/>
      <c r="M27" s="16"/>
      <c r="O27" s="16"/>
      <c r="Q27" s="16"/>
      <c r="S27" s="16"/>
      <c r="U27" s="16"/>
      <c r="W27" s="16"/>
      <c r="Y27" s="16"/>
      <c r="AA27" s="16"/>
    </row>
    <row r="28" spans="2:27">
      <c r="B28" s="11">
        <f>1000000+INDEX(编号表!$B:$B,MATCH(C28,编号表!$A:$A,0))*1000+INDEX(编号表!$D:$D,MATCH(D28,编号表!$C:$C,0))*100+E28</f>
        <v>1005707</v>
      </c>
      <c r="C28" s="3" t="s">
        <v>66</v>
      </c>
      <c r="D28" s="11" t="s">
        <v>48</v>
      </c>
      <c r="E28" s="11">
        <v>7</v>
      </c>
      <c r="F28" s="17" t="s">
        <v>71</v>
      </c>
      <c r="G28" s="16" t="s">
        <v>39</v>
      </c>
      <c r="H28" s="11">
        <v>60041029</v>
      </c>
      <c r="I28" s="11">
        <v>7</v>
      </c>
      <c r="J28" s="16"/>
      <c r="K28" s="16"/>
      <c r="M28" s="16"/>
      <c r="O28" s="16"/>
      <c r="Q28" s="16"/>
      <c r="S28" s="16"/>
      <c r="U28" s="16"/>
      <c r="W28" s="16"/>
      <c r="Y28" s="16"/>
      <c r="AA28" s="16"/>
    </row>
    <row r="29" spans="2:27">
      <c r="B29" s="11">
        <f>1000000+INDEX(编号表!$B:$B,MATCH(C29,编号表!$A:$A,0))*1000+INDEX(编号表!$D:$D,MATCH(D29,编号表!$C:$C,0))*100+E29</f>
        <v>1005105</v>
      </c>
      <c r="C29" s="3" t="s">
        <v>66</v>
      </c>
      <c r="D29" s="11" t="s">
        <v>59</v>
      </c>
      <c r="E29" s="11">
        <v>5</v>
      </c>
      <c r="F29" s="17" t="s">
        <v>71</v>
      </c>
      <c r="G29" s="16" t="s">
        <v>39</v>
      </c>
      <c r="H29" s="11">
        <v>60041030</v>
      </c>
      <c r="I29" s="11">
        <v>5</v>
      </c>
      <c r="J29" s="16"/>
      <c r="K29" s="16"/>
      <c r="M29" s="16"/>
      <c r="O29" s="16"/>
      <c r="Q29" s="16"/>
      <c r="S29" s="16"/>
      <c r="U29" s="16"/>
      <c r="W29" s="16"/>
      <c r="Y29" s="16"/>
      <c r="AA29" s="16"/>
    </row>
    <row r="30" spans="2:27">
      <c r="B30" s="11">
        <f>1000000+INDEX(编号表!$B:$B,MATCH(C30,编号表!$A:$A,0))*1000+INDEX(编号表!$D:$D,MATCH(D30,编号表!$C:$C,0))*100+E30</f>
        <v>1006307</v>
      </c>
      <c r="C30" s="3" t="s">
        <v>72</v>
      </c>
      <c r="D30" s="11" t="s">
        <v>40</v>
      </c>
      <c r="E30" s="11">
        <v>7</v>
      </c>
      <c r="F30" s="17" t="s">
        <v>73</v>
      </c>
      <c r="G30" s="16" t="s">
        <v>39</v>
      </c>
      <c r="H30" s="11">
        <v>60051031</v>
      </c>
      <c r="I30" s="11">
        <v>7</v>
      </c>
      <c r="J30" s="16"/>
      <c r="K30" s="16"/>
      <c r="M30" s="16"/>
      <c r="O30" s="16"/>
      <c r="Q30" s="16"/>
      <c r="S30" s="16"/>
      <c r="U30" s="16"/>
      <c r="W30" s="16"/>
      <c r="Y30" s="16"/>
      <c r="AA30" s="16"/>
    </row>
    <row r="31" spans="2:27">
      <c r="B31" s="11">
        <f>1000000+INDEX(编号表!$B:$B,MATCH(C31,编号表!$A:$A,0))*1000+INDEX(编号表!$D:$D,MATCH(D31,编号表!$C:$C,0))*100+E31</f>
        <v>1006407</v>
      </c>
      <c r="C31" s="3" t="s">
        <v>72</v>
      </c>
      <c r="D31" s="11" t="s">
        <v>42</v>
      </c>
      <c r="E31" s="11">
        <v>7</v>
      </c>
      <c r="F31" s="17" t="s">
        <v>74</v>
      </c>
      <c r="G31" s="16" t="s">
        <v>39</v>
      </c>
      <c r="H31" s="11">
        <v>60051032</v>
      </c>
      <c r="I31" s="11">
        <v>7</v>
      </c>
      <c r="J31" s="16"/>
      <c r="K31" s="16"/>
      <c r="M31" s="16"/>
      <c r="O31" s="16"/>
      <c r="Q31" s="16"/>
      <c r="S31" s="16"/>
      <c r="U31" s="16"/>
      <c r="W31" s="16"/>
      <c r="Y31" s="16"/>
      <c r="AA31" s="16"/>
    </row>
    <row r="32" spans="2:27">
      <c r="B32" s="11">
        <f>1000000+INDEX(编号表!$B:$B,MATCH(C32,编号表!$A:$A,0))*1000+INDEX(编号表!$D:$D,MATCH(D32,编号表!$C:$C,0))*100+E32</f>
        <v>1006507</v>
      </c>
      <c r="C32" s="3" t="s">
        <v>72</v>
      </c>
      <c r="D32" s="11" t="s">
        <v>44</v>
      </c>
      <c r="E32" s="11">
        <v>7</v>
      </c>
      <c r="F32" s="17" t="s">
        <v>75</v>
      </c>
      <c r="G32" s="16" t="s">
        <v>39</v>
      </c>
      <c r="H32" s="11">
        <v>60051033</v>
      </c>
      <c r="I32" s="11">
        <v>7</v>
      </c>
      <c r="J32" s="16"/>
      <c r="K32" s="16"/>
      <c r="M32" s="16"/>
      <c r="O32" s="16"/>
      <c r="Q32" s="16"/>
      <c r="S32" s="16"/>
      <c r="U32" s="16"/>
      <c r="W32" s="16"/>
      <c r="Y32" s="16"/>
      <c r="AA32" s="16"/>
    </row>
    <row r="33" spans="2:27">
      <c r="B33" s="11">
        <f>1000000+INDEX(编号表!$B:$B,MATCH(C33,编号表!$A:$A,0))*1000+INDEX(编号表!$D:$D,MATCH(D33,编号表!$C:$C,0))*100+E33</f>
        <v>1006607</v>
      </c>
      <c r="C33" s="3" t="s">
        <v>72</v>
      </c>
      <c r="D33" s="11" t="s">
        <v>46</v>
      </c>
      <c r="E33" s="11">
        <v>7</v>
      </c>
      <c r="F33" s="17" t="s">
        <v>76</v>
      </c>
      <c r="G33" s="16" t="s">
        <v>39</v>
      </c>
      <c r="H33" s="11">
        <v>60051034</v>
      </c>
      <c r="I33" s="11">
        <v>7</v>
      </c>
      <c r="J33" s="16"/>
      <c r="K33" s="16"/>
      <c r="M33" s="16"/>
      <c r="O33" s="16"/>
      <c r="Q33" s="16"/>
      <c r="S33" s="16"/>
      <c r="U33" s="16"/>
      <c r="W33" s="16"/>
      <c r="Y33" s="16"/>
      <c r="AA33" s="16"/>
    </row>
    <row r="34" spans="2:27">
      <c r="B34" s="11">
        <f>1000000+INDEX(编号表!$B:$B,MATCH(C34,编号表!$A:$A,0))*1000+INDEX(编号表!$D:$D,MATCH(D34,编号表!$C:$C,0))*100+E34</f>
        <v>1006105</v>
      </c>
      <c r="C34" s="3" t="s">
        <v>72</v>
      </c>
      <c r="D34" s="11" t="s">
        <v>59</v>
      </c>
      <c r="E34" s="11">
        <v>5</v>
      </c>
      <c r="F34" s="17" t="s">
        <v>76</v>
      </c>
      <c r="G34" s="16" t="s">
        <v>39</v>
      </c>
      <c r="H34" s="11">
        <v>60052035</v>
      </c>
      <c r="I34" s="11">
        <v>5</v>
      </c>
      <c r="J34" s="16"/>
      <c r="K34" s="16"/>
      <c r="M34" s="16"/>
      <c r="O34" s="16"/>
      <c r="Q34" s="16"/>
      <c r="S34" s="16"/>
      <c r="U34" s="16"/>
      <c r="W34" s="16"/>
      <c r="Y34" s="16"/>
      <c r="AA34" s="16"/>
    </row>
    <row r="35" spans="2:27">
      <c r="B35" s="11">
        <f>1000000+INDEX(编号表!$B:$B,MATCH(C35,编号表!$A:$A,0))*1000+INDEX(编号表!$D:$D,MATCH(D35,编号表!$C:$C,0))*100+E35</f>
        <v>1006001</v>
      </c>
      <c r="C35" s="3" t="s">
        <v>72</v>
      </c>
      <c r="D35" s="11" t="s">
        <v>77</v>
      </c>
      <c r="E35" s="11">
        <v>1</v>
      </c>
      <c r="F35" s="17" t="s">
        <v>78</v>
      </c>
      <c r="G35" s="16" t="s">
        <v>79</v>
      </c>
      <c r="H35" s="11">
        <v>60054036</v>
      </c>
      <c r="I35" s="11">
        <v>1</v>
      </c>
      <c r="J35" s="16"/>
      <c r="K35" s="16"/>
      <c r="M35" s="16"/>
      <c r="O35" s="16"/>
      <c r="Q35" s="16"/>
      <c r="S35" s="16"/>
      <c r="U35" s="16"/>
      <c r="W35" s="16"/>
      <c r="Y35" s="16"/>
      <c r="AA35" s="16"/>
    </row>
    <row r="36" spans="2:27">
      <c r="B36" s="11">
        <f>1000000+INDEX(编号表!$B:$B,MATCH(C36,编号表!$A:$A,0))*1000+INDEX(编号表!$D:$D,MATCH(D36,编号表!$C:$C,0))*100+E36</f>
        <v>1007307</v>
      </c>
      <c r="C36" s="18" t="s">
        <v>80</v>
      </c>
      <c r="D36" s="11" t="s">
        <v>40</v>
      </c>
      <c r="E36" s="11">
        <v>7</v>
      </c>
      <c r="F36" s="17" t="s">
        <v>38</v>
      </c>
      <c r="G36" s="16" t="s">
        <v>39</v>
      </c>
      <c r="H36" s="11">
        <v>60061037</v>
      </c>
      <c r="I36" s="11">
        <v>7</v>
      </c>
      <c r="J36" s="16"/>
      <c r="K36" s="16"/>
      <c r="M36" s="16"/>
      <c r="O36" s="16"/>
      <c r="Q36" s="16"/>
      <c r="S36" s="16"/>
      <c r="U36" s="16"/>
      <c r="W36" s="16"/>
      <c r="Y36" s="16"/>
      <c r="AA36" s="16"/>
    </row>
    <row r="37" spans="2:27">
      <c r="B37" s="11">
        <f>1000000+INDEX(编号表!$B:$B,MATCH(C37,编号表!$A:$A,0))*1000+INDEX(编号表!$D:$D,MATCH(D37,编号表!$C:$C,0))*100+E37</f>
        <v>1007407</v>
      </c>
      <c r="C37" s="18" t="s">
        <v>80</v>
      </c>
      <c r="D37" s="11" t="s">
        <v>42</v>
      </c>
      <c r="E37" s="11">
        <v>7</v>
      </c>
      <c r="F37" s="17" t="s">
        <v>41</v>
      </c>
      <c r="G37" s="16" t="s">
        <v>39</v>
      </c>
      <c r="H37" s="11">
        <v>60061038</v>
      </c>
      <c r="I37" s="11">
        <v>7</v>
      </c>
      <c r="J37" s="16"/>
      <c r="K37" s="16"/>
      <c r="M37" s="16"/>
      <c r="O37" s="16"/>
      <c r="Q37" s="16"/>
      <c r="S37" s="16"/>
      <c r="U37" s="16"/>
      <c r="W37" s="16"/>
      <c r="Y37" s="16"/>
      <c r="AA37" s="16"/>
    </row>
    <row r="38" spans="2:27">
      <c r="B38" s="11">
        <f>1000000+INDEX(编号表!$B:$B,MATCH(C38,编号表!$A:$A,0))*1000+INDEX(编号表!$D:$D,MATCH(D38,编号表!$C:$C,0))*100+E38</f>
        <v>1007507</v>
      </c>
      <c r="C38" s="18" t="s">
        <v>80</v>
      </c>
      <c r="D38" s="11" t="s">
        <v>44</v>
      </c>
      <c r="E38" s="11">
        <v>7</v>
      </c>
      <c r="F38" s="17" t="s">
        <v>43</v>
      </c>
      <c r="G38" s="16" t="s">
        <v>39</v>
      </c>
      <c r="H38" s="11">
        <v>60061039</v>
      </c>
      <c r="I38" s="11">
        <v>7</v>
      </c>
      <c r="J38" s="16"/>
      <c r="K38" s="16"/>
      <c r="M38" s="16"/>
      <c r="O38" s="16"/>
      <c r="Q38" s="16"/>
      <c r="S38" s="16"/>
      <c r="U38" s="16"/>
      <c r="W38" s="16"/>
      <c r="Y38" s="16"/>
      <c r="AA38" s="16"/>
    </row>
    <row r="39" spans="2:27">
      <c r="B39" s="11">
        <f>1000000+INDEX(编号表!$B:$B,MATCH(C39,编号表!$A:$A,0))*1000+INDEX(编号表!$D:$D,MATCH(D39,编号表!$C:$C,0))*100+E39</f>
        <v>1008307</v>
      </c>
      <c r="C39" s="3" t="s">
        <v>81</v>
      </c>
      <c r="D39" s="11" t="s">
        <v>40</v>
      </c>
      <c r="E39" s="11">
        <v>7</v>
      </c>
      <c r="F39" s="17" t="s">
        <v>47</v>
      </c>
      <c r="G39" s="16" t="s">
        <v>39</v>
      </c>
      <c r="H39" s="11">
        <v>60071040</v>
      </c>
      <c r="I39" s="11">
        <v>7</v>
      </c>
      <c r="J39" s="16"/>
      <c r="K39" s="16"/>
      <c r="M39" s="16"/>
      <c r="O39" s="16"/>
      <c r="Q39" s="16"/>
      <c r="S39" s="16"/>
      <c r="U39" s="16"/>
      <c r="W39" s="16"/>
      <c r="Y39" s="16"/>
      <c r="AA39" s="16"/>
    </row>
    <row r="40" spans="2:27">
      <c r="B40" s="11">
        <f>1000000+INDEX(编号表!$B:$B,MATCH(C40,编号表!$A:$A,0))*1000+INDEX(编号表!$D:$D,MATCH(D40,编号表!$C:$C,0))*100+E40</f>
        <v>1008407</v>
      </c>
      <c r="C40" s="3" t="s">
        <v>81</v>
      </c>
      <c r="D40" s="11" t="s">
        <v>42</v>
      </c>
      <c r="E40" s="11">
        <v>7</v>
      </c>
      <c r="F40" s="17" t="s">
        <v>82</v>
      </c>
      <c r="G40" s="16" t="s">
        <v>39</v>
      </c>
      <c r="H40" s="11">
        <v>60071041</v>
      </c>
      <c r="I40" s="11">
        <v>7</v>
      </c>
      <c r="J40" s="16"/>
      <c r="K40" s="16"/>
      <c r="M40" s="16"/>
      <c r="O40" s="16"/>
      <c r="Q40" s="16"/>
      <c r="S40" s="16"/>
      <c r="U40" s="16"/>
      <c r="W40" s="16"/>
      <c r="Y40" s="16"/>
      <c r="AA40" s="16"/>
    </row>
    <row r="41" spans="2:27">
      <c r="B41" s="11">
        <f>1000000+INDEX(编号表!$B:$B,MATCH(C41,编号表!$A:$A,0))*1000+INDEX(编号表!$D:$D,MATCH(D41,编号表!$C:$C,0))*100+E41</f>
        <v>1008505</v>
      </c>
      <c r="C41" s="3" t="s">
        <v>81</v>
      </c>
      <c r="D41" s="11" t="s">
        <v>44</v>
      </c>
      <c r="E41" s="11">
        <v>5</v>
      </c>
      <c r="F41" s="17" t="s">
        <v>83</v>
      </c>
      <c r="G41" s="16" t="s">
        <v>39</v>
      </c>
      <c r="H41" s="11">
        <v>60071042</v>
      </c>
      <c r="I41" s="11">
        <v>5</v>
      </c>
      <c r="J41" s="16"/>
      <c r="K41" s="16"/>
      <c r="M41" s="16"/>
      <c r="O41" s="16"/>
      <c r="Q41" s="16"/>
      <c r="S41" s="16"/>
      <c r="U41" s="16"/>
      <c r="W41" s="16"/>
      <c r="Y41" s="16"/>
      <c r="AA41" s="16"/>
    </row>
    <row r="42" spans="2:27">
      <c r="B42" s="11">
        <f>1000000+INDEX(编号表!$B:$B,MATCH(C42,编号表!$A:$A,0))*1000+INDEX(编号表!$D:$D,MATCH(D42,编号表!$C:$C,0))*100+E42</f>
        <v>1009307</v>
      </c>
      <c r="C42" s="3" t="s">
        <v>84</v>
      </c>
      <c r="D42" s="11" t="s">
        <v>40</v>
      </c>
      <c r="E42" s="11">
        <v>7</v>
      </c>
      <c r="F42" s="17" t="s">
        <v>85</v>
      </c>
      <c r="G42" s="16" t="s">
        <v>39</v>
      </c>
      <c r="H42" s="11">
        <v>60081043</v>
      </c>
      <c r="I42" s="11">
        <v>7</v>
      </c>
      <c r="J42" s="16"/>
      <c r="K42" s="16"/>
      <c r="M42" s="16"/>
      <c r="O42" s="16"/>
      <c r="Q42" s="16"/>
      <c r="S42" s="16"/>
      <c r="U42" s="16"/>
      <c r="W42" s="16"/>
      <c r="Y42" s="16"/>
      <c r="AA42" s="16"/>
    </row>
    <row r="43" spans="2:27">
      <c r="B43" s="11">
        <f>1000000+INDEX(编号表!$B:$B,MATCH(C43,编号表!$A:$A,0))*1000+INDEX(编号表!$D:$D,MATCH(D43,编号表!$C:$C,0))*100+E43</f>
        <v>1009407</v>
      </c>
      <c r="C43" s="3" t="s">
        <v>84</v>
      </c>
      <c r="D43" s="11" t="s">
        <v>42</v>
      </c>
      <c r="E43" s="11">
        <v>7</v>
      </c>
      <c r="F43" s="17" t="s">
        <v>86</v>
      </c>
      <c r="G43" s="16" t="s">
        <v>39</v>
      </c>
      <c r="H43" s="11">
        <v>60081044</v>
      </c>
      <c r="I43" s="11">
        <v>7</v>
      </c>
      <c r="J43" s="16"/>
      <c r="K43" s="16"/>
      <c r="M43" s="16"/>
      <c r="O43" s="16"/>
      <c r="Q43" s="16"/>
      <c r="S43" s="16"/>
      <c r="U43" s="16"/>
      <c r="W43" s="16"/>
      <c r="Y43" s="16"/>
      <c r="AA43" s="16"/>
    </row>
    <row r="44" spans="2:27">
      <c r="B44" s="11">
        <f>1000000+INDEX(编号表!$B:$B,MATCH(C44,编号表!$A:$A,0))*1000+INDEX(编号表!$D:$D,MATCH(D44,编号表!$C:$C,0))*100+E44</f>
        <v>1009505</v>
      </c>
      <c r="C44" s="3" t="s">
        <v>84</v>
      </c>
      <c r="D44" s="11" t="s">
        <v>44</v>
      </c>
      <c r="E44" s="11">
        <v>5</v>
      </c>
      <c r="F44" s="17" t="s">
        <v>87</v>
      </c>
      <c r="G44" s="16" t="s">
        <v>39</v>
      </c>
      <c r="H44" s="11">
        <v>60081045</v>
      </c>
      <c r="I44" s="11">
        <v>5</v>
      </c>
    </row>
    <row r="45" spans="2:27">
      <c r="B45" s="11">
        <f>1000000+INDEX(编号表!$B:$B,MATCH(C45,编号表!$A:$A,0))*1000+INDEX(编号表!$D:$D,MATCH(D45,编号表!$C:$C,0))*100+E45</f>
        <v>1009103</v>
      </c>
      <c r="C45" s="3" t="s">
        <v>84</v>
      </c>
      <c r="D45" s="11" t="s">
        <v>59</v>
      </c>
      <c r="E45" s="11">
        <v>3</v>
      </c>
      <c r="F45" s="17" t="s">
        <v>87</v>
      </c>
      <c r="G45" s="16" t="s">
        <v>39</v>
      </c>
      <c r="H45" s="11">
        <v>60082046</v>
      </c>
      <c r="I45" s="11">
        <v>3</v>
      </c>
    </row>
    <row r="46" spans="2:27">
      <c r="B46" s="11">
        <f>1000000+INDEX(编号表!$B:$B,MATCH(C46,编号表!$A:$A,0))*1000+INDEX(编号表!$D:$D,MATCH(D46,编号表!$C:$C,0))*100+E46</f>
        <v>1009001</v>
      </c>
      <c r="C46" s="3" t="s">
        <v>84</v>
      </c>
      <c r="D46" s="11" t="s">
        <v>77</v>
      </c>
      <c r="E46" s="11">
        <v>1</v>
      </c>
      <c r="F46" s="17" t="s">
        <v>88</v>
      </c>
      <c r="G46" s="16" t="s">
        <v>79</v>
      </c>
      <c r="H46" s="3">
        <v>60084047</v>
      </c>
      <c r="I46" s="11">
        <v>1</v>
      </c>
    </row>
    <row r="47" spans="2:27">
      <c r="B47" s="11">
        <f>1000000+INDEX(编号表!$B:$B,MATCH(C47,编号表!$A:$A,0))*1000+INDEX(编号表!$D:$D,MATCH(D47,编号表!$C:$C,0))*100+E47</f>
        <v>1010306</v>
      </c>
      <c r="C47" s="3" t="s">
        <v>89</v>
      </c>
      <c r="D47" s="11" t="s">
        <v>40</v>
      </c>
      <c r="E47" s="11">
        <v>6</v>
      </c>
      <c r="F47" s="17" t="s">
        <v>90</v>
      </c>
      <c r="G47" s="16" t="s">
        <v>39</v>
      </c>
      <c r="H47" s="3">
        <v>60091048</v>
      </c>
      <c r="I47" s="11">
        <v>6</v>
      </c>
    </row>
    <row r="48" spans="2:27">
      <c r="B48" s="11">
        <f>1000000+INDEX(编号表!$B:$B,MATCH(C48,编号表!$A:$A,0))*1000+INDEX(编号表!$D:$D,MATCH(D48,编号表!$C:$C,0))*100+E48</f>
        <v>1010408</v>
      </c>
      <c r="C48" s="3" t="s">
        <v>89</v>
      </c>
      <c r="D48" s="11" t="s">
        <v>42</v>
      </c>
      <c r="E48" s="11">
        <v>8</v>
      </c>
      <c r="F48" s="17" t="s">
        <v>91</v>
      </c>
      <c r="G48" s="16" t="s">
        <v>39</v>
      </c>
      <c r="H48" s="3">
        <v>60091049</v>
      </c>
      <c r="I48" s="11">
        <v>8</v>
      </c>
    </row>
    <row r="49" spans="2:9">
      <c r="B49" s="11">
        <f>1000000+INDEX(编号表!$B:$B,MATCH(C49,编号表!$A:$A,0))*1000+INDEX(编号表!$D:$D,MATCH(D49,编号表!$C:$C,0))*100+E49</f>
        <v>1010506</v>
      </c>
      <c r="C49" s="3" t="s">
        <v>89</v>
      </c>
      <c r="D49" s="11" t="s">
        <v>44</v>
      </c>
      <c r="E49" s="11">
        <v>6</v>
      </c>
      <c r="F49" s="17" t="s">
        <v>92</v>
      </c>
      <c r="G49" s="16" t="s">
        <v>39</v>
      </c>
      <c r="H49" s="3">
        <v>60091050</v>
      </c>
      <c r="I49" s="11">
        <v>6</v>
      </c>
    </row>
    <row r="50" spans="2:9">
      <c r="B50" s="11">
        <f>1000000+INDEX(编号表!$B:$B,MATCH(C50,编号表!$A:$A,0))*1000+INDEX(编号表!$D:$D,MATCH(D50,编号表!$C:$C,0))*100+E50</f>
        <v>1010606</v>
      </c>
      <c r="C50" s="3" t="s">
        <v>89</v>
      </c>
      <c r="D50" s="11" t="s">
        <v>46</v>
      </c>
      <c r="E50" s="11">
        <v>6</v>
      </c>
      <c r="F50" s="17" t="s">
        <v>93</v>
      </c>
      <c r="G50" s="16" t="s">
        <v>39</v>
      </c>
      <c r="H50" s="3">
        <v>60091051</v>
      </c>
      <c r="I50" s="11">
        <v>6</v>
      </c>
    </row>
    <row r="51" spans="2:9">
      <c r="B51" s="11">
        <f>1000000+INDEX(编号表!$B:$B,MATCH(C51,编号表!$A:$A,0))*1000+INDEX(编号表!$D:$D,MATCH(D51,编号表!$C:$C,0))*100+E51</f>
        <v>1010104</v>
      </c>
      <c r="C51" s="3" t="s">
        <v>89</v>
      </c>
      <c r="D51" s="11" t="s">
        <v>59</v>
      </c>
      <c r="E51" s="11">
        <v>4</v>
      </c>
      <c r="F51" s="17" t="s">
        <v>93</v>
      </c>
      <c r="G51" s="16" t="s">
        <v>39</v>
      </c>
      <c r="H51" s="3">
        <v>60092052</v>
      </c>
      <c r="I51" s="11">
        <v>4</v>
      </c>
    </row>
  </sheetData>
  <autoFilter xmlns:etc="http://www.wps.cn/officeDocument/2017/etCustomData" ref="A2:Z51" etc:filterBottomFollowUsedRange="0">
    <extLst/>
  </autoFilter>
  <mergeCells count="2">
    <mergeCell ref="H1:AA1"/>
    <mergeCell ref="H2:AA2"/>
  </mergeCells>
  <conditionalFormatting sqref="G35">
    <cfRule type="duplicateValues" dxfId="0" priority="5"/>
  </conditionalFormatting>
  <conditionalFormatting sqref="G46">
    <cfRule type="duplicateValues" dxfId="0" priority="618"/>
  </conditionalFormatting>
  <conditionalFormatting sqref="G3:G4">
    <cfRule type="duplicateValues" dxfId="0" priority="8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2"/>
  <sheetViews>
    <sheetView workbookViewId="0">
      <selection activeCell="B8" sqref="B8"/>
    </sheetView>
  </sheetViews>
  <sheetFormatPr defaultColWidth="9" defaultRowHeight="14.4" outlineLevelCol="1"/>
  <cols>
    <col min="2" max="2" width="81.0925925925926" style="1" customWidth="1"/>
  </cols>
  <sheetData>
    <row r="1" spans="1:2">
      <c r="A1" t="s">
        <v>94</v>
      </c>
      <c r="B1" t="s">
        <v>95</v>
      </c>
    </row>
    <row r="2" spans="1:2">
      <c r="A2" t="s">
        <v>96</v>
      </c>
      <c r="B2" t="s">
        <v>97</v>
      </c>
    </row>
    <row r="3" spans="1:2">
      <c r="A3" t="s">
        <v>98</v>
      </c>
      <c r="B3" t="s">
        <v>99</v>
      </c>
    </row>
    <row r="4" spans="1:2">
      <c r="A4" t="s">
        <v>100</v>
      </c>
      <c r="B4" t="s">
        <v>101</v>
      </c>
    </row>
    <row r="5" spans="1:2">
      <c r="A5" t="s">
        <v>102</v>
      </c>
      <c r="B5" t="s">
        <v>103</v>
      </c>
    </row>
    <row r="6" spans="1:2">
      <c r="A6" t="s">
        <v>104</v>
      </c>
      <c r="B6" t="s">
        <v>105</v>
      </c>
    </row>
    <row r="7" spans="1:2">
      <c r="A7" t="s">
        <v>106</v>
      </c>
      <c r="B7" t="s">
        <v>107</v>
      </c>
    </row>
    <row r="8" spans="1:2">
      <c r="A8" t="s">
        <v>108</v>
      </c>
    </row>
    <row r="9" spans="1:2">
      <c r="A9" t="s">
        <v>109</v>
      </c>
    </row>
    <row r="10" spans="1:2">
      <c r="A10" t="s">
        <v>110</v>
      </c>
    </row>
    <row r="11" spans="1:2">
      <c r="A11" t="s">
        <v>111</v>
      </c>
    </row>
    <row r="12" spans="1:2">
      <c r="A12" t="s">
        <v>112</v>
      </c>
    </row>
    <row r="13" spans="1:2">
      <c r="A13" t="s">
        <v>113</v>
      </c>
    </row>
    <row r="14" spans="1:2">
      <c r="A14" t="s">
        <v>114</v>
      </c>
    </row>
    <row r="15" spans="1:2">
      <c r="A15" t="s">
        <v>115</v>
      </c>
    </row>
    <row r="16" spans="1:2">
      <c r="A16" t="s">
        <v>116</v>
      </c>
    </row>
    <row r="17" spans="1:1">
      <c r="A17" t="s">
        <v>117</v>
      </c>
    </row>
    <row r="18" spans="1:1">
      <c r="A18" t="s">
        <v>118</v>
      </c>
    </row>
    <row r="19" spans="1:1">
      <c r="A19" t="s">
        <v>119</v>
      </c>
    </row>
    <row r="20" spans="1:1">
      <c r="A20" t="s">
        <v>120</v>
      </c>
    </row>
    <row r="21" spans="1:1">
      <c r="A21" t="s">
        <v>121</v>
      </c>
    </row>
    <row r="22" spans="1:1">
      <c r="A22" t="s">
        <v>122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77"/>
  <sheetViews>
    <sheetView workbookViewId="0">
      <selection activeCell="C14" sqref="C14"/>
    </sheetView>
  </sheetViews>
  <sheetFormatPr defaultColWidth="9" defaultRowHeight="14.4"/>
  <cols>
    <col min="2" max="3" width="12.7222222222222" style="9" customWidth="1"/>
    <col min="4" max="7" width="11" style="1" customWidth="1"/>
    <col min="8" max="8" width="9.36111111111111" style="1" customWidth="1"/>
    <col min="10" max="10" width="9.36111111111111" style="1" customWidth="1"/>
    <col min="12" max="12" width="9.36111111111111" style="1" customWidth="1"/>
    <col min="14" max="14" width="9.36111111111111" style="1" customWidth="1"/>
    <col min="16" max="16" width="9.36111111111111" style="1" customWidth="1"/>
    <col min="18" max="18" width="9.36111111111111" style="1" customWidth="1"/>
    <col min="20" max="20" width="9.36111111111111" style="1" customWidth="1"/>
    <col min="22" max="22" width="9.36111111111111" style="1" customWidth="1"/>
  </cols>
  <sheetData>
    <row r="1" s="9" customFormat="1" spans="1:23">
      <c r="A1" s="9" t="s">
        <v>10</v>
      </c>
      <c r="B1" s="9" t="s">
        <v>11</v>
      </c>
      <c r="C1" s="9" t="s">
        <v>15</v>
      </c>
      <c r="D1" s="9" t="s">
        <v>16</v>
      </c>
      <c r="E1" t="s">
        <v>17</v>
      </c>
      <c r="F1" s="9" t="s">
        <v>18</v>
      </c>
      <c r="G1" t="s">
        <v>19</v>
      </c>
      <c r="H1" s="9" t="s">
        <v>20</v>
      </c>
      <c r="I1" t="s">
        <v>21</v>
      </c>
      <c r="J1" s="9" t="s">
        <v>22</v>
      </c>
      <c r="K1" t="s">
        <v>23</v>
      </c>
      <c r="L1" s="9" t="s">
        <v>24</v>
      </c>
      <c r="M1" t="s">
        <v>25</v>
      </c>
      <c r="N1" s="9" t="s">
        <v>26</v>
      </c>
      <c r="O1" t="s">
        <v>27</v>
      </c>
      <c r="P1" s="9" t="s">
        <v>28</v>
      </c>
      <c r="Q1" t="s">
        <v>29</v>
      </c>
      <c r="R1" s="9" t="s">
        <v>30</v>
      </c>
      <c r="S1" t="s">
        <v>31</v>
      </c>
      <c r="T1" s="9" t="s">
        <v>32</v>
      </c>
      <c r="U1" t="s">
        <v>33</v>
      </c>
      <c r="V1" s="9" t="s">
        <v>34</v>
      </c>
      <c r="W1" t="s">
        <v>35</v>
      </c>
    </row>
    <row r="2" s="9" customFormat="1" spans="1:23">
      <c r="A2" s="9" t="s">
        <v>1</v>
      </c>
      <c r="C2" s="9" t="s">
        <v>2</v>
      </c>
      <c r="D2" s="9" t="s">
        <v>123</v>
      </c>
      <c r="E2" s="9" t="s">
        <v>124</v>
      </c>
      <c r="F2" s="9" t="s">
        <v>125</v>
      </c>
      <c r="G2" s="9" t="s">
        <v>126</v>
      </c>
      <c r="H2" s="9" t="s">
        <v>127</v>
      </c>
      <c r="I2" s="9" t="s">
        <v>128</v>
      </c>
      <c r="J2" s="9" t="s">
        <v>129</v>
      </c>
      <c r="K2" s="9" t="s">
        <v>130</v>
      </c>
      <c r="L2" s="9" t="s">
        <v>131</v>
      </c>
      <c r="M2" s="9" t="s">
        <v>132</v>
      </c>
      <c r="N2" s="9" t="s">
        <v>133</v>
      </c>
      <c r="O2" s="9" t="s">
        <v>134</v>
      </c>
      <c r="P2" s="9" t="s">
        <v>135</v>
      </c>
      <c r="Q2" s="9" t="s">
        <v>136</v>
      </c>
      <c r="R2" s="9" t="s">
        <v>137</v>
      </c>
      <c r="S2" s="9" t="s">
        <v>138</v>
      </c>
      <c r="T2" s="9" t="s">
        <v>139</v>
      </c>
      <c r="U2" s="9" t="s">
        <v>140</v>
      </c>
      <c r="V2" s="9" t="s">
        <v>141</v>
      </c>
      <c r="W2" s="9" t="s">
        <v>142</v>
      </c>
    </row>
    <row r="3" spans="1:23">
      <c r="A3">
        <v>1</v>
      </c>
      <c r="B3" s="9" t="s">
        <v>143</v>
      </c>
      <c r="C3" s="9" t="s">
        <v>39</v>
      </c>
      <c r="D3">
        <v>60011037</v>
      </c>
      <c r="E3">
        <v>2</v>
      </c>
      <c r="F3">
        <v>60011090</v>
      </c>
      <c r="G3">
        <v>2</v>
      </c>
      <c r="H3">
        <v>60371001</v>
      </c>
      <c r="I3">
        <v>2</v>
      </c>
      <c r="J3">
        <v>60011033</v>
      </c>
      <c r="K3">
        <v>2</v>
      </c>
      <c r="L3">
        <v>60011035</v>
      </c>
      <c r="M3">
        <v>2</v>
      </c>
      <c r="N3">
        <v>60371009</v>
      </c>
      <c r="O3">
        <v>2</v>
      </c>
      <c r="P3">
        <v>60011016</v>
      </c>
      <c r="Q3">
        <v>2</v>
      </c>
      <c r="R3">
        <v>60011090</v>
      </c>
      <c r="S3">
        <v>2</v>
      </c>
      <c r="T3">
        <v>60011081</v>
      </c>
      <c r="U3">
        <v>2</v>
      </c>
      <c r="V3">
        <v>60371011</v>
      </c>
      <c r="W3">
        <v>2</v>
      </c>
    </row>
    <row r="4" spans="1:23">
      <c r="A4">
        <v>2</v>
      </c>
      <c r="B4" s="9" t="s">
        <v>144</v>
      </c>
      <c r="C4" s="9" t="s">
        <v>39</v>
      </c>
      <c r="D4">
        <v>60011119</v>
      </c>
      <c r="E4">
        <v>1</v>
      </c>
      <c r="F4">
        <v>60011105</v>
      </c>
      <c r="G4">
        <v>1</v>
      </c>
      <c r="H4">
        <v>60371107</v>
      </c>
      <c r="I4">
        <v>1</v>
      </c>
      <c r="J4">
        <v>60011106</v>
      </c>
      <c r="K4">
        <v>1</v>
      </c>
      <c r="L4">
        <v>60011127</v>
      </c>
      <c r="M4">
        <v>1</v>
      </c>
    </row>
    <row r="5" spans="1:23">
      <c r="A5">
        <v>3</v>
      </c>
      <c r="B5" s="9" t="s">
        <v>144</v>
      </c>
      <c r="C5" s="9" t="s">
        <v>39</v>
      </c>
      <c r="D5">
        <v>60011106</v>
      </c>
      <c r="E5">
        <v>1</v>
      </c>
      <c r="F5">
        <v>60011127</v>
      </c>
      <c r="G5">
        <v>1</v>
      </c>
    </row>
    <row r="6" spans="1:23">
      <c r="A6">
        <v>4</v>
      </c>
      <c r="B6" s="9" t="s">
        <v>145</v>
      </c>
      <c r="C6" s="9" t="s">
        <v>39</v>
      </c>
      <c r="D6">
        <v>60011105</v>
      </c>
      <c r="E6">
        <v>1</v>
      </c>
      <c r="F6">
        <v>60371107</v>
      </c>
      <c r="G6">
        <v>1</v>
      </c>
      <c r="H6">
        <v>60011106</v>
      </c>
      <c r="I6">
        <v>1</v>
      </c>
      <c r="J6">
        <v>60011127</v>
      </c>
      <c r="K6">
        <v>1</v>
      </c>
      <c r="L6">
        <v>60011121</v>
      </c>
      <c r="M6">
        <v>1</v>
      </c>
    </row>
    <row r="7" spans="1:23">
      <c r="A7">
        <v>5</v>
      </c>
      <c r="B7" s="9" t="s">
        <v>146</v>
      </c>
      <c r="C7" s="9" t="s">
        <v>39</v>
      </c>
      <c r="D7">
        <v>60011105</v>
      </c>
      <c r="E7">
        <v>6</v>
      </c>
      <c r="F7">
        <v>60371107</v>
      </c>
      <c r="G7">
        <v>6</v>
      </c>
      <c r="H7">
        <v>60011106</v>
      </c>
      <c r="I7">
        <v>6</v>
      </c>
      <c r="J7">
        <v>60011127</v>
      </c>
      <c r="K7">
        <v>6</v>
      </c>
      <c r="L7">
        <v>60011121</v>
      </c>
      <c r="M7">
        <v>6</v>
      </c>
      <c r="N7">
        <v>60371124</v>
      </c>
      <c r="O7">
        <v>6</v>
      </c>
    </row>
    <row r="8" spans="1:23">
      <c r="A8">
        <v>6</v>
      </c>
      <c r="B8" s="9" t="s">
        <v>147</v>
      </c>
      <c r="C8" s="9" t="s">
        <v>79</v>
      </c>
      <c r="D8">
        <v>60011132</v>
      </c>
      <c r="E8">
        <v>1</v>
      </c>
    </row>
    <row r="9" spans="1:23">
      <c r="A9">
        <v>7</v>
      </c>
      <c r="B9" s="9" t="s">
        <v>147</v>
      </c>
      <c r="C9" s="9" t="s">
        <v>39</v>
      </c>
      <c r="D9">
        <v>60011105</v>
      </c>
      <c r="E9">
        <v>4</v>
      </c>
      <c r="F9">
        <v>60371107</v>
      </c>
      <c r="G9">
        <v>4</v>
      </c>
      <c r="H9">
        <v>60011106</v>
      </c>
      <c r="I9">
        <v>4</v>
      </c>
      <c r="J9">
        <v>60011127</v>
      </c>
      <c r="K9">
        <v>4</v>
      </c>
      <c r="L9">
        <v>60011121</v>
      </c>
      <c r="M9">
        <v>4</v>
      </c>
      <c r="N9">
        <v>60371124</v>
      </c>
      <c r="O9">
        <v>4</v>
      </c>
    </row>
    <row r="10" spans="1:23">
      <c r="A10">
        <v>8</v>
      </c>
      <c r="B10" s="9" t="s">
        <v>148</v>
      </c>
      <c r="C10" s="9" t="s">
        <v>39</v>
      </c>
      <c r="D10">
        <v>60011014</v>
      </c>
      <c r="E10">
        <v>1</v>
      </c>
      <c r="F10">
        <v>60011026</v>
      </c>
      <c r="G10">
        <v>1</v>
      </c>
      <c r="H10">
        <v>60011032</v>
      </c>
      <c r="I10">
        <v>1</v>
      </c>
      <c r="J10">
        <v>60371024</v>
      </c>
      <c r="K10">
        <v>1</v>
      </c>
      <c r="L10">
        <v>60011019</v>
      </c>
      <c r="M10">
        <v>1</v>
      </c>
    </row>
    <row r="11" spans="1:23">
      <c r="A11">
        <v>9</v>
      </c>
      <c r="B11" s="9" t="s">
        <v>149</v>
      </c>
      <c r="C11" s="9" t="s">
        <v>39</v>
      </c>
      <c r="D11">
        <v>60011014</v>
      </c>
      <c r="E11">
        <v>1</v>
      </c>
      <c r="F11">
        <v>60011032</v>
      </c>
      <c r="G11">
        <v>1</v>
      </c>
      <c r="H11">
        <v>60371024</v>
      </c>
      <c r="I11">
        <v>1</v>
      </c>
      <c r="J11">
        <v>60011019</v>
      </c>
      <c r="K11">
        <v>1</v>
      </c>
      <c r="L11">
        <v>60011022</v>
      </c>
      <c r="M11">
        <v>1</v>
      </c>
    </row>
    <row r="12" spans="1:23">
      <c r="A12">
        <v>10</v>
      </c>
      <c r="B12" s="9" t="s">
        <v>150</v>
      </c>
      <c r="C12" s="9" t="s">
        <v>79</v>
      </c>
      <c r="D12">
        <v>60011028</v>
      </c>
      <c r="E12">
        <v>1</v>
      </c>
    </row>
    <row r="13" spans="1:23">
      <c r="A13">
        <v>11</v>
      </c>
      <c r="B13" s="9" t="s">
        <v>151</v>
      </c>
      <c r="C13" s="9" t="s">
        <v>39</v>
      </c>
      <c r="D13">
        <v>60011032</v>
      </c>
      <c r="E13">
        <v>1</v>
      </c>
      <c r="F13">
        <v>60371059</v>
      </c>
      <c r="G13">
        <v>1</v>
      </c>
      <c r="H13">
        <v>60371061</v>
      </c>
      <c r="I13">
        <v>1</v>
      </c>
      <c r="J13">
        <v>60371063</v>
      </c>
      <c r="K13">
        <v>1</v>
      </c>
      <c r="L13" s="10">
        <v>60371065</v>
      </c>
      <c r="M13">
        <v>1</v>
      </c>
      <c r="N13">
        <v>60371067</v>
      </c>
      <c r="O13">
        <v>1</v>
      </c>
      <c r="P13">
        <v>60371397</v>
      </c>
      <c r="Q13">
        <v>1</v>
      </c>
    </row>
    <row r="14" spans="1:23">
      <c r="A14">
        <v>12</v>
      </c>
      <c r="B14" s="9" t="s">
        <v>152</v>
      </c>
      <c r="C14" s="9" t="s">
        <v>39</v>
      </c>
      <c r="D14">
        <v>60371069</v>
      </c>
      <c r="E14">
        <v>5</v>
      </c>
    </row>
    <row r="15" spans="1:23">
      <c r="A15">
        <v>13</v>
      </c>
      <c r="B15" s="9" t="s">
        <v>153</v>
      </c>
      <c r="C15" s="9" t="s">
        <v>39</v>
      </c>
      <c r="D15">
        <v>60371091</v>
      </c>
      <c r="E15">
        <v>1</v>
      </c>
      <c r="F15">
        <v>60371101</v>
      </c>
      <c r="G15">
        <v>1</v>
      </c>
      <c r="H15">
        <v>60371103</v>
      </c>
      <c r="I15">
        <v>2</v>
      </c>
      <c r="J15">
        <v>60371094</v>
      </c>
      <c r="K15">
        <v>1</v>
      </c>
      <c r="L15">
        <v>60371096</v>
      </c>
      <c r="M15">
        <v>1</v>
      </c>
    </row>
    <row r="16" spans="1:23">
      <c r="A16">
        <v>14</v>
      </c>
      <c r="B16" s="9" t="s">
        <v>154</v>
      </c>
      <c r="C16" s="9" t="s">
        <v>39</v>
      </c>
      <c r="D16">
        <v>60371091</v>
      </c>
      <c r="E16">
        <v>1</v>
      </c>
      <c r="F16">
        <v>60371101</v>
      </c>
      <c r="G16">
        <v>1</v>
      </c>
      <c r="H16">
        <v>60371094</v>
      </c>
      <c r="I16">
        <v>1</v>
      </c>
      <c r="J16">
        <v>60371096</v>
      </c>
      <c r="K16">
        <v>1</v>
      </c>
    </row>
    <row r="17" spans="1:15">
      <c r="A17">
        <v>15</v>
      </c>
      <c r="B17" s="9" t="s">
        <v>155</v>
      </c>
      <c r="C17" s="9" t="s">
        <v>39</v>
      </c>
      <c r="D17">
        <v>60371091</v>
      </c>
      <c r="E17">
        <v>1</v>
      </c>
      <c r="F17">
        <v>60371101</v>
      </c>
      <c r="G17">
        <v>1</v>
      </c>
      <c r="H17">
        <v>60371103</v>
      </c>
      <c r="I17">
        <v>2</v>
      </c>
      <c r="J17">
        <v>60371094</v>
      </c>
      <c r="K17">
        <v>1</v>
      </c>
      <c r="L17">
        <v>60371096</v>
      </c>
      <c r="M17">
        <v>1</v>
      </c>
    </row>
    <row r="18" spans="1:15">
      <c r="A18">
        <v>16</v>
      </c>
      <c r="B18" s="9" t="s">
        <v>155</v>
      </c>
      <c r="C18" s="9" t="s">
        <v>79</v>
      </c>
      <c r="D18">
        <v>60371093</v>
      </c>
      <c r="E18">
        <v>1</v>
      </c>
    </row>
    <row r="19" spans="1:15">
      <c r="A19">
        <v>17</v>
      </c>
      <c r="B19" s="9" t="s">
        <v>156</v>
      </c>
      <c r="C19" s="9" t="s">
        <v>39</v>
      </c>
      <c r="D19">
        <v>60011121</v>
      </c>
      <c r="E19">
        <v>1</v>
      </c>
      <c r="F19">
        <v>60371124</v>
      </c>
      <c r="G19">
        <v>1</v>
      </c>
      <c r="H19">
        <v>60011127</v>
      </c>
      <c r="I19">
        <v>1</v>
      </c>
      <c r="J19">
        <v>60371002</v>
      </c>
      <c r="K19">
        <v>1</v>
      </c>
    </row>
    <row r="20" spans="1:15">
      <c r="A20">
        <v>18</v>
      </c>
      <c r="B20" s="9" t="s">
        <v>156</v>
      </c>
      <c r="C20" s="9" t="s">
        <v>79</v>
      </c>
      <c r="D20">
        <v>60011132</v>
      </c>
      <c r="E20">
        <v>1</v>
      </c>
    </row>
    <row r="21" spans="1:15">
      <c r="A21">
        <v>19</v>
      </c>
      <c r="B21" s="9" t="s">
        <v>157</v>
      </c>
      <c r="C21" s="9" t="s">
        <v>39</v>
      </c>
      <c r="D21">
        <v>60371057</v>
      </c>
      <c r="E21">
        <v>1</v>
      </c>
      <c r="F21">
        <v>60371040</v>
      </c>
      <c r="G21">
        <v>1</v>
      </c>
      <c r="H21">
        <v>60371042</v>
      </c>
      <c r="I21">
        <v>1</v>
      </c>
      <c r="J21">
        <v>60371044</v>
      </c>
      <c r="K21">
        <v>1</v>
      </c>
    </row>
    <row r="22" spans="1:15">
      <c r="A22">
        <v>20</v>
      </c>
      <c r="B22" s="9" t="s">
        <v>158</v>
      </c>
      <c r="C22" s="9" t="s">
        <v>39</v>
      </c>
      <c r="D22">
        <v>60371042</v>
      </c>
      <c r="E22">
        <v>1</v>
      </c>
      <c r="F22">
        <v>60371044</v>
      </c>
      <c r="G22">
        <v>1</v>
      </c>
      <c r="H22">
        <v>60371046</v>
      </c>
      <c r="I22">
        <v>1</v>
      </c>
      <c r="J22">
        <v>60371055</v>
      </c>
      <c r="K22">
        <v>1</v>
      </c>
    </row>
    <row r="23" spans="1:15">
      <c r="A23">
        <v>21</v>
      </c>
      <c r="B23" s="9" t="s">
        <v>159</v>
      </c>
      <c r="C23" s="9" t="s">
        <v>39</v>
      </c>
      <c r="D23">
        <v>60371042</v>
      </c>
      <c r="E23">
        <v>1</v>
      </c>
      <c r="F23">
        <v>60371044</v>
      </c>
      <c r="G23">
        <v>1</v>
      </c>
      <c r="H23">
        <v>60371046</v>
      </c>
      <c r="I23">
        <v>1</v>
      </c>
      <c r="J23">
        <v>60371055</v>
      </c>
      <c r="K23">
        <v>1</v>
      </c>
    </row>
    <row r="24" spans="1:15">
      <c r="A24">
        <v>22</v>
      </c>
      <c r="B24" s="9" t="s">
        <v>159</v>
      </c>
      <c r="C24" s="9" t="s">
        <v>79</v>
      </c>
      <c r="D24">
        <v>60371053</v>
      </c>
      <c r="E24">
        <v>1</v>
      </c>
    </row>
    <row r="25" spans="1:15">
      <c r="A25">
        <v>23</v>
      </c>
      <c r="B25" s="9" t="s">
        <v>160</v>
      </c>
      <c r="C25" s="9" t="s">
        <v>39</v>
      </c>
      <c r="D25">
        <v>60371094</v>
      </c>
      <c r="E25">
        <v>1</v>
      </c>
      <c r="F25">
        <v>60371107</v>
      </c>
      <c r="G25">
        <v>1</v>
      </c>
      <c r="H25">
        <v>60371108</v>
      </c>
      <c r="I25">
        <v>1</v>
      </c>
      <c r="J25">
        <v>60371110</v>
      </c>
      <c r="K25">
        <v>1</v>
      </c>
    </row>
    <row r="26" spans="1:15">
      <c r="A26">
        <v>24</v>
      </c>
      <c r="B26" s="9" t="s">
        <v>161</v>
      </c>
      <c r="C26" s="9" t="s">
        <v>39</v>
      </c>
      <c r="D26">
        <v>60371107</v>
      </c>
      <c r="E26">
        <v>1</v>
      </c>
      <c r="F26">
        <v>60371108</v>
      </c>
      <c r="G26">
        <v>1</v>
      </c>
      <c r="H26">
        <v>60371110</v>
      </c>
      <c r="I26">
        <v>1</v>
      </c>
      <c r="J26">
        <v>60371115</v>
      </c>
      <c r="K26">
        <v>1</v>
      </c>
      <c r="L26">
        <v>60011105</v>
      </c>
      <c r="M26">
        <v>1</v>
      </c>
      <c r="N26">
        <v>60011106</v>
      </c>
      <c r="O26">
        <v>1</v>
      </c>
    </row>
    <row r="27" spans="1:15">
      <c r="A27">
        <v>25</v>
      </c>
      <c r="B27" s="9" t="s">
        <v>162</v>
      </c>
      <c r="C27" s="9" t="s">
        <v>39</v>
      </c>
      <c r="D27">
        <v>60371107</v>
      </c>
      <c r="E27">
        <v>1</v>
      </c>
      <c r="F27">
        <v>60371108</v>
      </c>
      <c r="G27">
        <v>1</v>
      </c>
      <c r="H27">
        <v>60371110</v>
      </c>
      <c r="I27">
        <v>1</v>
      </c>
      <c r="J27">
        <v>60371115</v>
      </c>
      <c r="K27">
        <v>1</v>
      </c>
      <c r="L27">
        <v>60011105</v>
      </c>
      <c r="M27">
        <v>1</v>
      </c>
      <c r="N27">
        <v>60011106</v>
      </c>
      <c r="O27">
        <v>1</v>
      </c>
    </row>
    <row r="28" spans="1:15">
      <c r="A28">
        <v>26</v>
      </c>
      <c r="B28" s="9" t="s">
        <v>163</v>
      </c>
      <c r="C28" s="9" t="s">
        <v>39</v>
      </c>
      <c r="D28">
        <v>60371094</v>
      </c>
      <c r="E28">
        <v>1</v>
      </c>
      <c r="F28">
        <v>60371112</v>
      </c>
      <c r="G28">
        <v>2</v>
      </c>
      <c r="H28">
        <v>60011105</v>
      </c>
      <c r="I28">
        <v>1</v>
      </c>
      <c r="J28">
        <v>60011106</v>
      </c>
      <c r="K28">
        <v>1</v>
      </c>
    </row>
    <row r="29" spans="1:15">
      <c r="A29">
        <v>27</v>
      </c>
      <c r="B29" s="9" t="s">
        <v>163</v>
      </c>
      <c r="C29" s="9" t="s">
        <v>79</v>
      </c>
      <c r="D29">
        <v>60371206</v>
      </c>
      <c r="E29">
        <v>1</v>
      </c>
    </row>
    <row r="30" spans="1:15">
      <c r="A30">
        <v>28</v>
      </c>
      <c r="B30" s="9" t="s">
        <v>164</v>
      </c>
      <c r="C30" s="9" t="s">
        <v>39</v>
      </c>
      <c r="D30">
        <v>60371207</v>
      </c>
      <c r="E30">
        <v>1</v>
      </c>
      <c r="F30">
        <v>60371140</v>
      </c>
      <c r="G30">
        <v>1</v>
      </c>
      <c r="H30">
        <v>60371075</v>
      </c>
      <c r="I30">
        <v>1</v>
      </c>
    </row>
    <row r="31" spans="1:15">
      <c r="A31">
        <v>29</v>
      </c>
      <c r="B31" s="9" t="s">
        <v>165</v>
      </c>
      <c r="C31" s="9" t="s">
        <v>79</v>
      </c>
      <c r="D31">
        <v>60371265</v>
      </c>
      <c r="E31">
        <v>1</v>
      </c>
    </row>
    <row r="32" spans="1:15">
      <c r="A32">
        <v>30</v>
      </c>
      <c r="B32" s="9" t="s">
        <v>143</v>
      </c>
      <c r="C32" s="9" t="s">
        <v>79</v>
      </c>
      <c r="D32">
        <v>60371490</v>
      </c>
      <c r="E32">
        <v>1</v>
      </c>
    </row>
    <row r="33" spans="1:6">
      <c r="A33">
        <v>31</v>
      </c>
      <c r="B33" s="9" t="s">
        <v>143</v>
      </c>
      <c r="C33" s="9" t="s">
        <v>79</v>
      </c>
      <c r="D33">
        <v>60371491</v>
      </c>
      <c r="E33">
        <v>1</v>
      </c>
    </row>
    <row r="38" ht="14.25" customHeight="1" spans="1:6">
      <c r="A38">
        <v>1</v>
      </c>
      <c r="B38" s="3" t="s">
        <v>143</v>
      </c>
      <c r="D38" s="9" t="s">
        <v>166</v>
      </c>
      <c r="F38">
        <v>1000000</v>
      </c>
    </row>
    <row r="39" ht="14.25" customHeight="1" spans="1:6">
      <c r="A39">
        <v>2</v>
      </c>
      <c r="B39" s="3" t="s">
        <v>148</v>
      </c>
      <c r="D39" s="9" t="s">
        <v>167</v>
      </c>
    </row>
    <row r="40" ht="14.25" customHeight="1" spans="1:6">
      <c r="A40">
        <v>3</v>
      </c>
      <c r="B40" s="3" t="s">
        <v>149</v>
      </c>
      <c r="D40" s="9" t="s">
        <v>168</v>
      </c>
    </row>
    <row r="41" ht="14.25" customHeight="1" spans="1:6">
      <c r="A41">
        <v>4</v>
      </c>
      <c r="B41" s="3" t="s">
        <v>150</v>
      </c>
      <c r="D41" s="9" t="s">
        <v>169</v>
      </c>
    </row>
    <row r="42" ht="14.25" customHeight="1" spans="1:6">
      <c r="A42">
        <v>5</v>
      </c>
      <c r="B42" s="3" t="s">
        <v>151</v>
      </c>
      <c r="D42" s="9" t="s">
        <v>170</v>
      </c>
    </row>
    <row r="43" ht="14.25" customHeight="1" spans="1:6">
      <c r="A43">
        <v>6</v>
      </c>
      <c r="B43" s="3" t="s">
        <v>152</v>
      </c>
      <c r="D43" s="9" t="s">
        <v>171</v>
      </c>
    </row>
    <row r="44" ht="14.25" customHeight="1" spans="1:6">
      <c r="A44">
        <v>7</v>
      </c>
      <c r="B44" s="3" t="s">
        <v>153</v>
      </c>
      <c r="D44" s="9" t="s">
        <v>59</v>
      </c>
    </row>
    <row r="45" ht="14.25" customHeight="1" spans="1:6">
      <c r="A45">
        <v>8</v>
      </c>
      <c r="B45" s="3" t="s">
        <v>154</v>
      </c>
      <c r="D45" s="9" t="s">
        <v>172</v>
      </c>
    </row>
    <row r="46" ht="14.25" customHeight="1" spans="1:6">
      <c r="A46">
        <v>9</v>
      </c>
      <c r="B46" s="3" t="s">
        <v>155</v>
      </c>
    </row>
    <row r="47" ht="14.25" customHeight="1" spans="1:6">
      <c r="A47">
        <v>10</v>
      </c>
      <c r="B47" s="3" t="s">
        <v>156</v>
      </c>
    </row>
    <row r="48" ht="14.25" customHeight="1" spans="1:6">
      <c r="A48">
        <v>11</v>
      </c>
      <c r="B48" s="3" t="s">
        <v>157</v>
      </c>
    </row>
    <row r="49" ht="14.25" customHeight="1" spans="1:2">
      <c r="A49">
        <v>12</v>
      </c>
      <c r="B49" s="3" t="s">
        <v>158</v>
      </c>
    </row>
    <row r="50" ht="14.25" customHeight="1" spans="1:2">
      <c r="A50">
        <v>13</v>
      </c>
      <c r="B50" s="3" t="s">
        <v>159</v>
      </c>
    </row>
    <row r="51" ht="14.25" customHeight="1" spans="1:2">
      <c r="A51">
        <v>14</v>
      </c>
      <c r="B51" s="3" t="s">
        <v>160</v>
      </c>
    </row>
    <row r="52" ht="14.25" customHeight="1" spans="1:2">
      <c r="A52">
        <v>15</v>
      </c>
      <c r="B52" s="3" t="s">
        <v>161</v>
      </c>
    </row>
    <row r="53" ht="14.25" customHeight="1" spans="1:2">
      <c r="A53">
        <v>16</v>
      </c>
      <c r="B53" s="3" t="s">
        <v>162</v>
      </c>
    </row>
    <row r="54" ht="14.25" customHeight="1" spans="1:2">
      <c r="A54">
        <v>17</v>
      </c>
      <c r="B54" s="3" t="s">
        <v>173</v>
      </c>
    </row>
    <row r="55" ht="14.25" customHeight="1" spans="1:2">
      <c r="A55">
        <v>18</v>
      </c>
      <c r="B55" s="3" t="s">
        <v>164</v>
      </c>
    </row>
    <row r="56" ht="14.25" customHeight="1" spans="1:2">
      <c r="A56">
        <v>19</v>
      </c>
      <c r="B56" s="3" t="s">
        <v>165</v>
      </c>
    </row>
    <row r="57" ht="14.25" customHeight="1" spans="1:2">
      <c r="A57">
        <v>20</v>
      </c>
      <c r="B57" s="3" t="s">
        <v>144</v>
      </c>
    </row>
    <row r="58" ht="14.25" customHeight="1" spans="1:2">
      <c r="A58">
        <v>21</v>
      </c>
      <c r="B58" s="3" t="s">
        <v>145</v>
      </c>
    </row>
    <row r="59" ht="14.25" customHeight="1" spans="1:2">
      <c r="A59">
        <v>22</v>
      </c>
      <c r="B59" s="3" t="s">
        <v>146</v>
      </c>
    </row>
    <row r="60" ht="14.25" customHeight="1" spans="1:2">
      <c r="A60">
        <v>23</v>
      </c>
      <c r="B60" s="3" t="s">
        <v>174</v>
      </c>
    </row>
    <row r="61" ht="14.25" customHeight="1" spans="1:2">
      <c r="A61">
        <v>24</v>
      </c>
      <c r="B61" s="3" t="s">
        <v>175</v>
      </c>
    </row>
    <row r="62" ht="14.25" customHeight="1" spans="1:2">
      <c r="A62">
        <v>25</v>
      </c>
      <c r="B62" s="3" t="s">
        <v>176</v>
      </c>
    </row>
    <row r="63" ht="14.25" customHeight="1" spans="1:2">
      <c r="A63">
        <v>26</v>
      </c>
      <c r="B63" s="3" t="s">
        <v>177</v>
      </c>
    </row>
    <row r="64" ht="14.25" customHeight="1" spans="1:2">
      <c r="A64">
        <v>27</v>
      </c>
      <c r="B64" s="3" t="s">
        <v>178</v>
      </c>
    </row>
    <row r="65" ht="14.25" customHeight="1" spans="1:2">
      <c r="A65">
        <v>28</v>
      </c>
      <c r="B65" s="3" t="s">
        <v>179</v>
      </c>
    </row>
    <row r="66" ht="14.25" customHeight="1" spans="1:2">
      <c r="A66">
        <v>29</v>
      </c>
      <c r="B66" s="3" t="s">
        <v>180</v>
      </c>
    </row>
    <row r="67" ht="14.25" customHeight="1" spans="1:2">
      <c r="A67">
        <v>30</v>
      </c>
      <c r="B67" s="3" t="s">
        <v>181</v>
      </c>
    </row>
    <row r="68" ht="14.25" customHeight="1" spans="1:2">
      <c r="A68">
        <v>31</v>
      </c>
      <c r="B68" s="3" t="s">
        <v>182</v>
      </c>
    </row>
    <row r="69" ht="14.25" customHeight="1" spans="1:2">
      <c r="A69">
        <v>32</v>
      </c>
      <c r="B69" s="3" t="s">
        <v>183</v>
      </c>
    </row>
    <row r="70" ht="14.25" customHeight="1" spans="1:2">
      <c r="A70">
        <v>33</v>
      </c>
      <c r="B70" s="3" t="s">
        <v>184</v>
      </c>
    </row>
    <row r="71" ht="14.25" customHeight="1" spans="1:2">
      <c r="A71">
        <v>34</v>
      </c>
      <c r="B71" s="3" t="s">
        <v>185</v>
      </c>
    </row>
    <row r="72" ht="14.25" customHeight="1" spans="1:2">
      <c r="A72">
        <v>35</v>
      </c>
      <c r="B72" s="3" t="s">
        <v>186</v>
      </c>
    </row>
    <row r="73" ht="14.25" customHeight="1" spans="1:2">
      <c r="A73">
        <v>36</v>
      </c>
      <c r="B73" s="3" t="s">
        <v>187</v>
      </c>
    </row>
    <row r="74" ht="14.25" customHeight="1" spans="1:2">
      <c r="A74">
        <v>37</v>
      </c>
      <c r="B74" s="3" t="s">
        <v>188</v>
      </c>
    </row>
    <row r="75" ht="14.25" customHeight="1" spans="1:2">
      <c r="A75">
        <v>38</v>
      </c>
      <c r="B75" s="3" t="s">
        <v>189</v>
      </c>
    </row>
    <row r="76" ht="14.25" customHeight="1" spans="1:2">
      <c r="A76">
        <v>39</v>
      </c>
      <c r="B76" s="3" t="s">
        <v>190</v>
      </c>
    </row>
    <row r="77" ht="14.25" customHeight="1" spans="1:2">
      <c r="A77">
        <v>40</v>
      </c>
      <c r="B77" s="3" t="s">
        <v>191</v>
      </c>
    </row>
  </sheetData>
  <conditionalFormatting sqref="D11">
    <cfRule type="duplicateValues" dxfId="1" priority="14"/>
  </conditionalFormatting>
  <conditionalFormatting sqref="E11">
    <cfRule type="duplicateValues" dxfId="1" priority="13"/>
  </conditionalFormatting>
  <conditionalFormatting sqref="D16">
    <cfRule type="duplicateValues" dxfId="1" priority="12"/>
  </conditionalFormatting>
  <conditionalFormatting sqref="E16">
    <cfRule type="duplicateValues" dxfId="1" priority="11"/>
  </conditionalFormatting>
  <conditionalFormatting sqref="F16">
    <cfRule type="duplicateValues" dxfId="1" priority="10"/>
  </conditionalFormatting>
  <conditionalFormatting sqref="G16">
    <cfRule type="duplicateValues" dxfId="1" priority="9"/>
  </conditionalFormatting>
  <conditionalFormatting sqref="D17">
    <cfRule type="duplicateValues" dxfId="1" priority="8"/>
  </conditionalFormatting>
  <conditionalFormatting sqref="E17">
    <cfRule type="duplicateValues" dxfId="1" priority="7"/>
  </conditionalFormatting>
  <conditionalFormatting sqref="F17">
    <cfRule type="duplicateValues" dxfId="1" priority="6"/>
  </conditionalFormatting>
  <conditionalFormatting sqref="G17">
    <cfRule type="duplicateValues" dxfId="1" priority="5"/>
  </conditionalFormatting>
  <conditionalFormatting sqref="D20">
    <cfRule type="duplicateValues" dxfId="1" priority="16"/>
  </conditionalFormatting>
  <conditionalFormatting sqref="E20">
    <cfRule type="duplicateValues" dxfId="1" priority="15"/>
  </conditionalFormatting>
  <conditionalFormatting sqref="D26">
    <cfRule type="duplicateValues" dxfId="1" priority="4"/>
  </conditionalFormatting>
  <conditionalFormatting sqref="E26">
    <cfRule type="duplicateValues" dxfId="1" priority="3"/>
  </conditionalFormatting>
  <conditionalFormatting sqref="D27">
    <cfRule type="duplicateValues" dxfId="1" priority="2"/>
  </conditionalFormatting>
  <conditionalFormatting sqref="E27">
    <cfRule type="duplicateValues" dxfId="1" priority="1"/>
  </conditionalFormatting>
  <conditionalFormatting sqref="D1:D2 D3:D4 D8 D10 D13:D15 D18:D19 D21 D24:D25 D28:D37 D46:D1048576 F1:F2 H1:H2 J1:J2 L1:L2 N1:N2 P1:P2 R1:R2 T1:T2 V1:V2">
    <cfRule type="duplicateValues" dxfId="1" priority="22"/>
  </conditionalFormatting>
  <conditionalFormatting sqref="E1:E2 E3:E4 E8 E10 E13:E15 E18:E19 E21 E24:E25 E28:E1048576 G1:G2 I1:I2 K1:K2 M1:M2 O1:O2 Q1:Q2 S1:S2 U1:U2 W1:W2">
    <cfRule type="duplicateValues" dxfId="1" priority="21"/>
  </conditionalFormatting>
  <conditionalFormatting sqref="D6:D7 F3:F4 F7:F8 F10 F12:F15 F18:F21 F24:F25 F28:F1048576">
    <cfRule type="duplicateValues" dxfId="1" priority="20"/>
  </conditionalFormatting>
  <conditionalFormatting sqref="E6:E7 G3:G4 G7:G8 G10 G12:G15 G18:G21 G24:G25 G28:G1048576">
    <cfRule type="duplicateValues" dxfId="1" priority="19"/>
  </conditionalFormatting>
  <conditionalFormatting sqref="D9 F9">
    <cfRule type="duplicateValues" dxfId="1" priority="18"/>
  </conditionalFormatting>
  <conditionalFormatting sqref="E9 G9">
    <cfRule type="duplicateValues" dxfId="1" priority="17"/>
  </conditionalFormatting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2"/>
  <sheetViews>
    <sheetView workbookViewId="0">
      <selection activeCell="A9" sqref="A9"/>
    </sheetView>
  </sheetViews>
  <sheetFormatPr defaultColWidth="8.72222222222222" defaultRowHeight="14.4" outlineLevelCol="7"/>
  <cols>
    <col min="1" max="1" width="14.2222222222222" style="1" customWidth="1"/>
    <col min="7" max="7" width="9.5462962962963" style="1" customWidth="1"/>
    <col min="8" max="8" width="111.722222222222" style="1" customWidth="1"/>
  </cols>
  <sheetData>
    <row r="1" ht="14.25" customHeight="1" spans="1:8">
      <c r="A1" s="2" t="s">
        <v>192</v>
      </c>
      <c r="B1" s="2" t="s">
        <v>10</v>
      </c>
      <c r="C1" s="2" t="s">
        <v>193</v>
      </c>
      <c r="D1" s="2" t="s">
        <v>10</v>
      </c>
    </row>
    <row r="2" ht="14.25" customHeight="1" spans="1:8">
      <c r="A2" s="3" t="s">
        <v>36</v>
      </c>
      <c r="B2">
        <v>1</v>
      </c>
      <c r="C2" s="3" t="s">
        <v>172</v>
      </c>
      <c r="D2" s="3">
        <v>0</v>
      </c>
    </row>
    <row r="3" ht="14.25" customHeight="1" spans="1:8">
      <c r="A3" s="3" t="s">
        <v>54</v>
      </c>
      <c r="B3">
        <v>2</v>
      </c>
      <c r="C3" s="3" t="s">
        <v>59</v>
      </c>
      <c r="D3" s="3">
        <v>1</v>
      </c>
    </row>
    <row r="4" ht="14.25" customHeight="1" spans="1:8">
      <c r="A4" s="3" t="s">
        <v>194</v>
      </c>
      <c r="B4">
        <v>3</v>
      </c>
      <c r="C4" s="3" t="s">
        <v>37</v>
      </c>
      <c r="D4" s="3">
        <v>2</v>
      </c>
      <c r="G4" s="4">
        <v>1001205</v>
      </c>
      <c r="H4" s="4"/>
    </row>
    <row r="5" ht="14.25" customHeight="1" spans="1:8">
      <c r="A5" s="3" t="s">
        <v>60</v>
      </c>
      <c r="B5">
        <v>4</v>
      </c>
      <c r="C5" s="3" t="s">
        <v>40</v>
      </c>
      <c r="D5" s="3">
        <v>3</v>
      </c>
      <c r="G5" s="3" t="s">
        <v>195</v>
      </c>
      <c r="H5" s="3"/>
    </row>
    <row r="6" ht="14.25" customHeight="1" spans="1:8">
      <c r="A6" s="3" t="s">
        <v>66</v>
      </c>
      <c r="B6">
        <v>5</v>
      </c>
      <c r="C6" s="3" t="s">
        <v>42</v>
      </c>
      <c r="D6" s="3">
        <v>4</v>
      </c>
      <c r="G6" s="3" t="s">
        <v>196</v>
      </c>
      <c r="H6" s="5" t="s">
        <v>197</v>
      </c>
    </row>
    <row r="7" ht="14.25" customHeight="1" spans="1:8">
      <c r="A7" s="3" t="s">
        <v>72</v>
      </c>
      <c r="B7">
        <v>6</v>
      </c>
      <c r="C7" s="3" t="s">
        <v>44</v>
      </c>
      <c r="D7" s="3">
        <v>5</v>
      </c>
      <c r="G7" s="3" t="s">
        <v>198</v>
      </c>
      <c r="H7" s="6" t="s">
        <v>199</v>
      </c>
    </row>
    <row r="8" ht="14.25" customHeight="1" spans="1:8">
      <c r="A8" s="3" t="s">
        <v>80</v>
      </c>
      <c r="B8">
        <v>7</v>
      </c>
      <c r="C8" s="3" t="s">
        <v>46</v>
      </c>
      <c r="D8" s="3">
        <v>6</v>
      </c>
      <c r="G8" s="3" t="s">
        <v>200</v>
      </c>
    </row>
    <row r="9" ht="14.25" customHeight="1" spans="1:8">
      <c r="A9" s="3" t="s">
        <v>81</v>
      </c>
      <c r="B9">
        <v>8</v>
      </c>
      <c r="C9" s="3" t="s">
        <v>48</v>
      </c>
      <c r="D9" s="3">
        <v>7</v>
      </c>
      <c r="G9" s="3" t="s">
        <v>201</v>
      </c>
    </row>
    <row r="10" ht="14.25" customHeight="1" spans="1:8">
      <c r="A10" s="3" t="s">
        <v>84</v>
      </c>
      <c r="B10">
        <v>9</v>
      </c>
      <c r="C10" s="3" t="s">
        <v>50</v>
      </c>
      <c r="D10" s="3">
        <v>8</v>
      </c>
      <c r="G10" s="3" t="s">
        <v>202</v>
      </c>
      <c r="H10" s="3" t="s">
        <v>203</v>
      </c>
    </row>
    <row r="11" ht="14.25" customHeight="1" spans="1:8">
      <c r="A11" s="3" t="s">
        <v>89</v>
      </c>
      <c r="B11">
        <v>10</v>
      </c>
      <c r="C11" s="3" t="s">
        <v>52</v>
      </c>
      <c r="D11" s="3">
        <v>9</v>
      </c>
      <c r="G11" s="3" t="s">
        <v>204</v>
      </c>
      <c r="H11" s="7" t="s">
        <v>205</v>
      </c>
    </row>
    <row r="12" ht="14.25" customHeight="1" spans="1:8">
      <c r="A12" s="3" t="s">
        <v>156</v>
      </c>
      <c r="B12">
        <v>11</v>
      </c>
      <c r="C12" s="3"/>
      <c r="D12" s="3"/>
      <c r="G12" s="3" t="s">
        <v>206</v>
      </c>
    </row>
    <row r="13" ht="14.25" customHeight="1" spans="1:8">
      <c r="A13" s="3" t="s">
        <v>157</v>
      </c>
      <c r="B13">
        <v>12</v>
      </c>
      <c r="C13" s="3"/>
      <c r="D13" s="3"/>
      <c r="G13" s="3"/>
      <c r="H13" s="8"/>
    </row>
    <row r="14" ht="14.25" customHeight="1" spans="1:8">
      <c r="A14" s="3" t="s">
        <v>158</v>
      </c>
      <c r="B14">
        <v>13</v>
      </c>
      <c r="D14" s="3"/>
    </row>
    <row r="15" ht="14.25" customHeight="1" spans="1:8">
      <c r="A15" s="3" t="s">
        <v>159</v>
      </c>
      <c r="B15">
        <v>14</v>
      </c>
      <c r="D15" s="3"/>
    </row>
    <row r="16" ht="14.25" customHeight="1" spans="1:8">
      <c r="A16" s="3" t="s">
        <v>160</v>
      </c>
      <c r="B16">
        <v>15</v>
      </c>
      <c r="D16" s="3"/>
    </row>
    <row r="17" ht="14.25" customHeight="1" spans="1:4">
      <c r="A17" s="3" t="s">
        <v>161</v>
      </c>
      <c r="B17">
        <v>16</v>
      </c>
      <c r="D17" s="3"/>
    </row>
    <row r="18" ht="14.25" customHeight="1" spans="1:4">
      <c r="A18" s="3" t="s">
        <v>162</v>
      </c>
      <c r="B18">
        <v>17</v>
      </c>
      <c r="D18" s="3"/>
    </row>
    <row r="19" ht="14.25" customHeight="1" spans="1:4">
      <c r="A19" s="3" t="s">
        <v>173</v>
      </c>
      <c r="B19">
        <v>18</v>
      </c>
      <c r="D19" s="3"/>
    </row>
    <row r="20" ht="14.25" customHeight="1" spans="1:4">
      <c r="A20" s="3" t="s">
        <v>164</v>
      </c>
      <c r="B20">
        <v>19</v>
      </c>
    </row>
    <row r="21" ht="14.25" customHeight="1" spans="1:4">
      <c r="A21" s="3" t="s">
        <v>165</v>
      </c>
      <c r="B21">
        <v>20</v>
      </c>
    </row>
    <row r="22" ht="14.25" customHeight="1" spans="1:4">
      <c r="A22" s="3" t="s">
        <v>144</v>
      </c>
      <c r="B22">
        <v>21</v>
      </c>
    </row>
    <row r="23" ht="14.25" customHeight="1" spans="1:4">
      <c r="A23" s="3" t="s">
        <v>145</v>
      </c>
      <c r="B23">
        <v>22</v>
      </c>
    </row>
    <row r="24" ht="14.25" customHeight="1" spans="1:4">
      <c r="A24" s="3" t="s">
        <v>146</v>
      </c>
      <c r="B24">
        <v>23</v>
      </c>
    </row>
    <row r="25" ht="14.25" customHeight="1" spans="1:4">
      <c r="A25" s="3" t="s">
        <v>174</v>
      </c>
      <c r="B25">
        <v>24</v>
      </c>
    </row>
    <row r="26" ht="14.25" customHeight="1" spans="1:4">
      <c r="A26" s="3" t="s">
        <v>175</v>
      </c>
      <c r="B26">
        <v>25</v>
      </c>
    </row>
    <row r="27" ht="14.25" customHeight="1" spans="1:4">
      <c r="A27" s="3" t="s">
        <v>176</v>
      </c>
      <c r="B27">
        <v>26</v>
      </c>
    </row>
    <row r="28" ht="14.25" customHeight="1" spans="1:4">
      <c r="A28" s="3" t="s">
        <v>177</v>
      </c>
      <c r="B28">
        <v>27</v>
      </c>
    </row>
    <row r="29" ht="14.25" customHeight="1" spans="1:4">
      <c r="A29" s="3" t="s">
        <v>178</v>
      </c>
      <c r="B29">
        <v>28</v>
      </c>
    </row>
    <row r="30" ht="14.25" customHeight="1" spans="1:4">
      <c r="A30" s="3" t="s">
        <v>179</v>
      </c>
      <c r="B30">
        <v>29</v>
      </c>
    </row>
    <row r="31" ht="14.25" customHeight="1" spans="1:4">
      <c r="A31" s="3" t="s">
        <v>180</v>
      </c>
      <c r="B31">
        <v>30</v>
      </c>
    </row>
    <row r="32" ht="14.25" customHeight="1" spans="1:4">
      <c r="A32" s="3" t="s">
        <v>181</v>
      </c>
      <c r="B32">
        <v>31</v>
      </c>
    </row>
    <row r="33" ht="14.25" customHeight="1" spans="1:2">
      <c r="A33" s="3" t="s">
        <v>182</v>
      </c>
      <c r="B33">
        <v>32</v>
      </c>
    </row>
    <row r="34" ht="14.25" customHeight="1" spans="1:2">
      <c r="A34" s="3" t="s">
        <v>183</v>
      </c>
      <c r="B34">
        <v>33</v>
      </c>
    </row>
    <row r="35" ht="14.25" customHeight="1" spans="1:2">
      <c r="A35" s="3" t="s">
        <v>184</v>
      </c>
      <c r="B35">
        <v>34</v>
      </c>
    </row>
    <row r="36" ht="14.25" customHeight="1" spans="1:2">
      <c r="A36" s="3" t="s">
        <v>185</v>
      </c>
      <c r="B36">
        <v>35</v>
      </c>
    </row>
    <row r="37" ht="14.25" customHeight="1" spans="1:2">
      <c r="A37" s="3" t="s">
        <v>186</v>
      </c>
      <c r="B37">
        <v>36</v>
      </c>
    </row>
    <row r="38" ht="14.25" customHeight="1" spans="1:2">
      <c r="A38" s="3" t="s">
        <v>187</v>
      </c>
      <c r="B38">
        <v>37</v>
      </c>
    </row>
    <row r="39" ht="14.25" customHeight="1" spans="1:2">
      <c r="A39" s="3" t="s">
        <v>188</v>
      </c>
      <c r="B39">
        <v>38</v>
      </c>
    </row>
    <row r="40" ht="14.25" customHeight="1" spans="1:2">
      <c r="A40" s="3" t="s">
        <v>189</v>
      </c>
      <c r="B40">
        <v>39</v>
      </c>
    </row>
    <row r="41" ht="14.25" customHeight="1" spans="1:2">
      <c r="A41" s="3" t="s">
        <v>190</v>
      </c>
      <c r="B41">
        <v>40</v>
      </c>
    </row>
    <row r="42" ht="14.25" customHeight="1" spans="1:2">
      <c r="A42" s="3" t="s">
        <v>191</v>
      </c>
      <c r="B42">
        <v>41</v>
      </c>
    </row>
  </sheetData>
  <mergeCells count="2">
    <mergeCell ref="H7:H9"/>
    <mergeCell ref="H11:H1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spawn_config</vt:lpstr>
      <vt:lpstr>更新说明</vt:lpstr>
      <vt:lpstr>Sheet1</vt:lpstr>
      <vt:lpstr>编号表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白鸠-PuFF</cp:lastModifiedBy>
  <dcterms:created xsi:type="dcterms:W3CDTF">2025-12-18T11:49:00Z</dcterms:created>
  <dcterms:modified xsi:type="dcterms:W3CDTF">2026-09-05T21:39:20Z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2F83C229EB5F406093167F7BEA622036_13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  <property fmtid="{D5CDD505-2E9C-101B-9397-08002B2CF9AE}" pid="5" name="KSOReadingLayout">
    <vt:bool>true</vt:bool>
  </property>
</Properties>
</file>