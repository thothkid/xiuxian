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mortal-cultivation-war3\xlsx\"/>
    </mc:Choice>
  </mc:AlternateContent>
  <bookViews>
    <workbookView windowWidth="22091" windowHeight="9144"/>
  </bookViews>
  <sheets>
    <sheet name="spawn_config" sheetId="1" r:id="rId1"/>
    <sheet name="更新说明" sheetId="2" r:id="rId2"/>
    <sheet name="Sheet1" sheetId="3" r:id="rId3"/>
    <sheet name="编号表" sheetId="4" r:id="rId4"/>
  </sheets>
  <externalReferences>
    <externalReference r:id="rId5"/>
    <externalReference r:id="rId6"/>
  </externalReferences>
  <definedNames>
    <definedName name="_xlnm._FilterDatabase" localSheetId="0" hidden="1">spawn_config!$A$2:$Z$191</definedName>
    <definedName name="怪物类型">[1]名称表!$A$3:$A$26</definedName>
    <definedName name="说明">[2]名称表!$A$3:$A$26</definedName>
    <definedName name="阵营">[1]名称表!$H$2:$H$9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11"/>
            <color rgb="FF000000"/>
            <rFont val="宋体"/>
            <scheme val="minor"/>
            <charset val="0"/>
          </rPr>
          <t>Admin:
1、区域中心 刷新数量固定是1，刷新面向角度由[刷新参数1]指定
2、区域随机 刷新数量由[刷新参数1]指定,刷新面向角度随机</t>
        </r>
      </text>
    </comment>
  </commentList>
</comments>
</file>

<file path=xl/sharedStrings.xml><?xml version="1.0" encoding="utf-8"?>
<sst xmlns="http://schemas.openxmlformats.org/spreadsheetml/2006/main" count="1065" uniqueCount="372">
  <si>
    <t>##var</t>
  </si>
  <si>
    <t>config_id</t>
  </si>
  <si>
    <t>position</t>
  </si>
  <si>
    <t>spawn_monsters</t>
  </si>
  <si>
    <t>activity</t>
  </si>
  <si>
    <t>##type</t>
  </si>
  <si>
    <t>int</t>
  </si>
  <si>
    <t>string</t>
  </si>
  <si>
    <t>array,SpawnMonster</t>
  </si>
  <si>
    <t>##group</t>
  </si>
  <si>
    <t>s</t>
  </si>
  <si>
    <t>c</t>
  </si>
  <si>
    <t>##</t>
  </si>
  <si>
    <t>编号</t>
  </si>
  <si>
    <t>场景名称</t>
  </si>
  <si>
    <t>怪物类型</t>
  </si>
  <si>
    <t>怪物数量</t>
  </si>
  <si>
    <t>说明</t>
  </si>
  <si>
    <t>刷新位置</t>
  </si>
  <si>
    <t>怪物1配置ID</t>
  </si>
  <si>
    <t>怪物1数量</t>
  </si>
  <si>
    <t>怪物2配置ID</t>
  </si>
  <si>
    <t>怪物2数量</t>
  </si>
  <si>
    <t>怪物3配置ID</t>
  </si>
  <si>
    <t>怪物3数量</t>
  </si>
  <si>
    <t>怪物4配置ID</t>
  </si>
  <si>
    <t>怪物4数量</t>
  </si>
  <si>
    <t>怪物5配置ID</t>
  </si>
  <si>
    <t>怪物5数量</t>
  </si>
  <si>
    <t>怪物6配置ID</t>
  </si>
  <si>
    <t>怪物6数量</t>
  </si>
  <si>
    <t>怪物7配置ID</t>
  </si>
  <si>
    <t>怪物7数量</t>
  </si>
  <si>
    <t>怪物8配置ID</t>
  </si>
  <si>
    <t>怪物8数量</t>
  </si>
  <si>
    <t>怪物9配置ID</t>
  </si>
  <si>
    <t>怪物9数量</t>
  </si>
  <si>
    <t>怪物10配置ID</t>
  </si>
  <si>
    <t>怪物10数量</t>
  </si>
  <si>
    <t>日常活动
activity_config.id；本方案刷出的怪跑什么日常，0/空=驻留</t>
  </si>
  <si>
    <t>天元宗门</t>
  </si>
  <si>
    <t>小怪0</t>
  </si>
  <si>
    <t>鸡</t>
  </si>
  <si>
    <t>区域随机</t>
  </si>
  <si>
    <t>小怪1</t>
  </si>
  <si>
    <t>鹿</t>
  </si>
  <si>
    <t>小怪2</t>
  </si>
  <si>
    <t>羊</t>
  </si>
  <si>
    <t>小怪3</t>
  </si>
  <si>
    <t>稻草人</t>
  </si>
  <si>
    <t>小怪4</t>
  </si>
  <si>
    <t>蛤蟆</t>
  </si>
  <si>
    <t>小怪5</t>
  </si>
  <si>
    <t>蝙蝠</t>
  </si>
  <si>
    <t>小怪6</t>
  </si>
  <si>
    <t>虎卫</t>
  </si>
  <si>
    <t>小怪7</t>
  </si>
  <si>
    <t>鹰卫</t>
  </si>
  <si>
    <t>蚀苇沼·末流所积</t>
  </si>
  <si>
    <t>青魂煞灵</t>
  </si>
  <si>
    <t>深渊水魔</t>
  </si>
  <si>
    <t>冥海幽灵</t>
  </si>
  <si>
    <t>冥河幽魂</t>
  </si>
  <si>
    <t>精英</t>
  </si>
  <si>
    <t>浮沉洲</t>
  </si>
  <si>
    <t>骷髅长枪兵</t>
  </si>
  <si>
    <t>骷髅弓箭手</t>
  </si>
  <si>
    <t>骷髅锤兵</t>
  </si>
  <si>
    <t>骷髅刀斧手</t>
  </si>
  <si>
    <t>骷髅盾卫</t>
  </si>
  <si>
    <t>蔽苇汀</t>
  </si>
  <si>
    <t>跳跳蜂</t>
  </si>
  <si>
    <t>楔蛾</t>
  </si>
  <si>
    <t>蝎蛇</t>
  </si>
  <si>
    <t>腐毒蛙</t>
  </si>
  <si>
    <t>岳骨阶</t>
  </si>
  <si>
    <t>蜈蚣</t>
  </si>
  <si>
    <t>血炼尸妖</t>
  </si>
  <si>
    <t>碎骨妖兵</t>
  </si>
  <si>
    <t>骨棺祭司</t>
  </si>
  <si>
    <t>boss</t>
  </si>
  <si>
    <t>狂骨妖刀将</t>
  </si>
  <si>
    <t>区域中心</t>
  </si>
  <si>
    <t xml:space="preserve">异霭浦 </t>
  </si>
  <si>
    <t>砾台</t>
  </si>
  <si>
    <t>狼</t>
  </si>
  <si>
    <t>红蛇</t>
  </si>
  <si>
    <t>垂练岩·覆而偶开</t>
  </si>
  <si>
    <t>霜锋客</t>
  </si>
  <si>
    <t>霜锋戟将</t>
  </si>
  <si>
    <t>苍玄真人</t>
  </si>
  <si>
    <t>霜锋阵仙</t>
  </si>
  <si>
    <t>水镜滩·水退方见</t>
  </si>
  <si>
    <t>蚀骨血核</t>
  </si>
  <si>
    <t>石像魔狮</t>
  </si>
  <si>
    <t>灵心石魔</t>
  </si>
  <si>
    <t>机关兽</t>
  </si>
  <si>
    <t>沉浊坡</t>
  </si>
  <si>
    <t>无面血妖</t>
  </si>
  <si>
    <t>面首</t>
  </si>
  <si>
    <t>心魔</t>
  </si>
  <si>
    <t>豁烟水</t>
  </si>
  <si>
    <t>大老鼠</t>
  </si>
  <si>
    <t>普通尸妖</t>
  </si>
  <si>
    <t>玄冥尸</t>
  </si>
  <si>
    <t>尸鬼</t>
  </si>
  <si>
    <t>爬行尸鬼</t>
  </si>
  <si>
    <t>密荷影</t>
  </si>
  <si>
    <t>暗狱角魔</t>
  </si>
  <si>
    <t>幽灵龙蛟</t>
  </si>
  <si>
    <t>泥沼蛙</t>
  </si>
  <si>
    <t>幽泽蛟王</t>
  </si>
  <si>
    <t>末分石</t>
  </si>
  <si>
    <t>深渊战魔</t>
  </si>
  <si>
    <t>深渊剑魂</t>
  </si>
  <si>
    <t>邪甲战魔</t>
  </si>
  <si>
    <t>深渊妖尊</t>
  </si>
  <si>
    <t>粉浪风</t>
  </si>
  <si>
    <t>狐狸</t>
  </si>
  <si>
    <t>毒蜘蛛</t>
  </si>
  <si>
    <t>漫莎台</t>
  </si>
  <si>
    <t>蝎子</t>
  </si>
  <si>
    <t>暴牙蜘蛛</t>
  </si>
  <si>
    <t>匿汊口</t>
  </si>
  <si>
    <t>荒古石像</t>
  </si>
  <si>
    <t>云纹巨灵</t>
  </si>
  <si>
    <t>镇符兽</t>
  </si>
  <si>
    <t>秘境守护者</t>
  </si>
  <si>
    <t>砾藏岩</t>
  </si>
  <si>
    <t>金霄戟将</t>
  </si>
  <si>
    <t>金霄守卫</t>
  </si>
  <si>
    <t>玄阳仙人</t>
  </si>
  <si>
    <t>金羽仙主</t>
  </si>
  <si>
    <t>砺赭坂</t>
  </si>
  <si>
    <t>焚山岩魔</t>
  </si>
  <si>
    <t>焚山石灵</t>
  </si>
  <si>
    <t>焚山岩龟</t>
  </si>
  <si>
    <t>焚山魔王</t>
  </si>
  <si>
    <t>铁色横侵</t>
  </si>
  <si>
    <t>熔岩战傀</t>
  </si>
  <si>
    <t>熔火巨蟒</t>
  </si>
  <si>
    <t>赤发魔童</t>
  </si>
  <si>
    <t>焚界炎帝</t>
  </si>
  <si>
    <t>伏沟鸣石</t>
  </si>
  <si>
    <t>赤焰岩卫</t>
  </si>
  <si>
    <t>炎牛将军</t>
  </si>
  <si>
    <t>无首狱侯</t>
  </si>
  <si>
    <t>褐苔含润</t>
  </si>
  <si>
    <t>山中虎</t>
  </si>
  <si>
    <t>冥牙虎</t>
  </si>
  <si>
    <t>肩生瘠芽</t>
  </si>
  <si>
    <t>赤斑蟒</t>
  </si>
  <si>
    <t>飞隼</t>
  </si>
  <si>
    <t>岩腹潜龛</t>
  </si>
  <si>
    <t>山猊</t>
  </si>
  <si>
    <t>枫骨妖</t>
  </si>
  <si>
    <t>假面邪徒</t>
  </si>
  <si>
    <t>水息留痕</t>
  </si>
  <si>
    <t>荒村游魂</t>
  </si>
  <si>
    <t>幽笼炼魂士</t>
  </si>
  <si>
    <t>幽火骨煞</t>
  </si>
  <si>
    <t>风背余晦</t>
  </si>
  <si>
    <t>炎晶狱魔</t>
  </si>
  <si>
    <t>炎晶虫</t>
  </si>
  <si>
    <t>炎晶狱主</t>
  </si>
  <si>
    <t>泻砾堑</t>
  </si>
  <si>
    <t>黑锷蜘蛛</t>
  </si>
  <si>
    <t>钢牙蜘蛛</t>
  </si>
  <si>
    <t>天狼蜘蛛</t>
  </si>
  <si>
    <t>花吻蜘蛛</t>
  </si>
  <si>
    <t>幽崩谷</t>
  </si>
  <si>
    <t>血纹蛛姬</t>
  </si>
  <si>
    <t>寒晶蛛魔</t>
  </si>
  <si>
    <t>多臂血魔</t>
  </si>
  <si>
    <t>炎蛛魔帝</t>
  </si>
  <si>
    <t>截风坡</t>
  </si>
  <si>
    <t>浮墟祈师</t>
  </si>
  <si>
    <t>腐角剑士</t>
  </si>
  <si>
    <t>腐林王尊</t>
  </si>
  <si>
    <t>玄罡魔尊</t>
  </si>
  <si>
    <t>隙光苔</t>
  </si>
  <si>
    <t>熊</t>
  </si>
  <si>
    <t>浸岩菖</t>
  </si>
  <si>
    <t>腐毒穿山甲</t>
  </si>
  <si>
    <t>裂口</t>
  </si>
  <si>
    <t>破戒金刚</t>
  </si>
  <si>
    <t>禅斧武僧</t>
  </si>
  <si>
    <t>焚魔禅师</t>
  </si>
  <si>
    <t>承影</t>
  </si>
  <si>
    <t>澄光坐佛</t>
  </si>
  <si>
    <t>金身护法</t>
  </si>
  <si>
    <t>寂莲堕尊</t>
  </si>
  <si>
    <t>壅浊石</t>
  </si>
  <si>
    <t>腐虫</t>
  </si>
  <si>
    <t>磷骨犬</t>
  </si>
  <si>
    <t>空寂</t>
  </si>
  <si>
    <t>沉岚</t>
  </si>
  <si>
    <t>山贼杂兵</t>
  </si>
  <si>
    <t>草笠山贼</t>
  </si>
  <si>
    <t>醉酒刀客</t>
  </si>
  <si>
    <t>悬晖</t>
  </si>
  <si>
    <t>巨斧山贼</t>
  </si>
  <si>
    <t>山贼队长</t>
  </si>
  <si>
    <t>山贼头目</t>
  </si>
  <si>
    <t>隐翳</t>
  </si>
  <si>
    <t>狼牙小卒</t>
  </si>
  <si>
    <t>狼牙先锋</t>
  </si>
  <si>
    <t>狼牙战士</t>
  </si>
  <si>
    <t>狼牙妖尊</t>
  </si>
  <si>
    <t>云根露</t>
  </si>
  <si>
    <t>铁臂巨猿</t>
  </si>
  <si>
    <t>风痕苔生</t>
  </si>
  <si>
    <t>鳄鱼</t>
  </si>
  <si>
    <t>涓台窦</t>
  </si>
  <si>
    <t>紫霄散仙</t>
  </si>
  <si>
    <t>金甲门神</t>
  </si>
  <si>
    <t>雷泽战尊</t>
  </si>
  <si>
    <t>托塔天王</t>
  </si>
  <si>
    <t>孔收暮影</t>
  </si>
  <si>
    <t>寒晶遗傀</t>
  </si>
  <si>
    <t>荒古石将</t>
  </si>
  <si>
    <t>云环守卫</t>
  </si>
  <si>
    <t>环锁魂灵</t>
  </si>
  <si>
    <t>雾黯岩</t>
  </si>
  <si>
    <t>赤角魔獠</t>
  </si>
  <si>
    <t>链炉火奴</t>
  </si>
  <si>
    <t>赤幡炎将</t>
  </si>
  <si>
    <t>寒水迟芽</t>
  </si>
  <si>
    <t>毒萝花姬</t>
  </si>
  <si>
    <t>食人花</t>
  </si>
  <si>
    <t>花犬</t>
  </si>
  <si>
    <t>鞍窍</t>
  </si>
  <si>
    <t>碧涛蛟仙</t>
  </si>
  <si>
    <t>碧涛龙蛟</t>
  </si>
  <si>
    <t>碧涛羽客</t>
  </si>
  <si>
    <t>融口初声</t>
  </si>
  <si>
    <t>妄念猪罗</t>
  </si>
  <si>
    <t>九齿天蓬</t>
  </si>
  <si>
    <t>赤鬃蛮猪</t>
  </si>
  <si>
    <t>凇覆苔痕</t>
  </si>
  <si>
    <t>犀牛妖兵</t>
  </si>
  <si>
    <t>破阵战牛</t>
  </si>
  <si>
    <t>岩棘魔蜥</t>
  </si>
  <si>
    <t>蛮牛魔灵</t>
  </si>
  <si>
    <t>霁台</t>
  </si>
  <si>
    <t>幽澜刀尉</t>
  </si>
  <si>
    <t>凝霜水魂</t>
  </si>
  <si>
    <t>玄金傀卫</t>
  </si>
  <si>
    <t>雪檐古兽</t>
  </si>
  <si>
    <t>残颅獠将</t>
  </si>
  <si>
    <t>残骨士卒</t>
  </si>
  <si>
    <t>赤纹魔狞</t>
  </si>
  <si>
    <t>残骨将军</t>
  </si>
  <si>
    <t>霰砾坡</t>
  </si>
  <si>
    <t>链锤魔猪</t>
  </si>
  <si>
    <t>蛮猪战士</t>
  </si>
  <si>
    <t>蛮猪勇士</t>
  </si>
  <si>
    <t>链锤野猪</t>
  </si>
  <si>
    <t>版本号</t>
  </si>
  <si>
    <t>内容</t>
  </si>
  <si>
    <t>V1.12</t>
  </si>
  <si>
    <t>减少数量</t>
  </si>
  <si>
    <t>V1.13</t>
  </si>
  <si>
    <t>增加刷怪场景</t>
  </si>
  <si>
    <t>V1.14</t>
  </si>
  <si>
    <t>增加两个测试木桩，30和31</t>
  </si>
  <si>
    <t>V1.15</t>
  </si>
  <si>
    <t>增加蛤蟆刷新场景</t>
  </si>
  <si>
    <t>V1.16</t>
  </si>
  <si>
    <t>重新整理怪物刷新配置，新增，改ID规则等</t>
  </si>
  <si>
    <t>V1.17</t>
  </si>
  <si>
    <t>新增新手村刷怪方案；比奇城boss怪物更改为木桩；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</si>
  <si>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</si>
  <si>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</si>
  <si>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</si>
  <si>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</si>
  <si>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</si>
  <si>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</si>
  <si>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</si>
  <si>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</si>
  <si>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</si>
  <si>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</si>
  <si>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</si>
  <si>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</si>
  <si>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</si>
  <si>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</si>
  <si>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</si>
  <si>
    <t>MonsterID1</t>
  </si>
  <si>
    <t>MonsterCount1</t>
  </si>
  <si>
    <t>MonsterID2</t>
  </si>
  <si>
    <t>MonsterCount2</t>
  </si>
  <si>
    <t>MonsterID3</t>
  </si>
  <si>
    <t>MonsterCount3</t>
  </si>
  <si>
    <t>MonsterID4</t>
  </si>
  <si>
    <t>MonsterCount4</t>
  </si>
  <si>
    <t>MonsterID5</t>
  </si>
  <si>
    <t>MonsterCount5</t>
  </si>
  <si>
    <t>MonsterID6</t>
  </si>
  <si>
    <t>MonsterCount6</t>
  </si>
  <si>
    <t>MonsterID7</t>
  </si>
  <si>
    <t>MonsterCount7</t>
  </si>
  <si>
    <t>MonsterID8</t>
  </si>
  <si>
    <t>MonsterCount8</t>
  </si>
  <si>
    <t>MonsterID9</t>
  </si>
  <si>
    <t>MonsterCount9</t>
  </si>
  <si>
    <t>MonsterID10</t>
  </si>
  <si>
    <t>MonsterCount10</t>
  </si>
  <si>
    <t>比奇城</t>
  </si>
  <si>
    <t>祖玛寺庙一层</t>
  </si>
  <si>
    <t>祖玛寺庙二层</t>
  </si>
  <si>
    <t>祖玛阁</t>
  </si>
  <si>
    <t>教主大殿</t>
  </si>
  <si>
    <t>兽人古墓一层</t>
  </si>
  <si>
    <t>兽人古墓二层</t>
  </si>
  <si>
    <t>国王陵墓</t>
  </si>
  <si>
    <t>废矿区东部</t>
  </si>
  <si>
    <t>尸王殿</t>
  </si>
  <si>
    <t>地牢</t>
  </si>
  <si>
    <t>黑暗地带</t>
  </si>
  <si>
    <t>死亡棺材</t>
  </si>
  <si>
    <t>未知暗殿</t>
  </si>
  <si>
    <t>沃玛寺庙一层</t>
  </si>
  <si>
    <t>沃玛寺庙二层</t>
  </si>
  <si>
    <t>沃玛教主大殿</t>
  </si>
  <si>
    <t>石墓一层</t>
  </si>
  <si>
    <t>石墓阵入口</t>
  </si>
  <si>
    <t>石墓阵出口</t>
  </si>
  <si>
    <t>石墓阵顶层</t>
  </si>
  <si>
    <t>桃源之门</t>
  </si>
  <si>
    <t>困惑殿堂</t>
  </si>
  <si>
    <t>怪1</t>
  </si>
  <si>
    <t>怪2</t>
  </si>
  <si>
    <t>怪3</t>
  </si>
  <si>
    <t>怪4</t>
  </si>
  <si>
    <t>怪5</t>
  </si>
  <si>
    <t>怪6</t>
  </si>
  <si>
    <t>BOSS</t>
  </si>
  <si>
    <t>石墓顶层</t>
  </si>
  <si>
    <t>祖玛教主之家</t>
  </si>
  <si>
    <t>封魔矿区</t>
  </si>
  <si>
    <t>光芒回廊</t>
  </si>
  <si>
    <t>封魔殿</t>
  </si>
  <si>
    <t>尸魔洞一层</t>
  </si>
  <si>
    <t>尸魔洞二层</t>
  </si>
  <si>
    <t>骨魔洞一层</t>
  </si>
  <si>
    <t>骨魔洞二层</t>
  </si>
  <si>
    <t>牛魔寺庙入口</t>
  </si>
  <si>
    <t>牛魔寺庙一层</t>
  </si>
  <si>
    <t>牛魔寺庙大厅</t>
  </si>
  <si>
    <t>丛林迷宫</t>
  </si>
  <si>
    <t>赤月峡谷西走廊</t>
  </si>
  <si>
    <t>赤月峡谷东二层</t>
  </si>
  <si>
    <t>赤月峡谷广场</t>
  </si>
  <si>
    <t>抉择之地</t>
  </si>
  <si>
    <t>恶魔祭坛</t>
  </si>
  <si>
    <t>赤月魔穴</t>
  </si>
  <si>
    <t>场景名</t>
  </si>
  <si>
    <t>类型</t>
  </si>
  <si>
    <t>望岳津</t>
  </si>
  <si>
    <t>怪物刷新配置1开头7位数</t>
  </si>
  <si>
    <t>第1位</t>
  </si>
  <si>
    <t>1开头</t>
  </si>
  <si>
    <t>第2位</t>
  </si>
  <si>
    <t>用场景来代表级别。相当于装备的阶级，沃玛级，祖玛级，苍月级，赤月级等，2位应该够，暂时用3位保险。这个级别和场景区域配置严格匹配，相等。和其他一样，表示在哪个地图</t>
  </si>
  <si>
    <t>第3位</t>
  </si>
  <si>
    <t>第4位</t>
  </si>
  <si>
    <t>第5位</t>
  </si>
  <si>
    <t>怪物身份，区分普通/精英怪/BOSS</t>
  </si>
  <si>
    <t>第6位</t>
  </si>
  <si>
    <t>具体数字表示这个怪物刷新配置里刷多少个怪100以内可以随便填
也可以用不同数字代表不同的BOSS，比如末位配置1，2，3，4表示都刷新一个，分别代表BOSS1,BOSS2,BOSS3,BOSS4</t>
  </si>
  <si>
    <t>第7位</t>
  </si>
  <si>
    <t>石息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</si>
</sst>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1"/>
      <color indexed="8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aiWu1.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策划用表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1"/>
  <sheetViews>
    <sheetView tabSelected="1" workbookViewId="0">
      <pane ySplit="2" topLeftCell="A108" activePane="bottomLeft" state="frozen"/>
      <selection/>
      <selection pane="bottomLeft" activeCell="E21" sqref="E21"/>
    </sheetView>
  </sheetViews>
  <sheetFormatPr defaultColWidth="8.72222222222222" defaultRowHeight="13.2"/>
  <cols>
    <col min="1" max="1" width="8.81481481481481" style="12" customWidth="1"/>
    <col min="2" max="2" width="8.4537037037037" style="12" customWidth="1"/>
    <col min="3" max="3" width="13" style="12" customWidth="1"/>
    <col min="4" max="4" width="7.81481481481481" style="12" customWidth="1"/>
    <col min="5" max="5" width="23.0925925925926" style="12" customWidth="1"/>
    <col min="6" max="6" width="25.5462962962963" style="12" customWidth="1"/>
    <col min="7" max="7" width="11.2685185185185" style="12" customWidth="1"/>
    <col min="8" max="8" width="10.6296296296296" style="12" customWidth="1"/>
    <col min="9" max="9" width="11.2685185185185" style="13" customWidth="1"/>
    <col min="10" max="10" width="8.72222222222222" style="12" customWidth="1"/>
    <col min="11" max="11" width="11.2685185185185" style="12" customWidth="1"/>
    <col min="12" max="12" width="8.72222222222222" style="12" customWidth="1"/>
    <col min="13" max="13" width="11.2685185185185" style="12" customWidth="1"/>
    <col min="14" max="14" width="8.72222222222222" style="12" customWidth="1"/>
    <col min="15" max="15" width="11.2685185185185" style="12" customWidth="1"/>
    <col min="16" max="16" width="8.72222222222222" style="12" customWidth="1"/>
    <col min="17" max="17" width="11.2685185185185" style="12" customWidth="1"/>
    <col min="18" max="18" width="8.72222222222222" style="12" customWidth="1"/>
    <col min="19" max="19" width="11.2685185185185" style="12" customWidth="1"/>
    <col min="20" max="20" width="8.72222222222222" style="12" customWidth="1"/>
    <col min="21" max="21" width="11.2685185185185" style="12" customWidth="1"/>
    <col min="22" max="22" width="8.72222222222222" style="12" customWidth="1"/>
    <col min="23" max="23" width="11.2685185185185" style="12" customWidth="1"/>
    <col min="24" max="24" width="8.72222222222222" style="12" customWidth="1"/>
    <col min="25" max="25" width="11.2685185185185" style="12" customWidth="1"/>
    <col min="26" max="26" width="8.72222222222222" style="12" customWidth="1"/>
    <col min="27" max="16384" width="8.72222222222222" style="12"/>
  </cols>
  <sheetData>
    <row r="1" ht="14.4" spans="1:28">
      <c r="A1" s="14" t="s">
        <v>0</v>
      </c>
      <c r="B1" s="14" t="s">
        <v>1</v>
      </c>
      <c r="C1" s="15"/>
      <c r="D1" s="15"/>
      <c r="E1" s="15"/>
      <c r="F1" s="15"/>
      <c r="G1" s="14" t="s">
        <v>2</v>
      </c>
      <c r="H1" s="14" t="s">
        <v>3</v>
      </c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t="s">
        <v>4</v>
      </c>
    </row>
    <row r="2" ht="14.4" spans="1:28">
      <c r="A2" s="14" t="s">
        <v>5</v>
      </c>
      <c r="B2" s="14" t="s">
        <v>6</v>
      </c>
      <c r="C2" s="15"/>
      <c r="D2" s="15"/>
      <c r="E2" s="15"/>
      <c r="F2" s="15"/>
      <c r="G2" s="14" t="s">
        <v>7</v>
      </c>
      <c r="H2" s="14" t="s">
        <v>8</v>
      </c>
      <c r="I2" s="16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t="s">
        <v>6</v>
      </c>
    </row>
    <row r="3" ht="14.4" spans="1:28">
      <c r="A3" s="14" t="s">
        <v>9</v>
      </c>
      <c r="B3" s="14"/>
      <c r="C3" s="15"/>
      <c r="D3" s="15"/>
      <c r="E3" s="15"/>
      <c r="F3" s="15"/>
      <c r="G3" s="14" t="s">
        <v>10</v>
      </c>
      <c r="H3" s="14" t="s">
        <v>10</v>
      </c>
      <c r="I3" s="16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t="s">
        <v>11</v>
      </c>
    </row>
    <row r="4" ht="14.4" spans="1:28">
      <c r="A4" s="14" t="s">
        <v>12</v>
      </c>
      <c r="B4" s="15" t="s">
        <v>13</v>
      </c>
      <c r="C4" s="15" t="s">
        <v>14</v>
      </c>
      <c r="D4" s="15" t="s">
        <v>15</v>
      </c>
      <c r="E4" s="15" t="s">
        <v>16</v>
      </c>
      <c r="F4" s="15" t="s">
        <v>17</v>
      </c>
      <c r="G4" s="14" t="s">
        <v>18</v>
      </c>
      <c r="H4" s="14" t="s">
        <v>19</v>
      </c>
      <c r="I4" s="16" t="s">
        <v>20</v>
      </c>
      <c r="J4" s="14" t="s">
        <v>21</v>
      </c>
      <c r="K4" s="15" t="s">
        <v>22</v>
      </c>
      <c r="L4" s="14" t="s">
        <v>23</v>
      </c>
      <c r="M4" s="15" t="s">
        <v>24</v>
      </c>
      <c r="N4" s="14" t="s">
        <v>25</v>
      </c>
      <c r="O4" s="15" t="s">
        <v>26</v>
      </c>
      <c r="P4" s="14" t="s">
        <v>27</v>
      </c>
      <c r="Q4" s="15" t="s">
        <v>28</v>
      </c>
      <c r="R4" s="14" t="s">
        <v>29</v>
      </c>
      <c r="S4" s="15" t="s">
        <v>30</v>
      </c>
      <c r="T4" s="14" t="s">
        <v>31</v>
      </c>
      <c r="U4" s="15" t="s">
        <v>32</v>
      </c>
      <c r="V4" s="14" t="s">
        <v>33</v>
      </c>
      <c r="W4" s="15" t="s">
        <v>34</v>
      </c>
      <c r="X4" s="14" t="s">
        <v>35</v>
      </c>
      <c r="Y4" s="15" t="s">
        <v>36</v>
      </c>
      <c r="Z4" s="14" t="s">
        <v>37</v>
      </c>
      <c r="AA4" s="15" t="s">
        <v>38</v>
      </c>
      <c r="AB4" t="s">
        <v>39</v>
      </c>
    </row>
    <row r="5" spans="1:28">
      <c r="B5" s="12">
        <f>1000000+INDEX(编号表!$B:$B,MATCH(C5,编号表!$A:$A,0))*1000+INDEX(编号表!$D:$D,MATCH(D5,编号表!$C:$C,0))*100+E5</f>
        <v>1001203</v>
      </c>
      <c r="C5" s="3" t="s">
        <v>40</v>
      </c>
      <c r="D5" s="12" t="s">
        <v>41</v>
      </c>
      <c r="E5" s="12">
        <v>3</v>
      </c>
      <c r="F5" s="3" t="s">
        <v>42</v>
      </c>
      <c r="G5" s="17" t="s">
        <v>43</v>
      </c>
      <c r="H5" s="3">
        <v>60011001</v>
      </c>
      <c r="I5" s="12">
        <v>3</v>
      </c>
    </row>
    <row r="6" spans="1:28">
      <c r="B6" s="12">
        <f>1000000+INDEX(编号表!$B:$B,MATCH(C6,编号表!$A:$A,0))*1000+INDEX(编号表!$D:$D,MATCH(D6,编号表!$C:$C,0))*100+E6</f>
        <v>1001303</v>
      </c>
      <c r="C6" s="3" t="s">
        <v>40</v>
      </c>
      <c r="D6" s="12" t="s">
        <v>44</v>
      </c>
      <c r="E6" s="12">
        <v>3</v>
      </c>
      <c r="F6" s="3" t="s">
        <v>45</v>
      </c>
      <c r="G6" s="17" t="s">
        <v>43</v>
      </c>
      <c r="H6" s="3">
        <v>60011001</v>
      </c>
      <c r="I6" s="12">
        <v>3</v>
      </c>
    </row>
    <row r="7" spans="1:28">
      <c r="B7" s="12">
        <f>1000000+INDEX(编号表!$B:$B,MATCH(C7,编号表!$A:$A,0))*1000+INDEX(编号表!$D:$D,MATCH(D7,编号表!$C:$C,0))*100+E7</f>
        <v>1001403</v>
      </c>
      <c r="C7" s="3" t="s">
        <v>40</v>
      </c>
      <c r="D7" s="12" t="s">
        <v>46</v>
      </c>
      <c r="E7" s="12">
        <v>3</v>
      </c>
      <c r="F7" s="3" t="s">
        <v>47</v>
      </c>
      <c r="G7" s="17" t="s">
        <v>43</v>
      </c>
      <c r="H7" s="3">
        <v>60011002</v>
      </c>
      <c r="I7" s="12">
        <v>3</v>
      </c>
    </row>
    <row r="8" spans="1:28">
      <c r="B8" s="12">
        <f>1000000+INDEX(编号表!$B:$B,MATCH(C8,编号表!$A:$A,0))*1000+INDEX(编号表!$D:$D,MATCH(D8,编号表!$C:$C,0))*100+E8</f>
        <v>1001503</v>
      </c>
      <c r="C8" s="3" t="s">
        <v>40</v>
      </c>
      <c r="D8" s="12" t="s">
        <v>48</v>
      </c>
      <c r="E8" s="12">
        <v>3</v>
      </c>
      <c r="F8" s="3" t="s">
        <v>49</v>
      </c>
      <c r="G8" s="17" t="s">
        <v>43</v>
      </c>
      <c r="H8" s="3">
        <v>60011003</v>
      </c>
      <c r="I8" s="12">
        <v>3</v>
      </c>
    </row>
    <row r="9" spans="1:28">
      <c r="B9" s="12">
        <f>1000000+INDEX(编号表!$B:$B,MATCH(C9,编号表!$A:$A,0))*1000+INDEX(编号表!$D:$D,MATCH(D9,编号表!$C:$C,0))*100+E9</f>
        <v>1001603</v>
      </c>
      <c r="C9" s="3" t="s">
        <v>40</v>
      </c>
      <c r="D9" s="12" t="s">
        <v>50</v>
      </c>
      <c r="E9" s="12">
        <v>3</v>
      </c>
      <c r="F9" s="3" t="s">
        <v>51</v>
      </c>
      <c r="G9" s="17" t="s">
        <v>43</v>
      </c>
      <c r="H9" s="3">
        <v>60011004</v>
      </c>
      <c r="I9" s="12">
        <v>3</v>
      </c>
    </row>
    <row r="10" spans="1:28">
      <c r="B10" s="12">
        <f>1000000+INDEX(编号表!$B:$B,MATCH(C10,编号表!$A:$A,0))*1000+INDEX(编号表!$D:$D,MATCH(D10,编号表!$C:$C,0))*100+E10</f>
        <v>1001703</v>
      </c>
      <c r="C10" s="3" t="s">
        <v>40</v>
      </c>
      <c r="D10" s="12" t="s">
        <v>52</v>
      </c>
      <c r="E10" s="12">
        <v>3</v>
      </c>
      <c r="F10" s="3" t="s">
        <v>53</v>
      </c>
      <c r="G10" s="17" t="s">
        <v>43</v>
      </c>
      <c r="H10" s="3">
        <v>60011013</v>
      </c>
      <c r="I10" s="12">
        <v>3</v>
      </c>
    </row>
    <row r="11" spans="1:28">
      <c r="B11" s="12">
        <f>1000000+INDEX(编号表!$B:$B,MATCH(C11,编号表!$A:$A,0))*1000+INDEX(编号表!$D:$D,MATCH(D11,编号表!$C:$C,0))*100+E11</f>
        <v>1001803</v>
      </c>
      <c r="C11" s="3" t="s">
        <v>40</v>
      </c>
      <c r="D11" s="12" t="s">
        <v>54</v>
      </c>
      <c r="E11" s="12">
        <v>3</v>
      </c>
      <c r="F11" s="12" t="s">
        <v>55</v>
      </c>
      <c r="G11" s="17" t="s">
        <v>43</v>
      </c>
      <c r="H11" s="3">
        <v>60011011</v>
      </c>
      <c r="I11" s="12">
        <v>3</v>
      </c>
    </row>
    <row r="12" spans="1:28">
      <c r="B12" s="12">
        <f>1000000+INDEX(编号表!$B:$B,MATCH(C12,编号表!$A:$A,0))*1000+INDEX(编号表!$D:$D,MATCH(D12,编号表!$C:$C,0))*100+E12</f>
        <v>1001903</v>
      </c>
      <c r="C12" s="3" t="s">
        <v>40</v>
      </c>
      <c r="D12" s="12" t="s">
        <v>56</v>
      </c>
      <c r="E12" s="12">
        <v>3</v>
      </c>
      <c r="F12" s="12" t="s">
        <v>57</v>
      </c>
      <c r="G12" s="17" t="s">
        <v>43</v>
      </c>
      <c r="H12" s="3">
        <v>60011012</v>
      </c>
      <c r="I12" s="12">
        <v>3</v>
      </c>
    </row>
    <row r="13" spans="1:28">
      <c r="B13" s="12">
        <f>1000000+INDEX(编号表!$B:$B,MATCH(C13,编号表!$A:$A,0))*1000+INDEX(编号表!$D:$D,MATCH(D13,编号表!$C:$C,0))*100+E13</f>
        <v>1002303</v>
      </c>
      <c r="C13" s="3" t="s">
        <v>58</v>
      </c>
      <c r="D13" s="12" t="s">
        <v>44</v>
      </c>
      <c r="E13" s="12">
        <v>3</v>
      </c>
      <c r="F13" s="12" t="s">
        <v>59</v>
      </c>
      <c r="G13" s="17" t="s">
        <v>43</v>
      </c>
      <c r="H13" s="12">
        <v>60021014</v>
      </c>
      <c r="I13" s="12">
        <v>3</v>
      </c>
      <c r="J13" s="17"/>
      <c r="K13" s="17"/>
      <c r="M13" s="17"/>
      <c r="O13" s="17"/>
      <c r="Q13" s="17"/>
      <c r="S13" s="17"/>
      <c r="U13" s="17"/>
      <c r="W13" s="17"/>
      <c r="Y13" s="17"/>
      <c r="AA13" s="17"/>
    </row>
    <row r="14" spans="1:28">
      <c r="B14" s="12">
        <f>1000000+INDEX(编号表!$B:$B,MATCH(C14,编号表!$A:$A,0))*1000+INDEX(编号表!$D:$D,MATCH(D14,编号表!$C:$C,0))*100+E14</f>
        <v>1002403</v>
      </c>
      <c r="C14" s="3" t="s">
        <v>58</v>
      </c>
      <c r="D14" s="12" t="s">
        <v>46</v>
      </c>
      <c r="E14" s="12">
        <v>3</v>
      </c>
      <c r="F14" s="18" t="s">
        <v>60</v>
      </c>
      <c r="G14" s="17" t="s">
        <v>43</v>
      </c>
      <c r="H14" s="12">
        <v>60021015</v>
      </c>
      <c r="I14" s="12">
        <v>3</v>
      </c>
      <c r="J14" s="17"/>
      <c r="K14" s="17"/>
      <c r="M14" s="17"/>
      <c r="O14" s="17"/>
      <c r="Q14" s="17"/>
      <c r="S14" s="17"/>
      <c r="U14" s="17"/>
      <c r="W14" s="17"/>
      <c r="Y14" s="17"/>
      <c r="AA14" s="17"/>
    </row>
    <row r="15" spans="1:28">
      <c r="B15" s="12">
        <f>1000000+INDEX(编号表!$B:$B,MATCH(C15,编号表!$A:$A,0))*1000+INDEX(编号表!$D:$D,MATCH(D15,编号表!$C:$C,0))*100+E15</f>
        <v>1002503</v>
      </c>
      <c r="C15" s="3" t="s">
        <v>58</v>
      </c>
      <c r="D15" s="12" t="s">
        <v>48</v>
      </c>
      <c r="E15" s="12">
        <v>3</v>
      </c>
      <c r="F15" s="18" t="s">
        <v>61</v>
      </c>
      <c r="G15" s="17" t="s">
        <v>43</v>
      </c>
      <c r="H15" s="12">
        <v>60021016</v>
      </c>
      <c r="I15" s="12">
        <v>3</v>
      </c>
      <c r="J15" s="17"/>
      <c r="K15" s="17"/>
      <c r="M15" s="17"/>
      <c r="O15" s="17"/>
      <c r="Q15" s="17"/>
      <c r="S15" s="17"/>
      <c r="U15" s="17"/>
      <c r="W15" s="17"/>
      <c r="Y15" s="17"/>
      <c r="AA15" s="17"/>
    </row>
    <row r="16" spans="1:28">
      <c r="B16" s="12">
        <f>1000000+INDEX(编号表!$B:$B,MATCH(C16,编号表!$A:$A,0))*1000+INDEX(编号表!$D:$D,MATCH(D16,编号表!$C:$C,0))*100+E16</f>
        <v>1002603</v>
      </c>
      <c r="C16" s="3" t="s">
        <v>58</v>
      </c>
      <c r="D16" s="12" t="s">
        <v>50</v>
      </c>
      <c r="E16" s="12">
        <v>3</v>
      </c>
      <c r="F16" s="18" t="s">
        <v>62</v>
      </c>
      <c r="G16" s="17" t="s">
        <v>43</v>
      </c>
      <c r="H16" s="12">
        <v>60021017</v>
      </c>
      <c r="I16" s="12">
        <v>3</v>
      </c>
      <c r="J16" s="17"/>
      <c r="K16" s="17"/>
      <c r="M16" s="17"/>
      <c r="O16" s="17"/>
      <c r="Q16" s="17"/>
      <c r="S16" s="17"/>
      <c r="U16" s="17"/>
      <c r="W16" s="17"/>
      <c r="Y16" s="17"/>
      <c r="AA16" s="17"/>
    </row>
    <row r="17" spans="2:27">
      <c r="B17" s="12">
        <f>1000000+INDEX(编号表!$B:$B,MATCH(C17,编号表!$A:$A,0))*1000+INDEX(编号表!$D:$D,MATCH(D17,编号表!$C:$C,0))*100+E17</f>
        <v>1002103</v>
      </c>
      <c r="C17" s="3" t="s">
        <v>58</v>
      </c>
      <c r="D17" s="12" t="s">
        <v>63</v>
      </c>
      <c r="E17" s="12">
        <v>3</v>
      </c>
      <c r="F17" s="18" t="s">
        <v>62</v>
      </c>
      <c r="G17" s="17" t="s">
        <v>43</v>
      </c>
      <c r="H17" s="12">
        <v>60022018</v>
      </c>
      <c r="I17" s="12">
        <v>3</v>
      </c>
      <c r="J17" s="17"/>
      <c r="K17" s="17"/>
      <c r="M17" s="17"/>
      <c r="O17" s="17"/>
      <c r="Q17" s="17"/>
      <c r="S17" s="17"/>
      <c r="U17" s="17"/>
      <c r="W17" s="17"/>
      <c r="Y17" s="17"/>
      <c r="AA17" s="17"/>
    </row>
    <row r="18" spans="2:27">
      <c r="B18" s="12">
        <f>1000000+INDEX(编号表!$B:$B,MATCH(C18,编号表!$A:$A,0))*1000+INDEX(编号表!$D:$D,MATCH(D18,编号表!$C:$C,0))*100+E18</f>
        <v>1004304</v>
      </c>
      <c r="C18" s="3" t="s">
        <v>64</v>
      </c>
      <c r="D18" s="12" t="s">
        <v>44</v>
      </c>
      <c r="E18" s="12">
        <v>4</v>
      </c>
      <c r="F18" s="12" t="s">
        <v>65</v>
      </c>
      <c r="G18" s="17" t="s">
        <v>43</v>
      </c>
      <c r="H18" s="12">
        <v>60031019</v>
      </c>
      <c r="I18" s="12">
        <v>4</v>
      </c>
      <c r="J18" s="17"/>
      <c r="K18" s="17"/>
      <c r="M18" s="17"/>
      <c r="O18" s="17"/>
      <c r="Q18" s="17"/>
      <c r="S18" s="17"/>
      <c r="U18" s="17"/>
      <c r="W18" s="17"/>
      <c r="Y18" s="17"/>
      <c r="AA18" s="17"/>
    </row>
    <row r="19" spans="2:27">
      <c r="B19" s="12">
        <f>1000000+INDEX(编号表!$B:$B,MATCH(C19,编号表!$A:$A,0))*1000+INDEX(编号表!$D:$D,MATCH(D19,编号表!$C:$C,0))*100+E19</f>
        <v>1004403</v>
      </c>
      <c r="C19" s="3" t="s">
        <v>64</v>
      </c>
      <c r="D19" s="12" t="s">
        <v>46</v>
      </c>
      <c r="E19" s="12">
        <v>3</v>
      </c>
      <c r="F19" s="12" t="s">
        <v>66</v>
      </c>
      <c r="G19" s="17" t="s">
        <v>43</v>
      </c>
      <c r="H19" s="12">
        <v>60031020</v>
      </c>
      <c r="I19" s="12">
        <v>3</v>
      </c>
      <c r="J19" s="17"/>
      <c r="K19" s="17"/>
      <c r="M19" s="17"/>
      <c r="O19" s="17"/>
      <c r="Q19" s="17"/>
      <c r="S19" s="17"/>
      <c r="U19" s="17"/>
      <c r="W19" s="17"/>
      <c r="Y19" s="17"/>
      <c r="AA19" s="17"/>
    </row>
    <row r="20" spans="2:27">
      <c r="B20" s="12">
        <f>1000000+INDEX(编号表!$B:$B,MATCH(C20,编号表!$A:$A,0))*1000+INDEX(编号表!$D:$D,MATCH(D20,编号表!$C:$C,0))*100+E20</f>
        <v>1004503</v>
      </c>
      <c r="C20" s="3" t="s">
        <v>64</v>
      </c>
      <c r="D20" s="12" t="s">
        <v>48</v>
      </c>
      <c r="E20" s="12">
        <v>3</v>
      </c>
      <c r="F20" s="12" t="s">
        <v>67</v>
      </c>
      <c r="G20" s="17" t="s">
        <v>43</v>
      </c>
      <c r="H20" s="12">
        <v>60031021</v>
      </c>
      <c r="I20" s="12">
        <v>3</v>
      </c>
      <c r="J20" s="17"/>
      <c r="K20" s="17"/>
      <c r="M20" s="17"/>
      <c r="O20" s="17"/>
      <c r="Q20" s="17"/>
      <c r="S20" s="17"/>
      <c r="U20" s="17"/>
      <c r="W20" s="17"/>
      <c r="Y20" s="17"/>
      <c r="AA20" s="17"/>
    </row>
    <row r="21" spans="2:27">
      <c r="B21" s="12">
        <f>1000000+INDEX(编号表!$B:$B,MATCH(C21,编号表!$A:$A,0))*1000+INDEX(编号表!$D:$D,MATCH(D21,编号表!$C:$C,0))*100+E21</f>
        <v>1004603</v>
      </c>
      <c r="C21" s="3" t="s">
        <v>64</v>
      </c>
      <c r="D21" s="12" t="s">
        <v>50</v>
      </c>
      <c r="E21" s="12">
        <v>3</v>
      </c>
      <c r="F21" s="12" t="s">
        <v>68</v>
      </c>
      <c r="G21" s="17" t="s">
        <v>43</v>
      </c>
      <c r="H21" s="12">
        <v>60031022</v>
      </c>
      <c r="I21" s="12">
        <v>3</v>
      </c>
      <c r="J21" s="17"/>
      <c r="K21" s="17"/>
      <c r="M21" s="17"/>
      <c r="O21" s="17"/>
      <c r="Q21" s="17"/>
      <c r="S21" s="17"/>
      <c r="U21" s="17"/>
      <c r="W21" s="17"/>
      <c r="Y21" s="17"/>
      <c r="AA21" s="17"/>
    </row>
    <row r="22" spans="2:27">
      <c r="B22" s="12">
        <f>1000000+INDEX(编号表!$B:$B,MATCH(C22,编号表!$A:$A,0))*1000+INDEX(编号表!$D:$D,MATCH(D22,编号表!$C:$C,0))*100+E22</f>
        <v>1004704</v>
      </c>
      <c r="C22" s="3" t="s">
        <v>64</v>
      </c>
      <c r="D22" s="12" t="s">
        <v>52</v>
      </c>
      <c r="E22" s="12">
        <v>4</v>
      </c>
      <c r="F22" s="18" t="s">
        <v>69</v>
      </c>
      <c r="G22" s="17" t="s">
        <v>43</v>
      </c>
      <c r="H22" s="12">
        <v>60031023</v>
      </c>
      <c r="I22" s="12">
        <v>4</v>
      </c>
      <c r="J22" s="17"/>
      <c r="K22" s="17"/>
      <c r="M22" s="17"/>
      <c r="O22" s="17"/>
      <c r="Q22" s="17"/>
      <c r="S22" s="17"/>
      <c r="U22" s="17"/>
      <c r="W22" s="17"/>
      <c r="Y22" s="17"/>
      <c r="AA22" s="17"/>
    </row>
    <row r="23" spans="2:27">
      <c r="B23" s="12">
        <f>1000000+INDEX(编号表!$B:$B,MATCH(C23,编号表!$A:$A,0))*1000+INDEX(编号表!$D:$D,MATCH(D23,编号表!$C:$C,0))*100+E23</f>
        <v>1004103</v>
      </c>
      <c r="C23" s="3" t="s">
        <v>64</v>
      </c>
      <c r="D23" s="12" t="s">
        <v>63</v>
      </c>
      <c r="E23" s="12">
        <v>3</v>
      </c>
      <c r="F23" s="18" t="s">
        <v>69</v>
      </c>
      <c r="G23" s="17" t="s">
        <v>43</v>
      </c>
      <c r="H23" s="12">
        <v>60032024</v>
      </c>
      <c r="I23" s="12">
        <v>3</v>
      </c>
      <c r="J23" s="17"/>
      <c r="K23" s="17"/>
      <c r="M23" s="17"/>
      <c r="O23" s="17"/>
      <c r="Q23" s="17"/>
      <c r="S23" s="17"/>
      <c r="U23" s="17"/>
      <c r="W23" s="17"/>
      <c r="Y23" s="17"/>
      <c r="AA23" s="17"/>
    </row>
    <row r="24" spans="2:27">
      <c r="B24" s="12">
        <f>1000000+INDEX(编号表!$B:$B,MATCH(C24,编号表!$A:$A,0))*1000+INDEX(编号表!$D:$D,MATCH(D24,编号表!$C:$C,0))*100+E24</f>
        <v>1005303</v>
      </c>
      <c r="C24" s="3" t="s">
        <v>70</v>
      </c>
      <c r="D24" s="12" t="s">
        <v>44</v>
      </c>
      <c r="E24" s="12">
        <v>3</v>
      </c>
      <c r="F24" s="18" t="s">
        <v>71</v>
      </c>
      <c r="G24" s="17" t="s">
        <v>43</v>
      </c>
      <c r="H24" s="12">
        <v>60041025</v>
      </c>
      <c r="I24" s="12">
        <v>3</v>
      </c>
      <c r="J24" s="17"/>
      <c r="K24" s="17"/>
      <c r="M24" s="17"/>
      <c r="O24" s="17"/>
      <c r="Q24" s="17"/>
      <c r="S24" s="17"/>
      <c r="U24" s="17"/>
      <c r="W24" s="17"/>
      <c r="Y24" s="17"/>
      <c r="AA24" s="17"/>
    </row>
    <row r="25" spans="2:27">
      <c r="B25" s="12">
        <f>1000000+INDEX(编号表!$B:$B,MATCH(C25,编号表!$A:$A,0))*1000+INDEX(编号表!$D:$D,MATCH(D25,编号表!$C:$C,0))*100+E25</f>
        <v>1005403</v>
      </c>
      <c r="C25" s="3" t="s">
        <v>70</v>
      </c>
      <c r="D25" s="12" t="s">
        <v>46</v>
      </c>
      <c r="E25" s="12">
        <v>3</v>
      </c>
      <c r="F25" s="18" t="s">
        <v>72</v>
      </c>
      <c r="G25" s="17" t="s">
        <v>43</v>
      </c>
      <c r="H25" s="12">
        <v>60041026</v>
      </c>
      <c r="I25" s="12">
        <v>3</v>
      </c>
      <c r="J25" s="17"/>
      <c r="K25" s="17"/>
      <c r="M25" s="17"/>
      <c r="O25" s="17"/>
      <c r="Q25" s="17"/>
      <c r="S25" s="17"/>
      <c r="U25" s="17"/>
      <c r="W25" s="17"/>
      <c r="Y25" s="17"/>
      <c r="AA25" s="17"/>
    </row>
    <row r="26" spans="2:27">
      <c r="B26" s="12">
        <f>1000000+INDEX(编号表!$B:$B,MATCH(C26,编号表!$A:$A,0))*1000+INDEX(编号表!$D:$D,MATCH(D26,编号表!$C:$C,0))*100+E26</f>
        <v>1005503</v>
      </c>
      <c r="C26" s="3" t="s">
        <v>70</v>
      </c>
      <c r="D26" s="12" t="s">
        <v>48</v>
      </c>
      <c r="E26" s="12">
        <v>3</v>
      </c>
      <c r="F26" s="18" t="s">
        <v>73</v>
      </c>
      <c r="G26" s="17" t="s">
        <v>43</v>
      </c>
      <c r="H26" s="12">
        <v>60041027</v>
      </c>
      <c r="I26" s="12">
        <v>3</v>
      </c>
      <c r="J26" s="17"/>
      <c r="K26" s="17"/>
      <c r="M26" s="17"/>
      <c r="O26" s="17"/>
      <c r="Q26" s="17"/>
      <c r="S26" s="17"/>
      <c r="U26" s="17"/>
      <c r="W26" s="17"/>
      <c r="Y26" s="17"/>
      <c r="AA26" s="17"/>
    </row>
    <row r="27" spans="2:27">
      <c r="B27" s="12">
        <f>1000000+INDEX(编号表!$B:$B,MATCH(C27,编号表!$A:$A,0))*1000+INDEX(编号表!$D:$D,MATCH(D27,编号表!$C:$C,0))*100+E27</f>
        <v>1005604</v>
      </c>
      <c r="C27" s="3" t="s">
        <v>70</v>
      </c>
      <c r="D27" s="12" t="s">
        <v>50</v>
      </c>
      <c r="E27" s="12">
        <v>4</v>
      </c>
      <c r="F27" s="18" t="s">
        <v>74</v>
      </c>
      <c r="G27" s="17" t="s">
        <v>43</v>
      </c>
      <c r="H27" s="12">
        <v>60041028</v>
      </c>
      <c r="I27" s="12">
        <v>4</v>
      </c>
      <c r="J27" s="17"/>
      <c r="K27" s="17"/>
      <c r="M27" s="17"/>
      <c r="O27" s="17"/>
      <c r="Q27" s="17"/>
      <c r="S27" s="17"/>
      <c r="U27" s="17"/>
      <c r="W27" s="17"/>
      <c r="Y27" s="17"/>
      <c r="AA27" s="17"/>
    </row>
    <row r="28" spans="2:27">
      <c r="B28" s="12">
        <f>1000000+INDEX(编号表!$B:$B,MATCH(C28,编号表!$A:$A,0))*1000+INDEX(编号表!$D:$D,MATCH(D28,编号表!$C:$C,0))*100+E28</f>
        <v>1005103</v>
      </c>
      <c r="C28" s="3" t="s">
        <v>70</v>
      </c>
      <c r="D28" s="12" t="s">
        <v>63</v>
      </c>
      <c r="E28" s="12">
        <v>3</v>
      </c>
      <c r="F28" s="18" t="s">
        <v>74</v>
      </c>
      <c r="G28" s="17" t="s">
        <v>43</v>
      </c>
      <c r="H28" s="12">
        <v>60041028</v>
      </c>
      <c r="I28" s="12">
        <v>3</v>
      </c>
      <c r="J28" s="17"/>
      <c r="K28" s="17"/>
      <c r="M28" s="17"/>
      <c r="O28" s="17"/>
      <c r="Q28" s="17"/>
      <c r="S28" s="17"/>
      <c r="U28" s="17"/>
      <c r="W28" s="17"/>
      <c r="Y28" s="17"/>
      <c r="AA28" s="17"/>
    </row>
    <row r="29" spans="2:27">
      <c r="B29" s="12">
        <f>1000000+INDEX(编号表!$B:$B,MATCH(C29,编号表!$A:$A,0))*1000+INDEX(编号表!$D:$D,MATCH(D29,编号表!$C:$C,0))*100+E29</f>
        <v>1006303</v>
      </c>
      <c r="C29" s="3" t="s">
        <v>75</v>
      </c>
      <c r="D29" s="12" t="s">
        <v>44</v>
      </c>
      <c r="E29" s="12">
        <v>3</v>
      </c>
      <c r="F29" s="18" t="s">
        <v>76</v>
      </c>
      <c r="G29" s="17" t="s">
        <v>43</v>
      </c>
      <c r="H29" s="12">
        <v>60051031</v>
      </c>
      <c r="I29" s="12">
        <v>3</v>
      </c>
      <c r="J29" s="17"/>
      <c r="K29" s="17"/>
      <c r="M29" s="17"/>
      <c r="O29" s="17"/>
      <c r="Q29" s="17"/>
      <c r="S29" s="17"/>
      <c r="U29" s="17"/>
      <c r="W29" s="17"/>
      <c r="Y29" s="17"/>
      <c r="AA29" s="17"/>
    </row>
    <row r="30" spans="2:27">
      <c r="B30" s="12">
        <f>1000000+INDEX(编号表!$B:$B,MATCH(C30,编号表!$A:$A,0))*1000+INDEX(编号表!$D:$D,MATCH(D30,编号表!$C:$C,0))*100+E30</f>
        <v>1006403</v>
      </c>
      <c r="C30" s="3" t="s">
        <v>75</v>
      </c>
      <c r="D30" s="12" t="s">
        <v>46</v>
      </c>
      <c r="E30" s="12">
        <v>3</v>
      </c>
      <c r="F30" s="18" t="s">
        <v>77</v>
      </c>
      <c r="G30" s="17" t="s">
        <v>43</v>
      </c>
      <c r="H30" s="12">
        <v>60051032</v>
      </c>
      <c r="I30" s="12">
        <v>3</v>
      </c>
      <c r="J30" s="17"/>
      <c r="K30" s="17"/>
      <c r="M30" s="17"/>
      <c r="O30" s="17"/>
      <c r="Q30" s="17"/>
      <c r="S30" s="17"/>
      <c r="U30" s="17"/>
      <c r="W30" s="17"/>
      <c r="Y30" s="17"/>
      <c r="AA30" s="17"/>
    </row>
    <row r="31" spans="2:27">
      <c r="B31" s="12">
        <f>1000000+INDEX(编号表!$B:$B,MATCH(C31,编号表!$A:$A,0))*1000+INDEX(编号表!$D:$D,MATCH(D31,编号表!$C:$C,0))*100+E31</f>
        <v>1006503</v>
      </c>
      <c r="C31" s="3" t="s">
        <v>75</v>
      </c>
      <c r="D31" s="12" t="s">
        <v>48</v>
      </c>
      <c r="E31" s="12">
        <v>3</v>
      </c>
      <c r="F31" s="18" t="s">
        <v>78</v>
      </c>
      <c r="G31" s="17" t="s">
        <v>43</v>
      </c>
      <c r="H31" s="12">
        <v>60051033</v>
      </c>
      <c r="I31" s="12">
        <v>3</v>
      </c>
      <c r="J31" s="17"/>
      <c r="K31" s="17"/>
      <c r="M31" s="17"/>
      <c r="O31" s="17"/>
      <c r="Q31" s="17"/>
      <c r="S31" s="17"/>
      <c r="U31" s="17"/>
      <c r="W31" s="17"/>
      <c r="Y31" s="17"/>
      <c r="AA31" s="17"/>
    </row>
    <row r="32" spans="2:27">
      <c r="B32" s="12">
        <f>1000000+INDEX(编号表!$B:$B,MATCH(C32,编号表!$A:$A,0))*1000+INDEX(编号表!$D:$D,MATCH(D32,编号表!$C:$C,0))*100+E32</f>
        <v>1006602</v>
      </c>
      <c r="C32" s="3" t="s">
        <v>75</v>
      </c>
      <c r="D32" s="12" t="s">
        <v>50</v>
      </c>
      <c r="E32" s="12">
        <v>2</v>
      </c>
      <c r="F32" s="18" t="s">
        <v>79</v>
      </c>
      <c r="G32" s="17" t="s">
        <v>43</v>
      </c>
      <c r="H32" s="12">
        <v>60051034</v>
      </c>
      <c r="I32" s="12">
        <v>2</v>
      </c>
      <c r="J32" s="17"/>
      <c r="K32" s="17"/>
      <c r="M32" s="17"/>
      <c r="O32" s="17"/>
      <c r="Q32" s="17"/>
      <c r="S32" s="17"/>
      <c r="U32" s="17"/>
      <c r="W32" s="17"/>
      <c r="Y32" s="17"/>
      <c r="AA32" s="17"/>
    </row>
    <row r="33" spans="2:27">
      <c r="B33" s="12">
        <f>1000000+INDEX(编号表!$B:$B,MATCH(C33,编号表!$A:$A,0))*1000+INDEX(编号表!$D:$D,MATCH(D33,编号表!$C:$C,0))*100+E33</f>
        <v>1006102</v>
      </c>
      <c r="C33" s="3" t="s">
        <v>75</v>
      </c>
      <c r="D33" s="12" t="s">
        <v>63</v>
      </c>
      <c r="E33" s="12">
        <v>2</v>
      </c>
      <c r="F33" s="18" t="s">
        <v>79</v>
      </c>
      <c r="G33" s="17" t="s">
        <v>43</v>
      </c>
      <c r="H33" s="12">
        <v>60052035</v>
      </c>
      <c r="I33" s="12">
        <v>2</v>
      </c>
      <c r="J33" s="17"/>
      <c r="K33" s="17"/>
      <c r="M33" s="17"/>
      <c r="O33" s="17"/>
      <c r="Q33" s="17"/>
      <c r="S33" s="17"/>
      <c r="U33" s="17"/>
      <c r="W33" s="17"/>
      <c r="Y33" s="17"/>
      <c r="AA33" s="17"/>
    </row>
    <row r="34" spans="2:27">
      <c r="B34" s="12">
        <f>1000000+INDEX(编号表!$B:$B,MATCH(C34,编号表!$A:$A,0))*1000+INDEX(编号表!$D:$D,MATCH(D34,编号表!$C:$C,0))*100+E34</f>
        <v>1006001</v>
      </c>
      <c r="C34" s="3" t="s">
        <v>75</v>
      </c>
      <c r="D34" s="12" t="s">
        <v>80</v>
      </c>
      <c r="E34" s="12">
        <v>1</v>
      </c>
      <c r="F34" s="18" t="s">
        <v>81</v>
      </c>
      <c r="G34" s="17" t="s">
        <v>82</v>
      </c>
      <c r="H34" s="12">
        <v>60054036</v>
      </c>
      <c r="I34" s="12">
        <v>1</v>
      </c>
      <c r="J34" s="17"/>
      <c r="K34" s="17"/>
      <c r="M34" s="17"/>
      <c r="O34" s="17"/>
      <c r="Q34" s="17"/>
      <c r="S34" s="17"/>
      <c r="U34" s="17"/>
      <c r="W34" s="17"/>
      <c r="Y34" s="17"/>
      <c r="AA34" s="17"/>
    </row>
    <row r="35" spans="2:27">
      <c r="B35" s="12">
        <f>1000000+INDEX(编号表!$B:$B,MATCH(C35,编号表!$A:$A,0))*1000+INDEX(编号表!$D:$D,MATCH(D35,编号表!$C:$C,0))*100+E35</f>
        <v>1007304</v>
      </c>
      <c r="C35" s="8" t="s">
        <v>83</v>
      </c>
      <c r="D35" s="12" t="s">
        <v>44</v>
      </c>
      <c r="E35" s="12">
        <v>4</v>
      </c>
      <c r="F35" s="18" t="s">
        <v>42</v>
      </c>
      <c r="G35" s="17" t="s">
        <v>43</v>
      </c>
      <c r="H35" s="12">
        <v>60061037</v>
      </c>
      <c r="I35" s="12">
        <v>4</v>
      </c>
      <c r="J35" s="17"/>
      <c r="K35" s="17"/>
      <c r="M35" s="17"/>
      <c r="O35" s="17"/>
      <c r="Q35" s="17"/>
      <c r="S35" s="17"/>
      <c r="U35" s="17"/>
      <c r="W35" s="17"/>
      <c r="Y35" s="17"/>
      <c r="AA35" s="17"/>
    </row>
    <row r="36" spans="2:27">
      <c r="B36" s="12">
        <f>1000000+INDEX(编号表!$B:$B,MATCH(C36,编号表!$A:$A,0))*1000+INDEX(编号表!$D:$D,MATCH(D36,编号表!$C:$C,0))*100+E36</f>
        <v>1007404</v>
      </c>
      <c r="C36" s="8" t="s">
        <v>83</v>
      </c>
      <c r="D36" s="12" t="s">
        <v>46</v>
      </c>
      <c r="E36" s="12">
        <v>4</v>
      </c>
      <c r="F36" s="18" t="s">
        <v>45</v>
      </c>
      <c r="G36" s="17" t="s">
        <v>43</v>
      </c>
      <c r="H36" s="12">
        <v>60061038</v>
      </c>
      <c r="I36" s="12">
        <v>4</v>
      </c>
      <c r="J36" s="17"/>
      <c r="K36" s="17"/>
      <c r="M36" s="17"/>
      <c r="O36" s="17"/>
      <c r="Q36" s="17"/>
      <c r="S36" s="17"/>
      <c r="U36" s="17"/>
      <c r="W36" s="17"/>
      <c r="Y36" s="17"/>
      <c r="AA36" s="17"/>
    </row>
    <row r="37" spans="2:27">
      <c r="B37" s="12">
        <f>1000000+INDEX(编号表!$B:$B,MATCH(C37,编号表!$A:$A,0))*1000+INDEX(编号表!$D:$D,MATCH(D37,编号表!$C:$C,0))*100+E37</f>
        <v>1007504</v>
      </c>
      <c r="C37" s="8" t="s">
        <v>83</v>
      </c>
      <c r="D37" s="12" t="s">
        <v>48</v>
      </c>
      <c r="E37" s="12">
        <v>4</v>
      </c>
      <c r="F37" s="18" t="s">
        <v>47</v>
      </c>
      <c r="G37" s="17" t="s">
        <v>43</v>
      </c>
      <c r="H37" s="12">
        <v>60061039</v>
      </c>
      <c r="I37" s="12">
        <v>4</v>
      </c>
      <c r="J37" s="17"/>
      <c r="K37" s="17"/>
      <c r="M37" s="17"/>
      <c r="O37" s="17"/>
      <c r="Q37" s="17"/>
      <c r="S37" s="17"/>
      <c r="U37" s="17"/>
      <c r="W37" s="17"/>
      <c r="Y37" s="17"/>
      <c r="AA37" s="17"/>
    </row>
    <row r="38" spans="2:27">
      <c r="B38" s="12">
        <f>1000000+INDEX(编号表!$B:$B,MATCH(C38,编号表!$A:$A,0))*1000+INDEX(编号表!$D:$D,MATCH(D38,编号表!$C:$C,0))*100+E38</f>
        <v>1008304</v>
      </c>
      <c r="C38" s="3" t="s">
        <v>84</v>
      </c>
      <c r="D38" s="12" t="s">
        <v>44</v>
      </c>
      <c r="E38" s="12">
        <v>4</v>
      </c>
      <c r="F38" s="18" t="s">
        <v>51</v>
      </c>
      <c r="G38" s="17" t="s">
        <v>43</v>
      </c>
      <c r="H38" s="12">
        <v>60071040</v>
      </c>
      <c r="I38" s="12">
        <v>4</v>
      </c>
      <c r="J38" s="17"/>
      <c r="K38" s="17"/>
      <c r="M38" s="17"/>
      <c r="O38" s="17"/>
      <c r="Q38" s="17"/>
      <c r="S38" s="17"/>
      <c r="U38" s="17"/>
      <c r="W38" s="17"/>
      <c r="Y38" s="17"/>
      <c r="AA38" s="17"/>
    </row>
    <row r="39" spans="2:27">
      <c r="B39" s="12">
        <f>1000000+INDEX(编号表!$B:$B,MATCH(C39,编号表!$A:$A,0))*1000+INDEX(编号表!$D:$D,MATCH(D39,编号表!$C:$C,0))*100+E39</f>
        <v>1008404</v>
      </c>
      <c r="C39" s="3" t="s">
        <v>84</v>
      </c>
      <c r="D39" s="12" t="s">
        <v>46</v>
      </c>
      <c r="E39" s="12">
        <v>4</v>
      </c>
      <c r="F39" s="18" t="s">
        <v>85</v>
      </c>
      <c r="G39" s="17" t="s">
        <v>43</v>
      </c>
      <c r="H39" s="12">
        <v>60071041</v>
      </c>
      <c r="I39" s="12">
        <v>4</v>
      </c>
      <c r="J39" s="17"/>
      <c r="K39" s="17"/>
      <c r="M39" s="17"/>
      <c r="O39" s="17"/>
      <c r="Q39" s="17"/>
      <c r="S39" s="17"/>
      <c r="U39" s="17"/>
      <c r="W39" s="17"/>
      <c r="Y39" s="17"/>
      <c r="AA39" s="17"/>
    </row>
    <row r="40" spans="2:27">
      <c r="B40" s="12">
        <f>1000000+INDEX(编号表!$B:$B,MATCH(C40,编号表!$A:$A,0))*1000+INDEX(编号表!$D:$D,MATCH(D40,编号表!$C:$C,0))*100+E40</f>
        <v>1008504</v>
      </c>
      <c r="C40" s="3" t="s">
        <v>84</v>
      </c>
      <c r="D40" s="12" t="s">
        <v>48</v>
      </c>
      <c r="E40" s="12">
        <v>4</v>
      </c>
      <c r="F40" s="18" t="s">
        <v>86</v>
      </c>
      <c r="G40" s="17" t="s">
        <v>43</v>
      </c>
      <c r="H40" s="12">
        <v>60071042</v>
      </c>
      <c r="I40" s="12">
        <v>4</v>
      </c>
      <c r="J40" s="17"/>
      <c r="K40" s="17"/>
      <c r="M40" s="17"/>
      <c r="O40" s="17"/>
      <c r="Q40" s="17"/>
      <c r="S40" s="17"/>
      <c r="U40" s="17"/>
      <c r="W40" s="17"/>
      <c r="Y40" s="17"/>
      <c r="AA40" s="17"/>
    </row>
    <row r="41" spans="2:27">
      <c r="B41" s="12">
        <f>1000000+INDEX(编号表!$B:$B,MATCH(C41,编号表!$A:$A,0))*1000+INDEX(编号表!$D:$D,MATCH(D41,编号表!$C:$C,0))*100+E41</f>
        <v>1009303</v>
      </c>
      <c r="C41" s="3" t="s">
        <v>87</v>
      </c>
      <c r="D41" s="12" t="s">
        <v>44</v>
      </c>
      <c r="E41" s="12">
        <v>3</v>
      </c>
      <c r="F41" s="18" t="s">
        <v>88</v>
      </c>
      <c r="G41" s="17" t="s">
        <v>43</v>
      </c>
      <c r="H41" s="12">
        <v>60081043</v>
      </c>
      <c r="I41" s="12">
        <v>3</v>
      </c>
      <c r="J41" s="17"/>
      <c r="K41" s="17"/>
      <c r="M41" s="17"/>
      <c r="O41" s="17"/>
      <c r="Q41" s="17"/>
      <c r="S41" s="17"/>
      <c r="U41" s="17"/>
      <c r="W41" s="17"/>
      <c r="Y41" s="17"/>
      <c r="AA41" s="17"/>
    </row>
    <row r="42" spans="2:27">
      <c r="B42" s="12">
        <f>1000000+INDEX(编号表!$B:$B,MATCH(C42,编号表!$A:$A,0))*1000+INDEX(编号表!$D:$D,MATCH(D42,编号表!$C:$C,0))*100+E42</f>
        <v>1009403</v>
      </c>
      <c r="C42" s="3" t="s">
        <v>87</v>
      </c>
      <c r="D42" s="12" t="s">
        <v>46</v>
      </c>
      <c r="E42" s="12">
        <v>3</v>
      </c>
      <c r="F42" s="18" t="s">
        <v>89</v>
      </c>
      <c r="G42" s="17" t="s">
        <v>43</v>
      </c>
      <c r="H42" s="12">
        <v>60081044</v>
      </c>
      <c r="I42" s="12">
        <v>3</v>
      </c>
      <c r="J42" s="17"/>
      <c r="K42" s="17"/>
      <c r="M42" s="17"/>
      <c r="O42" s="17"/>
      <c r="Q42" s="17"/>
      <c r="S42" s="17"/>
      <c r="U42" s="17"/>
      <c r="W42" s="17"/>
      <c r="Y42" s="17"/>
      <c r="AA42" s="17"/>
    </row>
    <row r="43" spans="2:27">
      <c r="B43" s="12">
        <f>1000000+INDEX(编号表!$B:$B,MATCH(C43,编号表!$A:$A,0))*1000+INDEX(编号表!$D:$D,MATCH(D43,编号表!$C:$C,0))*100+E43</f>
        <v>1009503</v>
      </c>
      <c r="C43" s="3" t="s">
        <v>87</v>
      </c>
      <c r="D43" s="12" t="s">
        <v>48</v>
      </c>
      <c r="E43" s="12">
        <v>3</v>
      </c>
      <c r="F43" s="18" t="s">
        <v>90</v>
      </c>
      <c r="G43" s="17" t="s">
        <v>43</v>
      </c>
      <c r="H43" s="12">
        <v>60081045</v>
      </c>
      <c r="I43" s="12">
        <v>3</v>
      </c>
    </row>
    <row r="44" spans="2:27">
      <c r="B44" s="12">
        <f>1000000+INDEX(编号表!$B:$B,MATCH(C44,编号表!$A:$A,0))*1000+INDEX(编号表!$D:$D,MATCH(D44,编号表!$C:$C,0))*100+E44</f>
        <v>1009103</v>
      </c>
      <c r="C44" s="3" t="s">
        <v>87</v>
      </c>
      <c r="D44" s="12" t="s">
        <v>63</v>
      </c>
      <c r="E44" s="12">
        <v>3</v>
      </c>
      <c r="F44" s="18" t="s">
        <v>90</v>
      </c>
      <c r="G44" s="17" t="s">
        <v>43</v>
      </c>
      <c r="H44" s="12">
        <v>60082046</v>
      </c>
      <c r="I44" s="12">
        <v>3</v>
      </c>
    </row>
    <row r="45" spans="2:27">
      <c r="B45" s="12">
        <f>1000000+INDEX(编号表!$B:$B,MATCH(C45,编号表!$A:$A,0))*1000+INDEX(编号表!$D:$D,MATCH(D45,编号表!$C:$C,0))*100+E45</f>
        <v>1009001</v>
      </c>
      <c r="C45" s="3" t="s">
        <v>87</v>
      </c>
      <c r="D45" s="12" t="s">
        <v>80</v>
      </c>
      <c r="E45" s="12">
        <v>1</v>
      </c>
      <c r="F45" s="18" t="s">
        <v>91</v>
      </c>
      <c r="G45" s="17" t="s">
        <v>82</v>
      </c>
      <c r="H45" s="3">
        <v>60084047</v>
      </c>
      <c r="I45" s="12">
        <v>1</v>
      </c>
    </row>
    <row r="46" spans="2:27">
      <c r="B46" s="12">
        <f>1000000+INDEX(编号表!$B:$B,MATCH(C46,编号表!$A:$A,0))*1000+INDEX(编号表!$D:$D,MATCH(D46,编号表!$C:$C,0))*100+E46</f>
        <v>1010303</v>
      </c>
      <c r="C46" s="3" t="s">
        <v>92</v>
      </c>
      <c r="D46" s="12" t="s">
        <v>44</v>
      </c>
      <c r="E46" s="12">
        <v>3</v>
      </c>
      <c r="F46" s="18" t="s">
        <v>93</v>
      </c>
      <c r="G46" s="17" t="s">
        <v>43</v>
      </c>
      <c r="H46" s="3">
        <v>60091048</v>
      </c>
      <c r="I46" s="12">
        <v>3</v>
      </c>
    </row>
    <row r="47" spans="2:27">
      <c r="B47" s="12">
        <f>1000000+INDEX(编号表!$B:$B,MATCH(C47,编号表!$A:$A,0))*1000+INDEX(编号表!$D:$D,MATCH(D47,编号表!$C:$C,0))*100+E47</f>
        <v>1010403</v>
      </c>
      <c r="C47" s="3" t="s">
        <v>92</v>
      </c>
      <c r="D47" s="12" t="s">
        <v>46</v>
      </c>
      <c r="E47" s="12">
        <v>3</v>
      </c>
      <c r="F47" s="18" t="s">
        <v>94</v>
      </c>
      <c r="G47" s="17" t="s">
        <v>43</v>
      </c>
      <c r="H47" s="3">
        <v>60091049</v>
      </c>
      <c r="I47" s="12">
        <v>3</v>
      </c>
    </row>
    <row r="48" spans="2:27">
      <c r="B48" s="12">
        <f>1000000+INDEX(编号表!$B:$B,MATCH(C48,编号表!$A:$A,0))*1000+INDEX(编号表!$D:$D,MATCH(D48,编号表!$C:$C,0))*100+E48</f>
        <v>1010503</v>
      </c>
      <c r="C48" s="3" t="s">
        <v>92</v>
      </c>
      <c r="D48" s="12" t="s">
        <v>48</v>
      </c>
      <c r="E48" s="12">
        <v>3</v>
      </c>
      <c r="F48" s="18" t="s">
        <v>95</v>
      </c>
      <c r="G48" s="17" t="s">
        <v>43</v>
      </c>
      <c r="H48" s="3">
        <v>60091050</v>
      </c>
      <c r="I48" s="12">
        <v>3</v>
      </c>
    </row>
    <row r="49" spans="2:9">
      <c r="B49" s="12">
        <f>1000000+INDEX(编号表!$B:$B,MATCH(C49,编号表!$A:$A,0))*1000+INDEX(编号表!$D:$D,MATCH(D49,编号表!$C:$C,0))*100+E49</f>
        <v>1010603</v>
      </c>
      <c r="C49" s="3" t="s">
        <v>92</v>
      </c>
      <c r="D49" s="12" t="s">
        <v>50</v>
      </c>
      <c r="E49" s="12">
        <v>3</v>
      </c>
      <c r="F49" s="18" t="s">
        <v>96</v>
      </c>
      <c r="G49" s="17" t="s">
        <v>43</v>
      </c>
      <c r="H49" s="3">
        <v>60091051</v>
      </c>
      <c r="I49" s="12">
        <v>3</v>
      </c>
    </row>
    <row r="50" spans="2:9">
      <c r="B50" s="12">
        <f>1000000+INDEX(编号表!$B:$B,MATCH(C50,编号表!$A:$A,0))*1000+INDEX(编号表!$D:$D,MATCH(D50,编号表!$C:$C,0))*100+E50</f>
        <v>1010103</v>
      </c>
      <c r="C50" s="3" t="s">
        <v>92</v>
      </c>
      <c r="D50" s="12" t="s">
        <v>63</v>
      </c>
      <c r="E50" s="12">
        <v>3</v>
      </c>
      <c r="F50" s="18" t="s">
        <v>96</v>
      </c>
      <c r="G50" s="17" t="s">
        <v>43</v>
      </c>
      <c r="H50" s="3">
        <v>60092052</v>
      </c>
      <c r="I50" s="12">
        <v>3</v>
      </c>
    </row>
    <row r="51" spans="2:9">
      <c r="B51" s="12">
        <f>1000000+INDEX(编号表!$B:$B,MATCH(C51,编号表!$A:$A,0))*1000+INDEX(编号表!$D:$D,MATCH(D51,编号表!$C:$C,0))*100+E51</f>
        <v>1011303</v>
      </c>
      <c r="C51" s="8" t="s">
        <v>97</v>
      </c>
      <c r="D51" s="12" t="s">
        <v>44</v>
      </c>
      <c r="E51" s="12">
        <v>3</v>
      </c>
      <c r="F51" s="18" t="s">
        <v>98</v>
      </c>
      <c r="G51" s="17" t="s">
        <v>43</v>
      </c>
      <c r="H51" s="3">
        <v>60181053</v>
      </c>
      <c r="I51" s="12">
        <v>3</v>
      </c>
    </row>
    <row r="52" spans="2:9">
      <c r="B52" s="12">
        <f>1000000+INDEX(编号表!$B:$B,MATCH(C52,编号表!$A:$A,0))*1000+INDEX(编号表!$D:$D,MATCH(D52,编号表!$C:$C,0))*100+E52</f>
        <v>1011403</v>
      </c>
      <c r="C52" s="8" t="s">
        <v>97</v>
      </c>
      <c r="D52" s="12" t="s">
        <v>46</v>
      </c>
      <c r="E52" s="12">
        <v>3</v>
      </c>
      <c r="F52" s="18" t="s">
        <v>99</v>
      </c>
      <c r="G52" s="17" t="s">
        <v>43</v>
      </c>
      <c r="H52" s="3">
        <v>60181054</v>
      </c>
      <c r="I52" s="12">
        <v>3</v>
      </c>
    </row>
    <row r="53" spans="2:9">
      <c r="B53" s="12">
        <f>1000000+INDEX(编号表!$B:$B,MATCH(C53,编号表!$A:$A,0))*1000+INDEX(编号表!$D:$D,MATCH(D53,编号表!$C:$C,0))*100+E53</f>
        <v>1011003</v>
      </c>
      <c r="C53" s="8" t="s">
        <v>97</v>
      </c>
      <c r="D53" s="12" t="s">
        <v>80</v>
      </c>
      <c r="E53" s="12">
        <v>3</v>
      </c>
      <c r="F53" s="18" t="s">
        <v>100</v>
      </c>
      <c r="G53" s="17" t="s">
        <v>43</v>
      </c>
      <c r="H53" s="3">
        <v>60182055</v>
      </c>
      <c r="I53" s="12">
        <v>3</v>
      </c>
    </row>
    <row r="54" spans="2:9">
      <c r="B54" s="12">
        <f>1000000+INDEX(编号表!$B:$B,MATCH(C54,编号表!$A:$A,0))*1000+INDEX(编号表!$D:$D,MATCH(D54,编号表!$C:$C,0))*100+E54</f>
        <v>1012303</v>
      </c>
      <c r="C54" s="8" t="s">
        <v>101</v>
      </c>
      <c r="D54" s="12" t="s">
        <v>44</v>
      </c>
      <c r="E54" s="12">
        <v>3</v>
      </c>
      <c r="F54" s="18" t="s">
        <v>102</v>
      </c>
      <c r="G54" s="17" t="s">
        <v>43</v>
      </c>
      <c r="H54" s="3">
        <v>60111056</v>
      </c>
      <c r="I54" s="12">
        <v>3</v>
      </c>
    </row>
    <row r="55" spans="2:9">
      <c r="B55" s="12">
        <f>1000000+INDEX(编号表!$B:$B,MATCH(C55,编号表!$A:$A,0))*1000+INDEX(编号表!$D:$D,MATCH(D55,编号表!$C:$C,0))*100+E55</f>
        <v>1012403</v>
      </c>
      <c r="C55" s="8" t="s">
        <v>101</v>
      </c>
      <c r="D55" s="12" t="s">
        <v>46</v>
      </c>
      <c r="E55" s="12">
        <v>3</v>
      </c>
      <c r="F55" s="18" t="s">
        <v>103</v>
      </c>
      <c r="G55" s="17" t="s">
        <v>43</v>
      </c>
      <c r="H55" s="3">
        <v>60111057</v>
      </c>
      <c r="I55" s="12">
        <v>3</v>
      </c>
    </row>
    <row r="56" spans="2:9">
      <c r="B56" s="12">
        <f>1000000+INDEX(编号表!$B:$B,MATCH(C56,编号表!$A:$A,0))*1000+INDEX(编号表!$D:$D,MATCH(D56,编号表!$C:$C,0))*100+E56</f>
        <v>1012503</v>
      </c>
      <c r="C56" s="8" t="s">
        <v>101</v>
      </c>
      <c r="D56" s="12" t="s">
        <v>48</v>
      </c>
      <c r="E56" s="12">
        <v>3</v>
      </c>
      <c r="F56" s="18" t="s">
        <v>104</v>
      </c>
      <c r="G56" s="17" t="s">
        <v>43</v>
      </c>
      <c r="H56" s="3">
        <v>60111058</v>
      </c>
      <c r="I56" s="12">
        <v>3</v>
      </c>
    </row>
    <row r="57" spans="2:9">
      <c r="B57" s="12">
        <f>1000000+INDEX(编号表!$B:$B,MATCH(C57,编号表!$A:$A,0))*1000+INDEX(编号表!$D:$D,MATCH(D57,编号表!$C:$C,0))*100+E57</f>
        <v>1012603</v>
      </c>
      <c r="C57" s="8" t="s">
        <v>101</v>
      </c>
      <c r="D57" s="12" t="s">
        <v>50</v>
      </c>
      <c r="E57" s="12">
        <v>3</v>
      </c>
      <c r="F57" s="18" t="s">
        <v>105</v>
      </c>
      <c r="G57" s="17" t="s">
        <v>43</v>
      </c>
      <c r="H57" s="3">
        <v>60111059</v>
      </c>
      <c r="I57" s="12">
        <v>3</v>
      </c>
    </row>
    <row r="58" spans="2:9">
      <c r="B58" s="12">
        <f>1000000+INDEX(编号表!$B:$B,MATCH(C58,编号表!$A:$A,0))*1000+INDEX(编号表!$D:$D,MATCH(D58,编号表!$C:$C,0))*100+E58</f>
        <v>1012703</v>
      </c>
      <c r="C58" s="8" t="s">
        <v>101</v>
      </c>
      <c r="D58" s="12" t="s">
        <v>52</v>
      </c>
      <c r="E58" s="12">
        <v>3</v>
      </c>
      <c r="F58" s="18" t="s">
        <v>106</v>
      </c>
      <c r="G58" s="17" t="s">
        <v>43</v>
      </c>
      <c r="H58" s="3">
        <v>60111060</v>
      </c>
      <c r="I58" s="12">
        <v>3</v>
      </c>
    </row>
    <row r="59" spans="2:9">
      <c r="B59" s="12">
        <f>1000000+INDEX(编号表!$B:$B,MATCH(C59,编号表!$A:$A,0))*1000+INDEX(编号表!$D:$D,MATCH(D59,编号表!$C:$C,0))*100+E59</f>
        <v>1012103</v>
      </c>
      <c r="C59" s="8" t="s">
        <v>101</v>
      </c>
      <c r="D59" s="12" t="s">
        <v>63</v>
      </c>
      <c r="E59" s="12">
        <v>3</v>
      </c>
      <c r="F59" s="18" t="s">
        <v>104</v>
      </c>
      <c r="G59" s="17" t="s">
        <v>43</v>
      </c>
      <c r="H59" s="3">
        <v>60112061</v>
      </c>
      <c r="I59" s="12">
        <v>3</v>
      </c>
    </row>
    <row r="60" spans="2:9">
      <c r="B60" s="12">
        <f>1000000+INDEX(编号表!$B:$B,MATCH(C60,编号表!$A:$A,0))*1000+INDEX(编号表!$D:$D,MATCH(D60,编号表!$C:$C,0))*100+E60</f>
        <v>1013303</v>
      </c>
      <c r="C60" s="8" t="s">
        <v>107</v>
      </c>
      <c r="D60" s="12" t="s">
        <v>44</v>
      </c>
      <c r="E60" s="12">
        <v>3</v>
      </c>
      <c r="F60" s="18" t="s">
        <v>108</v>
      </c>
      <c r="G60" s="17" t="s">
        <v>43</v>
      </c>
      <c r="H60" s="3">
        <v>60121062</v>
      </c>
      <c r="I60" s="12">
        <v>3</v>
      </c>
    </row>
    <row r="61" spans="2:9">
      <c r="B61" s="12">
        <f>1000000+INDEX(编号表!$B:$B,MATCH(C61,编号表!$A:$A,0))*1000+INDEX(编号表!$D:$D,MATCH(D61,编号表!$C:$C,0))*100+E61</f>
        <v>1013403</v>
      </c>
      <c r="C61" s="8" t="s">
        <v>107</v>
      </c>
      <c r="D61" s="12" t="s">
        <v>46</v>
      </c>
      <c r="E61" s="12">
        <v>3</v>
      </c>
      <c r="F61" s="18" t="s">
        <v>109</v>
      </c>
      <c r="G61" s="17" t="s">
        <v>43</v>
      </c>
      <c r="H61" s="3">
        <v>60121063</v>
      </c>
      <c r="I61" s="12">
        <v>3</v>
      </c>
    </row>
    <row r="62" spans="2:9">
      <c r="B62" s="12">
        <f>1000000+INDEX(编号表!$B:$B,MATCH(C62,编号表!$A:$A,0))*1000+INDEX(编号表!$D:$D,MATCH(D62,编号表!$C:$C,0))*100+E62</f>
        <v>1013503</v>
      </c>
      <c r="C62" s="8" t="s">
        <v>107</v>
      </c>
      <c r="D62" s="12" t="s">
        <v>48</v>
      </c>
      <c r="E62" s="12">
        <v>3</v>
      </c>
      <c r="F62" s="18" t="s">
        <v>110</v>
      </c>
      <c r="G62" s="17" t="s">
        <v>43</v>
      </c>
      <c r="H62" s="3">
        <v>60121064</v>
      </c>
      <c r="I62" s="12">
        <v>3</v>
      </c>
    </row>
    <row r="63" spans="2:9">
      <c r="B63" s="12">
        <f>1000000+INDEX(编号表!$B:$B,MATCH(C63,编号表!$A:$A,0))*1000+INDEX(编号表!$D:$D,MATCH(D63,编号表!$C:$C,0))*100+E63</f>
        <v>1013603</v>
      </c>
      <c r="C63" s="8" t="s">
        <v>107</v>
      </c>
      <c r="D63" s="12" t="s">
        <v>50</v>
      </c>
      <c r="E63" s="12">
        <v>3</v>
      </c>
      <c r="F63" s="18" t="s">
        <v>111</v>
      </c>
      <c r="G63" s="17" t="s">
        <v>43</v>
      </c>
      <c r="H63" s="3">
        <v>60121065</v>
      </c>
      <c r="I63" s="12">
        <v>3</v>
      </c>
    </row>
    <row r="64" spans="2:9">
      <c r="B64" s="12">
        <f>1000000+INDEX(编号表!$B:$B,MATCH(C64,编号表!$A:$A,0))*1000+INDEX(编号表!$D:$D,MATCH(D64,编号表!$C:$C,0))*100+E64</f>
        <v>1013103</v>
      </c>
      <c r="C64" s="8" t="s">
        <v>107</v>
      </c>
      <c r="D64" s="12" t="s">
        <v>63</v>
      </c>
      <c r="E64" s="12">
        <v>3</v>
      </c>
      <c r="F64" s="18" t="s">
        <v>111</v>
      </c>
      <c r="G64" s="17" t="s">
        <v>43</v>
      </c>
      <c r="H64" s="3">
        <v>60122066</v>
      </c>
      <c r="I64" s="12">
        <v>3</v>
      </c>
    </row>
    <row r="65" spans="2:9">
      <c r="B65" s="12">
        <f>1000000+INDEX(编号表!$B:$B,MATCH(C65,编号表!$A:$A,0))*1000+INDEX(编号表!$D:$D,MATCH(D65,编号表!$C:$C,0))*100+E65</f>
        <v>1014303</v>
      </c>
      <c r="C65" s="8" t="s">
        <v>112</v>
      </c>
      <c r="D65" s="12" t="s">
        <v>44</v>
      </c>
      <c r="E65" s="12">
        <v>3</v>
      </c>
      <c r="F65" s="18" t="s">
        <v>113</v>
      </c>
      <c r="G65" s="17" t="s">
        <v>43</v>
      </c>
      <c r="H65" s="3">
        <v>60131067</v>
      </c>
      <c r="I65" s="12">
        <v>3</v>
      </c>
    </row>
    <row r="66" spans="2:9">
      <c r="B66" s="12">
        <f>1000000+INDEX(编号表!$B:$B,MATCH(C66,编号表!$A:$A,0))*1000+INDEX(编号表!$D:$D,MATCH(D66,编号表!$C:$C,0))*100+E66</f>
        <v>1014403</v>
      </c>
      <c r="C66" s="8" t="s">
        <v>112</v>
      </c>
      <c r="D66" s="12" t="s">
        <v>46</v>
      </c>
      <c r="E66" s="12">
        <v>3</v>
      </c>
      <c r="F66" s="18" t="s">
        <v>114</v>
      </c>
      <c r="G66" s="17" t="s">
        <v>43</v>
      </c>
      <c r="H66" s="3">
        <v>60131068</v>
      </c>
      <c r="I66" s="12">
        <v>3</v>
      </c>
    </row>
    <row r="67" spans="2:9">
      <c r="B67" s="12">
        <f>1000000+INDEX(编号表!$B:$B,MATCH(C67,编号表!$A:$A,0))*1000+INDEX(编号表!$D:$D,MATCH(D67,编号表!$C:$C,0))*100+E67</f>
        <v>1014503</v>
      </c>
      <c r="C67" s="8" t="s">
        <v>112</v>
      </c>
      <c r="D67" s="12" t="s">
        <v>48</v>
      </c>
      <c r="E67" s="12">
        <v>3</v>
      </c>
      <c r="F67" s="18" t="s">
        <v>115</v>
      </c>
      <c r="G67" s="17" t="s">
        <v>43</v>
      </c>
      <c r="H67" s="3">
        <v>60131069</v>
      </c>
      <c r="I67" s="12">
        <v>3</v>
      </c>
    </row>
    <row r="68" spans="2:9">
      <c r="B68" s="12">
        <f>1000000+INDEX(编号表!$B:$B,MATCH(C68,编号表!$A:$A,0))*1000+INDEX(编号表!$D:$D,MATCH(D68,编号表!$C:$C,0))*100+E68</f>
        <v>1014103</v>
      </c>
      <c r="C68" s="8" t="s">
        <v>112</v>
      </c>
      <c r="D68" s="12" t="s">
        <v>63</v>
      </c>
      <c r="E68" s="12">
        <v>3</v>
      </c>
      <c r="F68" s="18" t="s">
        <v>115</v>
      </c>
      <c r="G68" s="17" t="s">
        <v>43</v>
      </c>
      <c r="H68" s="3">
        <v>60132070</v>
      </c>
      <c r="I68" s="12">
        <v>3</v>
      </c>
    </row>
    <row r="69" spans="2:9">
      <c r="B69" s="12">
        <f>1000000+INDEX(编号表!$B:$B,MATCH(C69,编号表!$A:$A,0))*1000+INDEX(编号表!$D:$D,MATCH(D69,编号表!$C:$C,0))*100+E69</f>
        <v>1014003</v>
      </c>
      <c r="C69" s="8" t="s">
        <v>112</v>
      </c>
      <c r="D69" s="12" t="s">
        <v>80</v>
      </c>
      <c r="E69" s="12">
        <v>3</v>
      </c>
      <c r="F69" s="18" t="s">
        <v>116</v>
      </c>
      <c r="G69" s="17" t="s">
        <v>82</v>
      </c>
      <c r="H69" s="3">
        <v>60134071</v>
      </c>
      <c r="I69" s="12">
        <v>3</v>
      </c>
    </row>
    <row r="70" spans="2:9">
      <c r="B70" s="12">
        <f>1000000+INDEX(编号表!$B:$B,MATCH(C70,编号表!$A:$A,0))*1000+INDEX(编号表!$D:$D,MATCH(D70,编号表!$C:$C,0))*100+E70</f>
        <v>1015303</v>
      </c>
      <c r="C70" s="8" t="s">
        <v>117</v>
      </c>
      <c r="D70" s="12" t="s">
        <v>44</v>
      </c>
      <c r="E70" s="12">
        <v>3</v>
      </c>
      <c r="F70" s="18" t="s">
        <v>118</v>
      </c>
      <c r="G70" s="17" t="s">
        <v>43</v>
      </c>
      <c r="H70" s="3">
        <v>60141072</v>
      </c>
      <c r="I70" s="12">
        <v>3</v>
      </c>
    </row>
    <row r="71" spans="2:9">
      <c r="B71" s="12">
        <f>1000000+INDEX(编号表!$B:$B,MATCH(C71,编号表!$A:$A,0))*1000+INDEX(编号表!$D:$D,MATCH(D71,编号表!$C:$C,0))*100+E71</f>
        <v>1015403</v>
      </c>
      <c r="C71" s="8" t="s">
        <v>117</v>
      </c>
      <c r="D71" s="12" t="s">
        <v>46</v>
      </c>
      <c r="E71" s="12">
        <v>3</v>
      </c>
      <c r="F71" s="18" t="s">
        <v>119</v>
      </c>
      <c r="G71" s="17" t="s">
        <v>43</v>
      </c>
      <c r="H71" s="3">
        <v>60141073</v>
      </c>
      <c r="I71" s="12">
        <v>3</v>
      </c>
    </row>
    <row r="72" spans="2:9">
      <c r="B72" s="12">
        <f>1000000+INDEX(编号表!$B:$B,MATCH(C72,编号表!$A:$A,0))*1000+INDEX(编号表!$D:$D,MATCH(D72,编号表!$C:$C,0))*100+E72</f>
        <v>1015503</v>
      </c>
      <c r="C72" s="8" t="s">
        <v>117</v>
      </c>
      <c r="D72" s="12" t="s">
        <v>48</v>
      </c>
      <c r="E72" s="12">
        <v>3</v>
      </c>
      <c r="F72" s="18" t="s">
        <v>49</v>
      </c>
      <c r="G72" s="17" t="s">
        <v>43</v>
      </c>
      <c r="H72" s="3">
        <v>60141074</v>
      </c>
      <c r="I72" s="12">
        <v>3</v>
      </c>
    </row>
    <row r="73" spans="2:9">
      <c r="B73" s="12">
        <f>1000000+INDEX(编号表!$B:$B,MATCH(C73,编号表!$A:$A,0))*1000+INDEX(编号表!$D:$D,MATCH(D73,编号表!$C:$C,0))*100+E73</f>
        <v>1016303</v>
      </c>
      <c r="C73" s="8" t="s">
        <v>120</v>
      </c>
      <c r="D73" s="12" t="s">
        <v>44</v>
      </c>
      <c r="E73" s="12">
        <v>3</v>
      </c>
      <c r="F73" s="18" t="s">
        <v>121</v>
      </c>
      <c r="G73" s="17" t="s">
        <v>43</v>
      </c>
      <c r="H73" s="3">
        <v>60151075</v>
      </c>
      <c r="I73" s="12">
        <v>3</v>
      </c>
    </row>
    <row r="74" spans="2:9">
      <c r="B74" s="12">
        <f>1000000+INDEX(编号表!$B:$B,MATCH(C74,编号表!$A:$A,0))*1000+INDEX(编号表!$D:$D,MATCH(D74,编号表!$C:$C,0))*100+E74</f>
        <v>1016403</v>
      </c>
      <c r="C74" s="8" t="s">
        <v>120</v>
      </c>
      <c r="D74" s="12" t="s">
        <v>46</v>
      </c>
      <c r="E74" s="12">
        <v>3</v>
      </c>
      <c r="F74" s="18" t="s">
        <v>122</v>
      </c>
      <c r="G74" s="17" t="s">
        <v>43</v>
      </c>
      <c r="H74" s="3">
        <v>60151076</v>
      </c>
      <c r="I74" s="12">
        <v>3</v>
      </c>
    </row>
    <row r="75" spans="2:9">
      <c r="B75" s="12">
        <f>1000000+INDEX(编号表!$B:$B,MATCH(C75,编号表!$A:$A,0))*1000+INDEX(编号表!$D:$D,MATCH(D75,编号表!$C:$C,0))*100+E75</f>
        <v>1017303</v>
      </c>
      <c r="C75" s="8" t="s">
        <v>123</v>
      </c>
      <c r="D75" s="12" t="s">
        <v>44</v>
      </c>
      <c r="E75" s="12">
        <v>3</v>
      </c>
      <c r="F75" s="18" t="s">
        <v>124</v>
      </c>
      <c r="G75" s="17" t="s">
        <v>43</v>
      </c>
      <c r="H75" s="3">
        <v>60161077</v>
      </c>
      <c r="I75" s="12">
        <v>3</v>
      </c>
    </row>
    <row r="76" spans="2:9">
      <c r="B76" s="12">
        <f>1000000+INDEX(编号表!$B:$B,MATCH(C76,编号表!$A:$A,0))*1000+INDEX(编号表!$D:$D,MATCH(D76,编号表!$C:$C,0))*100+E76</f>
        <v>1017403</v>
      </c>
      <c r="C76" s="8" t="s">
        <v>123</v>
      </c>
      <c r="D76" s="12" t="s">
        <v>46</v>
      </c>
      <c r="E76" s="12">
        <v>3</v>
      </c>
      <c r="F76" s="18" t="s">
        <v>125</v>
      </c>
      <c r="G76" s="17" t="s">
        <v>43</v>
      </c>
      <c r="H76" s="3">
        <v>60161078</v>
      </c>
      <c r="I76" s="12">
        <v>3</v>
      </c>
    </row>
    <row r="77" spans="2:9">
      <c r="B77" s="12">
        <f>1000000+INDEX(编号表!$B:$B,MATCH(C77,编号表!$A:$A,0))*1000+INDEX(编号表!$D:$D,MATCH(D77,编号表!$C:$C,0))*100+E77</f>
        <v>1017503</v>
      </c>
      <c r="C77" s="8" t="s">
        <v>123</v>
      </c>
      <c r="D77" s="12" t="s">
        <v>48</v>
      </c>
      <c r="E77" s="12">
        <v>3</v>
      </c>
      <c r="F77" s="18" t="s">
        <v>126</v>
      </c>
      <c r="G77" s="17" t="s">
        <v>43</v>
      </c>
      <c r="H77" s="3">
        <v>60161079</v>
      </c>
      <c r="I77" s="12">
        <v>3</v>
      </c>
    </row>
    <row r="78" spans="2:9">
      <c r="B78" s="12">
        <f>1000000+INDEX(编号表!$B:$B,MATCH(C78,编号表!$A:$A,0))*1000+INDEX(编号表!$D:$D,MATCH(D78,编号表!$C:$C,0))*100+E78</f>
        <v>1017103</v>
      </c>
      <c r="C78" s="8" t="s">
        <v>123</v>
      </c>
      <c r="D78" s="12" t="s">
        <v>63</v>
      </c>
      <c r="E78" s="12">
        <v>3</v>
      </c>
      <c r="F78" s="18" t="s">
        <v>127</v>
      </c>
      <c r="G78" s="17" t="s">
        <v>43</v>
      </c>
      <c r="H78" s="3">
        <v>60162080</v>
      </c>
      <c r="I78" s="12">
        <v>3</v>
      </c>
    </row>
    <row r="79" spans="2:9">
      <c r="B79" s="12">
        <f>1000000+INDEX(编号表!$B:$B,MATCH(C79,编号表!$A:$A,0))*1000+INDEX(编号表!$D:$D,MATCH(D79,编号表!$C:$C,0))*100+E79</f>
        <v>1017001</v>
      </c>
      <c r="C79" s="8" t="s">
        <v>123</v>
      </c>
      <c r="D79" s="12" t="s">
        <v>80</v>
      </c>
      <c r="E79" s="12">
        <v>1</v>
      </c>
      <c r="F79" s="18" t="s">
        <v>127</v>
      </c>
      <c r="G79" s="17" t="s">
        <v>82</v>
      </c>
      <c r="H79" s="3">
        <v>60164081</v>
      </c>
      <c r="I79" s="12">
        <v>1</v>
      </c>
    </row>
    <row r="80" spans="2:9">
      <c r="B80" s="12">
        <f>1000000+INDEX(编号表!$B:$B,MATCH(C80,编号表!$A:$A,0))*1000+INDEX(编号表!$D:$D,MATCH(D80,编号表!$C:$C,0))*100+E80</f>
        <v>1018303</v>
      </c>
      <c r="C80" s="8" t="s">
        <v>128</v>
      </c>
      <c r="D80" s="12" t="s">
        <v>44</v>
      </c>
      <c r="E80" s="12">
        <v>3</v>
      </c>
      <c r="F80" s="18" t="s">
        <v>129</v>
      </c>
      <c r="G80" s="17" t="s">
        <v>43</v>
      </c>
      <c r="H80" s="3">
        <v>60171082</v>
      </c>
      <c r="I80" s="12">
        <v>3</v>
      </c>
    </row>
    <row r="81" spans="2:9">
      <c r="B81" s="12">
        <f>1000000+INDEX(编号表!$B:$B,MATCH(C81,编号表!$A:$A,0))*1000+INDEX(编号表!$D:$D,MATCH(D81,编号表!$C:$C,0))*100+E81</f>
        <v>1018103</v>
      </c>
      <c r="C81" s="8" t="s">
        <v>128</v>
      </c>
      <c r="D81" s="12" t="s">
        <v>63</v>
      </c>
      <c r="E81" s="12">
        <v>3</v>
      </c>
      <c r="F81" s="18" t="s">
        <v>130</v>
      </c>
      <c r="G81" s="17" t="s">
        <v>43</v>
      </c>
      <c r="H81" s="3">
        <v>60172083</v>
      </c>
      <c r="I81" s="12">
        <v>3</v>
      </c>
    </row>
    <row r="82" spans="2:9">
      <c r="B82" s="12">
        <f>1000000+INDEX(编号表!$B:$B,MATCH(C82,编号表!$A:$A,0))*1000+INDEX(编号表!$D:$D,MATCH(D82,编号表!$C:$C,0))*100+E82</f>
        <v>1018403</v>
      </c>
      <c r="C82" s="8" t="s">
        <v>128</v>
      </c>
      <c r="D82" s="12" t="s">
        <v>46</v>
      </c>
      <c r="E82" s="12">
        <v>3</v>
      </c>
      <c r="F82" s="18" t="s">
        <v>131</v>
      </c>
      <c r="G82" s="17" t="s">
        <v>43</v>
      </c>
      <c r="H82" s="3">
        <v>60171084</v>
      </c>
      <c r="I82" s="12">
        <v>3</v>
      </c>
    </row>
    <row r="83" spans="2:9">
      <c r="B83" s="12">
        <f>1000000+INDEX(编号表!$B:$B,MATCH(C83,编号表!$A:$A,0))*1000+INDEX(编号表!$D:$D,MATCH(D83,编号表!$C:$C,0))*100+E83</f>
        <v>1018001</v>
      </c>
      <c r="C83" s="8" t="s">
        <v>128</v>
      </c>
      <c r="D83" s="12" t="s">
        <v>80</v>
      </c>
      <c r="E83" s="12">
        <v>1</v>
      </c>
      <c r="F83" s="18" t="s">
        <v>132</v>
      </c>
      <c r="G83" s="17" t="s">
        <v>82</v>
      </c>
      <c r="H83" s="3">
        <v>60174085</v>
      </c>
      <c r="I83" s="12">
        <v>1</v>
      </c>
    </row>
    <row r="84" spans="2:9">
      <c r="B84" s="12">
        <f>1000000+INDEX(编号表!$B:$B,MATCH(C84,编号表!$A:$A,0))*1000+INDEX(编号表!$D:$D,MATCH(D84,编号表!$C:$C,0))*100+E84</f>
        <v>1019303</v>
      </c>
      <c r="C84" s="8" t="s">
        <v>133</v>
      </c>
      <c r="D84" s="12" t="s">
        <v>44</v>
      </c>
      <c r="E84" s="12">
        <v>3</v>
      </c>
      <c r="F84" s="18" t="s">
        <v>134</v>
      </c>
      <c r="G84" s="17" t="s">
        <v>43</v>
      </c>
      <c r="H84" s="3">
        <v>60191086</v>
      </c>
      <c r="I84" s="12">
        <v>3</v>
      </c>
    </row>
    <row r="85" spans="2:9">
      <c r="B85" s="12">
        <f>1000000+INDEX(编号表!$B:$B,MATCH(C85,编号表!$A:$A,0))*1000+INDEX(编号表!$D:$D,MATCH(D85,编号表!$C:$C,0))*100+E85</f>
        <v>1019403</v>
      </c>
      <c r="C85" s="8" t="s">
        <v>133</v>
      </c>
      <c r="D85" s="12" t="s">
        <v>46</v>
      </c>
      <c r="E85" s="12">
        <v>3</v>
      </c>
      <c r="F85" s="18" t="s">
        <v>135</v>
      </c>
      <c r="G85" s="17" t="s">
        <v>43</v>
      </c>
      <c r="H85" s="12">
        <v>60191087</v>
      </c>
      <c r="I85" s="12">
        <v>3</v>
      </c>
    </row>
    <row r="86" spans="2:9">
      <c r="B86" s="12">
        <f>1000000+INDEX(编号表!$B:$B,MATCH(C86,编号表!$A:$A,0))*1000+INDEX(编号表!$D:$D,MATCH(D86,编号表!$C:$C,0))*100+E86</f>
        <v>1019503</v>
      </c>
      <c r="C86" s="8" t="s">
        <v>133</v>
      </c>
      <c r="D86" s="12" t="s">
        <v>48</v>
      </c>
      <c r="E86" s="12">
        <v>3</v>
      </c>
      <c r="F86" s="18" t="s">
        <v>136</v>
      </c>
      <c r="G86" s="17" t="s">
        <v>43</v>
      </c>
      <c r="H86" s="12">
        <v>60191088</v>
      </c>
      <c r="I86" s="12">
        <v>3</v>
      </c>
    </row>
    <row r="87" spans="2:9">
      <c r="B87" s="12">
        <f>1000000+INDEX(编号表!$B:$B,MATCH(C87,编号表!$A:$A,0))*1000+INDEX(编号表!$D:$D,MATCH(D87,编号表!$C:$C,0))*100+E87</f>
        <v>1019603</v>
      </c>
      <c r="C87" s="8" t="s">
        <v>133</v>
      </c>
      <c r="D87" s="12" t="s">
        <v>50</v>
      </c>
      <c r="E87" s="12">
        <v>3</v>
      </c>
      <c r="F87" s="18" t="s">
        <v>137</v>
      </c>
      <c r="G87" s="17" t="s">
        <v>43</v>
      </c>
      <c r="H87" s="12">
        <v>60191089</v>
      </c>
      <c r="I87" s="12">
        <v>3</v>
      </c>
    </row>
    <row r="88" spans="2:9">
      <c r="B88" s="12">
        <f>1000000+INDEX(编号表!$B:$B,MATCH(C88,编号表!$A:$A,0))*1000+INDEX(编号表!$D:$D,MATCH(D88,编号表!$C:$C,0))*100+E88</f>
        <v>1019103</v>
      </c>
      <c r="C88" s="8" t="s">
        <v>133</v>
      </c>
      <c r="D88" s="8" t="s">
        <v>63</v>
      </c>
      <c r="E88" s="12">
        <v>3</v>
      </c>
      <c r="F88" s="18" t="s">
        <v>137</v>
      </c>
      <c r="G88" s="17" t="s">
        <v>43</v>
      </c>
      <c r="H88" s="12">
        <v>60192090</v>
      </c>
      <c r="I88" s="12">
        <v>3</v>
      </c>
    </row>
    <row r="89" spans="2:9">
      <c r="B89" s="12">
        <f>1000000+INDEX(编号表!$B:$B,MATCH(C89,编号表!$A:$A,0))*1000+INDEX(编号表!$D:$D,MATCH(D89,编号表!$C:$C,0))*100+E89</f>
        <v>1020303</v>
      </c>
      <c r="C89" s="8" t="s">
        <v>138</v>
      </c>
      <c r="D89" s="12" t="s">
        <v>44</v>
      </c>
      <c r="E89" s="12">
        <v>3</v>
      </c>
      <c r="F89" s="18" t="s">
        <v>139</v>
      </c>
      <c r="G89" s="17" t="s">
        <v>43</v>
      </c>
      <c r="H89" s="12">
        <v>60201091</v>
      </c>
      <c r="I89" s="12">
        <v>3</v>
      </c>
    </row>
    <row r="90" spans="2:9">
      <c r="B90" s="12">
        <f>1000000+INDEX(编号表!$B:$B,MATCH(C90,编号表!$A:$A,0))*1000+INDEX(编号表!$D:$D,MATCH(D90,编号表!$C:$C,0))*100+E90</f>
        <v>1020403</v>
      </c>
      <c r="C90" s="8" t="s">
        <v>138</v>
      </c>
      <c r="D90" s="12" t="s">
        <v>46</v>
      </c>
      <c r="E90" s="12">
        <v>3</v>
      </c>
      <c r="F90" s="18" t="s">
        <v>140</v>
      </c>
      <c r="G90" s="17" t="s">
        <v>43</v>
      </c>
      <c r="H90" s="12">
        <v>60201092</v>
      </c>
      <c r="I90" s="12">
        <v>3</v>
      </c>
    </row>
    <row r="91" spans="2:9">
      <c r="B91" s="12">
        <f>1000000+INDEX(编号表!$B:$B,MATCH(C91,编号表!$A:$A,0))*1000+INDEX(编号表!$D:$D,MATCH(D91,编号表!$C:$C,0))*100+E91</f>
        <v>1020503</v>
      </c>
      <c r="C91" s="8" t="s">
        <v>138</v>
      </c>
      <c r="D91" s="12" t="s">
        <v>48</v>
      </c>
      <c r="E91" s="12">
        <v>3</v>
      </c>
      <c r="F91" s="18" t="s">
        <v>141</v>
      </c>
      <c r="G91" s="17" t="s">
        <v>43</v>
      </c>
      <c r="H91" s="12">
        <v>60201093</v>
      </c>
      <c r="I91" s="12">
        <v>3</v>
      </c>
    </row>
    <row r="92" spans="2:9">
      <c r="B92" s="12">
        <f>1000000+INDEX(编号表!$B:$B,MATCH(C92,编号表!$A:$A,0))*1000+INDEX(编号表!$D:$D,MATCH(D92,编号表!$C:$C,0))*100+E92</f>
        <v>1020103</v>
      </c>
      <c r="C92" s="8" t="s">
        <v>138</v>
      </c>
      <c r="D92" s="8" t="s">
        <v>63</v>
      </c>
      <c r="E92" s="12">
        <v>3</v>
      </c>
      <c r="F92" s="18" t="s">
        <v>141</v>
      </c>
      <c r="G92" s="17" t="s">
        <v>43</v>
      </c>
      <c r="H92" s="12">
        <v>60202094</v>
      </c>
      <c r="I92" s="12">
        <v>3</v>
      </c>
    </row>
    <row r="93" spans="2:9">
      <c r="B93" s="12">
        <f>1000000+INDEX(编号表!$B:$B,MATCH(C93,编号表!$A:$A,0))*1000+INDEX(编号表!$D:$D,MATCH(D93,编号表!$C:$C,0))*100+E93</f>
        <v>1020001</v>
      </c>
      <c r="C93" s="8" t="s">
        <v>138</v>
      </c>
      <c r="D93" s="12" t="s">
        <v>80</v>
      </c>
      <c r="E93" s="12">
        <v>1</v>
      </c>
      <c r="F93" s="18" t="s">
        <v>142</v>
      </c>
      <c r="G93" s="17" t="s">
        <v>82</v>
      </c>
      <c r="H93" s="12">
        <v>60204095</v>
      </c>
      <c r="I93" s="12">
        <v>1</v>
      </c>
    </row>
    <row r="94" spans="2:9">
      <c r="B94" s="12">
        <f>1000000+INDEX(编号表!$B:$B,MATCH(C94,编号表!$A:$A,0))*1000+INDEX(编号表!$D:$D,MATCH(D94,编号表!$C:$C,0))*100+E94</f>
        <v>1021303</v>
      </c>
      <c r="C94" s="8" t="s">
        <v>143</v>
      </c>
      <c r="D94" s="12" t="s">
        <v>44</v>
      </c>
      <c r="E94" s="12">
        <v>3</v>
      </c>
      <c r="F94" s="18" t="s">
        <v>144</v>
      </c>
      <c r="G94" s="17" t="s">
        <v>43</v>
      </c>
      <c r="H94" s="12">
        <v>60211096</v>
      </c>
      <c r="I94" s="12">
        <v>3</v>
      </c>
    </row>
    <row r="95" spans="2:9">
      <c r="B95" s="12">
        <f>1000000+INDEX(编号表!$B:$B,MATCH(C95,编号表!$A:$A,0))*1000+INDEX(编号表!$D:$D,MATCH(D95,编号表!$C:$C,0))*100+E95</f>
        <v>1021403</v>
      </c>
      <c r="C95" s="8" t="s">
        <v>143</v>
      </c>
      <c r="D95" s="12" t="s">
        <v>46</v>
      </c>
      <c r="E95" s="12">
        <v>3</v>
      </c>
      <c r="F95" s="18" t="s">
        <v>145</v>
      </c>
      <c r="G95" s="17" t="s">
        <v>43</v>
      </c>
      <c r="H95" s="12">
        <v>60211097</v>
      </c>
      <c r="I95" s="12">
        <v>3</v>
      </c>
    </row>
    <row r="96" spans="2:9">
      <c r="B96" s="12">
        <f>1000000+INDEX(编号表!$B:$B,MATCH(C96,编号表!$A:$A,0))*1000+INDEX(编号表!$D:$D,MATCH(D96,编号表!$C:$C,0))*100+E96</f>
        <v>1021103</v>
      </c>
      <c r="C96" s="8" t="s">
        <v>143</v>
      </c>
      <c r="D96" s="8" t="s">
        <v>63</v>
      </c>
      <c r="E96" s="12">
        <v>3</v>
      </c>
      <c r="F96" s="18" t="s">
        <v>145</v>
      </c>
      <c r="G96" s="17" t="s">
        <v>43</v>
      </c>
      <c r="H96" s="12">
        <v>60212098</v>
      </c>
      <c r="I96" s="12">
        <v>3</v>
      </c>
    </row>
    <row r="97" spans="2:9">
      <c r="B97" s="12">
        <f>1000000+INDEX(编号表!$B:$B,MATCH(C97,编号表!$A:$A,0))*1000+INDEX(编号表!$D:$D,MATCH(D97,编号表!$C:$C,0))*100+E97</f>
        <v>1021001</v>
      </c>
      <c r="C97" s="8" t="s">
        <v>143</v>
      </c>
      <c r="D97" s="12" t="s">
        <v>80</v>
      </c>
      <c r="E97" s="12">
        <v>1</v>
      </c>
      <c r="F97" s="18" t="s">
        <v>146</v>
      </c>
      <c r="G97" s="17" t="s">
        <v>82</v>
      </c>
      <c r="H97" s="12">
        <v>60214099</v>
      </c>
      <c r="I97" s="12">
        <v>1</v>
      </c>
    </row>
    <row r="98" spans="2:9">
      <c r="B98" s="12">
        <f>1000000+INDEX(编号表!$B:$B,MATCH(C98,编号表!$A:$A,0))*1000+INDEX(编号表!$D:$D,MATCH(D98,编号表!$C:$C,0))*100+E98</f>
        <v>1022304</v>
      </c>
      <c r="C98" s="8" t="s">
        <v>147</v>
      </c>
      <c r="D98" s="12" t="s">
        <v>44</v>
      </c>
      <c r="E98" s="12">
        <v>4</v>
      </c>
      <c r="F98" s="18" t="s">
        <v>148</v>
      </c>
      <c r="G98" s="17" t="s">
        <v>43</v>
      </c>
      <c r="H98" s="12">
        <v>60221100</v>
      </c>
      <c r="I98" s="12">
        <v>4</v>
      </c>
    </row>
    <row r="99" spans="2:9">
      <c r="B99" s="12">
        <f>1000000+INDEX(编号表!$B:$B,MATCH(C99,编号表!$A:$A,0))*1000+INDEX(编号表!$D:$D,MATCH(D99,编号表!$C:$C,0))*100+E99</f>
        <v>1022404</v>
      </c>
      <c r="C99" s="8" t="s">
        <v>147</v>
      </c>
      <c r="D99" s="12" t="s">
        <v>46</v>
      </c>
      <c r="E99" s="12">
        <v>4</v>
      </c>
      <c r="F99" s="18" t="s">
        <v>149</v>
      </c>
      <c r="G99" s="17" t="s">
        <v>43</v>
      </c>
      <c r="H99" s="12">
        <v>60221101</v>
      </c>
      <c r="I99" s="12">
        <v>4</v>
      </c>
    </row>
    <row r="100" spans="2:9">
      <c r="B100" s="12">
        <f>1000000+INDEX(编号表!$B:$B,MATCH(C100,编号表!$A:$A,0))*1000+INDEX(编号表!$D:$D,MATCH(D100,编号表!$C:$C,0))*100+E100</f>
        <v>1023304</v>
      </c>
      <c r="C100" s="8" t="s">
        <v>150</v>
      </c>
      <c r="D100" s="12" t="s">
        <v>44</v>
      </c>
      <c r="E100" s="12">
        <v>4</v>
      </c>
      <c r="F100" s="18" t="s">
        <v>151</v>
      </c>
      <c r="G100" s="17" t="s">
        <v>43</v>
      </c>
      <c r="H100" s="12">
        <v>60231102</v>
      </c>
      <c r="I100" s="12">
        <v>4</v>
      </c>
    </row>
    <row r="101" spans="2:9">
      <c r="B101" s="12">
        <f>1000000+INDEX(编号表!$B:$B,MATCH(C101,编号表!$A:$A,0))*1000+INDEX(编号表!$D:$D,MATCH(D101,编号表!$C:$C,0))*100+E101</f>
        <v>1023404</v>
      </c>
      <c r="C101" s="8" t="s">
        <v>150</v>
      </c>
      <c r="D101" s="12" t="s">
        <v>46</v>
      </c>
      <c r="E101" s="12">
        <v>4</v>
      </c>
      <c r="F101" s="18" t="s">
        <v>152</v>
      </c>
      <c r="G101" s="17" t="s">
        <v>43</v>
      </c>
      <c r="H101" s="12">
        <v>60231103</v>
      </c>
      <c r="I101" s="12">
        <v>4</v>
      </c>
    </row>
    <row r="102" spans="2:9">
      <c r="B102" s="12">
        <f>1000000+INDEX(编号表!$B:$B,MATCH(C102,编号表!$A:$A,0))*1000+INDEX(编号表!$D:$D,MATCH(D102,编号表!$C:$C,0))*100+E102</f>
        <v>1024303</v>
      </c>
      <c r="C102" s="8" t="s">
        <v>153</v>
      </c>
      <c r="D102" s="12" t="s">
        <v>44</v>
      </c>
      <c r="E102" s="12">
        <v>3</v>
      </c>
      <c r="F102" s="18" t="s">
        <v>154</v>
      </c>
      <c r="G102" s="17" t="s">
        <v>43</v>
      </c>
      <c r="H102" s="12">
        <v>60241104</v>
      </c>
      <c r="I102" s="12">
        <v>3</v>
      </c>
    </row>
    <row r="103" spans="2:9">
      <c r="B103" s="12">
        <f>1000000+INDEX(编号表!$B:$B,MATCH(C103,编号表!$A:$A,0))*1000+INDEX(编号表!$D:$D,MATCH(D103,编号表!$C:$C,0))*100+E103</f>
        <v>1024403</v>
      </c>
      <c r="C103" s="8" t="s">
        <v>153</v>
      </c>
      <c r="D103" s="12" t="s">
        <v>46</v>
      </c>
      <c r="E103" s="12">
        <v>3</v>
      </c>
      <c r="F103" s="18" t="s">
        <v>155</v>
      </c>
      <c r="G103" s="17" t="s">
        <v>43</v>
      </c>
      <c r="H103" s="12">
        <v>60241105</v>
      </c>
      <c r="I103" s="12">
        <v>3</v>
      </c>
    </row>
    <row r="104" spans="2:9">
      <c r="B104" s="12">
        <f>1000000+INDEX(编号表!$B:$B,MATCH(C104,编号表!$A:$A,0))*1000+INDEX(编号表!$D:$D,MATCH(D104,编号表!$C:$C,0))*100+E104</f>
        <v>1024503</v>
      </c>
      <c r="C104" s="8" t="s">
        <v>153</v>
      </c>
      <c r="D104" s="12" t="s">
        <v>48</v>
      </c>
      <c r="E104" s="12">
        <v>3</v>
      </c>
      <c r="F104" s="18" t="s">
        <v>156</v>
      </c>
      <c r="G104" s="17" t="s">
        <v>43</v>
      </c>
      <c r="H104" s="12">
        <v>60241106</v>
      </c>
      <c r="I104" s="12">
        <v>3</v>
      </c>
    </row>
    <row r="105" spans="2:9">
      <c r="B105" s="12">
        <f>1000000+INDEX(编号表!$B:$B,MATCH(C105,编号表!$A:$A,0))*1000+INDEX(编号表!$D:$D,MATCH(D105,编号表!$C:$C,0))*100+E105</f>
        <v>1024103</v>
      </c>
      <c r="C105" s="8" t="s">
        <v>153</v>
      </c>
      <c r="D105" s="8" t="s">
        <v>63</v>
      </c>
      <c r="E105" s="12">
        <v>3</v>
      </c>
      <c r="F105" s="18" t="s">
        <v>154</v>
      </c>
      <c r="G105" s="17" t="s">
        <v>43</v>
      </c>
      <c r="H105" s="12">
        <v>60242107</v>
      </c>
      <c r="I105" s="12">
        <v>3</v>
      </c>
    </row>
    <row r="106" spans="2:9">
      <c r="B106" s="12">
        <f>1000000+INDEX(编号表!$B:$B,MATCH(C106,编号表!$A:$A,0))*1000+INDEX(编号表!$D:$D,MATCH(D106,编号表!$C:$C,0))*100+E106</f>
        <v>1025303</v>
      </c>
      <c r="C106" s="8" t="s">
        <v>157</v>
      </c>
      <c r="D106" s="12" t="s">
        <v>44</v>
      </c>
      <c r="E106" s="12">
        <v>3</v>
      </c>
      <c r="F106" s="18" t="s">
        <v>158</v>
      </c>
      <c r="G106" s="17" t="s">
        <v>43</v>
      </c>
      <c r="H106" s="12">
        <v>60251108</v>
      </c>
      <c r="I106" s="12">
        <v>3</v>
      </c>
    </row>
    <row r="107" spans="2:9">
      <c r="B107" s="12">
        <f>1000000+INDEX(编号表!$B:$B,MATCH(C107,编号表!$A:$A,0))*1000+INDEX(编号表!$D:$D,MATCH(D107,编号表!$C:$C,0))*100+E107</f>
        <v>1025403</v>
      </c>
      <c r="C107" s="8" t="s">
        <v>157</v>
      </c>
      <c r="D107" s="12" t="s">
        <v>46</v>
      </c>
      <c r="E107" s="12">
        <v>3</v>
      </c>
      <c r="F107" s="18" t="s">
        <v>159</v>
      </c>
      <c r="G107" s="17" t="s">
        <v>43</v>
      </c>
      <c r="H107" s="12">
        <v>60251109</v>
      </c>
      <c r="I107" s="12">
        <v>3</v>
      </c>
    </row>
    <row r="108" spans="2:9">
      <c r="B108" s="12">
        <f>1000000+INDEX(编号表!$B:$B,MATCH(C108,编号表!$A:$A,0))*1000+INDEX(编号表!$D:$D,MATCH(D108,编号表!$C:$C,0))*100+E108</f>
        <v>1025103</v>
      </c>
      <c r="C108" s="8" t="s">
        <v>157</v>
      </c>
      <c r="D108" s="8" t="s">
        <v>63</v>
      </c>
      <c r="E108" s="12">
        <v>3</v>
      </c>
      <c r="F108" s="18" t="s">
        <v>159</v>
      </c>
      <c r="G108" s="17" t="s">
        <v>43</v>
      </c>
      <c r="H108" s="12">
        <v>60252110</v>
      </c>
      <c r="I108" s="12">
        <v>3</v>
      </c>
    </row>
    <row r="109" spans="2:9">
      <c r="B109" s="12">
        <f>1000000+INDEX(编号表!$B:$B,MATCH(C109,编号表!$A:$A,0))*1000+INDEX(编号表!$D:$D,MATCH(D109,编号表!$C:$C,0))*100+E109</f>
        <v>1025001</v>
      </c>
      <c r="C109" s="8" t="s">
        <v>157</v>
      </c>
      <c r="D109" s="12" t="s">
        <v>80</v>
      </c>
      <c r="E109" s="12">
        <v>1</v>
      </c>
      <c r="F109" s="18" t="s">
        <v>160</v>
      </c>
      <c r="G109" s="17" t="s">
        <v>82</v>
      </c>
      <c r="H109" s="12">
        <v>60254111</v>
      </c>
      <c r="I109" s="12">
        <v>1</v>
      </c>
    </row>
    <row r="110" spans="2:9">
      <c r="B110" s="12">
        <f>1000000+INDEX(编号表!$B:$B,MATCH(C110,编号表!$A:$A,0))*1000+INDEX(编号表!$D:$D,MATCH(D110,编号表!$C:$C,0))*100+E110</f>
        <v>1026303</v>
      </c>
      <c r="C110" s="8" t="s">
        <v>161</v>
      </c>
      <c r="D110" s="12" t="s">
        <v>44</v>
      </c>
      <c r="E110" s="12">
        <v>3</v>
      </c>
      <c r="F110" s="18" t="s">
        <v>162</v>
      </c>
      <c r="G110" s="17" t="s">
        <v>43</v>
      </c>
      <c r="H110" s="12">
        <v>60261112</v>
      </c>
      <c r="I110" s="12">
        <v>3</v>
      </c>
    </row>
    <row r="111" spans="2:9">
      <c r="B111" s="12">
        <f>1000000+INDEX(编号表!$B:$B,MATCH(C111,编号表!$A:$A,0))*1000+INDEX(编号表!$D:$D,MATCH(D111,编号表!$C:$C,0))*100+E111</f>
        <v>1026403</v>
      </c>
      <c r="C111" s="8" t="s">
        <v>161</v>
      </c>
      <c r="D111" s="12" t="s">
        <v>46</v>
      </c>
      <c r="E111" s="12">
        <v>3</v>
      </c>
      <c r="F111" s="18" t="s">
        <v>163</v>
      </c>
      <c r="G111" s="17" t="s">
        <v>43</v>
      </c>
      <c r="H111" s="12">
        <v>60261113</v>
      </c>
      <c r="I111" s="12">
        <v>3</v>
      </c>
    </row>
    <row r="112" spans="2:9">
      <c r="B112" s="12">
        <f>1000000+INDEX(编号表!$B:$B,MATCH(C112,编号表!$A:$A,0))*1000+INDEX(编号表!$D:$D,MATCH(D112,编号表!$C:$C,0))*100+E112</f>
        <v>1026503</v>
      </c>
      <c r="C112" s="8" t="s">
        <v>161</v>
      </c>
      <c r="D112" s="12" t="s">
        <v>48</v>
      </c>
      <c r="E112" s="12">
        <v>3</v>
      </c>
      <c r="F112" s="18" t="s">
        <v>162</v>
      </c>
      <c r="G112" s="17" t="s">
        <v>43</v>
      </c>
      <c r="H112" s="12">
        <v>60261114</v>
      </c>
      <c r="I112" s="12">
        <v>3</v>
      </c>
    </row>
    <row r="113" spans="2:9">
      <c r="B113" s="12">
        <f>1000000+INDEX(编号表!$B:$B,MATCH(C113,编号表!$A:$A,0))*1000+INDEX(编号表!$D:$D,MATCH(D113,编号表!$C:$C,0))*100+E113</f>
        <v>1026001</v>
      </c>
      <c r="C113" s="8" t="s">
        <v>161</v>
      </c>
      <c r="D113" s="12" t="s">
        <v>80</v>
      </c>
      <c r="E113" s="12">
        <v>1</v>
      </c>
      <c r="F113" s="18" t="s">
        <v>164</v>
      </c>
      <c r="G113" s="17" t="s">
        <v>82</v>
      </c>
      <c r="H113" s="12">
        <v>60264115</v>
      </c>
      <c r="I113" s="12">
        <v>1</v>
      </c>
    </row>
    <row r="114" spans="2:9">
      <c r="B114" s="12">
        <f>1000000+INDEX(编号表!$B:$B,MATCH(C114,编号表!$A:$A,0))*1000+INDEX(编号表!$D:$D,MATCH(D114,编号表!$C:$C,0))*100+E114</f>
        <v>1042304</v>
      </c>
      <c r="C114" s="8" t="s">
        <v>165</v>
      </c>
      <c r="D114" s="12" t="s">
        <v>44</v>
      </c>
      <c r="E114" s="12">
        <v>4</v>
      </c>
      <c r="F114" s="18" t="s">
        <v>166</v>
      </c>
      <c r="G114" s="17" t="s">
        <v>43</v>
      </c>
      <c r="H114" s="12">
        <v>60421116</v>
      </c>
      <c r="I114" s="12">
        <v>4</v>
      </c>
    </row>
    <row r="115" spans="2:9">
      <c r="B115" s="12">
        <f>1000000+INDEX(编号表!$B:$B,MATCH(C115,编号表!$A:$A,0))*1000+INDEX(编号表!$D:$D,MATCH(D115,编号表!$C:$C,0))*100+E115</f>
        <v>1042404</v>
      </c>
      <c r="C115" s="8" t="s">
        <v>165</v>
      </c>
      <c r="D115" s="12" t="s">
        <v>46</v>
      </c>
      <c r="E115" s="12">
        <v>4</v>
      </c>
      <c r="F115" s="18" t="s">
        <v>167</v>
      </c>
      <c r="G115" s="17" t="s">
        <v>43</v>
      </c>
      <c r="H115" s="12">
        <v>60421117</v>
      </c>
      <c r="I115" s="12">
        <v>4</v>
      </c>
    </row>
    <row r="116" spans="2:9">
      <c r="B116" s="12">
        <f>1000000+INDEX(编号表!$B:$B,MATCH(C116,编号表!$A:$A,0))*1000+INDEX(编号表!$D:$D,MATCH(D116,编号表!$C:$C,0))*100+E116</f>
        <v>1042504</v>
      </c>
      <c r="C116" s="8" t="s">
        <v>165</v>
      </c>
      <c r="D116" s="12" t="s">
        <v>48</v>
      </c>
      <c r="E116" s="12">
        <v>4</v>
      </c>
      <c r="F116" s="18" t="s">
        <v>168</v>
      </c>
      <c r="G116" s="17" t="s">
        <v>43</v>
      </c>
      <c r="H116" s="12">
        <v>60421118</v>
      </c>
      <c r="I116" s="12">
        <v>4</v>
      </c>
    </row>
    <row r="117" spans="2:9">
      <c r="B117" s="12">
        <f>1000000+INDEX(编号表!$B:$B,MATCH(C117,编号表!$A:$A,0))*1000+INDEX(编号表!$D:$D,MATCH(D117,编号表!$C:$C,0))*100+E117</f>
        <v>1042101</v>
      </c>
      <c r="C117" s="8" t="s">
        <v>165</v>
      </c>
      <c r="D117" s="12" t="s">
        <v>63</v>
      </c>
      <c r="E117" s="12">
        <v>1</v>
      </c>
      <c r="F117" s="18" t="s">
        <v>169</v>
      </c>
      <c r="G117" s="17" t="s">
        <v>43</v>
      </c>
      <c r="H117" s="12">
        <v>60422119</v>
      </c>
      <c r="I117" s="12">
        <v>1</v>
      </c>
    </row>
    <row r="118" spans="2:9">
      <c r="B118" s="12">
        <f>1000000+INDEX(编号表!$B:$B,MATCH(C118,编号表!$A:$A,0))*1000+INDEX(编号表!$D:$D,MATCH(D118,编号表!$C:$C,0))*100+E118</f>
        <v>1043304</v>
      </c>
      <c r="C118" s="8" t="s">
        <v>170</v>
      </c>
      <c r="D118" s="12" t="s">
        <v>44</v>
      </c>
      <c r="E118" s="12">
        <v>4</v>
      </c>
      <c r="F118" s="18" t="s">
        <v>171</v>
      </c>
      <c r="G118" s="17" t="s">
        <v>43</v>
      </c>
      <c r="H118" s="12">
        <v>60431120</v>
      </c>
      <c r="I118" s="12">
        <v>4</v>
      </c>
    </row>
    <row r="119" spans="2:9">
      <c r="B119" s="12">
        <f>1000000+INDEX(编号表!$B:$B,MATCH(C119,编号表!$A:$A,0))*1000+INDEX(编号表!$D:$D,MATCH(D119,编号表!$C:$C,0))*100+E119</f>
        <v>1043404</v>
      </c>
      <c r="C119" s="8" t="s">
        <v>170</v>
      </c>
      <c r="D119" s="12" t="s">
        <v>46</v>
      </c>
      <c r="E119" s="12">
        <v>4</v>
      </c>
      <c r="F119" s="18" t="s">
        <v>172</v>
      </c>
      <c r="G119" s="17" t="s">
        <v>43</v>
      </c>
      <c r="H119" s="12">
        <v>60431121</v>
      </c>
      <c r="I119" s="12">
        <v>4</v>
      </c>
    </row>
    <row r="120" spans="2:9">
      <c r="B120" s="12">
        <f>1000000+INDEX(编号表!$B:$B,MATCH(C120,编号表!$A:$A,0))*1000+INDEX(编号表!$D:$D,MATCH(D120,编号表!$C:$C,0))*100+E120</f>
        <v>1043103</v>
      </c>
      <c r="C120" s="8" t="s">
        <v>170</v>
      </c>
      <c r="D120" s="12" t="s">
        <v>63</v>
      </c>
      <c r="E120" s="12">
        <v>3</v>
      </c>
      <c r="F120" s="18" t="s">
        <v>173</v>
      </c>
      <c r="G120" s="17" t="s">
        <v>43</v>
      </c>
      <c r="H120" s="12">
        <v>60432122</v>
      </c>
      <c r="I120" s="12">
        <v>3</v>
      </c>
    </row>
    <row r="121" spans="2:9">
      <c r="B121" s="12">
        <f>1000000+INDEX(编号表!$B:$B,MATCH(C121,编号表!$A:$A,0))*1000+INDEX(编号表!$D:$D,MATCH(D121,编号表!$C:$C,0))*100+E121</f>
        <v>1043001</v>
      </c>
      <c r="C121" s="8" t="s">
        <v>170</v>
      </c>
      <c r="D121" s="12" t="s">
        <v>80</v>
      </c>
      <c r="E121" s="12">
        <v>1</v>
      </c>
      <c r="F121" s="18" t="s">
        <v>174</v>
      </c>
      <c r="G121" s="17" t="s">
        <v>82</v>
      </c>
      <c r="H121" s="12">
        <v>60434123</v>
      </c>
      <c r="I121" s="12">
        <v>1</v>
      </c>
    </row>
    <row r="122" spans="2:9">
      <c r="B122" s="12">
        <f>1000000+INDEX(编号表!$B:$B,MATCH(C122,编号表!$A:$A,0))*1000+INDEX(编号表!$D:$D,MATCH(D122,编号表!$C:$C,0))*100+E122</f>
        <v>1044304</v>
      </c>
      <c r="C122" s="8" t="s">
        <v>175</v>
      </c>
      <c r="D122" s="12" t="s">
        <v>44</v>
      </c>
      <c r="E122" s="12">
        <v>4</v>
      </c>
      <c r="F122" s="18" t="s">
        <v>176</v>
      </c>
      <c r="G122" s="17" t="s">
        <v>43</v>
      </c>
      <c r="H122" s="12">
        <v>60441124</v>
      </c>
      <c r="I122" s="12">
        <v>4</v>
      </c>
    </row>
    <row r="123" spans="2:9">
      <c r="B123" s="12">
        <f>1000000+INDEX(编号表!$B:$B,MATCH(C123,编号表!$A:$A,0))*1000+INDEX(编号表!$D:$D,MATCH(D123,编号表!$C:$C,0))*100+E123</f>
        <v>1044404</v>
      </c>
      <c r="C123" s="8" t="s">
        <v>175</v>
      </c>
      <c r="D123" s="12" t="s">
        <v>46</v>
      </c>
      <c r="E123" s="12">
        <v>4</v>
      </c>
      <c r="F123" s="18" t="s">
        <v>177</v>
      </c>
      <c r="G123" s="17" t="s">
        <v>43</v>
      </c>
      <c r="H123" s="12">
        <v>60441125</v>
      </c>
      <c r="I123" s="12">
        <v>4</v>
      </c>
    </row>
    <row r="124" spans="2:9">
      <c r="B124" s="12">
        <f>1000000+INDEX(编号表!$B:$B,MATCH(C124,编号表!$A:$A,0))*1000+INDEX(编号表!$D:$D,MATCH(D124,编号表!$C:$C,0))*100+E124</f>
        <v>1044103</v>
      </c>
      <c r="C124" s="8" t="s">
        <v>175</v>
      </c>
      <c r="D124" s="12" t="s">
        <v>63</v>
      </c>
      <c r="E124" s="12">
        <v>3</v>
      </c>
      <c r="F124" s="18" t="s">
        <v>178</v>
      </c>
      <c r="G124" s="17" t="s">
        <v>43</v>
      </c>
      <c r="H124" s="12">
        <v>60442126</v>
      </c>
      <c r="I124" s="12">
        <v>3</v>
      </c>
    </row>
    <row r="125" spans="2:9">
      <c r="B125" s="12">
        <f>1000000+INDEX(编号表!$B:$B,MATCH(C125,编号表!$A:$A,0))*1000+INDEX(编号表!$D:$D,MATCH(D125,编号表!$C:$C,0))*100+E125</f>
        <v>1044001</v>
      </c>
      <c r="C125" s="8" t="s">
        <v>175</v>
      </c>
      <c r="D125" s="12" t="s">
        <v>80</v>
      </c>
      <c r="E125" s="12">
        <v>1</v>
      </c>
      <c r="F125" s="18" t="s">
        <v>179</v>
      </c>
      <c r="G125" s="17" t="s">
        <v>82</v>
      </c>
      <c r="H125" s="12">
        <v>60444127</v>
      </c>
      <c r="I125" s="12">
        <v>1</v>
      </c>
    </row>
    <row r="126" spans="2:9">
      <c r="B126" s="12">
        <f>1000000+INDEX(编号表!$B:$B,MATCH(C126,编号表!$A:$A,0))*1000+INDEX(编号表!$D:$D,MATCH(D126,编号表!$C:$C,0))*100+E126</f>
        <v>1045304</v>
      </c>
      <c r="C126" s="8" t="s">
        <v>180</v>
      </c>
      <c r="D126" s="12" t="s">
        <v>44</v>
      </c>
      <c r="E126" s="12">
        <v>4</v>
      </c>
      <c r="F126" s="18" t="s">
        <v>181</v>
      </c>
      <c r="G126" s="17" t="s">
        <v>43</v>
      </c>
      <c r="H126" s="12">
        <v>60451128</v>
      </c>
      <c r="I126" s="12">
        <v>4</v>
      </c>
    </row>
    <row r="127" spans="2:9">
      <c r="B127" s="12">
        <f>1000000+INDEX(编号表!$B:$B,MATCH(C127,编号表!$A:$A,0))*1000+INDEX(编号表!$D:$D,MATCH(D127,编号表!$C:$C,0))*100+E127</f>
        <v>1046304</v>
      </c>
      <c r="C127" s="8" t="s">
        <v>182</v>
      </c>
      <c r="D127" s="12" t="s">
        <v>44</v>
      </c>
      <c r="E127" s="12">
        <v>4</v>
      </c>
      <c r="F127" s="18" t="s">
        <v>183</v>
      </c>
      <c r="G127" s="17" t="s">
        <v>43</v>
      </c>
      <c r="H127" s="12">
        <v>60461129</v>
      </c>
      <c r="I127" s="12">
        <v>4</v>
      </c>
    </row>
    <row r="128" spans="2:9">
      <c r="B128" s="12">
        <f>1000000+INDEX(编号表!$B:$B,MATCH(C128,编号表!$A:$A,0))*1000+INDEX(编号表!$D:$D,MATCH(D128,编号表!$C:$C,0))*100+E128</f>
        <v>1047304</v>
      </c>
      <c r="C128" s="8" t="s">
        <v>184</v>
      </c>
      <c r="D128" s="12" t="s">
        <v>44</v>
      </c>
      <c r="E128" s="12">
        <v>4</v>
      </c>
      <c r="F128" s="18" t="s">
        <v>185</v>
      </c>
      <c r="G128" s="17" t="s">
        <v>43</v>
      </c>
      <c r="H128" s="12">
        <v>60471130</v>
      </c>
      <c r="I128" s="12">
        <v>4</v>
      </c>
    </row>
    <row r="129" spans="2:9">
      <c r="B129" s="12">
        <f>1000000+INDEX(编号表!$B:$B,MATCH(C129,编号表!$A:$A,0))*1000+INDEX(编号表!$D:$D,MATCH(D129,编号表!$C:$C,0))*100+E129</f>
        <v>1047404</v>
      </c>
      <c r="C129" s="8" t="s">
        <v>184</v>
      </c>
      <c r="D129" s="12" t="s">
        <v>46</v>
      </c>
      <c r="E129" s="12">
        <v>4</v>
      </c>
      <c r="F129" s="18" t="s">
        <v>186</v>
      </c>
      <c r="G129" s="17" t="s">
        <v>43</v>
      </c>
      <c r="H129" s="12">
        <v>60471131</v>
      </c>
      <c r="I129" s="12">
        <v>4</v>
      </c>
    </row>
    <row r="130" spans="2:9">
      <c r="B130" s="12">
        <f>1000000+INDEX(编号表!$B:$B,MATCH(C130,编号表!$A:$A,0))*1000+INDEX(编号表!$D:$D,MATCH(D130,编号表!$C:$C,0))*100+E130</f>
        <v>1047504</v>
      </c>
      <c r="C130" s="8" t="s">
        <v>184</v>
      </c>
      <c r="D130" s="12" t="s">
        <v>48</v>
      </c>
      <c r="E130" s="12">
        <v>4</v>
      </c>
      <c r="F130" s="18" t="s">
        <v>187</v>
      </c>
      <c r="G130" s="17" t="s">
        <v>43</v>
      </c>
      <c r="H130" s="12">
        <v>60471132</v>
      </c>
      <c r="I130" s="12">
        <v>4</v>
      </c>
    </row>
    <row r="131" spans="2:9">
      <c r="B131" s="12">
        <f>1000000+INDEX(编号表!$B:$B,MATCH(C131,编号表!$A:$A,0))*1000+INDEX(编号表!$D:$D,MATCH(D131,编号表!$C:$C,0))*100+E131</f>
        <v>1048304</v>
      </c>
      <c r="C131" s="8" t="s">
        <v>188</v>
      </c>
      <c r="D131" s="12" t="s">
        <v>44</v>
      </c>
      <c r="E131" s="12">
        <v>4</v>
      </c>
      <c r="F131" s="18" t="s">
        <v>189</v>
      </c>
      <c r="G131" s="17" t="s">
        <v>43</v>
      </c>
      <c r="H131" s="12">
        <v>60481133</v>
      </c>
      <c r="I131" s="12">
        <v>4</v>
      </c>
    </row>
    <row r="132" spans="2:9">
      <c r="B132" s="12">
        <f>1000000+INDEX(编号表!$B:$B,MATCH(C132,编号表!$A:$A,0))*1000+INDEX(编号表!$D:$D,MATCH(D132,编号表!$C:$C,0))*100+E132</f>
        <v>1048103</v>
      </c>
      <c r="C132" s="8" t="s">
        <v>188</v>
      </c>
      <c r="D132" s="12" t="s">
        <v>63</v>
      </c>
      <c r="E132" s="12">
        <v>3</v>
      </c>
      <c r="F132" s="18" t="s">
        <v>190</v>
      </c>
      <c r="G132" s="17" t="s">
        <v>43</v>
      </c>
      <c r="H132" s="12">
        <v>60482134</v>
      </c>
      <c r="I132" s="12">
        <v>3</v>
      </c>
    </row>
    <row r="133" spans="2:9">
      <c r="B133" s="12">
        <f>1000000+INDEX(编号表!$B:$B,MATCH(C133,编号表!$A:$A,0))*1000+INDEX(编号表!$D:$D,MATCH(D133,编号表!$C:$C,0))*100+E133</f>
        <v>1048001</v>
      </c>
      <c r="C133" s="8" t="s">
        <v>188</v>
      </c>
      <c r="D133" s="12" t="s">
        <v>80</v>
      </c>
      <c r="E133" s="12">
        <v>1</v>
      </c>
      <c r="F133" s="18" t="s">
        <v>191</v>
      </c>
      <c r="G133" s="17" t="s">
        <v>82</v>
      </c>
      <c r="H133" s="12">
        <v>60484135</v>
      </c>
      <c r="I133" s="12">
        <v>1</v>
      </c>
    </row>
    <row r="134" spans="2:9">
      <c r="B134" s="12">
        <f>1000000+INDEX(编号表!$B:$B,MATCH(C134,编号表!$A:$A,0))*1000+INDEX(编号表!$D:$D,MATCH(D134,编号表!$C:$C,0))*100+E134</f>
        <v>1049304</v>
      </c>
      <c r="C134" s="8" t="s">
        <v>192</v>
      </c>
      <c r="D134" s="12" t="s">
        <v>44</v>
      </c>
      <c r="E134" s="12">
        <v>4</v>
      </c>
      <c r="F134" s="18" t="s">
        <v>193</v>
      </c>
      <c r="G134" s="17" t="s">
        <v>43</v>
      </c>
      <c r="H134" s="12">
        <v>60491136</v>
      </c>
      <c r="I134" s="12">
        <v>4</v>
      </c>
    </row>
    <row r="135" spans="2:9">
      <c r="B135" s="12">
        <f>1000000+INDEX(编号表!$B:$B,MATCH(C135,编号表!$A:$A,0))*1000+INDEX(编号表!$D:$D,MATCH(D135,编号表!$C:$C,0))*100+E135</f>
        <v>1049404</v>
      </c>
      <c r="C135" s="8" t="s">
        <v>192</v>
      </c>
      <c r="D135" s="12" t="s">
        <v>46</v>
      </c>
      <c r="E135" s="12">
        <v>4</v>
      </c>
      <c r="F135" s="18" t="s">
        <v>194</v>
      </c>
      <c r="G135" s="17" t="s">
        <v>43</v>
      </c>
      <c r="H135" s="12">
        <v>60491137</v>
      </c>
      <c r="I135" s="12">
        <v>4</v>
      </c>
    </row>
    <row r="136" spans="2:9">
      <c r="B136" s="12">
        <f>1000000+INDEX(编号表!$B:$B,MATCH(C136,编号表!$A:$A,0))*1000+INDEX(编号表!$D:$D,MATCH(D136,编号表!$C:$C,0))*100+E136</f>
        <v>1049001</v>
      </c>
      <c r="C136" s="8" t="s">
        <v>192</v>
      </c>
      <c r="D136" s="12" t="s">
        <v>80</v>
      </c>
      <c r="E136" s="12">
        <v>1</v>
      </c>
      <c r="F136" s="18" t="s">
        <v>195</v>
      </c>
      <c r="G136" s="17" t="s">
        <v>43</v>
      </c>
      <c r="H136" s="12">
        <v>60491138</v>
      </c>
      <c r="I136" s="12">
        <v>1</v>
      </c>
    </row>
    <row r="137" spans="2:9">
      <c r="B137" s="12">
        <f>1000000+INDEX(编号表!$B:$B,MATCH(C137,编号表!$A:$A,0))*1000+INDEX(编号表!$D:$D,MATCH(D137,编号表!$C:$C,0))*100+E137</f>
        <v>1051304</v>
      </c>
      <c r="C137" s="8" t="s">
        <v>196</v>
      </c>
      <c r="D137" s="12" t="s">
        <v>44</v>
      </c>
      <c r="E137" s="12">
        <v>4</v>
      </c>
      <c r="F137" s="18" t="s">
        <v>197</v>
      </c>
      <c r="G137" s="17" t="s">
        <v>43</v>
      </c>
      <c r="H137" s="12">
        <v>60511139</v>
      </c>
      <c r="I137" s="12">
        <v>4</v>
      </c>
    </row>
    <row r="138" spans="2:9">
      <c r="B138" s="12">
        <f>1000000+INDEX(编号表!$B:$B,MATCH(C138,编号表!$A:$A,0))*1000+INDEX(编号表!$D:$D,MATCH(D138,编号表!$C:$C,0))*100+E138</f>
        <v>1051404</v>
      </c>
      <c r="C138" s="8" t="s">
        <v>196</v>
      </c>
      <c r="D138" s="12" t="s">
        <v>46</v>
      </c>
      <c r="E138" s="12">
        <v>4</v>
      </c>
      <c r="F138" s="18" t="s">
        <v>198</v>
      </c>
      <c r="G138" s="17" t="s">
        <v>43</v>
      </c>
      <c r="H138" s="12">
        <v>60511140</v>
      </c>
      <c r="I138" s="12">
        <v>4</v>
      </c>
    </row>
    <row r="139" spans="2:9">
      <c r="B139" s="12">
        <f>1000000+INDEX(编号表!$B:$B,MATCH(C139,编号表!$A:$A,0))*1000+INDEX(编号表!$D:$D,MATCH(D139,编号表!$C:$C,0))*100+E139</f>
        <v>1051103</v>
      </c>
      <c r="C139" s="8" t="s">
        <v>196</v>
      </c>
      <c r="D139" s="12" t="s">
        <v>63</v>
      </c>
      <c r="E139" s="12">
        <v>3</v>
      </c>
      <c r="F139" s="18" t="s">
        <v>199</v>
      </c>
      <c r="G139" s="17" t="s">
        <v>43</v>
      </c>
      <c r="H139" s="12">
        <v>60512141</v>
      </c>
      <c r="I139" s="12">
        <v>3</v>
      </c>
    </row>
    <row r="140" spans="2:9">
      <c r="B140" s="12">
        <f>1000000+INDEX(编号表!$B:$B,MATCH(C140,编号表!$A:$A,0))*1000+INDEX(编号表!$D:$D,MATCH(D140,编号表!$C:$C,0))*100+E140</f>
        <v>1052304</v>
      </c>
      <c r="C140" s="8" t="s">
        <v>200</v>
      </c>
      <c r="D140" s="12" t="s">
        <v>44</v>
      </c>
      <c r="E140" s="12">
        <v>4</v>
      </c>
      <c r="F140" s="18" t="s">
        <v>201</v>
      </c>
      <c r="G140" s="17" t="s">
        <v>43</v>
      </c>
      <c r="H140" s="12">
        <v>60521142</v>
      </c>
      <c r="I140" s="12">
        <v>4</v>
      </c>
    </row>
    <row r="141" spans="2:9">
      <c r="B141" s="12">
        <f>1000000+INDEX(编号表!$B:$B,MATCH(C141,编号表!$A:$A,0))*1000+INDEX(编号表!$D:$D,MATCH(D141,编号表!$C:$C,0))*100+E141</f>
        <v>1052103</v>
      </c>
      <c r="C141" s="8" t="s">
        <v>200</v>
      </c>
      <c r="D141" s="12" t="s">
        <v>63</v>
      </c>
      <c r="E141" s="12">
        <v>3</v>
      </c>
      <c r="F141" s="18" t="s">
        <v>202</v>
      </c>
      <c r="G141" s="17" t="s">
        <v>43</v>
      </c>
      <c r="H141" s="12">
        <v>60522143</v>
      </c>
      <c r="I141" s="12">
        <v>3</v>
      </c>
    </row>
    <row r="142" spans="2:9">
      <c r="B142" s="12">
        <f>1000000+INDEX(编号表!$B:$B,MATCH(C142,编号表!$A:$A,0))*1000+INDEX(编号表!$D:$D,MATCH(D142,编号表!$C:$C,0))*100+E142</f>
        <v>1052001</v>
      </c>
      <c r="C142" s="8" t="s">
        <v>200</v>
      </c>
      <c r="D142" s="12" t="s">
        <v>80</v>
      </c>
      <c r="E142" s="12">
        <v>1</v>
      </c>
      <c r="F142" s="18" t="s">
        <v>203</v>
      </c>
      <c r="G142" s="17" t="s">
        <v>82</v>
      </c>
      <c r="H142" s="12">
        <v>60524144</v>
      </c>
      <c r="I142" s="12">
        <v>1</v>
      </c>
    </row>
    <row r="143" spans="2:9">
      <c r="B143" s="12">
        <f>1000000+INDEX(编号表!$B:$B,MATCH(C143,编号表!$A:$A,0))*1000+INDEX(编号表!$D:$D,MATCH(D143,编号表!$C:$C,0))*100+E143</f>
        <v>1053304</v>
      </c>
      <c r="C143" s="8" t="s">
        <v>204</v>
      </c>
      <c r="D143" s="12" t="s">
        <v>44</v>
      </c>
      <c r="E143" s="12">
        <v>4</v>
      </c>
      <c r="F143" s="18" t="s">
        <v>205</v>
      </c>
      <c r="G143" s="17" t="s">
        <v>43</v>
      </c>
      <c r="H143" s="12">
        <v>60531145</v>
      </c>
      <c r="I143" s="12">
        <v>4</v>
      </c>
    </row>
    <row r="144" spans="2:9">
      <c r="B144" s="12">
        <f>1000000+INDEX(编号表!$B:$B,MATCH(C144,编号表!$A:$A,0))*1000+INDEX(编号表!$D:$D,MATCH(D144,编号表!$C:$C,0))*100+E144</f>
        <v>1053404</v>
      </c>
      <c r="C144" s="8" t="s">
        <v>204</v>
      </c>
      <c r="D144" s="12" t="s">
        <v>46</v>
      </c>
      <c r="E144" s="12">
        <v>4</v>
      </c>
      <c r="F144" s="18" t="s">
        <v>206</v>
      </c>
      <c r="G144" s="17" t="s">
        <v>43</v>
      </c>
      <c r="H144" s="12">
        <v>60531146</v>
      </c>
      <c r="I144" s="12">
        <v>4</v>
      </c>
    </row>
    <row r="145" spans="2:9">
      <c r="B145" s="12">
        <f>1000000+INDEX(编号表!$B:$B,MATCH(C145,编号表!$A:$A,0))*1000+INDEX(编号表!$D:$D,MATCH(D145,编号表!$C:$C,0))*100+E145</f>
        <v>1053103</v>
      </c>
      <c r="C145" s="8" t="s">
        <v>204</v>
      </c>
      <c r="D145" s="12" t="s">
        <v>63</v>
      </c>
      <c r="E145" s="12">
        <v>3</v>
      </c>
      <c r="F145" s="18" t="s">
        <v>207</v>
      </c>
      <c r="G145" s="17" t="s">
        <v>43</v>
      </c>
      <c r="H145" s="12">
        <v>60532147</v>
      </c>
      <c r="I145" s="12">
        <v>3</v>
      </c>
    </row>
    <row r="146" spans="2:9">
      <c r="B146" s="12">
        <f>1000000+INDEX(编号表!$B:$B,MATCH(C146,编号表!$A:$A,0))*1000+INDEX(编号表!$D:$D,MATCH(D146,编号表!$C:$C,0))*100+E146</f>
        <v>1053001</v>
      </c>
      <c r="C146" s="8" t="s">
        <v>204</v>
      </c>
      <c r="D146" s="12" t="s">
        <v>80</v>
      </c>
      <c r="E146" s="12">
        <v>1</v>
      </c>
      <c r="F146" s="18" t="s">
        <v>208</v>
      </c>
      <c r="G146" s="17" t="s">
        <v>82</v>
      </c>
      <c r="H146" s="12">
        <v>60534148</v>
      </c>
      <c r="I146" s="12">
        <v>1</v>
      </c>
    </row>
    <row r="147" spans="2:9">
      <c r="B147" s="12">
        <f>1000000+INDEX(编号表!$B:$B,MATCH(C147,编号表!$A:$A,0))*1000+INDEX(编号表!$D:$D,MATCH(D147,编号表!$C:$C,0))*100+E147</f>
        <v>1054304</v>
      </c>
      <c r="C147" s="8" t="s">
        <v>209</v>
      </c>
      <c r="D147" s="12" t="s">
        <v>44</v>
      </c>
      <c r="E147" s="12">
        <v>4</v>
      </c>
      <c r="F147" s="18" t="s">
        <v>210</v>
      </c>
      <c r="G147" s="17" t="s">
        <v>43</v>
      </c>
      <c r="H147" s="12">
        <v>60541149</v>
      </c>
      <c r="I147" s="12">
        <v>4</v>
      </c>
    </row>
    <row r="148" spans="2:9">
      <c r="B148" s="12">
        <f>1000000+INDEX(编号表!$B:$B,MATCH(C148,编号表!$A:$A,0))*1000+INDEX(编号表!$D:$D,MATCH(D148,编号表!$C:$C,0))*100+E148</f>
        <v>1055304</v>
      </c>
      <c r="C148" s="8" t="s">
        <v>211</v>
      </c>
      <c r="D148" s="12" t="s">
        <v>44</v>
      </c>
      <c r="E148" s="12">
        <v>4</v>
      </c>
      <c r="F148" s="18" t="s">
        <v>212</v>
      </c>
      <c r="G148" s="17" t="s">
        <v>43</v>
      </c>
      <c r="H148" s="12">
        <v>60551150</v>
      </c>
      <c r="I148" s="12">
        <v>4</v>
      </c>
    </row>
    <row r="149" spans="2:9">
      <c r="B149" s="12">
        <f>1000000+INDEX(编号表!$B:$B,MATCH(C149,编号表!$A:$A,0))*1000+INDEX(编号表!$D:$D,MATCH(D149,编号表!$C:$C,0))*100+E149</f>
        <v>1056304</v>
      </c>
      <c r="C149" s="8" t="s">
        <v>213</v>
      </c>
      <c r="D149" s="12" t="s">
        <v>44</v>
      </c>
      <c r="E149" s="12">
        <v>4</v>
      </c>
      <c r="F149" s="18" t="s">
        <v>214</v>
      </c>
      <c r="G149" s="17" t="s">
        <v>43</v>
      </c>
      <c r="H149" s="12">
        <v>60561151</v>
      </c>
      <c r="I149" s="12">
        <v>4</v>
      </c>
    </row>
    <row r="150" spans="2:9">
      <c r="B150" s="12">
        <f>1000000+INDEX(编号表!$B:$B,MATCH(C150,编号表!$A:$A,0))*1000+INDEX(编号表!$D:$D,MATCH(D150,编号表!$C:$C,0))*100+E150</f>
        <v>1056404</v>
      </c>
      <c r="C150" s="8" t="s">
        <v>213</v>
      </c>
      <c r="D150" s="12" t="s">
        <v>46</v>
      </c>
      <c r="E150" s="12">
        <v>4</v>
      </c>
      <c r="F150" s="18" t="s">
        <v>215</v>
      </c>
      <c r="G150" s="17" t="s">
        <v>43</v>
      </c>
      <c r="H150" s="12">
        <v>60561152</v>
      </c>
      <c r="I150" s="12">
        <v>4</v>
      </c>
    </row>
    <row r="151" spans="2:9">
      <c r="B151" s="12">
        <f>1000000+INDEX(编号表!$B:$B,MATCH(C151,编号表!$A:$A,0))*1000+INDEX(编号表!$D:$D,MATCH(D151,编号表!$C:$C,0))*100+E151</f>
        <v>1056103</v>
      </c>
      <c r="C151" s="8" t="s">
        <v>213</v>
      </c>
      <c r="D151" s="12" t="s">
        <v>63</v>
      </c>
      <c r="E151" s="12">
        <v>3</v>
      </c>
      <c r="F151" s="18" t="s">
        <v>216</v>
      </c>
      <c r="G151" s="17" t="s">
        <v>43</v>
      </c>
      <c r="H151" s="12">
        <v>60562153</v>
      </c>
      <c r="I151" s="12">
        <v>3</v>
      </c>
    </row>
    <row r="152" spans="2:9">
      <c r="B152" s="12">
        <f>1000000+INDEX(编号表!$B:$B,MATCH(C152,编号表!$A:$A,0))*1000+INDEX(编号表!$D:$D,MATCH(D152,编号表!$C:$C,0))*100+E152</f>
        <v>1056001</v>
      </c>
      <c r="C152" s="8" t="s">
        <v>213</v>
      </c>
      <c r="D152" s="12" t="s">
        <v>80</v>
      </c>
      <c r="E152" s="12">
        <v>1</v>
      </c>
      <c r="F152" s="18" t="s">
        <v>217</v>
      </c>
      <c r="G152" s="17" t="s">
        <v>82</v>
      </c>
      <c r="H152" s="12">
        <v>60564154</v>
      </c>
      <c r="I152" s="12">
        <v>1</v>
      </c>
    </row>
    <row r="153" spans="2:9">
      <c r="B153" s="12">
        <f>1000000+INDEX(编号表!$B:$B,MATCH(C153,编号表!$A:$A,0))*1000+INDEX(编号表!$D:$D,MATCH(D153,编号表!$C:$C,0))*100+E153</f>
        <v>1057304</v>
      </c>
      <c r="C153" s="8" t="s">
        <v>218</v>
      </c>
      <c r="D153" s="12" t="s">
        <v>44</v>
      </c>
      <c r="E153" s="12">
        <v>4</v>
      </c>
      <c r="F153" s="18" t="s">
        <v>219</v>
      </c>
      <c r="G153" s="17" t="s">
        <v>43</v>
      </c>
      <c r="H153" s="12">
        <v>60571155</v>
      </c>
      <c r="I153" s="12">
        <v>4</v>
      </c>
    </row>
    <row r="154" spans="2:9">
      <c r="B154" s="12">
        <f>1000000+INDEX(编号表!$B:$B,MATCH(C154,编号表!$A:$A,0))*1000+INDEX(编号表!$D:$D,MATCH(D154,编号表!$C:$C,0))*100+E154</f>
        <v>1057404</v>
      </c>
      <c r="C154" s="8" t="s">
        <v>218</v>
      </c>
      <c r="D154" s="12" t="s">
        <v>46</v>
      </c>
      <c r="E154" s="12">
        <v>4</v>
      </c>
      <c r="F154" s="18" t="s">
        <v>220</v>
      </c>
      <c r="G154" s="17" t="s">
        <v>43</v>
      </c>
      <c r="H154" s="12">
        <v>60571156</v>
      </c>
      <c r="I154" s="12">
        <v>4</v>
      </c>
    </row>
    <row r="155" spans="2:9">
      <c r="B155" s="12">
        <f>1000000+INDEX(编号表!$B:$B,MATCH(C155,编号表!$A:$A,0))*1000+INDEX(编号表!$D:$D,MATCH(D155,编号表!$C:$C,0))*100+E155</f>
        <v>1057103</v>
      </c>
      <c r="C155" s="8" t="s">
        <v>218</v>
      </c>
      <c r="D155" s="12" t="s">
        <v>63</v>
      </c>
      <c r="E155" s="12">
        <v>3</v>
      </c>
      <c r="F155" s="18" t="s">
        <v>221</v>
      </c>
      <c r="G155" s="17" t="s">
        <v>43</v>
      </c>
      <c r="H155" s="12">
        <v>60572157</v>
      </c>
      <c r="I155" s="12">
        <v>3</v>
      </c>
    </row>
    <row r="156" spans="2:9">
      <c r="B156" s="12">
        <f>1000000+INDEX(编号表!$B:$B,MATCH(C156,编号表!$A:$A,0))*1000+INDEX(编号表!$D:$D,MATCH(D156,编号表!$C:$C,0))*100+E156</f>
        <v>1057001</v>
      </c>
      <c r="C156" s="8" t="s">
        <v>218</v>
      </c>
      <c r="D156" s="12" t="s">
        <v>80</v>
      </c>
      <c r="E156" s="12">
        <v>1</v>
      </c>
      <c r="F156" s="18" t="s">
        <v>222</v>
      </c>
      <c r="G156" s="17" t="s">
        <v>82</v>
      </c>
      <c r="H156" s="12">
        <v>60574158</v>
      </c>
      <c r="I156" s="12">
        <v>1</v>
      </c>
    </row>
    <row r="157" spans="2:9">
      <c r="B157" s="12">
        <f>1000000+INDEX(编号表!$B:$B,MATCH(C157,编号表!$A:$A,0))*1000+INDEX(编号表!$D:$D,MATCH(D157,编号表!$C:$C,0))*100+E157</f>
        <v>1058304</v>
      </c>
      <c r="C157" s="8" t="s">
        <v>223</v>
      </c>
      <c r="D157" s="12" t="s">
        <v>44</v>
      </c>
      <c r="E157" s="12">
        <v>4</v>
      </c>
      <c r="F157" s="18" t="s">
        <v>224</v>
      </c>
      <c r="G157" s="17" t="s">
        <v>43</v>
      </c>
      <c r="H157" s="12">
        <v>60581159</v>
      </c>
      <c r="I157" s="12">
        <v>4</v>
      </c>
    </row>
    <row r="158" spans="2:9">
      <c r="B158" s="12">
        <f>1000000+INDEX(编号表!$B:$B,MATCH(C158,编号表!$A:$A,0))*1000+INDEX(编号表!$D:$D,MATCH(D158,编号表!$C:$C,0))*100+E158</f>
        <v>1058102</v>
      </c>
      <c r="C158" s="8" t="s">
        <v>223</v>
      </c>
      <c r="D158" s="12" t="s">
        <v>63</v>
      </c>
      <c r="E158" s="12">
        <v>2</v>
      </c>
      <c r="F158" s="18" t="s">
        <v>225</v>
      </c>
      <c r="G158" s="17" t="s">
        <v>43</v>
      </c>
      <c r="H158" s="12">
        <v>60582160</v>
      </c>
      <c r="I158" s="12">
        <v>2</v>
      </c>
    </row>
    <row r="159" spans="2:9">
      <c r="B159" s="12">
        <f>1000000+INDEX(编号表!$B:$B,MATCH(C159,编号表!$A:$A,0))*1000+INDEX(编号表!$D:$D,MATCH(D159,编号表!$C:$C,0))*100+E159</f>
        <v>1058001</v>
      </c>
      <c r="C159" s="8" t="s">
        <v>223</v>
      </c>
      <c r="D159" s="12" t="s">
        <v>80</v>
      </c>
      <c r="E159" s="12">
        <v>1</v>
      </c>
      <c r="F159" s="18" t="s">
        <v>226</v>
      </c>
      <c r="G159" s="17" t="s">
        <v>82</v>
      </c>
      <c r="H159" s="12">
        <v>60584161</v>
      </c>
      <c r="I159" s="12">
        <v>1</v>
      </c>
    </row>
    <row r="160" spans="2:9">
      <c r="B160" s="12">
        <f>1000000+INDEX(编号表!$B:$B,MATCH(C160,编号表!$A:$A,0))*1000+INDEX(编号表!$D:$D,MATCH(D160,编号表!$C:$C,0))*100+E160</f>
        <v>1059103</v>
      </c>
      <c r="C160" s="8" t="s">
        <v>227</v>
      </c>
      <c r="D160" s="12" t="s">
        <v>63</v>
      </c>
      <c r="E160" s="12">
        <v>3</v>
      </c>
      <c r="F160" s="18" t="s">
        <v>228</v>
      </c>
      <c r="G160" s="17" t="s">
        <v>43</v>
      </c>
      <c r="H160" s="12">
        <v>60592164</v>
      </c>
      <c r="I160" s="12">
        <v>3</v>
      </c>
    </row>
    <row r="161" spans="2:9">
      <c r="B161" s="12">
        <f>1000000+INDEX(编号表!$B:$B,MATCH(C161,编号表!$A:$A,0))*1000+INDEX(编号表!$D:$D,MATCH(D161,编号表!$C:$C,0))*100+E161</f>
        <v>1059304</v>
      </c>
      <c r="C161" s="8" t="s">
        <v>227</v>
      </c>
      <c r="D161" s="12" t="s">
        <v>44</v>
      </c>
      <c r="E161" s="12">
        <v>4</v>
      </c>
      <c r="F161" s="18" t="s">
        <v>229</v>
      </c>
      <c r="G161" s="17" t="s">
        <v>43</v>
      </c>
      <c r="H161" s="12">
        <v>60591162</v>
      </c>
      <c r="I161" s="12">
        <v>4</v>
      </c>
    </row>
    <row r="162" spans="2:9">
      <c r="B162" s="12">
        <f>1000000+INDEX(编号表!$B:$B,MATCH(C162,编号表!$A:$A,0))*1000+INDEX(编号表!$D:$D,MATCH(D162,编号表!$C:$C,0))*100+E162</f>
        <v>1059404</v>
      </c>
      <c r="C162" s="8" t="s">
        <v>227</v>
      </c>
      <c r="D162" s="12" t="s">
        <v>46</v>
      </c>
      <c r="E162" s="12">
        <v>4</v>
      </c>
      <c r="F162" s="18" t="s">
        <v>229</v>
      </c>
      <c r="G162" s="17" t="s">
        <v>43</v>
      </c>
      <c r="H162" s="12">
        <v>60591163</v>
      </c>
      <c r="I162" s="12">
        <v>4</v>
      </c>
    </row>
    <row r="163" spans="2:9">
      <c r="B163" s="12">
        <f>1000000+INDEX(编号表!$B:$B,MATCH(C163,编号表!$A:$A,0))*1000+INDEX(编号表!$D:$D,MATCH(D163,编号表!$C:$C,0))*100+E163</f>
        <v>1059503</v>
      </c>
      <c r="C163" s="8" t="s">
        <v>227</v>
      </c>
      <c r="D163" s="12" t="s">
        <v>48</v>
      </c>
      <c r="E163" s="12">
        <v>3</v>
      </c>
      <c r="F163" s="18" t="s">
        <v>228</v>
      </c>
      <c r="G163" s="17" t="s">
        <v>43</v>
      </c>
      <c r="H163" s="12">
        <v>60591165</v>
      </c>
      <c r="I163" s="12">
        <v>3</v>
      </c>
    </row>
    <row r="164" spans="2:9">
      <c r="B164" s="12">
        <f>1000000+INDEX(编号表!$B:$B,MATCH(C164,编号表!$A:$A,0))*1000+INDEX(编号表!$D:$D,MATCH(D164,编号表!$C:$C,0))*100+E164</f>
        <v>1059604</v>
      </c>
      <c r="C164" s="8" t="s">
        <v>227</v>
      </c>
      <c r="D164" s="12" t="s">
        <v>50</v>
      </c>
      <c r="E164" s="12">
        <v>4</v>
      </c>
      <c r="F164" s="18" t="s">
        <v>230</v>
      </c>
      <c r="G164" s="17" t="s">
        <v>43</v>
      </c>
      <c r="H164" s="12">
        <v>60591166</v>
      </c>
      <c r="I164" s="12">
        <v>4</v>
      </c>
    </row>
    <row r="165" spans="2:9">
      <c r="B165" s="12">
        <f>1000000+INDEX(编号表!$B:$B,MATCH(C165,编号表!$A:$A,0))*1000+INDEX(编号表!$D:$D,MATCH(D165,编号表!$C:$C,0))*100+E165</f>
        <v>1060103</v>
      </c>
      <c r="C165" s="8" t="s">
        <v>231</v>
      </c>
      <c r="D165" s="12" t="s">
        <v>63</v>
      </c>
      <c r="E165" s="12">
        <v>3</v>
      </c>
      <c r="F165" s="18" t="s">
        <v>232</v>
      </c>
      <c r="G165" s="17" t="s">
        <v>43</v>
      </c>
      <c r="H165" s="12">
        <v>60602169</v>
      </c>
      <c r="I165" s="12">
        <v>3</v>
      </c>
    </row>
    <row r="166" spans="2:9">
      <c r="B166" s="12">
        <f>1000000+INDEX(编号表!$B:$B,MATCH(C166,编号表!$A:$A,0))*1000+INDEX(编号表!$D:$D,MATCH(D166,编号表!$C:$C,0))*100+E166</f>
        <v>1060304</v>
      </c>
      <c r="C166" s="8" t="s">
        <v>231</v>
      </c>
      <c r="D166" s="12" t="s">
        <v>44</v>
      </c>
      <c r="E166" s="12">
        <v>4</v>
      </c>
      <c r="F166" s="18" t="s">
        <v>233</v>
      </c>
      <c r="G166" s="17" t="s">
        <v>43</v>
      </c>
      <c r="H166" s="12">
        <v>60601167</v>
      </c>
      <c r="I166" s="12">
        <v>4</v>
      </c>
    </row>
    <row r="167" spans="2:9">
      <c r="B167" s="12">
        <f>1000000+INDEX(编号表!$B:$B,MATCH(C167,编号表!$A:$A,0))*1000+INDEX(编号表!$D:$D,MATCH(D167,编号表!$C:$C,0))*100+E167</f>
        <v>1060404</v>
      </c>
      <c r="C167" s="8" t="s">
        <v>231</v>
      </c>
      <c r="D167" s="12" t="s">
        <v>46</v>
      </c>
      <c r="E167" s="12">
        <v>4</v>
      </c>
      <c r="F167" s="18" t="s">
        <v>234</v>
      </c>
      <c r="G167" s="17" t="s">
        <v>43</v>
      </c>
      <c r="H167" s="12">
        <v>60601168</v>
      </c>
      <c r="I167" s="12">
        <v>4</v>
      </c>
    </row>
    <row r="168" spans="2:9">
      <c r="B168" s="12">
        <f>1000000+INDEX(编号表!$B:$B,MATCH(C168,编号表!$A:$A,0))*1000+INDEX(编号表!$D:$D,MATCH(D168,编号表!$C:$C,0))*100+E168</f>
        <v>1060504</v>
      </c>
      <c r="C168" s="8" t="s">
        <v>231</v>
      </c>
      <c r="D168" s="12" t="s">
        <v>48</v>
      </c>
      <c r="E168" s="12">
        <v>4</v>
      </c>
      <c r="F168" s="18" t="s">
        <v>232</v>
      </c>
      <c r="G168" s="17" t="s">
        <v>43</v>
      </c>
      <c r="H168" s="12">
        <v>60601170</v>
      </c>
      <c r="I168" s="12">
        <v>4</v>
      </c>
    </row>
    <row r="169" spans="2:9">
      <c r="B169" s="12">
        <f>1000000+INDEX(编号表!$B:$B,MATCH(C169,编号表!$A:$A,0))*1000+INDEX(编号表!$D:$D,MATCH(D169,编号表!$C:$C,0))*100+E169</f>
        <v>1061103</v>
      </c>
      <c r="C169" s="8" t="s">
        <v>235</v>
      </c>
      <c r="D169" s="12" t="s">
        <v>63</v>
      </c>
      <c r="E169" s="12">
        <v>3</v>
      </c>
      <c r="F169" s="18" t="s">
        <v>236</v>
      </c>
      <c r="G169" s="17" t="s">
        <v>43</v>
      </c>
      <c r="H169" s="12">
        <v>60612173</v>
      </c>
      <c r="I169" s="12">
        <v>3</v>
      </c>
    </row>
    <row r="170" spans="2:9">
      <c r="B170" s="12">
        <f>1000000+INDEX(编号表!$B:$B,MATCH(C170,编号表!$A:$A,0))*1000+INDEX(编号表!$D:$D,MATCH(D170,编号表!$C:$C,0))*100+E170</f>
        <v>1061001</v>
      </c>
      <c r="C170" s="8" t="s">
        <v>235</v>
      </c>
      <c r="D170" s="12" t="s">
        <v>80</v>
      </c>
      <c r="E170" s="12">
        <v>1</v>
      </c>
      <c r="F170" s="18" t="s">
        <v>237</v>
      </c>
      <c r="G170" s="17" t="s">
        <v>43</v>
      </c>
      <c r="H170" s="12">
        <v>60611171</v>
      </c>
      <c r="I170" s="12">
        <v>1</v>
      </c>
    </row>
    <row r="171" spans="2:9">
      <c r="B171" s="12">
        <f>1000000+INDEX(编号表!$B:$B,MATCH(C171,编号表!$A:$A,0))*1000+INDEX(编号表!$D:$D,MATCH(D171,编号表!$C:$C,0))*100+E171</f>
        <v>1061404</v>
      </c>
      <c r="C171" s="8" t="s">
        <v>235</v>
      </c>
      <c r="D171" s="12" t="s">
        <v>46</v>
      </c>
      <c r="E171" s="12">
        <v>4</v>
      </c>
      <c r="F171" s="18" t="s">
        <v>238</v>
      </c>
      <c r="G171" s="17" t="s">
        <v>43</v>
      </c>
      <c r="H171" s="12">
        <v>60611172</v>
      </c>
      <c r="I171" s="12">
        <v>4</v>
      </c>
    </row>
    <row r="172" spans="2:9">
      <c r="B172" s="12">
        <f>1000000+INDEX(编号表!$B:$B,MATCH(C172,编号表!$A:$A,0))*1000+INDEX(编号表!$D:$D,MATCH(D172,编号表!$C:$C,0))*100+E172</f>
        <v>1061504</v>
      </c>
      <c r="C172" s="8" t="s">
        <v>235</v>
      </c>
      <c r="D172" s="12" t="s">
        <v>48</v>
      </c>
      <c r="E172" s="12">
        <v>4</v>
      </c>
      <c r="F172" s="18" t="s">
        <v>236</v>
      </c>
      <c r="G172" s="17" t="s">
        <v>43</v>
      </c>
      <c r="H172" s="12">
        <v>60611174</v>
      </c>
      <c r="I172" s="12">
        <v>4</v>
      </c>
    </row>
    <row r="173" spans="2:9">
      <c r="B173" s="12">
        <f>1000000+INDEX(编号表!$B:$B,MATCH(C173,编号表!$A:$A,0))*1000+INDEX(编号表!$D:$D,MATCH(D173,编号表!$C:$C,0))*100+E173</f>
        <v>1062101</v>
      </c>
      <c r="C173" s="8" t="s">
        <v>239</v>
      </c>
      <c r="D173" s="12" t="s">
        <v>63</v>
      </c>
      <c r="E173" s="12">
        <v>1</v>
      </c>
      <c r="F173" s="18" t="s">
        <v>240</v>
      </c>
      <c r="G173" s="17" t="s">
        <v>43</v>
      </c>
      <c r="H173" s="12">
        <v>60622176</v>
      </c>
      <c r="I173" s="12">
        <v>1</v>
      </c>
    </row>
    <row r="174" spans="2:9">
      <c r="B174" s="12">
        <f>1000000+INDEX(编号表!$B:$B,MATCH(C174,编号表!$A:$A,0))*1000+INDEX(编号表!$D:$D,MATCH(D174,编号表!$C:$C,0))*100+E174</f>
        <v>1062304</v>
      </c>
      <c r="C174" s="8" t="s">
        <v>239</v>
      </c>
      <c r="D174" s="12" t="s">
        <v>44</v>
      </c>
      <c r="E174" s="12">
        <v>4</v>
      </c>
      <c r="F174" s="18" t="s">
        <v>241</v>
      </c>
      <c r="G174" s="17" t="s">
        <v>43</v>
      </c>
      <c r="H174" s="12">
        <v>60621175</v>
      </c>
      <c r="I174" s="12">
        <v>4</v>
      </c>
    </row>
    <row r="175" spans="2:9">
      <c r="B175" s="12">
        <f>1000000+INDEX(编号表!$B:$B,MATCH(C175,编号表!$A:$A,0))*1000+INDEX(编号表!$D:$D,MATCH(D175,编号表!$C:$C,0))*100+E175</f>
        <v>1062404</v>
      </c>
      <c r="C175" s="8" t="s">
        <v>239</v>
      </c>
      <c r="D175" s="12" t="s">
        <v>46</v>
      </c>
      <c r="E175" s="12">
        <v>4</v>
      </c>
      <c r="F175" s="18" t="s">
        <v>240</v>
      </c>
      <c r="G175" s="17" t="s">
        <v>43</v>
      </c>
      <c r="H175" s="12">
        <v>60621177</v>
      </c>
      <c r="I175" s="12">
        <v>4</v>
      </c>
    </row>
    <row r="176" spans="2:9">
      <c r="B176" s="12">
        <f>1000000+INDEX(编号表!$B:$B,MATCH(C176,编号表!$A:$A,0))*1000+INDEX(编号表!$D:$D,MATCH(D176,编号表!$C:$C,0))*100+E176</f>
        <v>1062504</v>
      </c>
      <c r="C176" s="8" t="s">
        <v>239</v>
      </c>
      <c r="D176" s="12" t="s">
        <v>48</v>
      </c>
      <c r="E176" s="12">
        <v>4</v>
      </c>
      <c r="F176" s="18" t="s">
        <v>242</v>
      </c>
      <c r="G176" s="17" t="s">
        <v>43</v>
      </c>
      <c r="H176" s="12">
        <v>60621178</v>
      </c>
      <c r="I176" s="12">
        <v>4</v>
      </c>
    </row>
    <row r="177" spans="2:9">
      <c r="B177" s="12">
        <f>1000000+INDEX(编号表!$B:$B,MATCH(C177,编号表!$A:$A,0))*1000+INDEX(编号表!$D:$D,MATCH(D177,编号表!$C:$C,0))*100+E177</f>
        <v>1062604</v>
      </c>
      <c r="C177" s="8" t="s">
        <v>239</v>
      </c>
      <c r="D177" s="12" t="s">
        <v>50</v>
      </c>
      <c r="E177" s="12">
        <v>4</v>
      </c>
      <c r="F177" s="18" t="s">
        <v>243</v>
      </c>
      <c r="G177" s="17" t="s">
        <v>43</v>
      </c>
      <c r="H177" s="12">
        <v>60621179</v>
      </c>
      <c r="I177" s="12">
        <v>4</v>
      </c>
    </row>
    <row r="178" spans="2:9">
      <c r="B178" s="12">
        <f>1000000+INDEX(编号表!$B:$B,MATCH(C178,编号表!$A:$A,0))*1000+INDEX(编号表!$D:$D,MATCH(D178,编号表!$C:$C,0))*100+E178</f>
        <v>1063103</v>
      </c>
      <c r="C178" s="8" t="s">
        <v>244</v>
      </c>
      <c r="D178" s="12" t="s">
        <v>63</v>
      </c>
      <c r="E178" s="12">
        <v>3</v>
      </c>
      <c r="F178" s="18" t="s">
        <v>245</v>
      </c>
      <c r="G178" s="17" t="s">
        <v>43</v>
      </c>
      <c r="H178" s="12">
        <v>60632181</v>
      </c>
      <c r="I178" s="12">
        <v>3</v>
      </c>
    </row>
    <row r="179" spans="2:9">
      <c r="B179" s="12">
        <f>1000000+INDEX(编号表!$B:$B,MATCH(C179,编号表!$A:$A,0))*1000+INDEX(编号表!$D:$D,MATCH(D179,编号表!$C:$C,0))*100+E179</f>
        <v>1063304</v>
      </c>
      <c r="C179" s="8" t="s">
        <v>244</v>
      </c>
      <c r="D179" s="12" t="s">
        <v>44</v>
      </c>
      <c r="E179" s="12">
        <v>4</v>
      </c>
      <c r="F179" s="18" t="s">
        <v>246</v>
      </c>
      <c r="G179" s="17" t="s">
        <v>43</v>
      </c>
      <c r="H179" s="12">
        <v>60631180</v>
      </c>
      <c r="I179" s="12">
        <v>4</v>
      </c>
    </row>
    <row r="180" spans="2:9">
      <c r="B180" s="12">
        <f>1000000+INDEX(编号表!$B:$B,MATCH(C180,编号表!$A:$A,0))*1000+INDEX(编号表!$D:$D,MATCH(D180,编号表!$C:$C,0))*100+E180</f>
        <v>1063404</v>
      </c>
      <c r="C180" s="8" t="s">
        <v>244</v>
      </c>
      <c r="D180" s="12" t="s">
        <v>46</v>
      </c>
      <c r="E180" s="12">
        <v>4</v>
      </c>
      <c r="F180" s="18" t="s">
        <v>245</v>
      </c>
      <c r="G180" s="17" t="s">
        <v>43</v>
      </c>
      <c r="H180" s="12">
        <v>60631182</v>
      </c>
      <c r="I180" s="12">
        <v>4</v>
      </c>
    </row>
    <row r="181" spans="2:9">
      <c r="B181" s="12">
        <f>1000000+INDEX(编号表!$B:$B,MATCH(C181,编号表!$A:$A,0))*1000+INDEX(编号表!$D:$D,MATCH(D181,编号表!$C:$C,0))*100+E181</f>
        <v>1063504</v>
      </c>
      <c r="C181" s="8" t="s">
        <v>244</v>
      </c>
      <c r="D181" s="12" t="s">
        <v>48</v>
      </c>
      <c r="E181" s="12">
        <v>4</v>
      </c>
      <c r="F181" s="18" t="s">
        <v>247</v>
      </c>
      <c r="G181" s="17" t="s">
        <v>43</v>
      </c>
      <c r="H181" s="12">
        <v>60631183</v>
      </c>
      <c r="I181" s="12">
        <v>4</v>
      </c>
    </row>
    <row r="182" spans="2:9">
      <c r="B182" s="12">
        <f>1000000+INDEX(编号表!$B:$B,MATCH(C182,编号表!$A:$A,0))*1000+INDEX(编号表!$D:$D,MATCH(D182,编号表!$C:$C,0))*100+E182</f>
        <v>1064001</v>
      </c>
      <c r="C182" s="8" t="s">
        <v>248</v>
      </c>
      <c r="D182" s="12" t="s">
        <v>80</v>
      </c>
      <c r="E182" s="12">
        <v>1</v>
      </c>
      <c r="F182" s="18" t="s">
        <v>249</v>
      </c>
      <c r="G182" s="17" t="s">
        <v>82</v>
      </c>
      <c r="H182" s="12">
        <v>60644185</v>
      </c>
      <c r="I182" s="12">
        <v>1</v>
      </c>
    </row>
    <row r="183" spans="2:9">
      <c r="B183" s="12">
        <f>1000000+INDEX(编号表!$B:$B,MATCH(C183,编号表!$A:$A,0))*1000+INDEX(编号表!$D:$D,MATCH(D183,编号表!$C:$C,0))*100+E183</f>
        <v>1064304</v>
      </c>
      <c r="C183" s="8" t="s">
        <v>248</v>
      </c>
      <c r="D183" s="12" t="s">
        <v>44</v>
      </c>
      <c r="E183" s="12">
        <v>4</v>
      </c>
      <c r="F183" s="18" t="s">
        <v>250</v>
      </c>
      <c r="G183" s="17" t="s">
        <v>43</v>
      </c>
      <c r="H183" s="12">
        <v>60641184</v>
      </c>
      <c r="I183" s="12">
        <v>4</v>
      </c>
    </row>
    <row r="184" spans="2:9">
      <c r="B184" s="12">
        <f>1000000+INDEX(编号表!$B:$B,MATCH(C184,编号表!$A:$A,0))*1000+INDEX(编号表!$D:$D,MATCH(D184,编号表!$C:$C,0))*100+E184</f>
        <v>1064103</v>
      </c>
      <c r="C184" s="8" t="s">
        <v>248</v>
      </c>
      <c r="D184" s="12" t="s">
        <v>63</v>
      </c>
      <c r="E184" s="12">
        <v>3</v>
      </c>
      <c r="F184" s="18" t="s">
        <v>251</v>
      </c>
      <c r="G184" s="17" t="s">
        <v>43</v>
      </c>
      <c r="H184" s="12">
        <v>60641186</v>
      </c>
      <c r="I184" s="12">
        <v>3</v>
      </c>
    </row>
    <row r="185" spans="2:9">
      <c r="B185" s="12">
        <f>1000000+INDEX(编号表!$B:$B,MATCH(C185,编号表!$A:$A,0))*1000+INDEX(编号表!$D:$D,MATCH(D185,编号表!$C:$C,0))*100+E185</f>
        <v>1064504</v>
      </c>
      <c r="C185" s="8" t="s">
        <v>248</v>
      </c>
      <c r="D185" s="12" t="s">
        <v>48</v>
      </c>
      <c r="E185" s="12">
        <v>4</v>
      </c>
      <c r="F185" s="18" t="s">
        <v>251</v>
      </c>
      <c r="G185" s="17" t="s">
        <v>43</v>
      </c>
      <c r="H185" s="12">
        <v>60641187</v>
      </c>
      <c r="I185" s="12">
        <v>4</v>
      </c>
    </row>
    <row r="186" spans="2:9">
      <c r="B186" s="12">
        <f>1000000+INDEX(编号表!$B:$B,MATCH(C186,编号表!$A:$A,0))*1000+INDEX(编号表!$D:$D,MATCH(D186,编号表!$C:$C,0))*100+E186</f>
        <v>1064604</v>
      </c>
      <c r="C186" s="8" t="s">
        <v>248</v>
      </c>
      <c r="D186" s="12" t="s">
        <v>50</v>
      </c>
      <c r="E186" s="12">
        <v>4</v>
      </c>
      <c r="F186" s="18" t="s">
        <v>252</v>
      </c>
      <c r="G186" s="17" t="s">
        <v>43</v>
      </c>
      <c r="H186" s="12">
        <v>60641188</v>
      </c>
      <c r="I186" s="12">
        <v>4</v>
      </c>
    </row>
    <row r="187" spans="2:9">
      <c r="B187" s="12">
        <f>1000000+INDEX(编号表!$B:$B,MATCH(C187,编号表!$A:$A,0))*1000+INDEX(编号表!$D:$D,MATCH(D187,编号表!$C:$C,0))*100+E187</f>
        <v>1065103</v>
      </c>
      <c r="C187" s="8" t="s">
        <v>253</v>
      </c>
      <c r="D187" s="12" t="s">
        <v>63</v>
      </c>
      <c r="E187" s="12">
        <v>3</v>
      </c>
      <c r="F187" s="18" t="s">
        <v>254</v>
      </c>
      <c r="G187" s="17" t="s">
        <v>43</v>
      </c>
      <c r="H187" s="12">
        <v>60652189</v>
      </c>
      <c r="I187" s="12">
        <v>3</v>
      </c>
    </row>
    <row r="188" spans="2:9">
      <c r="B188" s="12">
        <f>1000000+INDEX(编号表!$B:$B,MATCH(C188,编号表!$A:$A,0))*1000+INDEX(编号表!$D:$D,MATCH(D188,编号表!$C:$C,0))*100+E188</f>
        <v>1065303</v>
      </c>
      <c r="C188" s="8" t="s">
        <v>253</v>
      </c>
      <c r="D188" s="12" t="s">
        <v>44</v>
      </c>
      <c r="E188" s="12">
        <v>3</v>
      </c>
      <c r="F188" s="18" t="s">
        <v>254</v>
      </c>
      <c r="G188" s="17" t="s">
        <v>43</v>
      </c>
      <c r="H188" s="12">
        <v>60651190</v>
      </c>
      <c r="I188" s="12">
        <v>3</v>
      </c>
    </row>
    <row r="189" spans="2:9">
      <c r="B189" s="12">
        <f>1000000+INDEX(编号表!$B:$B,MATCH(C189,编号表!$A:$A,0))*1000+INDEX(编号表!$D:$D,MATCH(D189,编号表!$C:$C,0))*100+E189</f>
        <v>1065404</v>
      </c>
      <c r="C189" s="8" t="s">
        <v>253</v>
      </c>
      <c r="D189" s="12" t="s">
        <v>46</v>
      </c>
      <c r="E189" s="12">
        <v>4</v>
      </c>
      <c r="F189" s="18" t="s">
        <v>255</v>
      </c>
      <c r="G189" s="17" t="s">
        <v>43</v>
      </c>
      <c r="H189" s="12">
        <v>60651191</v>
      </c>
      <c r="I189" s="12">
        <v>4</v>
      </c>
    </row>
    <row r="190" spans="2:9">
      <c r="B190" s="12">
        <f>1000000+INDEX(编号表!$B:$B,MATCH(C190,编号表!$A:$A,0))*1000+INDEX(编号表!$D:$D,MATCH(D190,编号表!$C:$C,0))*100+E190</f>
        <v>1065504</v>
      </c>
      <c r="C190" s="8" t="s">
        <v>253</v>
      </c>
      <c r="D190" s="12" t="s">
        <v>48</v>
      </c>
      <c r="E190" s="12">
        <v>4</v>
      </c>
      <c r="F190" s="18" t="s">
        <v>256</v>
      </c>
      <c r="G190" s="17" t="s">
        <v>43</v>
      </c>
      <c r="H190" s="12">
        <v>60651192</v>
      </c>
      <c r="I190" s="12">
        <v>4</v>
      </c>
    </row>
    <row r="191" spans="2:9">
      <c r="B191" s="12">
        <f>1000000+INDEX(编号表!$B:$B,MATCH(C191,编号表!$A:$A,0))*1000+INDEX(编号表!$D:$D,MATCH(D191,编号表!$C:$C,0))*100+E191</f>
        <v>1065604</v>
      </c>
      <c r="C191" s="8" t="s">
        <v>253</v>
      </c>
      <c r="D191" s="12" t="s">
        <v>50</v>
      </c>
      <c r="E191" s="12">
        <v>4</v>
      </c>
      <c r="F191" s="18" t="s">
        <v>257</v>
      </c>
      <c r="G191" s="17" t="s">
        <v>43</v>
      </c>
      <c r="H191" s="12">
        <v>60651193</v>
      </c>
      <c r="I191" s="12">
        <v>4</v>
      </c>
    </row>
  </sheetData>
  <autoFilter xmlns:etc="http://www.wps.cn/officeDocument/2017/etCustomData" ref="A2:Z191" etc:filterBottomFollowUsedRange="0">
    <extLst/>
  </autoFilter>
  <mergeCells count="2">
    <mergeCell ref="H1:AA1"/>
    <mergeCell ref="H2:AA2"/>
  </mergeCells>
  <conditionalFormatting sqref="G34">
    <cfRule type="duplicateValues" dxfId="0" priority="12"/>
  </conditionalFormatting>
  <conditionalFormatting sqref="G45">
    <cfRule type="duplicateValues" dxfId="0" priority="625"/>
  </conditionalFormatting>
  <conditionalFormatting sqref="G69">
    <cfRule type="duplicateValues" dxfId="0" priority="7"/>
  </conditionalFormatting>
  <conditionalFormatting sqref="G79">
    <cfRule type="duplicateValues" dxfId="0" priority="6"/>
  </conditionalFormatting>
  <conditionalFormatting sqref="G83">
    <cfRule type="duplicateValues" dxfId="0" priority="5"/>
  </conditionalFormatting>
  <conditionalFormatting sqref="G93">
    <cfRule type="duplicateValues" dxfId="0" priority="4"/>
  </conditionalFormatting>
  <conditionalFormatting sqref="G97">
    <cfRule type="duplicateValues" dxfId="0" priority="3"/>
  </conditionalFormatting>
  <conditionalFormatting sqref="G109">
    <cfRule type="duplicateValues" dxfId="0" priority="2"/>
  </conditionalFormatting>
  <conditionalFormatting sqref="G113">
    <cfRule type="duplicateValues" dxfId="0" priority="1"/>
  </conditionalFormatting>
  <conditionalFormatting sqref="G3:G4">
    <cfRule type="duplicateValues" dxfId="0" priority="15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8" sqref="B8"/>
    </sheetView>
  </sheetViews>
  <sheetFormatPr defaultColWidth="9" defaultRowHeight="14.4" outlineLevelCol="1"/>
  <cols>
    <col min="2" max="2" width="81.0925925925926" style="1" customWidth="1"/>
  </cols>
  <sheetData>
    <row r="1" spans="1:2">
      <c r="A1" t="s">
        <v>258</v>
      </c>
      <c r="B1" t="s">
        <v>259</v>
      </c>
    </row>
    <row r="2" spans="1:2">
      <c r="A2" t="s">
        <v>260</v>
      </c>
      <c r="B2" t="s">
        <v>261</v>
      </c>
    </row>
    <row r="3" spans="1:2">
      <c r="A3" t="s">
        <v>262</v>
      </c>
      <c r="B3" t="s">
        <v>263</v>
      </c>
    </row>
    <row r="4" spans="1:2">
      <c r="A4" t="s">
        <v>264</v>
      </c>
      <c r="B4" t="s">
        <v>265</v>
      </c>
    </row>
    <row r="5" spans="1:2">
      <c r="A5" t="s">
        <v>266</v>
      </c>
      <c r="B5" t="s">
        <v>267</v>
      </c>
    </row>
    <row r="6" spans="1:2">
      <c r="A6" t="s">
        <v>268</v>
      </c>
      <c r="B6" t="s">
        <v>269</v>
      </c>
    </row>
    <row r="7" spans="1:2">
      <c r="A7" t="s">
        <v>270</v>
      </c>
      <c r="B7" t="s">
        <v>271</v>
      </c>
    </row>
    <row r="8" spans="1:2">
      <c r="A8" t="s">
        <v>272</v>
      </c>
    </row>
    <row r="9" spans="1:2">
      <c r="A9" t="s">
        <v>273</v>
      </c>
    </row>
    <row r="10" spans="1:2">
      <c r="A10" t="s">
        <v>274</v>
      </c>
    </row>
    <row r="11" spans="1:2">
      <c r="A11" t="s">
        <v>275</v>
      </c>
    </row>
    <row r="12" spans="1:2">
      <c r="A12" t="s">
        <v>276</v>
      </c>
    </row>
    <row r="13" spans="1:2">
      <c r="A13" t="s">
        <v>277</v>
      </c>
    </row>
    <row r="14" spans="1:2">
      <c r="A14" t="s">
        <v>278</v>
      </c>
    </row>
    <row r="15" spans="1:2">
      <c r="A15" t="s">
        <v>279</v>
      </c>
    </row>
    <row r="16" spans="1:2">
      <c r="A16" t="s">
        <v>280</v>
      </c>
    </row>
    <row r="17" spans="1:1">
      <c r="A17" t="s">
        <v>281</v>
      </c>
    </row>
    <row r="18" spans="1:1">
      <c r="A18" t="s">
        <v>282</v>
      </c>
    </row>
    <row r="19" spans="1:1">
      <c r="A19" t="s">
        <v>283</v>
      </c>
    </row>
    <row r="20" spans="1:1">
      <c r="A20" t="s">
        <v>284</v>
      </c>
    </row>
    <row r="21" spans="1:1">
      <c r="A21" t="s">
        <v>285</v>
      </c>
    </row>
    <row r="22" spans="1:1">
      <c r="A22" t="s">
        <v>286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workbookViewId="0">
      <selection activeCell="C14" sqref="C14"/>
    </sheetView>
  </sheetViews>
  <sheetFormatPr defaultColWidth="9" defaultRowHeight="14.4"/>
  <cols>
    <col min="2" max="3" width="12.7222222222222" style="10" customWidth="1"/>
    <col min="4" max="7" width="11" style="1" customWidth="1"/>
    <col min="8" max="8" width="9.36111111111111" style="1" customWidth="1"/>
    <col min="10" max="10" width="9.36111111111111" style="1" customWidth="1"/>
    <col min="12" max="12" width="9.36111111111111" style="1" customWidth="1"/>
    <col min="14" max="14" width="9.36111111111111" style="1" customWidth="1"/>
    <col min="16" max="16" width="9.36111111111111" style="1" customWidth="1"/>
    <col min="18" max="18" width="9.36111111111111" style="1" customWidth="1"/>
    <col min="20" max="20" width="9.36111111111111" style="1" customWidth="1"/>
    <col min="22" max="22" width="9.36111111111111" style="1" customWidth="1"/>
  </cols>
  <sheetData>
    <row r="1" s="10" customFormat="1" spans="1:23">
      <c r="A1" s="10" t="s">
        <v>13</v>
      </c>
      <c r="B1" s="10" t="s">
        <v>14</v>
      </c>
      <c r="C1" s="10" t="s">
        <v>18</v>
      </c>
      <c r="D1" s="10" t="s">
        <v>19</v>
      </c>
      <c r="E1" t="s">
        <v>20</v>
      </c>
      <c r="F1" s="10" t="s">
        <v>21</v>
      </c>
      <c r="G1" t="s">
        <v>22</v>
      </c>
      <c r="H1" s="10" t="s">
        <v>23</v>
      </c>
      <c r="I1" t="s">
        <v>24</v>
      </c>
      <c r="J1" s="10" t="s">
        <v>25</v>
      </c>
      <c r="K1" t="s">
        <v>26</v>
      </c>
      <c r="L1" s="10" t="s">
        <v>27</v>
      </c>
      <c r="M1" t="s">
        <v>28</v>
      </c>
      <c r="N1" s="10" t="s">
        <v>29</v>
      </c>
      <c r="O1" t="s">
        <v>30</v>
      </c>
      <c r="P1" s="10" t="s">
        <v>31</v>
      </c>
      <c r="Q1" t="s">
        <v>32</v>
      </c>
      <c r="R1" s="10" t="s">
        <v>33</v>
      </c>
      <c r="S1" t="s">
        <v>34</v>
      </c>
      <c r="T1" s="10" t="s">
        <v>35</v>
      </c>
      <c r="U1" t="s">
        <v>36</v>
      </c>
      <c r="V1" s="10" t="s">
        <v>37</v>
      </c>
      <c r="W1" t="s">
        <v>38</v>
      </c>
    </row>
    <row r="2" s="10" customFormat="1" spans="1:23">
      <c r="A2" s="10" t="s">
        <v>1</v>
      </c>
      <c r="C2" s="10" t="s">
        <v>2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10" t="s">
        <v>304</v>
      </c>
      <c r="V2" s="10" t="s">
        <v>305</v>
      </c>
      <c r="W2" s="10" t="s">
        <v>306</v>
      </c>
    </row>
    <row r="3" spans="1:23">
      <c r="A3">
        <v>1</v>
      </c>
      <c r="B3" s="10" t="s">
        <v>307</v>
      </c>
      <c r="C3" s="10" t="s">
        <v>43</v>
      </c>
      <c r="D3">
        <v>60011037</v>
      </c>
      <c r="E3">
        <v>2</v>
      </c>
      <c r="F3">
        <v>60011090</v>
      </c>
      <c r="G3">
        <v>2</v>
      </c>
      <c r="H3">
        <v>60371001</v>
      </c>
      <c r="I3">
        <v>2</v>
      </c>
      <c r="J3">
        <v>60011033</v>
      </c>
      <c r="K3">
        <v>2</v>
      </c>
      <c r="L3">
        <v>60011035</v>
      </c>
      <c r="M3">
        <v>2</v>
      </c>
      <c r="N3">
        <v>60371009</v>
      </c>
      <c r="O3">
        <v>2</v>
      </c>
      <c r="P3">
        <v>60011016</v>
      </c>
      <c r="Q3">
        <v>2</v>
      </c>
      <c r="R3">
        <v>60011090</v>
      </c>
      <c r="S3">
        <v>2</v>
      </c>
      <c r="T3">
        <v>60011081</v>
      </c>
      <c r="U3">
        <v>2</v>
      </c>
      <c r="V3">
        <v>60371011</v>
      </c>
      <c r="W3">
        <v>2</v>
      </c>
    </row>
    <row r="4" spans="1:23">
      <c r="A4">
        <v>2</v>
      </c>
      <c r="B4" s="10" t="s">
        <v>308</v>
      </c>
      <c r="C4" s="10" t="s">
        <v>43</v>
      </c>
      <c r="D4">
        <v>60011119</v>
      </c>
      <c r="E4">
        <v>1</v>
      </c>
      <c r="F4">
        <v>60011105</v>
      </c>
      <c r="G4">
        <v>1</v>
      </c>
      <c r="H4">
        <v>60371107</v>
      </c>
      <c r="I4">
        <v>1</v>
      </c>
      <c r="J4">
        <v>60011106</v>
      </c>
      <c r="K4">
        <v>1</v>
      </c>
      <c r="L4">
        <v>60011127</v>
      </c>
      <c r="M4">
        <v>1</v>
      </c>
    </row>
    <row r="5" spans="1:23">
      <c r="A5">
        <v>3</v>
      </c>
      <c r="B5" s="10" t="s">
        <v>308</v>
      </c>
      <c r="C5" s="10" t="s">
        <v>43</v>
      </c>
      <c r="D5">
        <v>60011106</v>
      </c>
      <c r="E5">
        <v>1</v>
      </c>
      <c r="F5">
        <v>60011127</v>
      </c>
      <c r="G5">
        <v>1</v>
      </c>
    </row>
    <row r="6" spans="1:23">
      <c r="A6">
        <v>4</v>
      </c>
      <c r="B6" s="10" t="s">
        <v>309</v>
      </c>
      <c r="C6" s="10" t="s">
        <v>43</v>
      </c>
      <c r="D6">
        <v>60011105</v>
      </c>
      <c r="E6">
        <v>1</v>
      </c>
      <c r="F6">
        <v>60371107</v>
      </c>
      <c r="G6">
        <v>1</v>
      </c>
      <c r="H6">
        <v>60011106</v>
      </c>
      <c r="I6">
        <v>1</v>
      </c>
      <c r="J6">
        <v>60011127</v>
      </c>
      <c r="K6">
        <v>1</v>
      </c>
      <c r="L6">
        <v>60011121</v>
      </c>
      <c r="M6">
        <v>1</v>
      </c>
    </row>
    <row r="7" spans="1:23">
      <c r="A7">
        <v>5</v>
      </c>
      <c r="B7" s="10" t="s">
        <v>310</v>
      </c>
      <c r="C7" s="10" t="s">
        <v>43</v>
      </c>
      <c r="D7">
        <v>60011105</v>
      </c>
      <c r="E7">
        <v>6</v>
      </c>
      <c r="F7">
        <v>60371107</v>
      </c>
      <c r="G7">
        <v>6</v>
      </c>
      <c r="H7">
        <v>60011106</v>
      </c>
      <c r="I7">
        <v>6</v>
      </c>
      <c r="J7">
        <v>60011127</v>
      </c>
      <c r="K7">
        <v>6</v>
      </c>
      <c r="L7">
        <v>60011121</v>
      </c>
      <c r="M7">
        <v>6</v>
      </c>
      <c r="N7">
        <v>60371124</v>
      </c>
      <c r="O7">
        <v>6</v>
      </c>
    </row>
    <row r="8" spans="1:23">
      <c r="A8">
        <v>6</v>
      </c>
      <c r="B8" s="10" t="s">
        <v>311</v>
      </c>
      <c r="C8" s="10" t="s">
        <v>82</v>
      </c>
      <c r="D8">
        <v>60011132</v>
      </c>
      <c r="E8">
        <v>1</v>
      </c>
    </row>
    <row r="9" spans="1:23">
      <c r="A9">
        <v>7</v>
      </c>
      <c r="B9" s="10" t="s">
        <v>311</v>
      </c>
      <c r="C9" s="10" t="s">
        <v>43</v>
      </c>
      <c r="D9">
        <v>60011105</v>
      </c>
      <c r="E9">
        <v>4</v>
      </c>
      <c r="F9">
        <v>60371107</v>
      </c>
      <c r="G9">
        <v>4</v>
      </c>
      <c r="H9">
        <v>60011106</v>
      </c>
      <c r="I9">
        <v>4</v>
      </c>
      <c r="J9">
        <v>60011127</v>
      </c>
      <c r="K9">
        <v>4</v>
      </c>
      <c r="L9">
        <v>60011121</v>
      </c>
      <c r="M9">
        <v>4</v>
      </c>
      <c r="N9">
        <v>60371124</v>
      </c>
      <c r="O9">
        <v>4</v>
      </c>
    </row>
    <row r="10" spans="1:23">
      <c r="A10">
        <v>8</v>
      </c>
      <c r="B10" s="10" t="s">
        <v>312</v>
      </c>
      <c r="C10" s="10" t="s">
        <v>43</v>
      </c>
      <c r="D10">
        <v>60011014</v>
      </c>
      <c r="E10">
        <v>1</v>
      </c>
      <c r="F10">
        <v>60011026</v>
      </c>
      <c r="G10">
        <v>1</v>
      </c>
      <c r="H10">
        <v>60011032</v>
      </c>
      <c r="I10">
        <v>1</v>
      </c>
      <c r="J10">
        <v>60371024</v>
      </c>
      <c r="K10">
        <v>1</v>
      </c>
      <c r="L10">
        <v>60011019</v>
      </c>
      <c r="M10">
        <v>1</v>
      </c>
    </row>
    <row r="11" spans="1:23">
      <c r="A11">
        <v>9</v>
      </c>
      <c r="B11" s="10" t="s">
        <v>313</v>
      </c>
      <c r="C11" s="10" t="s">
        <v>43</v>
      </c>
      <c r="D11">
        <v>60011014</v>
      </c>
      <c r="E11">
        <v>1</v>
      </c>
      <c r="F11">
        <v>60011032</v>
      </c>
      <c r="G11">
        <v>1</v>
      </c>
      <c r="H11">
        <v>60371024</v>
      </c>
      <c r="I11">
        <v>1</v>
      </c>
      <c r="J11">
        <v>60011019</v>
      </c>
      <c r="K11">
        <v>1</v>
      </c>
      <c r="L11">
        <v>60011022</v>
      </c>
      <c r="M11">
        <v>1</v>
      </c>
    </row>
    <row r="12" spans="1:23">
      <c r="A12">
        <v>10</v>
      </c>
      <c r="B12" s="10" t="s">
        <v>314</v>
      </c>
      <c r="C12" s="10" t="s">
        <v>82</v>
      </c>
      <c r="D12">
        <v>60011028</v>
      </c>
      <c r="E12">
        <v>1</v>
      </c>
    </row>
    <row r="13" spans="1:23">
      <c r="A13">
        <v>11</v>
      </c>
      <c r="B13" s="10" t="s">
        <v>315</v>
      </c>
      <c r="C13" s="10" t="s">
        <v>43</v>
      </c>
      <c r="D13">
        <v>60011032</v>
      </c>
      <c r="E13">
        <v>1</v>
      </c>
      <c r="F13">
        <v>60371059</v>
      </c>
      <c r="G13">
        <v>1</v>
      </c>
      <c r="H13">
        <v>60371061</v>
      </c>
      <c r="I13">
        <v>1</v>
      </c>
      <c r="J13">
        <v>60371063</v>
      </c>
      <c r="K13">
        <v>1</v>
      </c>
      <c r="L13" s="11">
        <v>60371065</v>
      </c>
      <c r="M13">
        <v>1</v>
      </c>
      <c r="N13">
        <v>60371067</v>
      </c>
      <c r="O13">
        <v>1</v>
      </c>
      <c r="P13">
        <v>60371397</v>
      </c>
      <c r="Q13">
        <v>1</v>
      </c>
    </row>
    <row r="14" spans="1:23">
      <c r="A14">
        <v>12</v>
      </c>
      <c r="B14" s="10" t="s">
        <v>316</v>
      </c>
      <c r="C14" s="10" t="s">
        <v>43</v>
      </c>
      <c r="D14">
        <v>60371069</v>
      </c>
      <c r="E14">
        <v>5</v>
      </c>
    </row>
    <row r="15" spans="1:23">
      <c r="A15">
        <v>13</v>
      </c>
      <c r="B15" s="10" t="s">
        <v>317</v>
      </c>
      <c r="C15" s="10" t="s">
        <v>43</v>
      </c>
      <c r="D15">
        <v>60371091</v>
      </c>
      <c r="E15">
        <v>1</v>
      </c>
      <c r="F15">
        <v>60371101</v>
      </c>
      <c r="G15">
        <v>1</v>
      </c>
      <c r="H15">
        <v>60371103</v>
      </c>
      <c r="I15">
        <v>2</v>
      </c>
      <c r="J15">
        <v>60371094</v>
      </c>
      <c r="K15">
        <v>1</v>
      </c>
      <c r="L15">
        <v>60371096</v>
      </c>
      <c r="M15">
        <v>1</v>
      </c>
    </row>
    <row r="16" spans="1:23">
      <c r="A16">
        <v>14</v>
      </c>
      <c r="B16" s="10" t="s">
        <v>318</v>
      </c>
      <c r="C16" s="10" t="s">
        <v>43</v>
      </c>
      <c r="D16">
        <v>60371091</v>
      </c>
      <c r="E16">
        <v>1</v>
      </c>
      <c r="F16">
        <v>60371101</v>
      </c>
      <c r="G16">
        <v>1</v>
      </c>
      <c r="H16">
        <v>60371094</v>
      </c>
      <c r="I16">
        <v>1</v>
      </c>
      <c r="J16">
        <v>60371096</v>
      </c>
      <c r="K16">
        <v>1</v>
      </c>
    </row>
    <row r="17" spans="1:15">
      <c r="A17">
        <v>15</v>
      </c>
      <c r="B17" s="10" t="s">
        <v>319</v>
      </c>
      <c r="C17" s="10" t="s">
        <v>43</v>
      </c>
      <c r="D17">
        <v>60371091</v>
      </c>
      <c r="E17">
        <v>1</v>
      </c>
      <c r="F17">
        <v>60371101</v>
      </c>
      <c r="G17">
        <v>1</v>
      </c>
      <c r="H17">
        <v>60371103</v>
      </c>
      <c r="I17">
        <v>2</v>
      </c>
      <c r="J17">
        <v>60371094</v>
      </c>
      <c r="K17">
        <v>1</v>
      </c>
      <c r="L17">
        <v>60371096</v>
      </c>
      <c r="M17">
        <v>1</v>
      </c>
    </row>
    <row r="18" spans="1:15">
      <c r="A18">
        <v>16</v>
      </c>
      <c r="B18" s="10" t="s">
        <v>319</v>
      </c>
      <c r="C18" s="10" t="s">
        <v>82</v>
      </c>
      <c r="D18">
        <v>60371093</v>
      </c>
      <c r="E18">
        <v>1</v>
      </c>
    </row>
    <row r="19" spans="1:15">
      <c r="A19">
        <v>17</v>
      </c>
      <c r="B19" s="10" t="s">
        <v>320</v>
      </c>
      <c r="C19" s="10" t="s">
        <v>43</v>
      </c>
      <c r="D19">
        <v>60011121</v>
      </c>
      <c r="E19">
        <v>1</v>
      </c>
      <c r="F19">
        <v>60371124</v>
      </c>
      <c r="G19">
        <v>1</v>
      </c>
      <c r="H19">
        <v>60011127</v>
      </c>
      <c r="I19">
        <v>1</v>
      </c>
      <c r="J19">
        <v>60371002</v>
      </c>
      <c r="K19">
        <v>1</v>
      </c>
    </row>
    <row r="20" spans="1:15">
      <c r="A20">
        <v>18</v>
      </c>
      <c r="B20" s="10" t="s">
        <v>320</v>
      </c>
      <c r="C20" s="10" t="s">
        <v>82</v>
      </c>
      <c r="D20">
        <v>60011132</v>
      </c>
      <c r="E20">
        <v>1</v>
      </c>
    </row>
    <row r="21" spans="1:15">
      <c r="A21">
        <v>19</v>
      </c>
      <c r="B21" s="10" t="s">
        <v>321</v>
      </c>
      <c r="C21" s="10" t="s">
        <v>43</v>
      </c>
      <c r="D21">
        <v>60371057</v>
      </c>
      <c r="E21">
        <v>1</v>
      </c>
      <c r="F21">
        <v>60371040</v>
      </c>
      <c r="G21">
        <v>1</v>
      </c>
      <c r="H21">
        <v>60371042</v>
      </c>
      <c r="I21">
        <v>1</v>
      </c>
      <c r="J21">
        <v>60371044</v>
      </c>
      <c r="K21">
        <v>1</v>
      </c>
    </row>
    <row r="22" spans="1:15">
      <c r="A22">
        <v>20</v>
      </c>
      <c r="B22" s="10" t="s">
        <v>322</v>
      </c>
      <c r="C22" s="10" t="s">
        <v>43</v>
      </c>
      <c r="D22">
        <v>60371042</v>
      </c>
      <c r="E22">
        <v>1</v>
      </c>
      <c r="F22">
        <v>60371044</v>
      </c>
      <c r="G22">
        <v>1</v>
      </c>
      <c r="H22">
        <v>60371046</v>
      </c>
      <c r="I22">
        <v>1</v>
      </c>
      <c r="J22">
        <v>60371055</v>
      </c>
      <c r="K22">
        <v>1</v>
      </c>
    </row>
    <row r="23" spans="1:15">
      <c r="A23">
        <v>21</v>
      </c>
      <c r="B23" s="10" t="s">
        <v>323</v>
      </c>
      <c r="C23" s="10" t="s">
        <v>43</v>
      </c>
      <c r="D23">
        <v>60371042</v>
      </c>
      <c r="E23">
        <v>1</v>
      </c>
      <c r="F23">
        <v>60371044</v>
      </c>
      <c r="G23">
        <v>1</v>
      </c>
      <c r="H23">
        <v>60371046</v>
      </c>
      <c r="I23">
        <v>1</v>
      </c>
      <c r="J23">
        <v>60371055</v>
      </c>
      <c r="K23">
        <v>1</v>
      </c>
    </row>
    <row r="24" spans="1:15">
      <c r="A24">
        <v>22</v>
      </c>
      <c r="B24" s="10" t="s">
        <v>323</v>
      </c>
      <c r="C24" s="10" t="s">
        <v>82</v>
      </c>
      <c r="D24">
        <v>60371053</v>
      </c>
      <c r="E24">
        <v>1</v>
      </c>
    </row>
    <row r="25" spans="1:15">
      <c r="A25">
        <v>23</v>
      </c>
      <c r="B25" s="10" t="s">
        <v>324</v>
      </c>
      <c r="C25" s="10" t="s">
        <v>43</v>
      </c>
      <c r="D25">
        <v>60371094</v>
      </c>
      <c r="E25">
        <v>1</v>
      </c>
      <c r="F25">
        <v>60371107</v>
      </c>
      <c r="G25">
        <v>1</v>
      </c>
      <c r="H25">
        <v>60371108</v>
      </c>
      <c r="I25">
        <v>1</v>
      </c>
      <c r="J25">
        <v>60371110</v>
      </c>
      <c r="K25">
        <v>1</v>
      </c>
    </row>
    <row r="26" spans="1:15">
      <c r="A26">
        <v>24</v>
      </c>
      <c r="B26" s="10" t="s">
        <v>325</v>
      </c>
      <c r="C26" s="10" t="s">
        <v>43</v>
      </c>
      <c r="D26">
        <v>60371107</v>
      </c>
      <c r="E26">
        <v>1</v>
      </c>
      <c r="F26">
        <v>60371108</v>
      </c>
      <c r="G26">
        <v>1</v>
      </c>
      <c r="H26">
        <v>60371110</v>
      </c>
      <c r="I26">
        <v>1</v>
      </c>
      <c r="J26">
        <v>60371115</v>
      </c>
      <c r="K26">
        <v>1</v>
      </c>
      <c r="L26">
        <v>60011105</v>
      </c>
      <c r="M26">
        <v>1</v>
      </c>
      <c r="N26">
        <v>60011106</v>
      </c>
      <c r="O26">
        <v>1</v>
      </c>
    </row>
    <row r="27" spans="1:15">
      <c r="A27">
        <v>25</v>
      </c>
      <c r="B27" s="10" t="s">
        <v>326</v>
      </c>
      <c r="C27" s="10" t="s">
        <v>43</v>
      </c>
      <c r="D27">
        <v>60371107</v>
      </c>
      <c r="E27">
        <v>1</v>
      </c>
      <c r="F27">
        <v>60371108</v>
      </c>
      <c r="G27">
        <v>1</v>
      </c>
      <c r="H27">
        <v>60371110</v>
      </c>
      <c r="I27">
        <v>1</v>
      </c>
      <c r="J27">
        <v>60371115</v>
      </c>
      <c r="K27">
        <v>1</v>
      </c>
      <c r="L27">
        <v>60011105</v>
      </c>
      <c r="M27">
        <v>1</v>
      </c>
      <c r="N27">
        <v>60011106</v>
      </c>
      <c r="O27">
        <v>1</v>
      </c>
    </row>
    <row r="28" spans="1:15">
      <c r="A28">
        <v>26</v>
      </c>
      <c r="B28" s="10" t="s">
        <v>327</v>
      </c>
      <c r="C28" s="10" t="s">
        <v>43</v>
      </c>
      <c r="D28">
        <v>60371094</v>
      </c>
      <c r="E28">
        <v>1</v>
      </c>
      <c r="F28">
        <v>60371112</v>
      </c>
      <c r="G28">
        <v>2</v>
      </c>
      <c r="H28">
        <v>60011105</v>
      </c>
      <c r="I28">
        <v>1</v>
      </c>
      <c r="J28">
        <v>60011106</v>
      </c>
      <c r="K28">
        <v>1</v>
      </c>
    </row>
    <row r="29" spans="1:15">
      <c r="A29">
        <v>27</v>
      </c>
      <c r="B29" s="10" t="s">
        <v>327</v>
      </c>
      <c r="C29" s="10" t="s">
        <v>82</v>
      </c>
      <c r="D29">
        <v>60371206</v>
      </c>
      <c r="E29">
        <v>1</v>
      </c>
    </row>
    <row r="30" spans="1:15">
      <c r="A30">
        <v>28</v>
      </c>
      <c r="B30" s="10" t="s">
        <v>328</v>
      </c>
      <c r="C30" s="10" t="s">
        <v>43</v>
      </c>
      <c r="D30">
        <v>60371207</v>
      </c>
      <c r="E30">
        <v>1</v>
      </c>
      <c r="F30">
        <v>60371140</v>
      </c>
      <c r="G30">
        <v>1</v>
      </c>
      <c r="H30">
        <v>60371075</v>
      </c>
      <c r="I30">
        <v>1</v>
      </c>
    </row>
    <row r="31" spans="1:15">
      <c r="A31">
        <v>29</v>
      </c>
      <c r="B31" s="10" t="s">
        <v>329</v>
      </c>
      <c r="C31" s="10" t="s">
        <v>82</v>
      </c>
      <c r="D31">
        <v>60371265</v>
      </c>
      <c r="E31">
        <v>1</v>
      </c>
    </row>
    <row r="32" spans="1:15">
      <c r="A32">
        <v>30</v>
      </c>
      <c r="B32" s="10" t="s">
        <v>307</v>
      </c>
      <c r="C32" s="10" t="s">
        <v>82</v>
      </c>
      <c r="D32">
        <v>60371490</v>
      </c>
      <c r="E32">
        <v>1</v>
      </c>
    </row>
    <row r="33" spans="1:6">
      <c r="A33">
        <v>31</v>
      </c>
      <c r="B33" s="10" t="s">
        <v>307</v>
      </c>
      <c r="C33" s="10" t="s">
        <v>82</v>
      </c>
      <c r="D33">
        <v>60371491</v>
      </c>
      <c r="E33">
        <v>1</v>
      </c>
    </row>
    <row r="38" ht="14.25" customHeight="1" spans="1:6">
      <c r="A38">
        <v>1</v>
      </c>
      <c r="B38" s="3" t="s">
        <v>307</v>
      </c>
      <c r="D38" s="10" t="s">
        <v>330</v>
      </c>
      <c r="F38">
        <v>1000000</v>
      </c>
    </row>
    <row r="39" ht="14.25" customHeight="1" spans="1:6">
      <c r="A39">
        <v>2</v>
      </c>
      <c r="B39" s="3" t="s">
        <v>312</v>
      </c>
      <c r="D39" s="10" t="s">
        <v>331</v>
      </c>
    </row>
    <row r="40" ht="14.25" customHeight="1" spans="1:6">
      <c r="A40">
        <v>3</v>
      </c>
      <c r="B40" s="3" t="s">
        <v>313</v>
      </c>
      <c r="D40" s="10" t="s">
        <v>332</v>
      </c>
    </row>
    <row r="41" ht="14.25" customHeight="1" spans="1:6">
      <c r="A41">
        <v>4</v>
      </c>
      <c r="B41" s="3" t="s">
        <v>314</v>
      </c>
      <c r="D41" s="10" t="s">
        <v>333</v>
      </c>
    </row>
    <row r="42" ht="14.25" customHeight="1" spans="1:6">
      <c r="A42">
        <v>5</v>
      </c>
      <c r="B42" s="3" t="s">
        <v>315</v>
      </c>
      <c r="D42" s="10" t="s">
        <v>334</v>
      </c>
    </row>
    <row r="43" ht="14.25" customHeight="1" spans="1:6">
      <c r="A43">
        <v>6</v>
      </c>
      <c r="B43" s="3" t="s">
        <v>316</v>
      </c>
      <c r="D43" s="10" t="s">
        <v>335</v>
      </c>
    </row>
    <row r="44" ht="14.25" customHeight="1" spans="1:6">
      <c r="A44">
        <v>7</v>
      </c>
      <c r="B44" s="3" t="s">
        <v>317</v>
      </c>
      <c r="D44" s="10" t="s">
        <v>63</v>
      </c>
    </row>
    <row r="45" ht="14.25" customHeight="1" spans="1:6">
      <c r="A45">
        <v>8</v>
      </c>
      <c r="B45" s="3" t="s">
        <v>318</v>
      </c>
      <c r="D45" s="10" t="s">
        <v>336</v>
      </c>
    </row>
    <row r="46" ht="14.25" customHeight="1" spans="1:6">
      <c r="A46">
        <v>9</v>
      </c>
      <c r="B46" s="3" t="s">
        <v>319</v>
      </c>
    </row>
    <row r="47" ht="14.25" customHeight="1" spans="1:6">
      <c r="A47">
        <v>10</v>
      </c>
      <c r="B47" s="3" t="s">
        <v>320</v>
      </c>
    </row>
    <row r="48" ht="14.25" customHeight="1" spans="1:6">
      <c r="A48">
        <v>11</v>
      </c>
      <c r="B48" s="3" t="s">
        <v>321</v>
      </c>
    </row>
    <row r="49" ht="14.25" customHeight="1" spans="1:2">
      <c r="A49">
        <v>12</v>
      </c>
      <c r="B49" s="3" t="s">
        <v>322</v>
      </c>
    </row>
    <row r="50" ht="14.25" customHeight="1" spans="1:2">
      <c r="A50">
        <v>13</v>
      </c>
      <c r="B50" s="3" t="s">
        <v>323</v>
      </c>
    </row>
    <row r="51" ht="14.25" customHeight="1" spans="1:2">
      <c r="A51">
        <v>14</v>
      </c>
      <c r="B51" s="3" t="s">
        <v>324</v>
      </c>
    </row>
    <row r="52" ht="14.25" customHeight="1" spans="1:2">
      <c r="A52">
        <v>15</v>
      </c>
      <c r="B52" s="3" t="s">
        <v>325</v>
      </c>
    </row>
    <row r="53" ht="14.25" customHeight="1" spans="1:2">
      <c r="A53">
        <v>16</v>
      </c>
      <c r="B53" s="3" t="s">
        <v>326</v>
      </c>
    </row>
    <row r="54" ht="14.25" customHeight="1" spans="1:2">
      <c r="A54">
        <v>17</v>
      </c>
      <c r="B54" s="3" t="s">
        <v>337</v>
      </c>
    </row>
    <row r="55" ht="14.25" customHeight="1" spans="1:2">
      <c r="A55">
        <v>18</v>
      </c>
      <c r="B55" s="3" t="s">
        <v>328</v>
      </c>
    </row>
    <row r="56" ht="14.25" customHeight="1" spans="1:2">
      <c r="A56">
        <v>19</v>
      </c>
      <c r="B56" s="3" t="s">
        <v>329</v>
      </c>
    </row>
    <row r="57" ht="14.25" customHeight="1" spans="1:2">
      <c r="A57">
        <v>20</v>
      </c>
      <c r="B57" s="3" t="s">
        <v>308</v>
      </c>
    </row>
    <row r="58" ht="14.25" customHeight="1" spans="1:2">
      <c r="A58">
        <v>21</v>
      </c>
      <c r="B58" s="3" t="s">
        <v>309</v>
      </c>
    </row>
    <row r="59" ht="14.25" customHeight="1" spans="1:2">
      <c r="A59">
        <v>22</v>
      </c>
      <c r="B59" s="3" t="s">
        <v>310</v>
      </c>
    </row>
    <row r="60" ht="14.25" customHeight="1" spans="1:2">
      <c r="A60">
        <v>23</v>
      </c>
      <c r="B60" s="3" t="s">
        <v>338</v>
      </c>
    </row>
    <row r="61" ht="14.25" customHeight="1" spans="1:2">
      <c r="A61">
        <v>24</v>
      </c>
      <c r="B61" s="3" t="s">
        <v>339</v>
      </c>
    </row>
    <row r="62" ht="14.25" customHeight="1" spans="1:2">
      <c r="A62">
        <v>25</v>
      </c>
      <c r="B62" s="3" t="s">
        <v>340</v>
      </c>
    </row>
    <row r="63" ht="14.25" customHeight="1" spans="1:2">
      <c r="A63">
        <v>26</v>
      </c>
      <c r="B63" s="3" t="s">
        <v>341</v>
      </c>
    </row>
    <row r="64" ht="14.25" customHeight="1" spans="1:2">
      <c r="A64">
        <v>27</v>
      </c>
      <c r="B64" s="3" t="s">
        <v>342</v>
      </c>
    </row>
    <row r="65" ht="14.25" customHeight="1" spans="1:2">
      <c r="A65">
        <v>28</v>
      </c>
      <c r="B65" s="3" t="s">
        <v>343</v>
      </c>
    </row>
    <row r="66" ht="14.25" customHeight="1" spans="1:2">
      <c r="A66">
        <v>29</v>
      </c>
      <c r="B66" s="3" t="s">
        <v>344</v>
      </c>
    </row>
    <row r="67" ht="14.25" customHeight="1" spans="1:2">
      <c r="A67">
        <v>30</v>
      </c>
      <c r="B67" s="3" t="s">
        <v>345</v>
      </c>
    </row>
    <row r="68" ht="14.25" customHeight="1" spans="1:2">
      <c r="A68">
        <v>31</v>
      </c>
      <c r="B68" s="3" t="s">
        <v>346</v>
      </c>
    </row>
    <row r="69" ht="14.25" customHeight="1" spans="1:2">
      <c r="A69">
        <v>32</v>
      </c>
      <c r="B69" s="3" t="s">
        <v>347</v>
      </c>
    </row>
    <row r="70" ht="14.25" customHeight="1" spans="1:2">
      <c r="A70">
        <v>33</v>
      </c>
      <c r="B70" s="3" t="s">
        <v>348</v>
      </c>
    </row>
    <row r="71" ht="14.25" customHeight="1" spans="1:2">
      <c r="A71">
        <v>34</v>
      </c>
      <c r="B71" s="3" t="s">
        <v>349</v>
      </c>
    </row>
    <row r="72" ht="14.25" customHeight="1" spans="1:2">
      <c r="A72">
        <v>35</v>
      </c>
      <c r="B72" s="3" t="s">
        <v>350</v>
      </c>
    </row>
    <row r="73" ht="14.25" customHeight="1" spans="1:2">
      <c r="A73">
        <v>36</v>
      </c>
      <c r="B73" s="3" t="s">
        <v>351</v>
      </c>
    </row>
    <row r="74" ht="14.25" customHeight="1" spans="1:2">
      <c r="A74">
        <v>37</v>
      </c>
      <c r="B74" s="3" t="s">
        <v>352</v>
      </c>
    </row>
    <row r="75" ht="14.25" customHeight="1" spans="1:2">
      <c r="A75">
        <v>38</v>
      </c>
      <c r="B75" s="3" t="s">
        <v>353</v>
      </c>
    </row>
    <row r="76" ht="14.25" customHeight="1" spans="1:2">
      <c r="A76">
        <v>39</v>
      </c>
      <c r="B76" s="3" t="s">
        <v>354</v>
      </c>
    </row>
    <row r="77" ht="14.25" customHeight="1" spans="1:2">
      <c r="A77">
        <v>40</v>
      </c>
      <c r="B77" s="3" t="s">
        <v>355</v>
      </c>
    </row>
  </sheetData>
  <conditionalFormatting sqref="D11">
    <cfRule type="duplicateValues" dxfId="1" priority="14"/>
  </conditionalFormatting>
  <conditionalFormatting sqref="E11">
    <cfRule type="duplicateValues" dxfId="1" priority="13"/>
  </conditionalFormatting>
  <conditionalFormatting sqref="D16">
    <cfRule type="duplicateValues" dxfId="1" priority="12"/>
  </conditionalFormatting>
  <conditionalFormatting sqref="E16">
    <cfRule type="duplicateValues" dxfId="1" priority="11"/>
  </conditionalFormatting>
  <conditionalFormatting sqref="F16">
    <cfRule type="duplicateValues" dxfId="1" priority="10"/>
  </conditionalFormatting>
  <conditionalFormatting sqref="G16">
    <cfRule type="duplicateValues" dxfId="1" priority="9"/>
  </conditionalFormatting>
  <conditionalFormatting sqref="D17">
    <cfRule type="duplicateValues" dxfId="1" priority="8"/>
  </conditionalFormatting>
  <conditionalFormatting sqref="E17">
    <cfRule type="duplicateValues" dxfId="1" priority="7"/>
  </conditionalFormatting>
  <conditionalFormatting sqref="F17">
    <cfRule type="duplicateValues" dxfId="1" priority="6"/>
  </conditionalFormatting>
  <conditionalFormatting sqref="G17">
    <cfRule type="duplicateValues" dxfId="1" priority="5"/>
  </conditionalFormatting>
  <conditionalFormatting sqref="D20">
    <cfRule type="duplicateValues" dxfId="1" priority="16"/>
  </conditionalFormatting>
  <conditionalFormatting sqref="E20">
    <cfRule type="duplicateValues" dxfId="1" priority="15"/>
  </conditionalFormatting>
  <conditionalFormatting sqref="D26">
    <cfRule type="duplicateValues" dxfId="1" priority="4"/>
  </conditionalFormatting>
  <conditionalFormatting sqref="E26">
    <cfRule type="duplicateValues" dxfId="1" priority="3"/>
  </conditionalFormatting>
  <conditionalFormatting sqref="D27">
    <cfRule type="duplicateValues" dxfId="1" priority="2"/>
  </conditionalFormatting>
  <conditionalFormatting sqref="E27">
    <cfRule type="duplicateValues" dxfId="1" priority="1"/>
  </conditionalFormatting>
  <conditionalFormatting sqref="D1:D2 D3:D4 D8 D10 D13:D15 D18:D19 D21 D24:D25 D28:D37 D46:D1048576 F1:F2 H1:H2 J1:J2 L1:L2 N1:N2 P1:P2 R1:R2 T1:T2 V1:V2">
    <cfRule type="duplicateValues" dxfId="1" priority="22"/>
  </conditionalFormatting>
  <conditionalFormatting sqref="E1:E2 E3:E4 E8 E10 E13:E15 E18:E19 E21 E24:E25 E28:E1048576 G1:G2 I1:I2 K1:K2 M1:M2 O1:O2 Q1:Q2 S1:S2 U1:U2 W1:W2">
    <cfRule type="duplicateValues" dxfId="1" priority="21"/>
  </conditionalFormatting>
  <conditionalFormatting sqref="D6:D7 F3:F4 F7:F8 F10 F12:F15 F18:F21 F24:F25 F28:F1048576">
    <cfRule type="duplicateValues" dxfId="1" priority="20"/>
  </conditionalFormatting>
  <conditionalFormatting sqref="E6:E7 G3:G4 G7:G8 G10 G12:G15 G18:G21 G24:G25 G28:G1048576">
    <cfRule type="duplicateValues" dxfId="1" priority="19"/>
  </conditionalFormatting>
  <conditionalFormatting sqref="D9 F9">
    <cfRule type="duplicateValues" dxfId="1" priority="18"/>
  </conditionalFormatting>
  <conditionalFormatting sqref="E9 G9">
    <cfRule type="duplicateValues" dxfId="1" priority="17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opLeftCell="A10" workbookViewId="0">
      <selection activeCell="A29" sqref="A29"/>
    </sheetView>
  </sheetViews>
  <sheetFormatPr defaultColWidth="8.72222222222222" defaultRowHeight="14.4" outlineLevelCol="7"/>
  <cols>
    <col min="1" max="1" width="14.2222222222222" style="1" customWidth="1"/>
    <col min="7" max="7" width="9.5462962962963" style="1" customWidth="1"/>
    <col min="8" max="8" width="111.722222222222" style="1" customWidth="1"/>
  </cols>
  <sheetData>
    <row r="1" ht="14.25" customHeight="1" spans="1:8">
      <c r="A1" s="2" t="s">
        <v>356</v>
      </c>
      <c r="B1" s="2" t="s">
        <v>13</v>
      </c>
      <c r="C1" s="2" t="s">
        <v>357</v>
      </c>
      <c r="D1" s="2" t="s">
        <v>13</v>
      </c>
    </row>
    <row r="2" ht="14.25" customHeight="1" spans="1:8">
      <c r="A2" s="3" t="s">
        <v>40</v>
      </c>
      <c r="B2">
        <v>1</v>
      </c>
      <c r="C2" s="3" t="s">
        <v>336</v>
      </c>
      <c r="D2" s="3">
        <v>0</v>
      </c>
    </row>
    <row r="3" ht="14.25" customHeight="1" spans="1:8">
      <c r="A3" s="3" t="s">
        <v>58</v>
      </c>
      <c r="B3">
        <v>2</v>
      </c>
      <c r="C3" s="3" t="s">
        <v>63</v>
      </c>
      <c r="D3" s="3">
        <v>1</v>
      </c>
    </row>
    <row r="4" ht="14.25" customHeight="1" spans="1:8">
      <c r="A4" s="3" t="s">
        <v>358</v>
      </c>
      <c r="B4">
        <v>3</v>
      </c>
      <c r="C4" s="3" t="s">
        <v>41</v>
      </c>
      <c r="D4" s="3">
        <v>2</v>
      </c>
      <c r="G4" s="4">
        <v>1001205</v>
      </c>
      <c r="H4" s="4"/>
    </row>
    <row r="5" ht="14.25" customHeight="1" spans="1:8">
      <c r="A5" s="3" t="s">
        <v>64</v>
      </c>
      <c r="B5">
        <v>4</v>
      </c>
      <c r="C5" s="3" t="s">
        <v>44</v>
      </c>
      <c r="D5" s="3">
        <v>3</v>
      </c>
      <c r="G5" s="3" t="s">
        <v>359</v>
      </c>
      <c r="H5" s="3"/>
    </row>
    <row r="6" ht="14.25" customHeight="1" spans="1:8">
      <c r="A6" s="3" t="s">
        <v>70</v>
      </c>
      <c r="B6">
        <v>5</v>
      </c>
      <c r="C6" s="3" t="s">
        <v>46</v>
      </c>
      <c r="D6" s="3">
        <v>4</v>
      </c>
      <c r="G6" s="3" t="s">
        <v>360</v>
      </c>
      <c r="H6" s="5" t="s">
        <v>361</v>
      </c>
    </row>
    <row r="7" ht="14.25" customHeight="1" spans="1:8">
      <c r="A7" s="3" t="s">
        <v>75</v>
      </c>
      <c r="B7">
        <v>6</v>
      </c>
      <c r="C7" s="3" t="s">
        <v>48</v>
      </c>
      <c r="D7" s="3">
        <v>5</v>
      </c>
      <c r="G7" s="3" t="s">
        <v>362</v>
      </c>
      <c r="H7" s="6" t="s">
        <v>363</v>
      </c>
    </row>
    <row r="8" ht="14.25" customHeight="1" spans="1:8">
      <c r="A8" s="3" t="s">
        <v>83</v>
      </c>
      <c r="B8">
        <v>7</v>
      </c>
      <c r="C8" s="3" t="s">
        <v>50</v>
      </c>
      <c r="D8" s="3">
        <v>6</v>
      </c>
      <c r="G8" s="3" t="s">
        <v>364</v>
      </c>
    </row>
    <row r="9" ht="14.25" customHeight="1" spans="1:8">
      <c r="A9" s="3" t="s">
        <v>84</v>
      </c>
      <c r="B9">
        <v>8</v>
      </c>
      <c r="C9" s="3" t="s">
        <v>52</v>
      </c>
      <c r="D9" s="3">
        <v>7</v>
      </c>
      <c r="G9" s="3" t="s">
        <v>365</v>
      </c>
    </row>
    <row r="10" ht="14.25" customHeight="1" spans="1:8">
      <c r="A10" s="3" t="s">
        <v>87</v>
      </c>
      <c r="B10">
        <v>9</v>
      </c>
      <c r="C10" s="3" t="s">
        <v>54</v>
      </c>
      <c r="D10" s="3">
        <v>8</v>
      </c>
      <c r="G10" s="3" t="s">
        <v>366</v>
      </c>
      <c r="H10" s="3" t="s">
        <v>367</v>
      </c>
    </row>
    <row r="11" ht="14.25" customHeight="1" spans="1:8">
      <c r="A11" s="3" t="s">
        <v>92</v>
      </c>
      <c r="B11">
        <v>10</v>
      </c>
      <c r="C11" s="3" t="s">
        <v>56</v>
      </c>
      <c r="D11" s="3">
        <v>9</v>
      </c>
      <c r="G11" s="3" t="s">
        <v>368</v>
      </c>
      <c r="H11" s="7" t="s">
        <v>369</v>
      </c>
    </row>
    <row r="12" ht="14.25" customHeight="1" spans="1:8">
      <c r="A12" s="8" t="s">
        <v>97</v>
      </c>
      <c r="B12">
        <v>11</v>
      </c>
      <c r="C12" s="3"/>
      <c r="D12" s="3"/>
      <c r="G12" s="3" t="s">
        <v>370</v>
      </c>
    </row>
    <row r="13" ht="14.25" customHeight="1" spans="1:8">
      <c r="A13" s="8" t="s">
        <v>101</v>
      </c>
      <c r="B13">
        <v>12</v>
      </c>
      <c r="C13" s="3"/>
      <c r="D13" s="3"/>
      <c r="G13" s="3"/>
      <c r="H13" s="9"/>
    </row>
    <row r="14" ht="14.25" customHeight="1" spans="1:8">
      <c r="A14" s="8" t="s">
        <v>107</v>
      </c>
      <c r="B14">
        <v>13</v>
      </c>
      <c r="D14" s="3"/>
    </row>
    <row r="15" ht="14.25" customHeight="1" spans="1:8">
      <c r="A15" s="8" t="s">
        <v>112</v>
      </c>
      <c r="B15">
        <v>14</v>
      </c>
      <c r="D15" s="3"/>
    </row>
    <row r="16" ht="14.25" customHeight="1" spans="1:8">
      <c r="A16" s="8" t="s">
        <v>117</v>
      </c>
      <c r="B16">
        <v>15</v>
      </c>
      <c r="D16" s="3"/>
    </row>
    <row r="17" ht="14.25" customHeight="1" spans="1:4">
      <c r="A17" s="8" t="s">
        <v>120</v>
      </c>
      <c r="B17">
        <v>16</v>
      </c>
      <c r="D17" s="3"/>
    </row>
    <row r="18" ht="14.25" customHeight="1" spans="1:4">
      <c r="A18" s="8" t="s">
        <v>123</v>
      </c>
      <c r="B18">
        <v>17</v>
      </c>
      <c r="D18" s="3"/>
    </row>
    <row r="19" ht="14.25" customHeight="1" spans="1:4">
      <c r="A19" s="8" t="s">
        <v>128</v>
      </c>
      <c r="B19">
        <v>18</v>
      </c>
      <c r="D19" s="3"/>
    </row>
    <row r="20" ht="14.25" customHeight="1" spans="1:4">
      <c r="A20" s="8" t="s">
        <v>133</v>
      </c>
      <c r="B20">
        <v>19</v>
      </c>
    </row>
    <row r="21" ht="14.25" customHeight="1" spans="1:4">
      <c r="A21" s="8" t="s">
        <v>138</v>
      </c>
      <c r="B21">
        <v>20</v>
      </c>
    </row>
    <row r="22" ht="14.25" customHeight="1" spans="1:4">
      <c r="A22" s="8" t="s">
        <v>143</v>
      </c>
      <c r="B22">
        <v>21</v>
      </c>
    </row>
    <row r="23" ht="14.25" customHeight="1" spans="1:4">
      <c r="A23" s="8" t="s">
        <v>147</v>
      </c>
      <c r="B23">
        <v>22</v>
      </c>
    </row>
    <row r="24" ht="14.25" customHeight="1" spans="1:4">
      <c r="A24" s="8" t="s">
        <v>150</v>
      </c>
      <c r="B24">
        <v>23</v>
      </c>
    </row>
    <row r="25" ht="14.25" customHeight="1" spans="1:4">
      <c r="A25" s="8" t="s">
        <v>153</v>
      </c>
      <c r="B25">
        <v>24</v>
      </c>
    </row>
    <row r="26" ht="14.25" customHeight="1" spans="1:4">
      <c r="A26" s="8" t="s">
        <v>157</v>
      </c>
      <c r="B26">
        <v>25</v>
      </c>
    </row>
    <row r="27" ht="14.25" customHeight="1" spans="1:4">
      <c r="A27" s="8" t="s">
        <v>161</v>
      </c>
      <c r="B27">
        <v>26</v>
      </c>
    </row>
    <row r="28" ht="14.25" customHeight="1" spans="1:4">
      <c r="A28" s="3" t="s">
        <v>341</v>
      </c>
      <c r="B28">
        <v>27</v>
      </c>
    </row>
    <row r="29" ht="14.25" customHeight="1" spans="1:4">
      <c r="A29" s="3" t="s">
        <v>342</v>
      </c>
      <c r="B29">
        <v>28</v>
      </c>
    </row>
    <row r="30" ht="14.25" customHeight="1" spans="1:4">
      <c r="A30" s="3" t="s">
        <v>343</v>
      </c>
      <c r="B30">
        <v>29</v>
      </c>
    </row>
    <row r="31" ht="14.25" customHeight="1" spans="1:4">
      <c r="A31" s="3" t="s">
        <v>344</v>
      </c>
      <c r="B31">
        <v>30</v>
      </c>
    </row>
    <row r="32" ht="14.25" customHeight="1" spans="1:4">
      <c r="A32" s="3" t="s">
        <v>345</v>
      </c>
      <c r="B32">
        <v>31</v>
      </c>
    </row>
    <row r="33" ht="14.25" customHeight="1" spans="1:2">
      <c r="A33" s="3" t="s">
        <v>346</v>
      </c>
      <c r="B33">
        <v>32</v>
      </c>
    </row>
    <row r="34" ht="14.25" customHeight="1" spans="1:2">
      <c r="A34" s="3" t="s">
        <v>347</v>
      </c>
      <c r="B34">
        <v>33</v>
      </c>
    </row>
    <row r="35" ht="14.25" customHeight="1" spans="1:2">
      <c r="A35" s="3" t="s">
        <v>348</v>
      </c>
      <c r="B35">
        <v>34</v>
      </c>
    </row>
    <row r="36" ht="14.25" customHeight="1" spans="1:2">
      <c r="A36" s="3" t="s">
        <v>349</v>
      </c>
      <c r="B36">
        <v>35</v>
      </c>
    </row>
    <row r="37" ht="14.25" customHeight="1" spans="1:2">
      <c r="A37" s="3" t="s">
        <v>350</v>
      </c>
      <c r="B37">
        <v>36</v>
      </c>
    </row>
    <row r="38" ht="14.25" customHeight="1" spans="1:2">
      <c r="A38" s="3" t="s">
        <v>351</v>
      </c>
      <c r="B38">
        <v>37</v>
      </c>
    </row>
    <row r="39" ht="14.25" customHeight="1" spans="1:2">
      <c r="A39" s="3" t="s">
        <v>352</v>
      </c>
      <c r="B39">
        <v>38</v>
      </c>
    </row>
    <row r="40" ht="14.25" customHeight="1" spans="1:2">
      <c r="A40" s="3" t="s">
        <v>353</v>
      </c>
      <c r="B40">
        <v>39</v>
      </c>
    </row>
    <row r="41" ht="14.25" customHeight="1" spans="1:2">
      <c r="A41" s="3" t="s">
        <v>354</v>
      </c>
      <c r="B41">
        <v>40</v>
      </c>
    </row>
    <row r="42" ht="14.25" customHeight="1" spans="1:2">
      <c r="A42" s="3" t="s">
        <v>355</v>
      </c>
      <c r="B42">
        <v>41</v>
      </c>
    </row>
    <row r="43" spans="1:2">
      <c r="A43" t="s">
        <v>165</v>
      </c>
      <c r="B43">
        <v>42</v>
      </c>
    </row>
    <row r="44" spans="1:2">
      <c r="A44" t="s">
        <v>170</v>
      </c>
      <c r="B44">
        <v>43</v>
      </c>
    </row>
    <row r="45" spans="1:2">
      <c r="A45" t="s">
        <v>175</v>
      </c>
      <c r="B45">
        <v>44</v>
      </c>
    </row>
    <row r="46" spans="1:2">
      <c r="A46" t="s">
        <v>180</v>
      </c>
      <c r="B46">
        <v>45</v>
      </c>
    </row>
    <row r="47" spans="1:2">
      <c r="A47" t="s">
        <v>182</v>
      </c>
      <c r="B47">
        <v>46</v>
      </c>
    </row>
    <row r="48" spans="1:2">
      <c r="A48" t="s">
        <v>184</v>
      </c>
      <c r="B48">
        <v>47</v>
      </c>
    </row>
    <row r="49" spans="1:2">
      <c r="A49" t="s">
        <v>188</v>
      </c>
      <c r="B49">
        <v>48</v>
      </c>
    </row>
    <row r="50" spans="1:2">
      <c r="A50" t="s">
        <v>192</v>
      </c>
      <c r="B50">
        <v>49</v>
      </c>
    </row>
    <row r="51" spans="1:2">
      <c r="A51" t="s">
        <v>371</v>
      </c>
      <c r="B51">
        <v>50</v>
      </c>
    </row>
    <row r="52" spans="1:2">
      <c r="A52" t="s">
        <v>196</v>
      </c>
      <c r="B52">
        <v>51</v>
      </c>
    </row>
    <row r="53" spans="1:2">
      <c r="A53" t="s">
        <v>200</v>
      </c>
      <c r="B53">
        <v>52</v>
      </c>
    </row>
    <row r="54" spans="1:2">
      <c r="A54" t="s">
        <v>204</v>
      </c>
      <c r="B54">
        <v>53</v>
      </c>
    </row>
    <row r="55" spans="1:2">
      <c r="A55" t="s">
        <v>209</v>
      </c>
      <c r="B55">
        <v>54</v>
      </c>
    </row>
    <row r="56" spans="1:2">
      <c r="A56" t="s">
        <v>211</v>
      </c>
      <c r="B56">
        <v>55</v>
      </c>
    </row>
    <row r="57" spans="1:2">
      <c r="A57" t="s">
        <v>213</v>
      </c>
      <c r="B57">
        <v>56</v>
      </c>
    </row>
    <row r="58" spans="1:2">
      <c r="A58" t="s">
        <v>218</v>
      </c>
      <c r="B58">
        <v>57</v>
      </c>
    </row>
    <row r="59" spans="1:2">
      <c r="A59" t="s">
        <v>223</v>
      </c>
      <c r="B59">
        <v>58</v>
      </c>
    </row>
    <row r="60" spans="1:2">
      <c r="A60" t="s">
        <v>227</v>
      </c>
      <c r="B60">
        <v>59</v>
      </c>
    </row>
    <row r="61" spans="1:2">
      <c r="A61" t="s">
        <v>231</v>
      </c>
      <c r="B61">
        <v>60</v>
      </c>
    </row>
    <row r="62" spans="1:2">
      <c r="A62" t="s">
        <v>235</v>
      </c>
      <c r="B62">
        <v>61</v>
      </c>
    </row>
    <row r="63" spans="1:2">
      <c r="A63" t="s">
        <v>239</v>
      </c>
      <c r="B63">
        <v>62</v>
      </c>
    </row>
    <row r="64" spans="1:2">
      <c r="A64" t="s">
        <v>244</v>
      </c>
      <c r="B64">
        <v>63</v>
      </c>
    </row>
    <row r="65" spans="1:2">
      <c r="A65" t="s">
        <v>248</v>
      </c>
      <c r="B65">
        <v>64</v>
      </c>
    </row>
    <row r="66" spans="1:2">
      <c r="A66" t="s">
        <v>253</v>
      </c>
      <c r="B66">
        <v>65</v>
      </c>
    </row>
  </sheetData>
  <mergeCells count="2">
    <mergeCell ref="H7:H9"/>
    <mergeCell ref="H11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spawn_config</vt:lpstr>
      <vt:lpstr>更新说明</vt:lpstr>
      <vt:lpstr>Sheet1</vt:lpstr>
      <vt:lpstr>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白鸠-PuFF</cp:lastModifiedBy>
  <dcterms:created xsi:type="dcterms:W3CDTF">2025-12-18T11:49:00Z</dcterms:created>
  <dcterms:modified xsi:type="dcterms:W3CDTF">2026-09-29T20:22:03Z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2F83C229EB5F406093167F7BEA622036_13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