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works\mortal-cultivation-war3\xlsx\"/>
    </mc:Choice>
  </mc:AlternateContent>
  <bookViews>
    <workbookView windowWidth="22188" windowHeight="9180"/>
  </bookViews>
  <sheets>
    <sheet name="spawn_config" sheetId="1" r:id="rId1"/>
    <sheet name="更新说明" sheetId="2" r:id="rId2"/>
    <sheet name="Sheet1" sheetId="3" r:id="rId3"/>
    <sheet name="编号表" sheetId="4" r:id="rId4"/>
    <sheet name="本轮配置说明" sheetId="5" r:id="rIdConfig5"/>
  </sheets>
  <externalReferences>
    <externalReference r:id="rId5"/>
    <externalReference r:id="rId6"/>
  </externalReferences>
  <definedNames>
    <definedName name="_xlnm._FilterDatabase" localSheetId="0" hidden="1">spawn_config!$A$4:$AB$209</definedName>
    <definedName name="怪物类型">[1]名称表!$A$3:$A$26</definedName>
    <definedName name="说明">[2]名称表!$A$3:$A$26</definedName>
    <definedName name="阵营">[1]名称表!$H$2:$H$9</definedName>
  </definedNames>
  <calcPr calcId="124519" fullCalcOnLoad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1" authorId="0">
      <text>
        <r>
          <rPr>
            <sz val="11"/>
            <color rgb="FF000000"/>
            <rFont val="宋体"/>
            <scheme val="minor"/>
            <charset val="0"/>
          </rPr>
          <t>Admin:
1、区域中心 刷新数量固定是1，刷新面向角度由[刷新参数1]指定
2、区域随机 刷新数量由[刷新参数1]指定,刷新面向角度随机</t>
        </r>
      </text>
    </comment>
  </commentList>
</comments>
</file>

<file path=xl/sharedStrings.xml><?xml version="1.0" encoding="utf-8"?>
<sst xmlns="http://schemas.openxmlformats.org/spreadsheetml/2006/main" count="1169" uniqueCount="400">
  <si>
    <t>##var</t>
  </si>
  <si>
    <t>config_id</t>
  </si>
  <si>
    <t>position</t>
  </si>
  <si>
    <t>spawn_monsters</t>
  </si>
  <si>
    <t>activity</t>
  </si>
  <si>
    <t>##type</t>
  </si>
  <si>
    <t>int</t>
  </si>
  <si>
    <t>string</t>
  </si>
  <si>
    <t>array,SpawnMonster</t>
  </si>
  <si>
    <t>##group</t>
  </si>
  <si>
    <t>s</t>
  </si>
  <si>
    <t>c</t>
  </si>
  <si>
    <t>##</t>
  </si>
  <si>
    <t>编号</t>
  </si>
  <si>
    <t>场景名称</t>
  </si>
  <si>
    <t>怪物类型</t>
  </si>
  <si>
    <t>怪物数量</t>
  </si>
  <si>
    <t>说明</t>
  </si>
  <si>
    <t>刷新位置</t>
  </si>
  <si>
    <t>怪物1配置ID</t>
  </si>
  <si>
    <t>怪物1数量</t>
  </si>
  <si>
    <t>怪物2配置ID</t>
  </si>
  <si>
    <t>怪物2数量</t>
  </si>
  <si>
    <t>怪物3配置ID</t>
  </si>
  <si>
    <t>怪物3数量</t>
  </si>
  <si>
    <t>怪物4配置ID</t>
  </si>
  <si>
    <t>怪物4数量</t>
  </si>
  <si>
    <t>怪物5配置ID</t>
  </si>
  <si>
    <t>怪物5数量</t>
  </si>
  <si>
    <t>怪物6配置ID</t>
  </si>
  <si>
    <t>怪物6数量</t>
  </si>
  <si>
    <t>怪物7配置ID</t>
  </si>
  <si>
    <t>怪物7数量</t>
  </si>
  <si>
    <t>怪物8配置ID</t>
  </si>
  <si>
    <t>怪物8数量</t>
  </si>
  <si>
    <t>怪物9配置ID</t>
  </si>
  <si>
    <t>怪物9数量</t>
  </si>
  <si>
    <t>怪物10配置ID</t>
  </si>
  <si>
    <t>怪物10数量</t>
  </si>
  <si>
    <t>日常活动
activity_config.id；本方案刷出的怪跑什么日常，0/空=驻留</t>
  </si>
  <si>
    <t>天元宗门</t>
  </si>
  <si>
    <t>小怪0</t>
  </si>
  <si>
    <t>鸡</t>
  </si>
  <si>
    <t>区域随机</t>
  </si>
  <si>
    <t>小怪1</t>
  </si>
  <si>
    <t>鹿</t>
  </si>
  <si>
    <t>小怪2</t>
  </si>
  <si>
    <t>羊</t>
  </si>
  <si>
    <t>小怪3</t>
  </si>
  <si>
    <t>稻草人</t>
  </si>
  <si>
    <t>小怪4</t>
  </si>
  <si>
    <t>蛤蟆</t>
  </si>
  <si>
    <t>小怪5</t>
  </si>
  <si>
    <t>蝙蝠</t>
  </si>
  <si>
    <t>小怪6</t>
  </si>
  <si>
    <t>虎卫</t>
  </si>
  <si>
    <t>小怪7</t>
  </si>
  <si>
    <t>鹰卫</t>
  </si>
  <si>
    <t>蚀苇沼·末流所积</t>
  </si>
  <si>
    <t>青魂煞灵</t>
  </si>
  <si>
    <t>深渊水魔</t>
  </si>
  <si>
    <t>冥海幽灵</t>
  </si>
  <si>
    <t>冥河幽魂</t>
  </si>
  <si>
    <t>精英</t>
  </si>
  <si>
    <t>浮沉洲</t>
  </si>
  <si>
    <t>骷髅长枪兵</t>
  </si>
  <si>
    <t>骷髅弓箭手</t>
  </si>
  <si>
    <t>骷髅锤兵</t>
  </si>
  <si>
    <t>骷髅刀斧手</t>
  </si>
  <si>
    <t>骷髅盾卫</t>
  </si>
  <si>
    <t>蔽苇汀</t>
  </si>
  <si>
    <t>跳跳蜂</t>
  </si>
  <si>
    <t>楔蛾</t>
  </si>
  <si>
    <t>蝎蛇</t>
  </si>
  <si>
    <t>腐毒蛙</t>
  </si>
  <si>
    <t>岳骨阶</t>
  </si>
  <si>
    <t>蜈蚣</t>
  </si>
  <si>
    <t>血炼尸妖</t>
  </si>
  <si>
    <t>碎骨妖兵</t>
  </si>
  <si>
    <t>骨棺祭司</t>
  </si>
  <si>
    <t>boss</t>
  </si>
  <si>
    <t>狂骨妖刀将</t>
  </si>
  <si>
    <t>区域中心</t>
  </si>
  <si>
    <t xml:space="preserve">异霭浦 </t>
  </si>
  <si>
    <t>砾台</t>
  </si>
  <si>
    <t>狼</t>
  </si>
  <si>
    <t>红蛇</t>
  </si>
  <si>
    <t>垂练岩·覆而偶开</t>
  </si>
  <si>
    <t>霜锋客</t>
  </si>
  <si>
    <t>霜锋戟将</t>
  </si>
  <si>
    <t>苍玄真人</t>
  </si>
  <si>
    <t>霜锋阵仙</t>
  </si>
  <si>
    <t>水镜滩·水退方见</t>
  </si>
  <si>
    <t>蚀骨血核</t>
  </si>
  <si>
    <t>石像魔狮</t>
  </si>
  <si>
    <t>灵心石魔</t>
  </si>
  <si>
    <t>机关兽</t>
  </si>
  <si>
    <t>沉浊坡</t>
  </si>
  <si>
    <t>无面血妖</t>
  </si>
  <si>
    <t>面首</t>
  </si>
  <si>
    <t>心魔</t>
  </si>
  <si>
    <t>豁烟水</t>
  </si>
  <si>
    <t>大老鼠</t>
  </si>
  <si>
    <t>普通尸妖</t>
  </si>
  <si>
    <t>玄冥尸</t>
  </si>
  <si>
    <t>尸鬼</t>
  </si>
  <si>
    <t>爬行尸鬼</t>
  </si>
  <si>
    <t>密荷影</t>
  </si>
  <si>
    <t>暗狱角魔</t>
  </si>
  <si>
    <t>幽灵龙蛟</t>
  </si>
  <si>
    <t>泥沼蛙</t>
  </si>
  <si>
    <t>幽泽蛟王</t>
  </si>
  <si>
    <t>末分石</t>
  </si>
  <si>
    <t>深渊战魔</t>
  </si>
  <si>
    <t>深渊剑魂</t>
  </si>
  <si>
    <t>邪甲战魔</t>
  </si>
  <si>
    <t>深渊妖尊</t>
  </si>
  <si>
    <t>粉浪风</t>
  </si>
  <si>
    <t>狐狸</t>
  </si>
  <si>
    <t>毒蜘蛛</t>
  </si>
  <si>
    <t>漫莎台</t>
  </si>
  <si>
    <t>蝎子</t>
  </si>
  <si>
    <t>暴牙蜘蛛</t>
  </si>
  <si>
    <t>匿汊口</t>
  </si>
  <si>
    <t>荒古石像</t>
  </si>
  <si>
    <t>云纹巨灵</t>
  </si>
  <si>
    <t>镇符兽</t>
  </si>
  <si>
    <t>秘境守护者</t>
  </si>
  <si>
    <t>砾藏岩</t>
  </si>
  <si>
    <t>金霄戟将</t>
  </si>
  <si>
    <t>金霄守卫</t>
  </si>
  <si>
    <t>玄阳仙人</t>
  </si>
  <si>
    <t>金羽仙主</t>
  </si>
  <si>
    <t>风背余晦</t>
  </si>
  <si>
    <t>炎晶狱魔</t>
  </si>
  <si>
    <t>炎晶虫</t>
  </si>
  <si>
    <t>炎晶狱主</t>
  </si>
  <si>
    <t>砺赭坂</t>
  </si>
  <si>
    <t>焚山岩魔</t>
  </si>
  <si>
    <t>焚山石灵</t>
  </si>
  <si>
    <t>焚山岩龟</t>
  </si>
  <si>
    <t>焚山魔王</t>
  </si>
  <si>
    <t>铁色横侵</t>
  </si>
  <si>
    <t>熔岩战傀</t>
  </si>
  <si>
    <t>熔火巨蟒</t>
  </si>
  <si>
    <t>赤发魔童</t>
  </si>
  <si>
    <t>焚界炎帝</t>
  </si>
  <si>
    <t>伏沟鸣石</t>
  </si>
  <si>
    <t>赤焰岩卫</t>
  </si>
  <si>
    <t>炎牛将军</t>
  </si>
  <si>
    <t>无首狱侯</t>
  </si>
  <si>
    <t>褐苔含润</t>
  </si>
  <si>
    <t>山中虎</t>
  </si>
  <si>
    <t>冥牙虎</t>
  </si>
  <si>
    <t>肩生瘠芽</t>
  </si>
  <si>
    <t>赤斑蟒</t>
  </si>
  <si>
    <t>飞隼</t>
  </si>
  <si>
    <t>岩腹潜龛</t>
  </si>
  <si>
    <t>山猊</t>
  </si>
  <si>
    <t>枫骨妖</t>
  </si>
  <si>
    <t>假面邪徒</t>
  </si>
  <si>
    <t>水息留痕</t>
  </si>
  <si>
    <t>荒村游魂</t>
  </si>
  <si>
    <t>幽笼炼魂士</t>
  </si>
  <si>
    <t>幽火骨煞</t>
  </si>
  <si>
    <t>泻砾堑</t>
  </si>
  <si>
    <t>黑锷蜘蛛</t>
  </si>
  <si>
    <t>钢牙蜘蛛</t>
  </si>
  <si>
    <t>天狼蜘蛛</t>
  </si>
  <si>
    <t>花吻蜘蛛</t>
  </si>
  <si>
    <t>幽崩谷</t>
  </si>
  <si>
    <t>血纹蛛姬</t>
  </si>
  <si>
    <t>寒晶蛛魔</t>
  </si>
  <si>
    <t>多臂血魔</t>
  </si>
  <si>
    <t>炎蛛魔帝</t>
  </si>
  <si>
    <t>截风坡</t>
  </si>
  <si>
    <t>浮墟祈师</t>
  </si>
  <si>
    <t>腐角剑士</t>
  </si>
  <si>
    <t>腐林王尊</t>
  </si>
  <si>
    <t>玄罡魔尊</t>
  </si>
  <si>
    <t>隙光苔</t>
  </si>
  <si>
    <t>熊</t>
  </si>
  <si>
    <t>浸岩菖</t>
  </si>
  <si>
    <t>腐毒穿山甲</t>
  </si>
  <si>
    <t>裂口</t>
  </si>
  <si>
    <t>破戒金刚</t>
  </si>
  <si>
    <t>禅斧武僧</t>
  </si>
  <si>
    <t>焚魔禅师</t>
  </si>
  <si>
    <t>承影</t>
  </si>
  <si>
    <t>澄光坐佛</t>
  </si>
  <si>
    <t>金身护法</t>
  </si>
  <si>
    <t>寂莲堕尊</t>
  </si>
  <si>
    <t>壅浊石</t>
  </si>
  <si>
    <t>腐虫</t>
  </si>
  <si>
    <t>磷骨犬</t>
  </si>
  <si>
    <t>空寂</t>
  </si>
  <si>
    <t>沉岚</t>
  </si>
  <si>
    <t>山贼杂兵</t>
  </si>
  <si>
    <t>草笠山贼</t>
  </si>
  <si>
    <t>醉酒刀客</t>
  </si>
  <si>
    <t>悬晖</t>
  </si>
  <si>
    <t>巨斧山贼</t>
  </si>
  <si>
    <t>山贼队长</t>
  </si>
  <si>
    <t>山贼头目</t>
  </si>
  <si>
    <t>隐翳</t>
  </si>
  <si>
    <t>狼牙小卒</t>
  </si>
  <si>
    <t>狼牙先锋</t>
  </si>
  <si>
    <t>狼牙战士</t>
  </si>
  <si>
    <t>狼牙妖尊</t>
  </si>
  <si>
    <t>云根露</t>
  </si>
  <si>
    <t>铁臂巨猿</t>
  </si>
  <si>
    <t>风痕苔生</t>
  </si>
  <si>
    <t>鳄鱼</t>
  </si>
  <si>
    <t>涓台窦</t>
  </si>
  <si>
    <t>紫霄散仙</t>
  </si>
  <si>
    <t>金甲门神</t>
  </si>
  <si>
    <t>雷泽战尊</t>
  </si>
  <si>
    <t>托塔天王</t>
  </si>
  <si>
    <t>孔收暮影</t>
  </si>
  <si>
    <t>寒晶遗傀</t>
  </si>
  <si>
    <t>荒古石将</t>
  </si>
  <si>
    <t>云环守卫</t>
  </si>
  <si>
    <t>环锁魂灵</t>
  </si>
  <si>
    <t>雾黯岩</t>
  </si>
  <si>
    <t>赤角魔獠</t>
  </si>
  <si>
    <t>链炉火奴</t>
  </si>
  <si>
    <t>赤幡炎将</t>
  </si>
  <si>
    <t>雪檐古兽</t>
  </si>
  <si>
    <t>残颅獠将</t>
  </si>
  <si>
    <t>残骨士卒</t>
  </si>
  <si>
    <t>赤纹魔狞</t>
  </si>
  <si>
    <t>残骨将军</t>
  </si>
  <si>
    <t>霰砾坡</t>
  </si>
  <si>
    <t>链锤魔猪</t>
  </si>
  <si>
    <t>蛮猪战士</t>
  </si>
  <si>
    <t>蛮猪勇士</t>
  </si>
  <si>
    <t>链锤野猪</t>
  </si>
  <si>
    <t>融口初声</t>
  </si>
  <si>
    <t>妄念猪罗</t>
  </si>
  <si>
    <t>九齿天蓬</t>
  </si>
  <si>
    <t>赤鬃蛮猪</t>
  </si>
  <si>
    <t>凇覆苔痕</t>
  </si>
  <si>
    <t>犀牛妖兵</t>
  </si>
  <si>
    <t>破阵战牛</t>
  </si>
  <si>
    <t>岩棘魔蜥</t>
  </si>
  <si>
    <t>蛮牛魔灵</t>
  </si>
  <si>
    <t>寒水迟芽</t>
  </si>
  <si>
    <t>毒萝花姬</t>
  </si>
  <si>
    <t>食人花</t>
  </si>
  <si>
    <t>花犬</t>
  </si>
  <si>
    <t>鞍窍</t>
  </si>
  <si>
    <t>碧涛蛟仙</t>
  </si>
  <si>
    <t>碧涛龙蛟</t>
  </si>
  <si>
    <t>碧涛羽客</t>
  </si>
  <si>
    <t>霁台</t>
  </si>
  <si>
    <t>幽澜刀尉</t>
  </si>
  <si>
    <t>凝霜水魂</t>
  </si>
  <si>
    <t>玄金傀卫</t>
  </si>
  <si>
    <t>凛冽坡</t>
  </si>
  <si>
    <t>冰晶龟</t>
  </si>
  <si>
    <t>寒冰巨犀</t>
  </si>
  <si>
    <t>冰煞巨兽</t>
  </si>
  <si>
    <t>虚浮台</t>
  </si>
  <si>
    <t>冰尸妖</t>
  </si>
  <si>
    <t>阴魂女煞</t>
  </si>
  <si>
    <t>霜风射手</t>
  </si>
  <si>
    <t>照影窗</t>
  </si>
  <si>
    <t>玄冰守将</t>
  </si>
  <si>
    <t>玄枢鼎君</t>
  </si>
  <si>
    <t>BOSS</t>
  </si>
  <si>
    <t>北境玄帝</t>
  </si>
  <si>
    <t>回光藓</t>
  </si>
  <si>
    <t>寒天虎</t>
  </si>
  <si>
    <t>风偃枝</t>
  </si>
  <si>
    <t>灵鹤</t>
  </si>
  <si>
    <t>阖岫口</t>
  </si>
  <si>
    <t>冰虫</t>
  </si>
  <si>
    <t>墟晶魔兽</t>
  </si>
  <si>
    <t>霜渊冥姬</t>
  </si>
  <si>
    <t>坠尽渊</t>
  </si>
  <si>
    <t>玄苍遗种</t>
  </si>
  <si>
    <t>玄霜战猿</t>
  </si>
  <si>
    <t>独眼魔石像</t>
  </si>
  <si>
    <t>昏金岩</t>
  </si>
  <si>
    <t>执旗蛮奴</t>
  </si>
  <si>
    <t>浮台冥君</t>
  </si>
  <si>
    <t>枷罗冥主</t>
  </si>
  <si>
    <t>版本号</t>
  </si>
  <si>
    <t>内容</t>
  </si>
  <si>
    <t>V1.12</t>
  </si>
  <si>
    <t>减少数量</t>
  </si>
  <si>
    <t>V1.13</t>
  </si>
  <si>
    <t>增加刷怪场景</t>
  </si>
  <si>
    <t>V1.14</t>
  </si>
  <si>
    <t>增加两个测试木桩，30和31</t>
  </si>
  <si>
    <t>V1.15</t>
  </si>
  <si>
    <t>增加蛤蟆刷新场景</t>
  </si>
  <si>
    <t>V1.16</t>
  </si>
  <si>
    <t>重新整理怪物刷新配置，新增，改ID规则等</t>
  </si>
  <si>
    <t>V1.17</t>
  </si>
  <si>
    <t>新增新手村刷怪方案；比奇城boss怪物更改为木桩；</t>
  </si>
  <si>
    <t>V1.18</t>
  </si>
  <si>
    <t>V1.19</t>
  </si>
  <si>
    <t>V1.20</t>
  </si>
  <si>
    <t>V1.21</t>
  </si>
  <si>
    <t>V1.22</t>
  </si>
  <si>
    <t>V1.23</t>
  </si>
  <si>
    <t>V1.24</t>
  </si>
  <si>
    <t>V1.25</t>
  </si>
  <si>
    <t>V1.26</t>
  </si>
  <si>
    <t>V1.27</t>
  </si>
  <si>
    <t>V1.28</t>
  </si>
  <si>
    <t>V1.29</t>
  </si>
  <si>
    <t>V1.30</t>
  </si>
  <si>
    <t>V1.31</t>
  </si>
  <si>
    <t>V1.32</t>
  </si>
  <si>
    <t>MonsterID1</t>
  </si>
  <si>
    <t>MonsterCount1</t>
  </si>
  <si>
    <t>MonsterID2</t>
  </si>
  <si>
    <t>MonsterCount2</t>
  </si>
  <si>
    <t>MonsterID3</t>
  </si>
  <si>
    <t>MonsterCount3</t>
  </si>
  <si>
    <t>MonsterID4</t>
  </si>
  <si>
    <t>MonsterCount4</t>
  </si>
  <si>
    <t>MonsterID5</t>
  </si>
  <si>
    <t>MonsterCount5</t>
  </si>
  <si>
    <t>MonsterID6</t>
  </si>
  <si>
    <t>MonsterCount6</t>
  </si>
  <si>
    <t>MonsterID7</t>
  </si>
  <si>
    <t>MonsterCount7</t>
  </si>
  <si>
    <t>MonsterID8</t>
  </si>
  <si>
    <t>MonsterCount8</t>
  </si>
  <si>
    <t>MonsterID9</t>
  </si>
  <si>
    <t>MonsterCount9</t>
  </si>
  <si>
    <t>MonsterID10</t>
  </si>
  <si>
    <t>MonsterCount10</t>
  </si>
  <si>
    <t>比奇城</t>
  </si>
  <si>
    <t>祖玛寺庙一层</t>
  </si>
  <si>
    <t>祖玛寺庙二层</t>
  </si>
  <si>
    <t>祖玛阁</t>
  </si>
  <si>
    <t>教主大殿</t>
  </si>
  <si>
    <t>兽人古墓一层</t>
  </si>
  <si>
    <t>兽人古墓二层</t>
  </si>
  <si>
    <t>国王陵墓</t>
  </si>
  <si>
    <t>废矿区东部</t>
  </si>
  <si>
    <t>尸王殿</t>
  </si>
  <si>
    <t>地牢</t>
  </si>
  <si>
    <t>黑暗地带</t>
  </si>
  <si>
    <t>死亡棺材</t>
  </si>
  <si>
    <t>未知暗殿</t>
  </si>
  <si>
    <t>沃玛寺庙一层</t>
  </si>
  <si>
    <t>沃玛寺庙二层</t>
  </si>
  <si>
    <t>沃玛教主大殿</t>
  </si>
  <si>
    <t>石墓一层</t>
  </si>
  <si>
    <t>石墓阵入口</t>
  </si>
  <si>
    <t>石墓阵出口</t>
  </si>
  <si>
    <t>石墓阵顶层</t>
  </si>
  <si>
    <t>桃源之门</t>
  </si>
  <si>
    <t>困惑殿堂</t>
  </si>
  <si>
    <t>怪1</t>
  </si>
  <si>
    <t>怪2</t>
  </si>
  <si>
    <t>怪3</t>
  </si>
  <si>
    <t>怪4</t>
  </si>
  <si>
    <t>怪5</t>
  </si>
  <si>
    <t>怪6</t>
  </si>
  <si>
    <t>石墓顶层</t>
  </si>
  <si>
    <t>祖玛教主之家</t>
  </si>
  <si>
    <t>封魔矿区</t>
  </si>
  <si>
    <t>光芒回廊</t>
  </si>
  <si>
    <t>封魔殿</t>
  </si>
  <si>
    <t>尸魔洞一层</t>
  </si>
  <si>
    <t>尸魔洞二层</t>
  </si>
  <si>
    <t>骨魔洞一层</t>
  </si>
  <si>
    <t>骨魔洞二层</t>
  </si>
  <si>
    <t>牛魔寺庙入口</t>
  </si>
  <si>
    <t>牛魔寺庙一层</t>
  </si>
  <si>
    <t>牛魔寺庙大厅</t>
  </si>
  <si>
    <t>丛林迷宫</t>
  </si>
  <si>
    <t>赤月峡谷西走廊</t>
  </si>
  <si>
    <t>赤月峡谷东二层</t>
  </si>
  <si>
    <t>赤月峡谷广场</t>
  </si>
  <si>
    <t>抉择之地</t>
  </si>
  <si>
    <t>恶魔祭坛</t>
  </si>
  <si>
    <t>赤月魔穴</t>
  </si>
  <si>
    <t>场景名</t>
  </si>
  <si>
    <t>类型</t>
  </si>
  <si>
    <t>望岳津</t>
  </si>
  <si>
    <t>怪物刷新配置1开头7位数</t>
  </si>
  <si>
    <t>第1位</t>
  </si>
  <si>
    <t>1开头</t>
  </si>
  <si>
    <t>第2位</t>
  </si>
  <si>
    <t>用场景来代表级别。相当于装备的阶级，沃玛级，祖玛级，苍月级，赤月级等，2位应该够，暂时用3位保险。这个级别和场景区域配置严格匹配，相等。和其他一样，表示在哪个地图</t>
  </si>
  <si>
    <t>第3位</t>
  </si>
  <si>
    <t>第4位</t>
  </si>
  <si>
    <t>第5位</t>
  </si>
  <si>
    <t>怪物身份，区分普通/精英怪/BOSS</t>
  </si>
  <si>
    <t>第6位</t>
  </si>
  <si>
    <t>具体数字表示这个怪物刷新配置里刷多少个怪100以内可以随便填
也可以用不同数字代表不同的BOSS，比如末位配置1，2，3，4表示都刷新一个，分别代表BOSS1,BOSS2,BOSS3,BOSS4</t>
  </si>
  <si>
    <t>第7位</t>
  </si>
  <si>
    <t>石息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</si>
</sst>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sz val="9"/>
      <color indexed="8"/>
      <name val="微软雅黑"/>
      <charset val="134"/>
    </font>
    <font>
      <sz val="9"/>
      <color rgb="FF000000"/>
      <name val="微软雅黑"/>
      <charset val="134"/>
    </font>
    <font>
      <sz val="9"/>
      <color rgb="FFFF0000"/>
      <name val="微软雅黑"/>
      <charset val="134"/>
    </font>
    <font>
      <sz val="11"/>
      <color indexed="8"/>
      <name val="宋体"/>
      <charset val="134"/>
    </font>
    <font>
      <sz val="9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0"/>
      <scheme val="minor"/>
    </font>
    <font>
      <sz val="11"/>
      <name val="Carlito"/>
    </font>
    <font>
      <sz val="10"/>
      <name val="Microsoft YaHei"/>
    </font>
    <font>
      <b/>
      <sz val="10"/>
      <color rgb="FFFFFFFF"/>
      <name val="Microsoft YaHei"/>
    </font>
    <font>
      <sz val="11"/>
      <name val="Carlito"/>
    </font>
    <font>
      <sz val="10"/>
      <name val="Microsoft YaHei"/>
    </font>
    <font>
      <b/>
      <sz val="10"/>
      <color rgb="FFFFFFFF"/>
      <name val="Microsoft YaHei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none"/>
    </fill>
    <fill>
      <patternFill patternType="gray125"/>
    </fill>
    <fill>
      <patternFill patternType="solid">
        <fgColor rgb="FF17365D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51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6" fillId="35" borderId="10"/>
    <xf numFmtId="0" fontId="29" fillId="38" borderId="11"/>
  </cellStyleXfs>
  <cellXfs count="29">
    <xf numFmtId="0" fontId="0" fillId="0" borderId="0" xfId="0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" fillId="0" borderId="0" xfId="0" applyFont="1" applyFill="1" applyAlignme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right" vertical="center"/>
    </xf>
    <xf numFmtId="0" fontId="5" fillId="3" borderId="0" xfId="0" applyFont="1" applyFill="1" applyAlignment="1">
      <alignment horizontal="center" vertical="center"/>
    </xf>
    <xf numFmtId="0" fontId="5" fillId="3" borderId="0" xfId="0" applyFont="1" applyFill="1">
      <alignment vertical="center"/>
    </xf>
    <xf numFmtId="0" fontId="5" fillId="3" borderId="0" xfId="0" applyFont="1" applyFill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Fill="1" applyAlignment="1">
      <alignment vertical="center"/>
    </xf>
    <xf numFmtId="0" fontId="26" fillId="35" borderId="10" xfId="49"/>
    <xf numFmtId="0" fontId="27" fillId="35" borderId="10" xfId="49" applyNumberFormat="1" applyFont="1" applyFill="1" applyBorder="1"/>
    <xf numFmtId="0" fontId="27" fillId="35" borderId="10" xfId="49" applyNumberFormat="1" applyFont="1" applyFill="1" applyBorder="1" applyAlignment="1">
      <alignment wrapText="1"/>
    </xf>
    <xf numFmtId="0" fontId="27" fillId="37" borderId="10" xfId="49" applyNumberFormat="1" applyFont="1" applyFill="1" applyBorder="1" applyAlignment="1">
      <alignment wrapText="1"/>
    </xf>
    <xf numFmtId="0" fontId="28" fillId="37" borderId="10" xfId="49" applyNumberFormat="1" applyFont="1" applyFill="1" applyBorder="1" applyAlignment="1">
      <alignment wrapText="1"/>
    </xf>
    <xf numFmtId="0" fontId="29" fillId="38" borderId="11" xfId="50"/>
    <xf numFmtId="0" fontId="30" fillId="38" borderId="11" xfId="50" applyNumberFormat="1" applyFont="1" applyFill="1" applyBorder="1"/>
    <xf numFmtId="0" fontId="30" fillId="38" borderId="11" xfId="50" applyNumberFormat="1" applyFont="1" applyFill="1" applyBorder="1" applyAlignment="1">
      <alignment wrapText="1"/>
    </xf>
    <xf numFmtId="0" fontId="30" fillId="40" borderId="11" xfId="50" applyNumberFormat="1" applyFont="1" applyFill="1" applyBorder="1" applyAlignment="1">
      <alignment wrapText="1"/>
    </xf>
    <xf numFmtId="0" fontId="31" fillId="40" borderId="11" xfId="50" applyNumberFormat="1" applyFont="1" applyFill="1" applyBorder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'1.0' encoding='UTF-8' standalone='yes'?>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Config5" Type="http://schemas.openxmlformats.org/officeDocument/2006/relationships/worksheet" Target="worksheets/sheet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GuaiWu1.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24618;&#29289;&#34920;1.40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figMonster"/>
      <sheetName val="策划用表"/>
      <sheetName val="编号表"/>
      <sheetName val="名称表"/>
      <sheetName val="版本变更"/>
      <sheetName val="Sheet1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onfigMonster"/>
      <sheetName val="编号表"/>
      <sheetName val="名称表"/>
      <sheetName val="版本变更"/>
      <sheetName val="Sheet1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61"/>
  <sheetViews>
    <sheetView tabSelected="1" workbookViewId="0">
      <pane ySplit="2" topLeftCell="A129" activePane="bottomLeft" state="frozen"/>
      <selection/>
      <selection pane="bottomLeft" activeCell="E203" sqref="E195"/>
    </sheetView>
  </sheetViews>
  <sheetFormatPr defaultColWidth="8.72222222222222" defaultRowHeight="13.2"/>
  <cols>
    <col min="1" max="1" width="8.81481481481481" style="12" customWidth="1"/>
    <col min="2" max="2" width="8.4537037037037" style="12" customWidth="1"/>
    <col min="3" max="3" width="13" style="12" customWidth="1"/>
    <col min="4" max="4" width="7.81481481481481" style="12" customWidth="1"/>
    <col min="5" max="5" width="23.0925925925926" style="12" customWidth="1"/>
    <col min="6" max="6" width="25.5462962962963" style="12" customWidth="1"/>
    <col min="7" max="7" width="11.2685185185185" style="12" customWidth="1"/>
    <col min="8" max="8" width="10.6296296296296" style="12" customWidth="1"/>
    <col min="9" max="9" width="11.2685185185185" style="13" customWidth="1"/>
    <col min="10" max="10" width="8.72222222222222" style="12" customWidth="1"/>
    <col min="11" max="11" width="11.2685185185185" style="12" customWidth="1"/>
    <col min="12" max="12" width="8.72222222222222" style="12" customWidth="1"/>
    <col min="13" max="13" width="11.2685185185185" style="12" customWidth="1"/>
    <col min="14" max="14" width="8.72222222222222" style="12" customWidth="1"/>
    <col min="15" max="15" width="11.2685185185185" style="12" customWidth="1"/>
    <col min="16" max="16" width="8.72222222222222" style="12" customWidth="1"/>
    <col min="17" max="17" width="11.2685185185185" style="12" customWidth="1"/>
    <col min="18" max="18" width="8.72222222222222" style="12" customWidth="1"/>
    <col min="19" max="19" width="11.2685185185185" style="12" customWidth="1"/>
    <col min="20" max="20" width="8.72222222222222" style="12" customWidth="1"/>
    <col min="21" max="21" width="11.2685185185185" style="12" customWidth="1"/>
    <col min="22" max="22" width="8.72222222222222" style="12" customWidth="1"/>
    <col min="23" max="23" width="11.2685185185185" style="12" customWidth="1"/>
    <col min="24" max="24" width="8.72222222222222" style="12" customWidth="1"/>
    <col min="25" max="25" width="11.2685185185185" style="12" customWidth="1"/>
    <col min="26" max="26" width="8.72222222222222" style="12" customWidth="1"/>
    <col min="27" max="16384" width="8.72222222222222" style="12"/>
  </cols>
  <sheetData>
    <row r="1" ht="14.4" spans="1:28">
      <c r="A1" s="14" t="s">
        <v>0</v>
      </c>
      <c r="B1" s="14" t="s">
        <v>1</v>
      </c>
      <c r="C1" s="15"/>
      <c r="D1" s="15"/>
      <c r="E1" s="15"/>
      <c r="F1" s="15"/>
      <c r="G1" s="14" t="s">
        <v>2</v>
      </c>
      <c r="H1" s="14" t="s">
        <v>3</v>
      </c>
      <c r="I1" s="16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t="s">
        <v>4</v>
      </c>
    </row>
    <row r="2" ht="14.4" spans="1:28">
      <c r="A2" s="14" t="s">
        <v>5</v>
      </c>
      <c r="B2" s="14" t="s">
        <v>6</v>
      </c>
      <c r="C2" s="15"/>
      <c r="D2" s="15"/>
      <c r="E2" s="15"/>
      <c r="F2" s="15"/>
      <c r="G2" s="14" t="s">
        <v>7</v>
      </c>
      <c r="H2" s="14" t="s">
        <v>8</v>
      </c>
      <c r="I2" s="16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t="s">
        <v>6</v>
      </c>
    </row>
    <row r="3" ht="14.4" spans="1:28">
      <c r="A3" s="14" t="s">
        <v>9</v>
      </c>
      <c r="B3" s="14"/>
      <c r="C3" s="15"/>
      <c r="D3" s="15"/>
      <c r="E3" s="15"/>
      <c r="F3" s="15"/>
      <c r="G3" s="14" t="s">
        <v>10</v>
      </c>
      <c r="H3" s="14" t="s">
        <v>10</v>
      </c>
      <c r="I3" s="16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t="s">
        <v>11</v>
      </c>
    </row>
    <row r="4" ht="14.4" spans="1:28">
      <c r="A4" s="14" t="s">
        <v>12</v>
      </c>
      <c r="B4" s="15" t="s">
        <v>13</v>
      </c>
      <c r="C4" s="15" t="s">
        <v>14</v>
      </c>
      <c r="D4" s="15" t="s">
        <v>15</v>
      </c>
      <c r="E4" s="15" t="s">
        <v>16</v>
      </c>
      <c r="F4" s="15" t="s">
        <v>17</v>
      </c>
      <c r="G4" s="14" t="s">
        <v>18</v>
      </c>
      <c r="H4" s="14" t="s">
        <v>19</v>
      </c>
      <c r="I4" s="16" t="s">
        <v>20</v>
      </c>
      <c r="J4" s="14" t="s">
        <v>21</v>
      </c>
      <c r="K4" s="15" t="s">
        <v>22</v>
      </c>
      <c r="L4" s="14" t="s">
        <v>23</v>
      </c>
      <c r="M4" s="15" t="s">
        <v>24</v>
      </c>
      <c r="N4" s="14" t="s">
        <v>25</v>
      </c>
      <c r="O4" s="15" t="s">
        <v>26</v>
      </c>
      <c r="P4" s="14" t="s">
        <v>27</v>
      </c>
      <c r="Q4" s="15" t="s">
        <v>28</v>
      </c>
      <c r="R4" s="14" t="s">
        <v>29</v>
      </c>
      <c r="S4" s="15" t="s">
        <v>30</v>
      </c>
      <c r="T4" s="14" t="s">
        <v>31</v>
      </c>
      <c r="U4" s="15" t="s">
        <v>32</v>
      </c>
      <c r="V4" s="14" t="s">
        <v>33</v>
      </c>
      <c r="W4" s="15" t="s">
        <v>34</v>
      </c>
      <c r="X4" s="14" t="s">
        <v>35</v>
      </c>
      <c r="Y4" s="15" t="s">
        <v>36</v>
      </c>
      <c r="Z4" s="14" t="s">
        <v>37</v>
      </c>
      <c r="AA4" s="15" t="s">
        <v>38</v>
      </c>
      <c r="AB4" t="s">
        <v>39</v>
      </c>
    </row>
    <row r="5" spans="1:28">
      <c r="A5" s="8"/>
      <c r="B5" t="n" s="12">
        <f>1000000+INDEX(编号表!$B:$B,MATCH(C5,编号表!$A:$A,0))*1000+INDEX(编号表!$D:$D,MATCH(D5,编号表!$C:$C,0))*100+E5</f>
        <v>1002303</v>
      </c>
      <c r="C5" t="str" s="3">
        <v>蚀苇沼·末流所积</v>
      </c>
      <c r="D5" t="str" s="12">
        <v>小怪1</v>
      </c>
      <c r="E5" t="n" s="12">
        <v>3</v>
      </c>
      <c r="F5" t="str" s="12">
        <v>魔化苇泽灵蛙</v>
      </c>
      <c r="G5" t="str" s="17">
        <v>区域随机</v>
      </c>
      <c r="H5" t="n" s="12">
        <v>60021014</v>
      </c>
      <c r="I5" t="n" s="12">
        <v>2</v>
      </c>
      <c r="J5" s="17"/>
      <c r="K5" s="17"/>
      <c r="L5"/>
      <c r="M5" s="17"/>
      <c r="N5"/>
      <c r="O5" s="17"/>
      <c r="P5"/>
      <c r="Q5" s="17"/>
      <c r="R5"/>
      <c r="S5" s="17"/>
      <c r="T5"/>
      <c r="U5" s="17"/>
      <c r="V5"/>
      <c r="W5" s="17"/>
      <c r="X5"/>
      <c r="Y5" s="17"/>
      <c r="Z5"/>
      <c r="AA5" s="17"/>
      <c r="AB5" t="n">
        <v>0</v>
      </c>
    </row>
    <row r="6" spans="1:28">
      <c r="A6" s="8"/>
      <c r="B6" t="n" s="12">
        <f>1000000+INDEX(编号表!$B:$B,MATCH(C6,编号表!$A:$A,0))*1000+INDEX(编号表!$D:$D,MATCH(D6,编号表!$C:$C,0))*100+E6</f>
        <v>1002403</v>
      </c>
      <c r="C6" t="str" s="3">
        <v>蚀苇沼·末流所积</v>
      </c>
      <c r="D6" t="str" s="12">
        <v>小怪2</v>
      </c>
      <c r="E6" t="n" s="12">
        <v>3</v>
      </c>
      <c r="F6" t="str" s="18">
        <v>魔化岩隙灵蝠</v>
      </c>
      <c r="G6" t="str" s="17">
        <v>区域随机</v>
      </c>
      <c r="H6" t="n" s="12">
        <v>60021015</v>
      </c>
      <c r="I6" t="n" s="12">
        <v>2</v>
      </c>
      <c r="J6" s="17"/>
      <c r="K6" s="17"/>
      <c r="L6"/>
      <c r="M6" s="17"/>
      <c r="N6"/>
      <c r="O6" s="17"/>
      <c r="P6"/>
      <c r="Q6" s="17"/>
      <c r="R6"/>
      <c r="S6" s="17"/>
      <c r="T6"/>
      <c r="U6" s="17"/>
      <c r="V6"/>
      <c r="W6" s="17"/>
      <c r="X6"/>
      <c r="Y6" s="17"/>
      <c r="Z6"/>
      <c r="AA6" s="17"/>
      <c r="AB6" t="n">
        <v>0</v>
      </c>
    </row>
    <row r="7" spans="1:28">
      <c r="A7" s="8"/>
      <c r="B7" t="n" s="12">
        <f>1000000+INDEX(编号表!$B:$B,MATCH(C7,编号表!$A:$A,0))*1000+INDEX(编号表!$D:$D,MATCH(D7,编号表!$C:$C,0))*100+E7</f>
        <v>1002503</v>
      </c>
      <c r="C7" t="str" s="3">
        <v>蚀苇沼·末流所积</v>
      </c>
      <c r="D7" t="str" s="12">
        <v>小怪3</v>
      </c>
      <c r="E7" t="n" s="12">
        <v>3</v>
      </c>
      <c r="F7" t="str" s="18">
        <v>魔化汀岸灵狼</v>
      </c>
      <c r="G7" t="str" s="17">
        <v>区域随机</v>
      </c>
      <c r="H7" t="n" s="12">
        <v>60021016</v>
      </c>
      <c r="I7" t="n" s="12">
        <v>2</v>
      </c>
      <c r="J7" s="17"/>
      <c r="K7" s="17"/>
      <c r="L7"/>
      <c r="M7" s="17"/>
      <c r="N7"/>
      <c r="O7" s="17"/>
      <c r="P7"/>
      <c r="Q7" s="17"/>
      <c r="R7"/>
      <c r="S7" s="17"/>
      <c r="T7"/>
      <c r="U7" s="17"/>
      <c r="V7"/>
      <c r="W7" s="17"/>
      <c r="X7"/>
      <c r="Y7" s="17"/>
      <c r="Z7"/>
      <c r="AA7" s="17"/>
      <c r="AB7" t="n">
        <v>0</v>
      </c>
    </row>
    <row r="8" spans="1:28">
      <c r="A8" s="8"/>
      <c r="B8" t="n" s="12">
        <f>1000000+INDEX(编号表!$B:$B,MATCH(C8,编号表!$A:$A,0))*1000+INDEX(编号表!$D:$D,MATCH(D8,编号表!$C:$C,0))*100+E8</f>
        <v>1002603</v>
      </c>
      <c r="C8" t="str" s="3">
        <v>蚀苇沼·末流所积</v>
      </c>
      <c r="D8" t="str" s="12">
        <v>小怪4</v>
      </c>
      <c r="E8" t="n" s="12">
        <v>3</v>
      </c>
      <c r="F8" t="str" s="18">
        <v>魔化浅汊水蛇</v>
      </c>
      <c r="G8" t="str" s="17">
        <v>区域随机</v>
      </c>
      <c r="H8" t="n" s="12">
        <v>60021017</v>
      </c>
      <c r="I8" t="n" s="12">
        <v>2</v>
      </c>
      <c r="J8" s="17"/>
      <c r="K8" s="17"/>
      <c r="L8"/>
      <c r="M8" s="17"/>
      <c r="N8"/>
      <c r="O8" s="17"/>
      <c r="P8"/>
      <c r="Q8" s="17"/>
      <c r="R8"/>
      <c r="S8" s="17"/>
      <c r="T8"/>
      <c r="U8" s="17"/>
      <c r="V8"/>
      <c r="W8" s="17"/>
      <c r="X8"/>
      <c r="Y8" s="17"/>
      <c r="Z8"/>
      <c r="AA8" s="17"/>
      <c r="AB8" t="n">
        <v>0</v>
      </c>
    </row>
    <row r="9" spans="2:27">
      <c r="A9" s="8"/>
      <c r="B9" t="n" s="12">
        <f>1000000+INDEX(编号表!$B:$B,MATCH(C9,编号表!$A:$A,0))*1000+INDEX(编号表!$D:$D,MATCH(D9,编号表!$C:$C,0))*100+E9</f>
        <v>1002103</v>
      </c>
      <c r="C9" t="str" s="3">
        <v>蚀苇沼·末流所积</v>
      </c>
      <c r="D9" t="str" s="12">
        <v>精英</v>
      </c>
      <c r="E9" t="n" s="12">
        <v>3</v>
      </c>
      <c r="F9" t="str" s="18">
        <v>魔化苇泽灵蛙·异种</v>
      </c>
      <c r="G9" t="str" s="17">
        <v>区域随机</v>
      </c>
      <c r="H9" t="n" s="12">
        <v>60022018</v>
      </c>
      <c r="I9" t="n" s="12">
        <v>1</v>
      </c>
      <c r="J9" s="17"/>
      <c r="K9" s="17"/>
      <c r="L9"/>
      <c r="M9" s="17"/>
      <c r="N9"/>
      <c r="O9" s="17"/>
      <c r="P9"/>
      <c r="Q9" s="17"/>
      <c r="R9"/>
      <c r="S9" s="17"/>
      <c r="T9"/>
      <c r="U9" s="17"/>
      <c r="V9"/>
      <c r="W9" s="17"/>
      <c r="X9"/>
      <c r="Y9" s="17"/>
      <c r="Z9"/>
      <c r="AA9" s="17"/>
      <c r="AB9" t="n">
        <v>0</v>
      </c>
    </row>
    <row r="10" spans="2:27">
      <c r="A10" s="8"/>
      <c r="B10" t="n" s="12">
        <f>1000000+INDEX(编号表!$B:$B,MATCH(C10,编号表!$A:$A,0))*1000+INDEX(编号表!$D:$D,MATCH(D10,编号表!$C:$C,0))*100+E10</f>
        <v>1004304</v>
      </c>
      <c r="C10" t="str" s="3">
        <v>浮沉洲</v>
      </c>
      <c r="D10" t="str" s="12">
        <v>小怪1</v>
      </c>
      <c r="E10" t="n" s="12">
        <v>4</v>
      </c>
      <c r="F10" t="str" s="12">
        <v>岩隙灵蝠</v>
      </c>
      <c r="G10" t="str" s="17">
        <v>区域随机</v>
      </c>
      <c r="H10" t="n" s="12">
        <v>60031019</v>
      </c>
      <c r="I10" t="n" s="12">
        <v>2</v>
      </c>
      <c r="J10" s="17"/>
      <c r="K10" s="17"/>
      <c r="L10"/>
      <c r="M10" s="17"/>
      <c r="N10"/>
      <c r="O10" s="17"/>
      <c r="P10"/>
      <c r="Q10" s="17"/>
      <c r="R10"/>
      <c r="S10" s="17"/>
      <c r="T10"/>
      <c r="U10" s="17"/>
      <c r="V10"/>
      <c r="W10" s="17"/>
      <c r="X10"/>
      <c r="Y10" s="17"/>
      <c r="Z10"/>
      <c r="AA10" s="17"/>
      <c r="AB10" t="n">
        <v>0</v>
      </c>
    </row>
    <row r="11" spans="2:27">
      <c r="A11" s="8"/>
      <c r="B11" t="n" s="12">
        <f>1000000+INDEX(编号表!$B:$B,MATCH(C11,编号表!$A:$A,0))*1000+INDEX(编号表!$D:$D,MATCH(D11,编号表!$C:$C,0))*100+E11</f>
        <v>1004403</v>
      </c>
      <c r="C11" t="str" s="3">
        <v>浮沉洲</v>
      </c>
      <c r="D11" t="str" s="12">
        <v>小怪2</v>
      </c>
      <c r="E11" t="n" s="12">
        <v>3</v>
      </c>
      <c r="F11" t="str" s="12">
        <v>汀岸灵狼</v>
      </c>
      <c r="G11" t="str" s="17">
        <v>区域随机</v>
      </c>
      <c r="H11" t="n" s="12">
        <v>60031020</v>
      </c>
      <c r="I11" t="n" s="12">
        <v>2</v>
      </c>
      <c r="J11" s="17"/>
      <c r="K11" s="17"/>
      <c r="L11"/>
      <c r="M11" s="17"/>
      <c r="N11"/>
      <c r="O11" s="17"/>
      <c r="P11"/>
      <c r="Q11" s="17"/>
      <c r="R11"/>
      <c r="S11" s="17"/>
      <c r="T11"/>
      <c r="U11" s="17"/>
      <c r="V11"/>
      <c r="W11" s="17"/>
      <c r="X11"/>
      <c r="Y11" s="17"/>
      <c r="Z11"/>
      <c r="AA11" s="17"/>
      <c r="AB11" t="n">
        <v>0</v>
      </c>
    </row>
    <row r="12" spans="2:27">
      <c r="A12" s="8"/>
      <c r="B12" t="n" s="12">
        <f>1000000+INDEX(编号表!$B:$B,MATCH(C12,编号表!$A:$A,0))*1000+INDEX(编号表!$D:$D,MATCH(D12,编号表!$C:$C,0))*100+E12</f>
        <v>1004503</v>
      </c>
      <c r="C12" t="str" s="3">
        <v>浮沉洲</v>
      </c>
      <c r="D12" t="str" s="12">
        <v>小怪3</v>
      </c>
      <c r="E12" t="n" s="12">
        <v>3</v>
      </c>
      <c r="F12" t="str" s="12">
        <v>浅汊水蛇</v>
      </c>
      <c r="G12" t="str" s="17">
        <v>区域随机</v>
      </c>
      <c r="H12" t="n" s="12">
        <v>60031021</v>
      </c>
      <c r="I12" t="n" s="12">
        <v>2</v>
      </c>
      <c r="J12" s="17"/>
      <c r="K12" s="17"/>
      <c r="L12"/>
      <c r="M12" s="17"/>
      <c r="N12"/>
      <c r="O12" s="17"/>
      <c r="P12"/>
      <c r="Q12" s="17"/>
      <c r="R12"/>
      <c r="S12" s="17"/>
      <c r="T12"/>
      <c r="U12" s="17"/>
      <c r="V12"/>
      <c r="W12" s="17"/>
      <c r="X12"/>
      <c r="Y12" s="17"/>
      <c r="Z12"/>
      <c r="AA12" s="17"/>
      <c r="AB12" t="n">
        <v>0</v>
      </c>
    </row>
    <row r="13" spans="2:27">
      <c r="A13" s="8"/>
      <c r="B13" t="n" s="12">
        <f>1000000+INDEX(编号表!$B:$B,MATCH(C13,编号表!$A:$A,0))*1000+INDEX(编号表!$D:$D,MATCH(D13,编号表!$C:$C,0))*100+E13</f>
        <v>1004603</v>
      </c>
      <c r="C13" t="str" s="3">
        <v>浮沉洲</v>
      </c>
      <c r="D13" t="str" s="12">
        <v>小怪4</v>
      </c>
      <c r="E13" t="n" s="12">
        <v>3</v>
      </c>
      <c r="F13" t="str" s="12">
        <v>苇泽灵蛙</v>
      </c>
      <c r="G13" t="str" s="17">
        <v>区域随机</v>
      </c>
      <c r="H13" t="n" s="12">
        <v>60031022</v>
      </c>
      <c r="I13" t="n" s="12">
        <v>2</v>
      </c>
      <c r="J13" s="17"/>
      <c r="K13" s="17"/>
      <c r="L13"/>
      <c r="M13" s="17"/>
      <c r="N13"/>
      <c r="O13" s="17"/>
      <c r="P13"/>
      <c r="Q13" s="17"/>
      <c r="R13"/>
      <c r="S13" s="17"/>
      <c r="T13"/>
      <c r="U13" s="17"/>
      <c r="V13"/>
      <c r="W13" s="17"/>
      <c r="X13"/>
      <c r="Y13" s="17"/>
      <c r="Z13"/>
      <c r="AA13" s="17"/>
      <c r="AB13" t="n">
        <v>0</v>
      </c>
    </row>
    <row r="14" spans="2:27">
      <c r="A14" s="8"/>
      <c r="B14" t="n" s="12">
        <f>1000000+INDEX(编号表!$B:$B,MATCH(C14,编号表!$A:$A,0))*1000+INDEX(编号表!$D:$D,MATCH(D14,编号表!$C:$C,0))*100+E14</f>
        <v>1004704</v>
      </c>
      <c r="C14" t="str" s="3">
        <v>浮沉洲</v>
      </c>
      <c r="D14" t="str" s="12">
        <v>小怪5</v>
      </c>
      <c r="E14" t="n" s="12">
        <v>4</v>
      </c>
      <c r="F14" t="str" s="18">
        <v>岩隙灵蝠</v>
      </c>
      <c r="G14" t="str" s="17">
        <v>区域随机</v>
      </c>
      <c r="H14" t="n" s="12">
        <v>60031023</v>
      </c>
      <c r="I14" t="n" s="12">
        <v>2</v>
      </c>
      <c r="J14" s="17"/>
      <c r="K14" s="17"/>
      <c r="L14"/>
      <c r="M14" s="17"/>
      <c r="N14"/>
      <c r="O14" s="17"/>
      <c r="P14"/>
      <c r="Q14" s="17"/>
      <c r="R14"/>
      <c r="S14" s="17"/>
      <c r="T14"/>
      <c r="U14" s="17"/>
      <c r="V14"/>
      <c r="W14" s="17"/>
      <c r="X14"/>
      <c r="Y14" s="17"/>
      <c r="Z14"/>
      <c r="AA14" s="17"/>
      <c r="AB14" t="n">
        <v>0</v>
      </c>
    </row>
    <row r="15" spans="2:27">
      <c r="A15" s="8"/>
      <c r="B15" t="n" s="12">
        <f>1000000+INDEX(编号表!$B:$B,MATCH(C15,编号表!$A:$A,0))*1000+INDEX(编号表!$D:$D,MATCH(D15,编号表!$C:$C,0))*100+E15</f>
        <v>1004103</v>
      </c>
      <c r="C15" t="str" s="3">
        <v>浮沉洲</v>
      </c>
      <c r="D15" t="str" s="12">
        <v>精英</v>
      </c>
      <c r="E15" t="n" s="12">
        <v>3</v>
      </c>
      <c r="F15" t="str" s="18">
        <v>汀岸灵狼·异种</v>
      </c>
      <c r="G15" t="str" s="17">
        <v>区域随机</v>
      </c>
      <c r="H15" t="n" s="12">
        <v>60032024</v>
      </c>
      <c r="I15" t="n" s="12">
        <v>1</v>
      </c>
      <c r="J15" s="17"/>
      <c r="K15" s="17"/>
      <c r="L15"/>
      <c r="M15" s="17"/>
      <c r="N15"/>
      <c r="O15" s="17"/>
      <c r="P15"/>
      <c r="Q15" s="17"/>
      <c r="R15"/>
      <c r="S15" s="17"/>
      <c r="T15"/>
      <c r="U15" s="17"/>
      <c r="V15"/>
      <c r="W15" s="17"/>
      <c r="X15"/>
      <c r="Y15" s="17"/>
      <c r="Z15"/>
      <c r="AA15" s="17"/>
      <c r="AB15" t="n">
        <v>0</v>
      </c>
    </row>
    <row r="16" spans="2:27">
      <c r="A16" s="8"/>
      <c r="B16" t="n" s="12">
        <f>1000000+INDEX(编号表!$B:$B,MATCH(C16,编号表!$A:$A,0))*1000+INDEX(编号表!$D:$D,MATCH(D16,编号表!$C:$C,0))*100+E16</f>
        <v>1005303</v>
      </c>
      <c r="C16" t="str" s="3">
        <v>蔽苇汀</v>
      </c>
      <c r="D16" t="str" s="12">
        <v>小怪1</v>
      </c>
      <c r="E16" t="n" s="12">
        <v>3</v>
      </c>
      <c r="F16" t="str" s="18">
        <v>浅汊水蛇</v>
      </c>
      <c r="G16" t="str" s="17">
        <v>区域随机</v>
      </c>
      <c r="H16" t="n" s="12">
        <v>60041025</v>
      </c>
      <c r="I16" t="n" s="12">
        <v>2</v>
      </c>
      <c r="J16" s="17"/>
      <c r="K16" s="17"/>
      <c r="L16"/>
      <c r="M16" s="17"/>
      <c r="N16"/>
      <c r="O16" s="17"/>
      <c r="P16"/>
      <c r="Q16" s="17"/>
      <c r="R16"/>
      <c r="S16" s="17"/>
      <c r="T16"/>
      <c r="U16" s="17"/>
      <c r="V16"/>
      <c r="W16" s="17"/>
      <c r="X16"/>
      <c r="Y16" s="17"/>
      <c r="Z16"/>
      <c r="AA16" s="17"/>
      <c r="AB16" t="n">
        <v>0</v>
      </c>
    </row>
    <row r="17" spans="2:27">
      <c r="A17" s="8"/>
      <c r="B17" t="n" s="12">
        <f>1000000+INDEX(编号表!$B:$B,MATCH(C17,编号表!$A:$A,0))*1000+INDEX(编号表!$D:$D,MATCH(D17,编号表!$C:$C,0))*100+E17</f>
        <v>1005403</v>
      </c>
      <c r="C17" t="str" s="3">
        <v>蔽苇汀</v>
      </c>
      <c r="D17" t="str" s="12">
        <v>小怪2</v>
      </c>
      <c r="E17" t="n" s="12">
        <v>3</v>
      </c>
      <c r="F17" t="str" s="18">
        <v>苇泽灵蛙</v>
      </c>
      <c r="G17" t="str" s="17">
        <v>区域随机</v>
      </c>
      <c r="H17" t="n" s="12">
        <v>60041026</v>
      </c>
      <c r="I17" t="n" s="12">
        <v>2</v>
      </c>
      <c r="J17" s="17"/>
      <c r="K17" s="17"/>
      <c r="L17"/>
      <c r="M17" s="17"/>
      <c r="N17"/>
      <c r="O17" s="17"/>
      <c r="P17"/>
      <c r="Q17" s="17"/>
      <c r="R17"/>
      <c r="S17" s="17"/>
      <c r="T17"/>
      <c r="U17" s="17"/>
      <c r="V17"/>
      <c r="W17" s="17"/>
      <c r="X17"/>
      <c r="Y17" s="17"/>
      <c r="Z17"/>
      <c r="AA17" s="17"/>
      <c r="AB17" t="n">
        <v>0</v>
      </c>
    </row>
    <row r="18" spans="2:27">
      <c r="A18" s="8"/>
      <c r="B18" t="n" s="12">
        <f>1000000+INDEX(编号表!$B:$B,MATCH(C18,编号表!$A:$A,0))*1000+INDEX(编号表!$D:$D,MATCH(D18,编号表!$C:$C,0))*100+E18</f>
        <v>1005503</v>
      </c>
      <c r="C18" t="str" s="3">
        <v>蔽苇汀</v>
      </c>
      <c r="D18" t="str" s="12">
        <v>小怪3</v>
      </c>
      <c r="E18" t="n" s="12">
        <v>3</v>
      </c>
      <c r="F18" t="str" s="18">
        <v>岩隙灵蝠</v>
      </c>
      <c r="G18" t="str" s="17">
        <v>区域随机</v>
      </c>
      <c r="H18" t="n" s="12">
        <v>60041027</v>
      </c>
      <c r="I18" t="n" s="12">
        <v>2</v>
      </c>
      <c r="J18" s="17"/>
      <c r="K18" s="17"/>
      <c r="L18"/>
      <c r="M18" s="17"/>
      <c r="N18"/>
      <c r="O18" s="17"/>
      <c r="P18"/>
      <c r="Q18" s="17"/>
      <c r="R18"/>
      <c r="S18" s="17"/>
      <c r="T18"/>
      <c r="U18" s="17"/>
      <c r="V18"/>
      <c r="W18" s="17"/>
      <c r="X18"/>
      <c r="Y18" s="17"/>
      <c r="Z18"/>
      <c r="AA18" s="17"/>
      <c r="AB18" t="n">
        <v>0</v>
      </c>
    </row>
    <row r="19" spans="2:27">
      <c r="A19" s="8"/>
      <c r="B19" t="n" s="12">
        <f>1000000+INDEX(编号表!$B:$B,MATCH(C19,编号表!$A:$A,0))*1000+INDEX(编号表!$D:$D,MATCH(D19,编号表!$C:$C,0))*100+E19</f>
        <v>1005604</v>
      </c>
      <c r="C19" t="str" s="3">
        <v>蔽苇汀</v>
      </c>
      <c r="D19" t="str" s="12">
        <v>小怪4</v>
      </c>
      <c r="E19" t="n" s="12">
        <v>4</v>
      </c>
      <c r="F19" t="str" s="18">
        <v>汀岸灵狼</v>
      </c>
      <c r="G19" t="str" s="17">
        <v>区域随机</v>
      </c>
      <c r="H19" t="n" s="12">
        <v>60041028</v>
      </c>
      <c r="I19" t="n" s="12">
        <v>2</v>
      </c>
      <c r="J19" s="17"/>
      <c r="K19" s="17"/>
      <c r="L19"/>
      <c r="M19" s="17"/>
      <c r="N19"/>
      <c r="O19" s="17"/>
      <c r="P19"/>
      <c r="Q19" s="17"/>
      <c r="R19"/>
      <c r="S19" s="17"/>
      <c r="T19"/>
      <c r="U19" s="17"/>
      <c r="V19"/>
      <c r="W19" s="17"/>
      <c r="X19"/>
      <c r="Y19" s="17"/>
      <c r="Z19"/>
      <c r="AA19" s="17"/>
      <c r="AB19" t="n">
        <v>0</v>
      </c>
    </row>
    <row r="20" spans="2:27">
      <c r="A20" s="8"/>
      <c r="B20" t="n" s="12">
        <f>1000000+INDEX(编号表!$B:$B,MATCH(C20,编号表!$A:$A,0))*1000+INDEX(编号表!$D:$D,MATCH(D20,编号表!$C:$C,0))*100+E20</f>
        <v>1005103</v>
      </c>
      <c r="C20" t="str" s="3">
        <v>蔽苇汀</v>
      </c>
      <c r="D20" t="str" s="12">
        <v>精英</v>
      </c>
      <c r="E20" t="n" s="12">
        <v>3</v>
      </c>
      <c r="F20" t="str" s="18">
        <v>浅汊水蛇</v>
      </c>
      <c r="G20" t="str" s="17">
        <v>区域随机</v>
      </c>
      <c r="H20" t="n" s="12">
        <v>60041029</v>
      </c>
      <c r="I20" t="n" s="12">
        <v>2</v>
      </c>
      <c r="J20" s="17"/>
      <c r="K20" s="17"/>
      <c r="L20"/>
      <c r="M20" s="17"/>
      <c r="N20"/>
      <c r="O20" s="17"/>
      <c r="P20"/>
      <c r="Q20" s="17"/>
      <c r="R20"/>
      <c r="S20" s="17"/>
      <c r="T20"/>
      <c r="U20" s="17"/>
      <c r="V20"/>
      <c r="W20" s="17"/>
      <c r="X20"/>
      <c r="Y20" s="17"/>
      <c r="Z20"/>
      <c r="AA20" s="17"/>
      <c r="AB20" t="n">
        <v>0</v>
      </c>
    </row>
    <row r="21" spans="2:27">
      <c r="A21" s="8"/>
      <c r="B21" t="n" s="12">
        <f>1000000+INDEX(编号表!$B:$B,MATCH(C21,编号表!$A:$A,0))*1000+INDEX(编号表!$D:$D,MATCH(D21,编号表!$C:$C,0))*100+E21</f>
        <v>1006303</v>
      </c>
      <c r="C21" t="str" s="3">
        <v>岳骨阶</v>
      </c>
      <c r="D21" t="str" s="12">
        <v>小怪1</v>
      </c>
      <c r="E21" t="n" s="12">
        <v>3</v>
      </c>
      <c r="F21" t="str" s="18">
        <v>岩隙灵蝠</v>
      </c>
      <c r="G21" t="str" s="17">
        <v>区域随机</v>
      </c>
      <c r="H21" t="n" s="12">
        <v>60051031</v>
      </c>
      <c r="I21" t="n" s="12">
        <v>2</v>
      </c>
      <c r="J21" s="17"/>
      <c r="K21" s="17"/>
      <c r="L21"/>
      <c r="M21" s="17"/>
      <c r="N21"/>
      <c r="O21" s="17"/>
      <c r="P21"/>
      <c r="Q21" s="17"/>
      <c r="R21"/>
      <c r="S21" s="17"/>
      <c r="T21"/>
      <c r="U21" s="17"/>
      <c r="V21"/>
      <c r="W21" s="17"/>
      <c r="X21"/>
      <c r="Y21" s="17"/>
      <c r="Z21"/>
      <c r="AA21" s="17"/>
      <c r="AB21" t="n">
        <v>0</v>
      </c>
    </row>
    <row r="22" spans="2:27">
      <c r="A22" s="8"/>
      <c r="B22" t="n" s="12">
        <f>1000000+INDEX(编号表!$B:$B,MATCH(C22,编号表!$A:$A,0))*1000+INDEX(编号表!$D:$D,MATCH(D22,编号表!$C:$C,0))*100+E22</f>
        <v>1006403</v>
      </c>
      <c r="C22" t="str" s="3">
        <v>岳骨阶</v>
      </c>
      <c r="D22" t="str" s="12">
        <v>小怪2</v>
      </c>
      <c r="E22" t="n" s="12">
        <v>3</v>
      </c>
      <c r="F22" t="str" s="18">
        <v>汀岸灵狼</v>
      </c>
      <c r="G22" t="str" s="17">
        <v>区域随机</v>
      </c>
      <c r="H22" t="n" s="12">
        <v>60051032</v>
      </c>
      <c r="I22" t="n" s="12">
        <v>2</v>
      </c>
      <c r="J22" s="17"/>
      <c r="K22" s="17"/>
      <c r="L22"/>
      <c r="M22" s="17"/>
      <c r="N22"/>
      <c r="O22" s="17"/>
      <c r="P22"/>
      <c r="Q22" s="17"/>
      <c r="R22"/>
      <c r="S22" s="17"/>
      <c r="T22"/>
      <c r="U22" s="17"/>
      <c r="V22"/>
      <c r="W22" s="17"/>
      <c r="X22"/>
      <c r="Y22" s="17"/>
      <c r="Z22"/>
      <c r="AA22" s="17"/>
      <c r="AB22" t="n">
        <v>0</v>
      </c>
    </row>
    <row r="23" spans="2:27">
      <c r="A23" s="8"/>
      <c r="B23" t="n" s="12">
        <f>1000000+INDEX(编号表!$B:$B,MATCH(C23,编号表!$A:$A,0))*1000+INDEX(编号表!$D:$D,MATCH(D23,编号表!$C:$C,0))*100+E23</f>
        <v>1006503</v>
      </c>
      <c r="C23" t="str" s="3">
        <v>岳骨阶</v>
      </c>
      <c r="D23" t="str" s="12">
        <v>小怪3</v>
      </c>
      <c r="E23" t="n" s="12">
        <v>3</v>
      </c>
      <c r="F23" t="str" s="18">
        <v>浅汊水蛇</v>
      </c>
      <c r="G23" t="str" s="17">
        <v>区域随机</v>
      </c>
      <c r="H23" t="n" s="12">
        <v>60051033</v>
      </c>
      <c r="I23" t="n" s="12">
        <v>2</v>
      </c>
      <c r="J23" s="17"/>
      <c r="K23" s="17"/>
      <c r="L23"/>
      <c r="M23" s="17"/>
      <c r="N23"/>
      <c r="O23" s="17"/>
      <c r="P23"/>
      <c r="Q23" s="17"/>
      <c r="R23"/>
      <c r="S23" s="17"/>
      <c r="T23"/>
      <c r="U23" s="17"/>
      <c r="V23"/>
      <c r="W23" s="17"/>
      <c r="X23"/>
      <c r="Y23" s="17"/>
      <c r="Z23"/>
      <c r="AA23" s="17"/>
      <c r="AB23" t="n">
        <v>0</v>
      </c>
    </row>
    <row r="24" spans="2:27">
      <c r="A24" s="8"/>
      <c r="B24" t="n" s="12">
        <f>1000000+INDEX(编号表!$B:$B,MATCH(C24,编号表!$A:$A,0))*1000+INDEX(编号表!$D:$D,MATCH(D24,编号表!$C:$C,0))*100+E24</f>
        <v>1006602</v>
      </c>
      <c r="C24" t="str" s="3">
        <v>岳骨阶</v>
      </c>
      <c r="D24" t="str" s="12">
        <v>小怪4</v>
      </c>
      <c r="E24" t="n" s="12">
        <v>2</v>
      </c>
      <c r="F24" t="str" s="18">
        <v>苇泽灵蛙</v>
      </c>
      <c r="G24" t="str" s="17">
        <v>区域随机</v>
      </c>
      <c r="H24" t="n" s="12">
        <v>60051034</v>
      </c>
      <c r="I24" t="n" s="12">
        <v>2</v>
      </c>
      <c r="J24" s="17"/>
      <c r="K24" s="17"/>
      <c r="L24"/>
      <c r="M24" s="17"/>
      <c r="N24"/>
      <c r="O24" s="17"/>
      <c r="P24"/>
      <c r="Q24" s="17"/>
      <c r="R24"/>
      <c r="S24" s="17"/>
      <c r="T24"/>
      <c r="U24" s="17"/>
      <c r="V24"/>
      <c r="W24" s="17"/>
      <c r="X24"/>
      <c r="Y24" s="17"/>
      <c r="Z24"/>
      <c r="AA24" s="17"/>
      <c r="AB24" t="n">
        <v>0</v>
      </c>
    </row>
    <row r="25" spans="2:27">
      <c r="A25" s="8"/>
      <c r="B25" t="n" s="12">
        <f>1000000+INDEX(编号表!$B:$B,MATCH(C25,编号表!$A:$A,0))*1000+INDEX(编号表!$D:$D,MATCH(D25,编号表!$C:$C,0))*100+E25</f>
        <v>1006102</v>
      </c>
      <c r="C25" t="str" s="3">
        <v>岳骨阶</v>
      </c>
      <c r="D25" t="str" s="12">
        <v>精英</v>
      </c>
      <c r="E25" t="n" s="12">
        <v>2</v>
      </c>
      <c r="F25" t="str" s="18">
        <v>岩隙灵蝠·异种</v>
      </c>
      <c r="G25" t="str" s="17">
        <v>区域随机</v>
      </c>
      <c r="H25" t="n" s="12">
        <v>60052035</v>
      </c>
      <c r="I25" t="n" s="12">
        <v>1</v>
      </c>
      <c r="J25" s="17"/>
      <c r="K25" s="17"/>
      <c r="L25"/>
      <c r="M25" s="17"/>
      <c r="N25"/>
      <c r="O25" s="17"/>
      <c r="P25"/>
      <c r="Q25" s="17"/>
      <c r="R25"/>
      <c r="S25" s="17"/>
      <c r="T25"/>
      <c r="U25" s="17"/>
      <c r="V25"/>
      <c r="W25" s="17"/>
      <c r="X25"/>
      <c r="Y25" s="17"/>
      <c r="Z25"/>
      <c r="AA25" s="17"/>
      <c r="AB25" t="n">
        <v>0</v>
      </c>
    </row>
    <row r="26" spans="2:27">
      <c r="A26" s="8"/>
      <c r="B26" t="n" s="12">
        <f>1000000+INDEX(编号表!$B:$B,MATCH(C26,编号表!$A:$A,0))*1000+INDEX(编号表!$D:$D,MATCH(D26,编号表!$C:$C,0))*100+E26</f>
        <v>1006001</v>
      </c>
      <c r="C26" t="str" s="3">
        <v>岳骨阶</v>
      </c>
      <c r="D26" t="str" s="12">
        <v>boss</v>
      </c>
      <c r="E26" t="n" s="12">
        <v>1</v>
      </c>
      <c r="F26" t="str" s="18">
        <v>汀岸灵狼·首领</v>
      </c>
      <c r="G26" t="str" s="17">
        <v>区域随机</v>
      </c>
      <c r="H26" t="n" s="12">
        <v>60054036</v>
      </c>
      <c r="I26" t="n" s="12">
        <v>1</v>
      </c>
      <c r="J26" s="17"/>
      <c r="K26" s="17"/>
      <c r="L26"/>
      <c r="M26" s="17"/>
      <c r="N26"/>
      <c r="O26" s="17"/>
      <c r="P26"/>
      <c r="Q26" s="17"/>
      <c r="R26"/>
      <c r="S26" s="17"/>
      <c r="T26"/>
      <c r="U26" s="17"/>
      <c r="V26"/>
      <c r="W26" s="17"/>
      <c r="X26"/>
      <c r="Y26" s="17"/>
      <c r="Z26"/>
      <c r="AA26" s="17"/>
      <c r="AB26" t="n">
        <v>0</v>
      </c>
    </row>
    <row r="27" spans="2:27">
      <c r="A27" s="8"/>
      <c r="B27" t="n" s="12">
        <f>1000000+INDEX(编号表!$B:$B,MATCH(C27,编号表!$A:$A,0))*1000+INDEX(编号表!$D:$D,MATCH(D27,编号表!$C:$C,0))*100+E27</f>
        <v>1007304</v>
      </c>
      <c r="C27" t="str" s="8">
        <v>异霭浦</v>
      </c>
      <c r="D27" t="str" s="12">
        <v>小怪1</v>
      </c>
      <c r="E27" t="n" s="12">
        <v>4</v>
      </c>
      <c r="F27" t="str" s="18">
        <v>浅汊水蛇</v>
      </c>
      <c r="G27" t="str" s="17">
        <v>区域随机</v>
      </c>
      <c r="H27" t="n" s="12">
        <v>60061037</v>
      </c>
      <c r="I27" t="n" s="12">
        <v>2</v>
      </c>
      <c r="J27" s="17"/>
      <c r="K27" s="17"/>
      <c r="L27"/>
      <c r="M27" s="17"/>
      <c r="N27"/>
      <c r="O27" s="17"/>
      <c r="P27"/>
      <c r="Q27" s="17"/>
      <c r="R27"/>
      <c r="S27" s="17"/>
      <c r="T27"/>
      <c r="U27" s="17"/>
      <c r="V27"/>
      <c r="W27" s="17"/>
      <c r="X27"/>
      <c r="Y27" s="17"/>
      <c r="Z27"/>
      <c r="AA27" s="17"/>
      <c r="AB27" t="n">
        <v>0</v>
      </c>
    </row>
    <row r="28" spans="2:27">
      <c r="A28" s="8"/>
      <c r="B28" t="n" s="12">
        <f>1000000+INDEX(编号表!$B:$B,MATCH(C28,编号表!$A:$A,0))*1000+INDEX(编号表!$D:$D,MATCH(D28,编号表!$C:$C,0))*100+E28</f>
        <v>1007404</v>
      </c>
      <c r="C28" t="str" s="8">
        <v>异霭浦</v>
      </c>
      <c r="D28" t="str" s="12">
        <v>小怪2</v>
      </c>
      <c r="E28" t="n" s="12">
        <v>4</v>
      </c>
      <c r="F28" t="str" s="18">
        <v>苇泽灵蛙</v>
      </c>
      <c r="G28" t="str" s="17">
        <v>区域随机</v>
      </c>
      <c r="H28" t="n" s="12">
        <v>60061038</v>
      </c>
      <c r="I28" t="n" s="12">
        <v>2</v>
      </c>
      <c r="J28" s="17"/>
      <c r="K28" s="17"/>
      <c r="L28"/>
      <c r="M28" s="17"/>
      <c r="N28"/>
      <c r="O28" s="17"/>
      <c r="P28"/>
      <c r="Q28" s="17"/>
      <c r="R28"/>
      <c r="S28" s="17"/>
      <c r="T28"/>
      <c r="U28" s="17"/>
      <c r="V28"/>
      <c r="W28" s="17"/>
      <c r="X28"/>
      <c r="Y28" s="17"/>
      <c r="Z28"/>
      <c r="AA28" s="17"/>
      <c r="AB28" t="n">
        <v>0</v>
      </c>
    </row>
    <row r="29" spans="2:27">
      <c r="A29" s="8"/>
      <c r="B29" t="n" s="12">
        <f>1000000+INDEX(编号表!$B:$B,MATCH(C29,编号表!$A:$A,0))*1000+INDEX(编号表!$D:$D,MATCH(D29,编号表!$C:$C,0))*100+E29</f>
        <v>1007504</v>
      </c>
      <c r="C29" t="str" s="8">
        <v>异霭浦</v>
      </c>
      <c r="D29" t="str" s="12">
        <v>小怪3</v>
      </c>
      <c r="E29" t="n" s="12">
        <v>4</v>
      </c>
      <c r="F29" t="str" s="18">
        <v>岩隙灵蝠</v>
      </c>
      <c r="G29" t="str" s="17">
        <v>区域随机</v>
      </c>
      <c r="H29" t="n" s="12">
        <v>60061039</v>
      </c>
      <c r="I29" t="n" s="12">
        <v>2</v>
      </c>
      <c r="J29" s="17"/>
      <c r="K29" s="17"/>
      <c r="L29"/>
      <c r="M29" s="17"/>
      <c r="N29"/>
      <c r="O29" s="17"/>
      <c r="P29"/>
      <c r="Q29" s="17"/>
      <c r="R29"/>
      <c r="S29" s="17"/>
      <c r="T29"/>
      <c r="U29" s="17"/>
      <c r="V29"/>
      <c r="W29" s="17"/>
      <c r="X29"/>
      <c r="Y29" s="17"/>
      <c r="Z29"/>
      <c r="AA29" s="17"/>
      <c r="AB29" t="n">
        <v>0</v>
      </c>
    </row>
    <row r="30" spans="2:27">
      <c r="A30" s="8"/>
      <c r="B30" t="n" s="12">
        <f>1000000+INDEX(编号表!$B:$B,MATCH(C30,编号表!$A:$A,0))*1000+INDEX(编号表!$D:$D,MATCH(D30,编号表!$C:$C,0))*100+E30</f>
        <v>1008304</v>
      </c>
      <c r="C30" t="str" s="3">
        <v>砾台</v>
      </c>
      <c r="D30" t="str" s="12">
        <v>小怪1</v>
      </c>
      <c r="E30" t="n" s="12">
        <v>4</v>
      </c>
      <c r="F30" t="str" s="18">
        <v>汀岸灵狼</v>
      </c>
      <c r="G30" t="str" s="17">
        <v>区域随机</v>
      </c>
      <c r="H30" t="n" s="12">
        <v>60071040</v>
      </c>
      <c r="I30" t="n" s="12">
        <v>2</v>
      </c>
      <c r="J30" s="17"/>
      <c r="K30" s="17"/>
      <c r="L30"/>
      <c r="M30" s="17"/>
      <c r="N30"/>
      <c r="O30" s="17"/>
      <c r="P30"/>
      <c r="Q30" s="17"/>
      <c r="R30"/>
      <c r="S30" s="17"/>
      <c r="T30"/>
      <c r="U30" s="17"/>
      <c r="V30"/>
      <c r="W30" s="17"/>
      <c r="X30"/>
      <c r="Y30" s="17"/>
      <c r="Z30"/>
      <c r="AA30" s="17"/>
      <c r="AB30" t="n">
        <v>0</v>
      </c>
    </row>
    <row r="31" spans="2:27">
      <c r="A31" s="8"/>
      <c r="B31" t="n" s="12">
        <f>1000000+INDEX(编号表!$B:$B,MATCH(C31,编号表!$A:$A,0))*1000+INDEX(编号表!$D:$D,MATCH(D31,编号表!$C:$C,0))*100+E31</f>
        <v>1008404</v>
      </c>
      <c r="C31" t="str" s="3">
        <v>砾台</v>
      </c>
      <c r="D31" t="str" s="12">
        <v>小怪2</v>
      </c>
      <c r="E31" t="n" s="12">
        <v>4</v>
      </c>
      <c r="F31" t="str" s="18">
        <v>浅汊水蛇</v>
      </c>
      <c r="G31" t="str" s="17">
        <v>区域随机</v>
      </c>
      <c r="H31" t="n" s="12">
        <v>60071041</v>
      </c>
      <c r="I31" t="n" s="12">
        <v>2</v>
      </c>
      <c r="J31" s="17"/>
      <c r="K31" s="17"/>
      <c r="L31"/>
      <c r="M31" s="17"/>
      <c r="N31"/>
      <c r="O31" s="17"/>
      <c r="P31"/>
      <c r="Q31" s="17"/>
      <c r="R31"/>
      <c r="S31" s="17"/>
      <c r="T31"/>
      <c r="U31" s="17"/>
      <c r="V31"/>
      <c r="W31" s="17"/>
      <c r="X31"/>
      <c r="Y31" s="17"/>
      <c r="Z31"/>
      <c r="AA31" s="17"/>
      <c r="AB31" t="n">
        <v>0</v>
      </c>
    </row>
    <row r="32" spans="2:27">
      <c r="A32" s="8"/>
      <c r="B32" t="n" s="12">
        <f>1000000+INDEX(编号表!$B:$B,MATCH(C32,编号表!$A:$A,0))*1000+INDEX(编号表!$D:$D,MATCH(D32,编号表!$C:$C,0))*100+E32</f>
        <v>1008504</v>
      </c>
      <c r="C32" t="str" s="3">
        <v>砾台</v>
      </c>
      <c r="D32" t="str" s="12">
        <v>小怪3</v>
      </c>
      <c r="E32" t="n" s="12">
        <v>4</v>
      </c>
      <c r="F32" t="str" s="18">
        <v>苇泽灵蛙</v>
      </c>
      <c r="G32" t="str" s="17">
        <v>区域随机</v>
      </c>
      <c r="H32" t="n" s="12">
        <v>60071042</v>
      </c>
      <c r="I32" t="n" s="12">
        <v>2</v>
      </c>
      <c r="J32" s="17"/>
      <c r="K32" s="17"/>
      <c r="L32"/>
      <c r="M32" s="17"/>
      <c r="N32"/>
      <c r="O32" s="17"/>
      <c r="P32"/>
      <c r="Q32" s="17"/>
      <c r="R32"/>
      <c r="S32" s="17"/>
      <c r="T32"/>
      <c r="U32" s="17"/>
      <c r="V32"/>
      <c r="W32" s="17"/>
      <c r="X32"/>
      <c r="Y32" s="17"/>
      <c r="Z32"/>
      <c r="AA32" s="17"/>
      <c r="AB32" t="n">
        <v>0</v>
      </c>
    </row>
    <row r="33" spans="2:27">
      <c r="A33" s="8"/>
      <c r="B33" t="n" s="12">
        <f>1000000+INDEX(编号表!$B:$B,MATCH(C33,编号表!$A:$A,0))*1000+INDEX(编号表!$D:$D,MATCH(D33,编号表!$C:$C,0))*100+E33</f>
        <v>1009303</v>
      </c>
      <c r="C33" t="str" s="3">
        <v>垂练岩·覆而偶开</v>
      </c>
      <c r="D33" t="str" s="12">
        <v>小怪1</v>
      </c>
      <c r="E33" t="n" s="12">
        <v>3</v>
      </c>
      <c r="F33" t="str" s="18">
        <v>岩隙灵蝠</v>
      </c>
      <c r="G33" t="str" s="17">
        <v>区域随机</v>
      </c>
      <c r="H33" t="n" s="12">
        <v>60081043</v>
      </c>
      <c r="I33" t="n" s="12">
        <v>2</v>
      </c>
      <c r="J33" s="17"/>
      <c r="K33" s="17"/>
      <c r="L33"/>
      <c r="M33" s="17"/>
      <c r="N33"/>
      <c r="O33" s="17"/>
      <c r="P33"/>
      <c r="Q33" s="17"/>
      <c r="R33"/>
      <c r="S33" s="17"/>
      <c r="T33"/>
      <c r="U33" s="17"/>
      <c r="V33"/>
      <c r="W33" s="17"/>
      <c r="X33"/>
      <c r="Y33" s="17"/>
      <c r="Z33"/>
      <c r="AA33" s="17"/>
      <c r="AB33" t="n">
        <v>0</v>
      </c>
    </row>
    <row r="34" spans="2:27">
      <c r="A34" s="8"/>
      <c r="B34" t="n" s="12">
        <f>1000000+INDEX(编号表!$B:$B,MATCH(C34,编号表!$A:$A,0))*1000+INDEX(编号表!$D:$D,MATCH(D34,编号表!$C:$C,0))*100+E34</f>
        <v>1009403</v>
      </c>
      <c r="C34" t="str" s="3">
        <v>垂练岩·覆而偶开</v>
      </c>
      <c r="D34" t="str" s="12">
        <v>小怪2</v>
      </c>
      <c r="E34" t="n" s="12">
        <v>3</v>
      </c>
      <c r="F34" t="str" s="18">
        <v>汀岸灵狼</v>
      </c>
      <c r="G34" t="str" s="17">
        <v>区域随机</v>
      </c>
      <c r="H34" t="n" s="12">
        <v>60081044</v>
      </c>
      <c r="I34" t="n" s="12">
        <v>2</v>
      </c>
      <c r="J34" s="17"/>
      <c r="K34" s="17"/>
      <c r="L34"/>
      <c r="M34" s="17"/>
      <c r="N34"/>
      <c r="O34" s="17"/>
      <c r="P34"/>
      <c r="Q34" s="17"/>
      <c r="R34"/>
      <c r="S34" s="17"/>
      <c r="T34"/>
      <c r="U34" s="17"/>
      <c r="V34"/>
      <c r="W34" s="17"/>
      <c r="X34"/>
      <c r="Y34" s="17"/>
      <c r="Z34"/>
      <c r="AA34" s="17"/>
      <c r="AB34" t="n">
        <v>0</v>
      </c>
    </row>
    <row r="35" spans="2:27">
      <c r="A35" s="8"/>
      <c r="B35" t="n" s="12">
        <f>1000000+INDEX(编号表!$B:$B,MATCH(C35,编号表!$A:$A,0))*1000+INDEX(编号表!$D:$D,MATCH(D35,编号表!$C:$C,0))*100+E35</f>
        <v>1009503</v>
      </c>
      <c r="C35" t="str" s="3">
        <v>垂练岩·覆而偶开</v>
      </c>
      <c r="D35" t="str" s="12">
        <v>小怪3</v>
      </c>
      <c r="E35" t="n" s="12">
        <v>3</v>
      </c>
      <c r="F35" t="str" s="18">
        <v>浅汊水蛇</v>
      </c>
      <c r="G35" t="str" s="17">
        <v>区域随机</v>
      </c>
      <c r="H35" t="n" s="12">
        <v>60081045</v>
      </c>
      <c r="I35" t="n" s="12">
        <v>2</v>
      </c>
      <c r="J35" s="17"/>
      <c r="K35" s="17"/>
      <c r="L35"/>
      <c r="M35" s="17"/>
      <c r="N35"/>
      <c r="O35" s="17"/>
      <c r="P35"/>
      <c r="Q35" s="17"/>
      <c r="R35"/>
      <c r="S35" s="17"/>
      <c r="T35"/>
      <c r="U35" s="17"/>
      <c r="V35"/>
      <c r="W35" s="17"/>
      <c r="X35"/>
      <c r="Y35" s="17"/>
      <c r="Z35"/>
      <c r="AA35" s="17"/>
      <c r="AB35" t="n">
        <v>0</v>
      </c>
    </row>
    <row r="36" spans="2:27">
      <c r="A36" s="8"/>
      <c r="B36" t="n" s="12">
        <f>1000000+INDEX(编号表!$B:$B,MATCH(C36,编号表!$A:$A,0))*1000+INDEX(编号表!$D:$D,MATCH(D36,编号表!$C:$C,0))*100+E36</f>
        <v>1009103</v>
      </c>
      <c r="C36" t="str" s="3">
        <v>垂练岩·覆而偶开</v>
      </c>
      <c r="D36" t="str" s="12">
        <v>精英</v>
      </c>
      <c r="E36" t="n" s="12">
        <v>3</v>
      </c>
      <c r="F36" t="str" s="18">
        <v>苇泽灵蛙·异种</v>
      </c>
      <c r="G36" t="str" s="17">
        <v>区域随机</v>
      </c>
      <c r="H36" t="n" s="12">
        <v>60082046</v>
      </c>
      <c r="I36" t="n" s="12">
        <v>1</v>
      </c>
      <c r="J36" s="17"/>
      <c r="K36" s="17"/>
      <c r="L36"/>
      <c r="M36" s="17"/>
      <c r="N36"/>
      <c r="O36" s="17"/>
      <c r="P36"/>
      <c r="Q36" s="17"/>
      <c r="R36"/>
      <c r="S36" s="17"/>
      <c r="T36"/>
      <c r="U36" s="17"/>
      <c r="V36"/>
      <c r="W36" s="17"/>
      <c r="X36"/>
      <c r="Y36" s="17"/>
      <c r="Z36"/>
      <c r="AA36" s="17"/>
      <c r="AB36" t="n">
        <v>0</v>
      </c>
    </row>
    <row r="37" spans="2:27">
      <c r="A37" s="8"/>
      <c r="B37" t="n" s="12">
        <f>1000000+INDEX(编号表!$B:$B,MATCH(C37,编号表!$A:$A,0))*1000+INDEX(编号表!$D:$D,MATCH(D37,编号表!$C:$C,0))*100+E37</f>
        <v>1009001</v>
      </c>
      <c r="C37" t="str" s="3">
        <v>垂练岩·覆而偶开</v>
      </c>
      <c r="D37" t="str" s="12">
        <v>boss</v>
      </c>
      <c r="E37" t="n" s="12">
        <v>1</v>
      </c>
      <c r="F37" t="str" s="18">
        <v>岩隙灵蝠·首领</v>
      </c>
      <c r="G37" t="str" s="17">
        <v>区域随机</v>
      </c>
      <c r="H37" t="n" s="3">
        <v>60084047</v>
      </c>
      <c r="I37" t="n" s="12">
        <v>1</v>
      </c>
      <c r="J37" s="17"/>
      <c r="K37" s="17"/>
      <c r="L37"/>
      <c r="M37" s="17"/>
      <c r="N37"/>
      <c r="O37" s="17"/>
      <c r="P37"/>
      <c r="Q37" s="17"/>
      <c r="R37"/>
      <c r="S37" s="17"/>
      <c r="T37"/>
      <c r="U37" s="17"/>
      <c r="V37"/>
      <c r="W37" s="17"/>
      <c r="X37"/>
      <c r="Y37" s="17"/>
      <c r="Z37"/>
      <c r="AA37" s="17"/>
      <c r="AB37" t="n">
        <v>0</v>
      </c>
    </row>
    <row r="38" spans="2:27">
      <c r="A38" s="8"/>
      <c r="B38" t="n" s="12">
        <f>1000000+INDEX(编号表!$B:$B,MATCH(C38,编号表!$A:$A,0))*1000+INDEX(编号表!$D:$D,MATCH(D38,编号表!$C:$C,0))*100+E38</f>
        <v>1010303</v>
      </c>
      <c r="C38" t="str" s="3">
        <v>水镜滩·水退方见</v>
      </c>
      <c r="D38" t="str" s="12">
        <v>小怪1</v>
      </c>
      <c r="E38" t="n" s="12">
        <v>3</v>
      </c>
      <c r="F38" t="str" s="18">
        <v>汀岸灵狼</v>
      </c>
      <c r="G38" t="str" s="17">
        <v>区域随机</v>
      </c>
      <c r="H38" t="n" s="3">
        <v>60091048</v>
      </c>
      <c r="I38" t="n" s="12">
        <v>2</v>
      </c>
      <c r="J38" s="17"/>
      <c r="K38" s="17"/>
      <c r="L38"/>
      <c r="M38" s="17"/>
      <c r="N38"/>
      <c r="O38" s="17"/>
      <c r="P38"/>
      <c r="Q38" s="17"/>
      <c r="R38"/>
      <c r="S38" s="17"/>
      <c r="T38"/>
      <c r="U38" s="17"/>
      <c r="V38"/>
      <c r="W38" s="17"/>
      <c r="X38"/>
      <c r="Y38" s="17"/>
      <c r="Z38"/>
      <c r="AA38" s="17"/>
      <c r="AB38" t="n">
        <v>0</v>
      </c>
    </row>
    <row r="39" spans="2:27">
      <c r="A39" s="8"/>
      <c r="B39" t="n" s="12">
        <f>1000000+INDEX(编号表!$B:$B,MATCH(C39,编号表!$A:$A,0))*1000+INDEX(编号表!$D:$D,MATCH(D39,编号表!$C:$C,0))*100+E39</f>
        <v>1010403</v>
      </c>
      <c r="C39" t="str" s="3">
        <v>水镜滩·水退方见</v>
      </c>
      <c r="D39" t="str" s="12">
        <v>小怪2</v>
      </c>
      <c r="E39" t="n" s="12">
        <v>3</v>
      </c>
      <c r="F39" t="str" s="18">
        <v>浅汊水蛇</v>
      </c>
      <c r="G39" t="str" s="17">
        <v>区域随机</v>
      </c>
      <c r="H39" t="n" s="3">
        <v>60091049</v>
      </c>
      <c r="I39" t="n" s="12">
        <v>2</v>
      </c>
      <c r="J39" s="17"/>
      <c r="K39" s="17"/>
      <c r="L39"/>
      <c r="M39" s="17"/>
      <c r="N39"/>
      <c r="O39" s="17"/>
      <c r="P39"/>
      <c r="Q39" s="17"/>
      <c r="R39"/>
      <c r="S39" s="17"/>
      <c r="T39"/>
      <c r="U39" s="17"/>
      <c r="V39"/>
      <c r="W39" s="17"/>
      <c r="X39"/>
      <c r="Y39" s="17"/>
      <c r="Z39"/>
      <c r="AA39" s="17"/>
      <c r="AB39" t="n">
        <v>0</v>
      </c>
    </row>
    <row r="40" spans="2:27">
      <c r="A40" s="8"/>
      <c r="B40" t="n" s="12">
        <f>1000000+INDEX(编号表!$B:$B,MATCH(C40,编号表!$A:$A,0))*1000+INDEX(编号表!$D:$D,MATCH(D40,编号表!$C:$C,0))*100+E40</f>
        <v>1010503</v>
      </c>
      <c r="C40" t="str" s="3">
        <v>水镜滩·水退方见</v>
      </c>
      <c r="D40" t="str" s="12">
        <v>小怪3</v>
      </c>
      <c r="E40" t="n" s="12">
        <v>3</v>
      </c>
      <c r="F40" t="str" s="18">
        <v>苇泽灵蛙</v>
      </c>
      <c r="G40" t="str" s="17">
        <v>区域随机</v>
      </c>
      <c r="H40" t="n" s="3">
        <v>60091050</v>
      </c>
      <c r="I40" t="n" s="12">
        <v>2</v>
      </c>
      <c r="J40" s="17"/>
      <c r="K40" s="17"/>
      <c r="L40"/>
      <c r="M40" s="17"/>
      <c r="N40"/>
      <c r="O40" s="17"/>
      <c r="P40"/>
      <c r="Q40" s="17"/>
      <c r="R40"/>
      <c r="S40" s="17"/>
      <c r="T40"/>
      <c r="U40" s="17"/>
      <c r="V40"/>
      <c r="W40" s="17"/>
      <c r="X40"/>
      <c r="Y40" s="17"/>
      <c r="Z40"/>
      <c r="AA40" s="17"/>
      <c r="AB40" t="n">
        <v>0</v>
      </c>
    </row>
    <row r="41" spans="2:9">
      <c r="A41" s="8"/>
      <c r="B41" t="n" s="12">
        <f>1000000+INDEX(编号表!$B:$B,MATCH(C41,编号表!$A:$A,0))*1000+INDEX(编号表!$D:$D,MATCH(D41,编号表!$C:$C,0))*100+E41</f>
        <v>1010603</v>
      </c>
      <c r="C41" t="str" s="3">
        <v>水镜滩·水退方见</v>
      </c>
      <c r="D41" t="str" s="12">
        <v>小怪4</v>
      </c>
      <c r="E41" t="n" s="12">
        <v>3</v>
      </c>
      <c r="F41" t="str" s="18">
        <v>岩隙灵蝠</v>
      </c>
      <c r="G41" t="str" s="17">
        <v>区域随机</v>
      </c>
      <c r="H41" t="n" s="3">
        <v>60091051</v>
      </c>
      <c r="I41" t="n" s="12">
        <v>2</v>
      </c>
      <c r="J41" s="17"/>
      <c r="K41" s="17"/>
      <c r="L41"/>
      <c r="M41" s="17"/>
      <c r="N41"/>
      <c r="O41" s="17"/>
      <c r="P41"/>
      <c r="Q41" s="17"/>
      <c r="R41"/>
      <c r="S41" s="17"/>
      <c r="T41"/>
      <c r="U41" s="17"/>
      <c r="V41"/>
      <c r="W41" s="17"/>
      <c r="X41"/>
      <c r="Y41" s="17"/>
      <c r="Z41"/>
      <c r="AA41" s="17"/>
      <c r="AB41" t="n">
        <v>0</v>
      </c>
    </row>
    <row r="42" spans="2:9">
      <c r="A42" s="8"/>
      <c r="B42" t="n" s="12">
        <f>1000000+INDEX(编号表!$B:$B,MATCH(C42,编号表!$A:$A,0))*1000+INDEX(编号表!$D:$D,MATCH(D42,编号表!$C:$C,0))*100+E42</f>
        <v>1010103</v>
      </c>
      <c r="C42" t="str" s="3">
        <v>水镜滩·水退方见</v>
      </c>
      <c r="D42" t="str" s="12">
        <v>精英</v>
      </c>
      <c r="E42" t="n" s="12">
        <v>3</v>
      </c>
      <c r="F42" t="str" s="18">
        <v>汀岸灵狼·异种</v>
      </c>
      <c r="G42" t="str" s="17">
        <v>区域随机</v>
      </c>
      <c r="H42" t="n" s="3">
        <v>60092052</v>
      </c>
      <c r="I42" t="n" s="12">
        <v>1</v>
      </c>
      <c r="J42" s="17"/>
      <c r="K42" s="17"/>
      <c r="L42"/>
      <c r="M42" s="17"/>
      <c r="N42"/>
      <c r="O42" s="17"/>
      <c r="P42"/>
      <c r="Q42" s="17"/>
      <c r="R42"/>
      <c r="S42" s="17"/>
      <c r="T42"/>
      <c r="U42" s="17"/>
      <c r="V42"/>
      <c r="W42" s="17"/>
      <c r="X42"/>
      <c r="Y42" s="17"/>
      <c r="Z42"/>
      <c r="AA42" s="17"/>
      <c r="AB42" t="n">
        <v>0</v>
      </c>
    </row>
    <row r="43" spans="2:9">
      <c r="A43" s="8"/>
      <c r="B43" t="n" s="12">
        <f>1000000+INDEX(编号表!$B:$B,MATCH(C43,编号表!$A:$A,0))*1000+INDEX(编号表!$D:$D,MATCH(D43,编号表!$C:$C,0))*100+E43</f>
        <v>1011303</v>
      </c>
      <c r="C43" t="str" s="8">
        <v>沉浊坡</v>
      </c>
      <c r="D43" t="str" s="12">
        <v>小怪1</v>
      </c>
      <c r="E43" t="n" s="12">
        <v>3</v>
      </c>
      <c r="F43" t="str" s="18">
        <v>魔化水脉灵蛇</v>
      </c>
      <c r="G43" t="str" s="17">
        <v>区域随机</v>
      </c>
      <c r="H43" t="n" s="3">
        <v>60181053</v>
      </c>
      <c r="I43" t="n" s="12">
        <v>2</v>
      </c>
      <c r="J43" s="17"/>
      <c r="K43" s="17"/>
      <c r="L43"/>
      <c r="M43" s="17"/>
      <c r="N43"/>
      <c r="O43" s="17"/>
      <c r="P43"/>
      <c r="Q43" s="17"/>
      <c r="R43"/>
      <c r="S43" s="17"/>
      <c r="T43"/>
      <c r="U43" s="17"/>
      <c r="V43"/>
      <c r="W43" s="17"/>
      <c r="X43"/>
      <c r="Y43" s="17"/>
      <c r="Z43"/>
      <c r="AA43" s="17"/>
      <c r="AB43" t="n">
        <v>0</v>
      </c>
    </row>
    <row r="44" spans="2:9">
      <c r="A44" s="8"/>
      <c r="B44" t="n" s="12">
        <f>1000000+INDEX(编号表!$B:$B,MATCH(C44,编号表!$A:$A,0))*1000+INDEX(编号表!$D:$D,MATCH(D44,编号表!$C:$C,0))*100+E44</f>
        <v>1011403</v>
      </c>
      <c r="C44" t="str" s="8">
        <v>沉浊坡</v>
      </c>
      <c r="D44" t="str" s="12">
        <v>小怪2</v>
      </c>
      <c r="E44" t="n" s="12">
        <v>3</v>
      </c>
      <c r="F44" t="str" s="18">
        <v>魔化低岛灵狼</v>
      </c>
      <c r="G44" t="str" s="17">
        <v>区域随机</v>
      </c>
      <c r="H44" t="n" s="3">
        <v>60181054</v>
      </c>
      <c r="I44" t="n" s="12">
        <v>2</v>
      </c>
      <c r="J44" s="17"/>
      <c r="K44" s="17"/>
      <c r="L44"/>
      <c r="M44" s="17"/>
      <c r="N44"/>
      <c r="O44" s="17"/>
      <c r="P44"/>
      <c r="Q44" s="17"/>
      <c r="R44"/>
      <c r="S44" s="17"/>
      <c r="T44"/>
      <c r="U44" s="17"/>
      <c r="V44"/>
      <c r="W44" s="17"/>
      <c r="X44"/>
      <c r="Y44" s="17"/>
      <c r="Z44"/>
      <c r="AA44" s="17"/>
      <c r="AB44" t="n">
        <v>0</v>
      </c>
    </row>
    <row r="45" spans="2:9">
      <c r="A45" s="8"/>
      <c r="B45" t="n" s="12">
        <f>1000000+INDEX(编号表!$B:$B,MATCH(C45,编号表!$A:$A,0))*1000+INDEX(编号表!$D:$D,MATCH(D45,编号表!$C:$C,0))*100+E45</f>
        <v>1011003</v>
      </c>
      <c r="C45" t="str" s="8">
        <v>沉浊坡</v>
      </c>
      <c r="D45" t="str" s="12">
        <v>boss</v>
      </c>
      <c r="E45" t="n" s="12">
        <v>3</v>
      </c>
      <c r="F45" t="str" s="18">
        <v>魔化末分岩蟹·异种</v>
      </c>
      <c r="G45" t="str" s="17">
        <v>区域随机</v>
      </c>
      <c r="H45" t="n" s="3">
        <v>60182055</v>
      </c>
      <c r="I45" t="n" s="12">
        <v>1</v>
      </c>
      <c r="J45" s="17"/>
      <c r="K45" s="17"/>
      <c r="L45"/>
      <c r="M45" s="17"/>
      <c r="N45"/>
      <c r="O45" s="17"/>
      <c r="P45"/>
      <c r="Q45" s="17"/>
      <c r="R45"/>
      <c r="S45" s="17"/>
      <c r="T45"/>
      <c r="U45" s="17"/>
      <c r="V45"/>
      <c r="W45" s="17"/>
      <c r="X45"/>
      <c r="Y45" s="17"/>
      <c r="Z45"/>
      <c r="AA45" s="17"/>
      <c r="AB45" t="n">
        <v>0</v>
      </c>
    </row>
    <row r="46" spans="2:9">
      <c r="A46" s="8"/>
      <c r="B46" t="n" s="12">
        <f>1000000+INDEX(编号表!$B:$B,MATCH(C46,编号表!$A:$A,0))*1000+INDEX(编号表!$D:$D,MATCH(D46,编号表!$C:$C,0))*100+E46</f>
        <v>1012303</v>
      </c>
      <c r="C46" t="str" s="8">
        <v>豁烟水</v>
      </c>
      <c r="D46" t="str" s="12">
        <v>小怪1</v>
      </c>
      <c r="E46" t="n" s="12">
        <v>3</v>
      </c>
      <c r="F46" t="str" s="18">
        <v>荷汊灵蛙</v>
      </c>
      <c r="G46" t="str" s="17">
        <v>区域随机</v>
      </c>
      <c r="H46" t="n" s="3">
        <v>60111056</v>
      </c>
      <c r="I46" t="n" s="12">
        <v>2</v>
      </c>
      <c r="J46" s="17"/>
      <c r="K46" s="17"/>
      <c r="L46"/>
      <c r="M46" s="17"/>
      <c r="N46"/>
      <c r="O46" s="17"/>
      <c r="P46"/>
      <c r="Q46" s="17"/>
      <c r="R46"/>
      <c r="S46" s="17"/>
      <c r="T46"/>
      <c r="U46" s="17"/>
      <c r="V46"/>
      <c r="W46" s="17"/>
      <c r="X46"/>
      <c r="Y46" s="17"/>
      <c r="Z46"/>
      <c r="AA46" s="17"/>
      <c r="AB46" t="n">
        <v>0</v>
      </c>
    </row>
    <row r="47" spans="2:9">
      <c r="A47" s="8"/>
      <c r="B47" t="n" s="12">
        <f>1000000+INDEX(编号表!$B:$B,MATCH(C47,编号表!$A:$A,0))*1000+INDEX(编号表!$D:$D,MATCH(D47,编号表!$C:$C,0))*100+E47</f>
        <v>1012403</v>
      </c>
      <c r="C47" t="str" s="8">
        <v>豁烟水</v>
      </c>
      <c r="D47" t="str" s="12">
        <v>小怪2</v>
      </c>
      <c r="E47" t="n" s="12">
        <v>3</v>
      </c>
      <c r="F47" t="str" s="18">
        <v>水脉灵蛇</v>
      </c>
      <c r="G47" t="str" s="17">
        <v>区域随机</v>
      </c>
      <c r="H47" t="n" s="3">
        <v>60111057</v>
      </c>
      <c r="I47" t="n" s="12">
        <v>2</v>
      </c>
      <c r="J47" s="17"/>
      <c r="K47" s="17"/>
      <c r="L47"/>
      <c r="M47" s="17"/>
      <c r="N47"/>
      <c r="O47" s="17"/>
      <c r="P47"/>
      <c r="Q47" s="17"/>
      <c r="R47"/>
      <c r="S47" s="17"/>
      <c r="T47"/>
      <c r="U47" s="17"/>
      <c r="V47"/>
      <c r="W47" s="17"/>
      <c r="X47"/>
      <c r="Y47" s="17"/>
      <c r="Z47"/>
      <c r="AA47" s="17"/>
      <c r="AB47" t="n">
        <v>0</v>
      </c>
    </row>
    <row r="48" spans="2:9">
      <c r="A48" s="8"/>
      <c r="B48" t="n" s="12">
        <f>1000000+INDEX(编号表!$B:$B,MATCH(C48,编号表!$A:$A,0))*1000+INDEX(编号表!$D:$D,MATCH(D48,编号表!$C:$C,0))*100+E48</f>
        <v>1012503</v>
      </c>
      <c r="C48" t="str" s="8">
        <v>豁烟水</v>
      </c>
      <c r="D48" t="str" s="12">
        <v>小怪3</v>
      </c>
      <c r="E48" t="n" s="12">
        <v>3</v>
      </c>
      <c r="F48" t="str" s="18">
        <v>低岛灵狼</v>
      </c>
      <c r="G48" t="str" s="17">
        <v>区域随机</v>
      </c>
      <c r="H48" t="n" s="3">
        <v>60111058</v>
      </c>
      <c r="I48" t="n" s="12">
        <v>2</v>
      </c>
      <c r="J48" s="17"/>
      <c r="K48" s="17"/>
      <c r="L48"/>
      <c r="M48" s="17"/>
      <c r="N48"/>
      <c r="O48" s="17"/>
      <c r="P48"/>
      <c r="Q48" s="17"/>
      <c r="R48"/>
      <c r="S48" s="17"/>
      <c r="T48"/>
      <c r="U48" s="17"/>
      <c r="V48"/>
      <c r="W48" s="17"/>
      <c r="X48"/>
      <c r="Y48" s="17"/>
      <c r="Z48"/>
      <c r="AA48" s="17"/>
      <c r="AB48" t="n">
        <v>0</v>
      </c>
    </row>
    <row r="49" spans="2:9">
      <c r="A49" s="8"/>
      <c r="B49" t="n" s="12">
        <f>1000000+INDEX(编号表!$B:$B,MATCH(C49,编号表!$A:$A,0))*1000+INDEX(编号表!$D:$D,MATCH(D49,编号表!$C:$C,0))*100+E49</f>
        <v>1012603</v>
      </c>
      <c r="C49" t="str" s="8">
        <v>豁烟水</v>
      </c>
      <c r="D49" t="str" s="12">
        <v>小怪4</v>
      </c>
      <c r="E49" t="n" s="12">
        <v>3</v>
      </c>
      <c r="F49" t="str" s="18">
        <v>末分岩蟹</v>
      </c>
      <c r="G49" t="str" s="17">
        <v>区域随机</v>
      </c>
      <c r="H49" t="n" s="3">
        <v>60111059</v>
      </c>
      <c r="I49" t="n" s="12">
        <v>2</v>
      </c>
      <c r="J49" s="17"/>
      <c r="K49" s="17"/>
      <c r="L49"/>
      <c r="M49" s="17"/>
      <c r="N49"/>
      <c r="O49" s="17"/>
      <c r="P49"/>
      <c r="Q49" s="17"/>
      <c r="R49"/>
      <c r="S49" s="17"/>
      <c r="T49"/>
      <c r="U49" s="17"/>
      <c r="V49"/>
      <c r="W49" s="17"/>
      <c r="X49"/>
      <c r="Y49" s="17"/>
      <c r="Z49"/>
      <c r="AA49" s="17"/>
      <c r="AB49" t="n">
        <v>0</v>
      </c>
    </row>
    <row r="50" spans="2:9">
      <c r="A50" s="8"/>
      <c r="B50" t="n" s="12">
        <f>1000000+INDEX(编号表!$B:$B,MATCH(C50,编号表!$A:$A,0))*1000+INDEX(编号表!$D:$D,MATCH(D50,编号表!$C:$C,0))*100+E50</f>
        <v>1012703</v>
      </c>
      <c r="C50" t="str" s="8">
        <v>豁烟水</v>
      </c>
      <c r="D50" t="str" s="12">
        <v>小怪5</v>
      </c>
      <c r="E50" t="n" s="12">
        <v>3</v>
      </c>
      <c r="F50" t="str" s="18">
        <v>荷汊灵蛙</v>
      </c>
      <c r="G50" t="str" s="17">
        <v>区域随机</v>
      </c>
      <c r="H50" t="n" s="3">
        <v>60111060</v>
      </c>
      <c r="I50" t="n" s="12">
        <v>2</v>
      </c>
      <c r="J50" s="17"/>
      <c r="K50" s="17"/>
      <c r="L50"/>
      <c r="M50" s="17"/>
      <c r="N50"/>
      <c r="O50" s="17"/>
      <c r="P50"/>
      <c r="Q50" s="17"/>
      <c r="R50"/>
      <c r="S50" s="17"/>
      <c r="T50"/>
      <c r="U50" s="17"/>
      <c r="V50"/>
      <c r="W50" s="17"/>
      <c r="X50"/>
      <c r="Y50" s="17"/>
      <c r="Z50"/>
      <c r="AA50" s="17"/>
      <c r="AB50" t="n">
        <v>0</v>
      </c>
    </row>
    <row r="51" spans="2:9">
      <c r="A51" s="8"/>
      <c r="B51" t="n" s="12">
        <f>1000000+INDEX(编号表!$B:$B,MATCH(C51,编号表!$A:$A,0))*1000+INDEX(编号表!$D:$D,MATCH(D51,编号表!$C:$C,0))*100+E51</f>
        <v>1012103</v>
      </c>
      <c r="C51" t="str" s="8">
        <v>豁烟水</v>
      </c>
      <c r="D51" t="str" s="12">
        <v>精英</v>
      </c>
      <c r="E51" t="n" s="12">
        <v>3</v>
      </c>
      <c r="F51" t="str" s="18">
        <v>水脉灵蛇·异种</v>
      </c>
      <c r="G51" t="str" s="17">
        <v>区域随机</v>
      </c>
      <c r="H51" t="n" s="3">
        <v>60112061</v>
      </c>
      <c r="I51" t="n" s="12">
        <v>1</v>
      </c>
      <c r="J51" s="17"/>
      <c r="K51" s="17"/>
      <c r="L51"/>
      <c r="M51" s="17"/>
      <c r="N51"/>
      <c r="O51" s="17"/>
      <c r="P51"/>
      <c r="Q51" s="17"/>
      <c r="R51"/>
      <c r="S51" s="17"/>
      <c r="T51"/>
      <c r="U51" s="17"/>
      <c r="V51"/>
      <c r="W51" s="17"/>
      <c r="X51"/>
      <c r="Y51" s="17"/>
      <c r="Z51"/>
      <c r="AA51" s="17"/>
      <c r="AB51" t="n">
        <v>0</v>
      </c>
    </row>
    <row r="52" spans="2:9">
      <c r="A52" s="8"/>
      <c r="B52" t="n" s="12">
        <f>1000000+INDEX(编号表!$B:$B,MATCH(C52,编号表!$A:$A,0))*1000+INDEX(编号表!$D:$D,MATCH(D52,编号表!$C:$C,0))*100+E52</f>
        <v>1013303</v>
      </c>
      <c r="C52" t="str" s="8">
        <v>密荷影</v>
      </c>
      <c r="D52" t="str" s="12">
        <v>小怪1</v>
      </c>
      <c r="E52" t="n" s="12">
        <v>3</v>
      </c>
      <c r="F52" t="str" s="18">
        <v>低岛灵狼</v>
      </c>
      <c r="G52" t="str" s="17">
        <v>区域随机</v>
      </c>
      <c r="H52" t="n" s="3">
        <v>60121062</v>
      </c>
      <c r="I52" t="n" s="12">
        <v>2</v>
      </c>
      <c r="J52" s="17"/>
      <c r="K52" s="17"/>
      <c r="L52"/>
      <c r="M52" s="17"/>
      <c r="N52"/>
      <c r="O52" s="17"/>
      <c r="P52"/>
      <c r="Q52" s="17"/>
      <c r="R52"/>
      <c r="S52" s="17"/>
      <c r="T52"/>
      <c r="U52" s="17"/>
      <c r="V52"/>
      <c r="W52" s="17"/>
      <c r="X52"/>
      <c r="Y52" s="17"/>
      <c r="Z52"/>
      <c r="AA52" s="17"/>
      <c r="AB52" t="n">
        <v>0</v>
      </c>
    </row>
    <row r="53" spans="2:9">
      <c r="A53" s="8"/>
      <c r="B53" t="n" s="12">
        <f>1000000+INDEX(编号表!$B:$B,MATCH(C53,编号表!$A:$A,0))*1000+INDEX(编号表!$D:$D,MATCH(D53,编号表!$C:$C,0))*100+E53</f>
        <v>1013403</v>
      </c>
      <c r="C53" t="str" s="8">
        <v>密荷影</v>
      </c>
      <c r="D53" t="str" s="12">
        <v>小怪2</v>
      </c>
      <c r="E53" t="n" s="12">
        <v>3</v>
      </c>
      <c r="F53" t="str" s="18">
        <v>末分岩蟹</v>
      </c>
      <c r="G53" t="str" s="17">
        <v>区域随机</v>
      </c>
      <c r="H53" t="n" s="3">
        <v>60121063</v>
      </c>
      <c r="I53" t="n" s="12">
        <v>2</v>
      </c>
      <c r="J53" s="17"/>
      <c r="K53" s="17"/>
      <c r="L53"/>
      <c r="M53" s="17"/>
      <c r="N53"/>
      <c r="O53" s="17"/>
      <c r="P53"/>
      <c r="Q53" s="17"/>
      <c r="R53"/>
      <c r="S53" s="17"/>
      <c r="T53"/>
      <c r="U53" s="17"/>
      <c r="V53"/>
      <c r="W53" s="17"/>
      <c r="X53"/>
      <c r="Y53" s="17"/>
      <c r="Z53"/>
      <c r="AA53" s="17"/>
      <c r="AB53" t="n">
        <v>0</v>
      </c>
    </row>
    <row r="54" spans="2:9">
      <c r="A54" s="8"/>
      <c r="B54" t="n" s="12">
        <f>1000000+INDEX(编号表!$B:$B,MATCH(C54,编号表!$A:$A,0))*1000+INDEX(编号表!$D:$D,MATCH(D54,编号表!$C:$C,0))*100+E54</f>
        <v>1013503</v>
      </c>
      <c r="C54" t="str" s="8">
        <v>密荷影</v>
      </c>
      <c r="D54" t="str" s="12">
        <v>小怪3</v>
      </c>
      <c r="E54" t="n" s="12">
        <v>3</v>
      </c>
      <c r="F54" t="str" s="18">
        <v>荷汊灵蛙</v>
      </c>
      <c r="G54" t="str" s="17">
        <v>区域随机</v>
      </c>
      <c r="H54" t="n" s="3">
        <v>60121064</v>
      </c>
      <c r="I54" t="n" s="12">
        <v>2</v>
      </c>
      <c r="J54" s="17"/>
      <c r="K54" s="17"/>
      <c r="L54"/>
      <c r="M54" s="17"/>
      <c r="N54"/>
      <c r="O54" s="17"/>
      <c r="P54"/>
      <c r="Q54" s="17"/>
      <c r="R54"/>
      <c r="S54" s="17"/>
      <c r="T54"/>
      <c r="U54" s="17"/>
      <c r="V54"/>
      <c r="W54" s="17"/>
      <c r="X54"/>
      <c r="Y54" s="17"/>
      <c r="Z54"/>
      <c r="AA54" s="17"/>
      <c r="AB54" t="n">
        <v>0</v>
      </c>
    </row>
    <row r="55" spans="2:9">
      <c r="A55" s="8"/>
      <c r="B55" t="n" s="12">
        <f>1000000+INDEX(编号表!$B:$B,MATCH(C55,编号表!$A:$A,0))*1000+INDEX(编号表!$D:$D,MATCH(D55,编号表!$C:$C,0))*100+E55</f>
        <v>1013603</v>
      </c>
      <c r="C55" t="str" s="8">
        <v>密荷影</v>
      </c>
      <c r="D55" t="str" s="12">
        <v>小怪4</v>
      </c>
      <c r="E55" t="n" s="12">
        <v>3</v>
      </c>
      <c r="F55" t="str" s="18">
        <v>水脉灵蛇</v>
      </c>
      <c r="G55" t="str" s="17">
        <v>区域随机</v>
      </c>
      <c r="H55" t="n" s="3">
        <v>60121065</v>
      </c>
      <c r="I55" t="n" s="12">
        <v>2</v>
      </c>
      <c r="J55" s="17"/>
      <c r="K55" s="17"/>
      <c r="L55"/>
      <c r="M55" s="17"/>
      <c r="N55"/>
      <c r="O55" s="17"/>
      <c r="P55"/>
      <c r="Q55" s="17"/>
      <c r="R55"/>
      <c r="S55" s="17"/>
      <c r="T55"/>
      <c r="U55" s="17"/>
      <c r="V55"/>
      <c r="W55" s="17"/>
      <c r="X55"/>
      <c r="Y55" s="17"/>
      <c r="Z55"/>
      <c r="AA55" s="17"/>
      <c r="AB55" t="n">
        <v>0</v>
      </c>
    </row>
    <row r="56" spans="2:9">
      <c r="A56" s="8"/>
      <c r="B56" t="n" s="12">
        <f>1000000+INDEX(编号表!$B:$B,MATCH(C56,编号表!$A:$A,0))*1000+INDEX(编号表!$D:$D,MATCH(D56,编号表!$C:$C,0))*100+E56</f>
        <v>1013103</v>
      </c>
      <c r="C56" t="str" s="8">
        <v>密荷影</v>
      </c>
      <c r="D56" t="str" s="12">
        <v>精英</v>
      </c>
      <c r="E56" t="n" s="12">
        <v>3</v>
      </c>
      <c r="F56" t="str" s="18">
        <v>低岛灵狼·异种</v>
      </c>
      <c r="G56" t="str" s="17">
        <v>区域随机</v>
      </c>
      <c r="H56" t="n" s="3">
        <v>60122066</v>
      </c>
      <c r="I56" t="n" s="12">
        <v>1</v>
      </c>
      <c r="J56" s="17"/>
      <c r="K56" s="17"/>
      <c r="L56"/>
      <c r="M56" s="17"/>
      <c r="N56"/>
      <c r="O56" s="17"/>
      <c r="P56"/>
      <c r="Q56" s="17"/>
      <c r="R56"/>
      <c r="S56" s="17"/>
      <c r="T56"/>
      <c r="U56" s="17"/>
      <c r="V56"/>
      <c r="W56" s="17"/>
      <c r="X56"/>
      <c r="Y56" s="17"/>
      <c r="Z56"/>
      <c r="AA56" s="17"/>
      <c r="AB56" t="n">
        <v>0</v>
      </c>
    </row>
    <row r="57" spans="2:9">
      <c r="A57" s="8"/>
      <c r="B57" t="n" s="12">
        <f>1000000+INDEX(编号表!$B:$B,MATCH(C57,编号表!$A:$A,0))*1000+INDEX(编号表!$D:$D,MATCH(D57,编号表!$C:$C,0))*100+E57</f>
        <v>1014303</v>
      </c>
      <c r="C57" t="str" s="8">
        <v>末分石</v>
      </c>
      <c r="D57" t="str" s="12">
        <v>小怪1</v>
      </c>
      <c r="E57" t="n" s="12">
        <v>3</v>
      </c>
      <c r="F57" t="str" s="18">
        <v>末分岩蟹</v>
      </c>
      <c r="G57" t="str" s="17">
        <v>区域随机</v>
      </c>
      <c r="H57" t="n" s="3">
        <v>60131067</v>
      </c>
      <c r="I57" t="n" s="12">
        <v>2</v>
      </c>
      <c r="J57" s="17"/>
      <c r="K57" s="17"/>
      <c r="L57"/>
      <c r="M57" s="17"/>
      <c r="N57"/>
      <c r="O57" s="17"/>
      <c r="P57"/>
      <c r="Q57" s="17"/>
      <c r="R57"/>
      <c r="S57" s="17"/>
      <c r="T57"/>
      <c r="U57" s="17"/>
      <c r="V57"/>
      <c r="W57" s="17"/>
      <c r="X57"/>
      <c r="Y57" s="17"/>
      <c r="Z57"/>
      <c r="AA57" s="17"/>
      <c r="AB57" t="n">
        <v>0</v>
      </c>
    </row>
    <row r="58" spans="2:9">
      <c r="A58" s="8"/>
      <c r="B58" t="n" s="12">
        <f>1000000+INDEX(编号表!$B:$B,MATCH(C58,编号表!$A:$A,0))*1000+INDEX(编号表!$D:$D,MATCH(D58,编号表!$C:$C,0))*100+E58</f>
        <v>1014403</v>
      </c>
      <c r="C58" t="str" s="8">
        <v>末分石</v>
      </c>
      <c r="D58" t="str" s="12">
        <v>小怪2</v>
      </c>
      <c r="E58" t="n" s="12">
        <v>3</v>
      </c>
      <c r="F58" t="str" s="18">
        <v>荷汊灵蛙</v>
      </c>
      <c r="G58" t="str" s="17">
        <v>区域随机</v>
      </c>
      <c r="H58" t="n" s="3">
        <v>60131068</v>
      </c>
      <c r="I58" t="n" s="12">
        <v>2</v>
      </c>
      <c r="J58" s="17"/>
      <c r="K58" s="17"/>
      <c r="L58"/>
      <c r="M58" s="17"/>
      <c r="N58"/>
      <c r="O58" s="17"/>
      <c r="P58"/>
      <c r="Q58" s="17"/>
      <c r="R58"/>
      <c r="S58" s="17"/>
      <c r="T58"/>
      <c r="U58" s="17"/>
      <c r="V58"/>
      <c r="W58" s="17"/>
      <c r="X58"/>
      <c r="Y58" s="17"/>
      <c r="Z58"/>
      <c r="AA58" s="17"/>
      <c r="AB58" t="n">
        <v>0</v>
      </c>
    </row>
    <row r="59" spans="2:9">
      <c r="A59" s="8"/>
      <c r="B59" t="n" s="12">
        <f>1000000+INDEX(编号表!$B:$B,MATCH(C59,编号表!$A:$A,0))*1000+INDEX(编号表!$D:$D,MATCH(D59,编号表!$C:$C,0))*100+E59</f>
        <v>1014503</v>
      </c>
      <c r="C59" t="str" s="8">
        <v>末分石</v>
      </c>
      <c r="D59" t="str" s="12">
        <v>小怪3</v>
      </c>
      <c r="E59" t="n" s="12">
        <v>3</v>
      </c>
      <c r="F59" t="str" s="18">
        <v>水脉灵蛇</v>
      </c>
      <c r="G59" t="str" s="17">
        <v>区域随机</v>
      </c>
      <c r="H59" t="n" s="3">
        <v>60131069</v>
      </c>
      <c r="I59" t="n" s="12">
        <v>2</v>
      </c>
      <c r="J59" s="17"/>
      <c r="K59" s="17"/>
      <c r="L59"/>
      <c r="M59" s="17"/>
      <c r="N59"/>
      <c r="O59" s="17"/>
      <c r="P59"/>
      <c r="Q59" s="17"/>
      <c r="R59"/>
      <c r="S59" s="17"/>
      <c r="T59"/>
      <c r="U59" s="17"/>
      <c r="V59"/>
      <c r="W59" s="17"/>
      <c r="X59"/>
      <c r="Y59" s="17"/>
      <c r="Z59"/>
      <c r="AA59" s="17"/>
      <c r="AB59" t="n">
        <v>0</v>
      </c>
    </row>
    <row r="60" spans="2:9">
      <c r="A60" s="8"/>
      <c r="B60" t="n" s="12">
        <f>1000000+INDEX(编号表!$B:$B,MATCH(C60,编号表!$A:$A,0))*1000+INDEX(编号表!$D:$D,MATCH(D60,编号表!$C:$C,0))*100+E60</f>
        <v>1014103</v>
      </c>
      <c r="C60" t="str" s="8">
        <v>末分石</v>
      </c>
      <c r="D60" t="str" s="12">
        <v>精英</v>
      </c>
      <c r="E60" t="n" s="12">
        <v>3</v>
      </c>
      <c r="F60" t="str" s="18">
        <v>低岛灵狼·异种</v>
      </c>
      <c r="G60" t="str" s="17">
        <v>区域随机</v>
      </c>
      <c r="H60" t="n" s="3">
        <v>60132070</v>
      </c>
      <c r="I60" t="n" s="12">
        <v>1</v>
      </c>
      <c r="J60" s="17"/>
      <c r="K60" s="17"/>
      <c r="L60"/>
      <c r="M60" s="17"/>
      <c r="N60"/>
      <c r="O60" s="17"/>
      <c r="P60"/>
      <c r="Q60" s="17"/>
      <c r="R60"/>
      <c r="S60" s="17"/>
      <c r="T60"/>
      <c r="U60" s="17"/>
      <c r="V60"/>
      <c r="W60" s="17"/>
      <c r="X60"/>
      <c r="Y60" s="17"/>
      <c r="Z60"/>
      <c r="AA60" s="17"/>
      <c r="AB60" t="n">
        <v>0</v>
      </c>
    </row>
    <row r="61" spans="2:9">
      <c r="A61" s="8"/>
      <c r="B61" t="n" s="12">
        <f>1000000+INDEX(编号表!$B:$B,MATCH(C61,编号表!$A:$A,0))*1000+INDEX(编号表!$D:$D,MATCH(D61,编号表!$C:$C,0))*100+E61</f>
        <v>1014003</v>
      </c>
      <c r="C61" t="str" s="8">
        <v>末分石</v>
      </c>
      <c r="D61" t="str" s="12">
        <v>boss</v>
      </c>
      <c r="E61" t="n" s="12">
        <v>3</v>
      </c>
      <c r="F61" t="str" s="18">
        <v>末分岩蟹·首领</v>
      </c>
      <c r="G61" t="str" s="17">
        <v>区域随机</v>
      </c>
      <c r="H61" t="n" s="3">
        <v>60134071</v>
      </c>
      <c r="I61" t="n" s="12">
        <v>1</v>
      </c>
      <c r="J61" s="17"/>
      <c r="K61" s="17"/>
      <c r="L61"/>
      <c r="M61" s="17"/>
      <c r="N61"/>
      <c r="O61" s="17"/>
      <c r="P61"/>
      <c r="Q61" s="17"/>
      <c r="R61"/>
      <c r="S61" s="17"/>
      <c r="T61"/>
      <c r="U61" s="17"/>
      <c r="V61"/>
      <c r="W61" s="17"/>
      <c r="X61"/>
      <c r="Y61" s="17"/>
      <c r="Z61"/>
      <c r="AA61" s="17"/>
      <c r="AB61" t="n">
        <v>0</v>
      </c>
    </row>
    <row r="62" spans="2:9">
      <c r="A62" s="8"/>
      <c r="B62" t="n" s="12">
        <f>1000000+INDEX(编号表!$B:$B,MATCH(C62,编号表!$A:$A,0))*1000+INDEX(编号表!$D:$D,MATCH(D62,编号表!$C:$C,0))*100+E62</f>
        <v>1015303</v>
      </c>
      <c r="C62" t="str" s="8">
        <v>粉浪风</v>
      </c>
      <c r="D62" t="str" s="12">
        <v>小怪1</v>
      </c>
      <c r="E62" t="n" s="12">
        <v>3</v>
      </c>
      <c r="F62" t="str" s="18">
        <v>荷汊灵蛙</v>
      </c>
      <c r="G62" t="str" s="17">
        <v>区域随机</v>
      </c>
      <c r="H62" t="n" s="3">
        <v>60141072</v>
      </c>
      <c r="I62" t="n" s="12">
        <v>2</v>
      </c>
      <c r="J62" s="17"/>
      <c r="K62" s="17"/>
      <c r="L62"/>
      <c r="M62" s="17"/>
      <c r="N62"/>
      <c r="O62" s="17"/>
      <c r="P62"/>
      <c r="Q62" s="17"/>
      <c r="R62"/>
      <c r="S62" s="17"/>
      <c r="T62"/>
      <c r="U62" s="17"/>
      <c r="V62"/>
      <c r="W62" s="17"/>
      <c r="X62"/>
      <c r="Y62" s="17"/>
      <c r="Z62"/>
      <c r="AA62" s="17"/>
      <c r="AB62" t="n">
        <v>0</v>
      </c>
    </row>
    <row r="63" spans="2:9">
      <c r="A63" s="8"/>
      <c r="B63" t="n" s="12">
        <f>1000000+INDEX(编号表!$B:$B,MATCH(C63,编号表!$A:$A,0))*1000+INDEX(编号表!$D:$D,MATCH(D63,编号表!$C:$C,0))*100+E63</f>
        <v>1015403</v>
      </c>
      <c r="C63" t="str" s="8">
        <v>粉浪风</v>
      </c>
      <c r="D63" t="str" s="12">
        <v>小怪2</v>
      </c>
      <c r="E63" t="n" s="12">
        <v>3</v>
      </c>
      <c r="F63" t="str" s="18">
        <v>水脉灵蛇</v>
      </c>
      <c r="G63" t="str" s="17">
        <v>区域随机</v>
      </c>
      <c r="H63" t="n" s="3">
        <v>60141073</v>
      </c>
      <c r="I63" t="n" s="12">
        <v>2</v>
      </c>
      <c r="J63" s="17"/>
      <c r="K63" s="17"/>
      <c r="L63"/>
      <c r="M63" s="17"/>
      <c r="N63"/>
      <c r="O63" s="17"/>
      <c r="P63"/>
      <c r="Q63" s="17"/>
      <c r="R63"/>
      <c r="S63" s="17"/>
      <c r="T63"/>
      <c r="U63" s="17"/>
      <c r="V63"/>
      <c r="W63" s="17"/>
      <c r="X63"/>
      <c r="Y63" s="17"/>
      <c r="Z63"/>
      <c r="AA63" s="17"/>
      <c r="AB63" t="n">
        <v>0</v>
      </c>
    </row>
    <row r="64" spans="2:9">
      <c r="A64" s="8"/>
      <c r="B64" t="n" s="12">
        <f>1000000+INDEX(编号表!$B:$B,MATCH(C64,编号表!$A:$A,0))*1000+INDEX(编号表!$D:$D,MATCH(D64,编号表!$C:$C,0))*100+E64</f>
        <v>1015503</v>
      </c>
      <c r="C64" t="str" s="8">
        <v>粉浪风</v>
      </c>
      <c r="D64" t="str" s="12">
        <v>小怪3</v>
      </c>
      <c r="E64" t="n" s="12">
        <v>3</v>
      </c>
      <c r="F64" t="str" s="18">
        <v>低岛灵狼</v>
      </c>
      <c r="G64" t="str" s="17">
        <v>区域随机</v>
      </c>
      <c r="H64" t="n" s="3">
        <v>60141074</v>
      </c>
      <c r="I64" t="n" s="12">
        <v>2</v>
      </c>
      <c r="J64" s="17"/>
      <c r="K64" s="17"/>
      <c r="L64"/>
      <c r="M64" s="17"/>
      <c r="N64"/>
      <c r="O64" s="17"/>
      <c r="P64"/>
      <c r="Q64" s="17"/>
      <c r="R64"/>
      <c r="S64" s="17"/>
      <c r="T64"/>
      <c r="U64" s="17"/>
      <c r="V64"/>
      <c r="W64" s="17"/>
      <c r="X64"/>
      <c r="Y64" s="17"/>
      <c r="Z64"/>
      <c r="AA64" s="17"/>
      <c r="AB64" t="n">
        <v>0</v>
      </c>
    </row>
    <row r="65" spans="2:9">
      <c r="A65" s="8"/>
      <c r="B65" t="n" s="12">
        <f>1000000+INDEX(编号表!$B:$B,MATCH(C65,编号表!$A:$A,0))*1000+INDEX(编号表!$D:$D,MATCH(D65,编号表!$C:$C,0))*100+E65</f>
        <v>1016303</v>
      </c>
      <c r="C65" t="str" s="8">
        <v>漫莎台</v>
      </c>
      <c r="D65" t="str" s="12">
        <v>小怪1</v>
      </c>
      <c r="E65" t="n" s="12">
        <v>3</v>
      </c>
      <c r="F65" t="str" s="18">
        <v>末分岩蟹</v>
      </c>
      <c r="G65" t="str" s="17">
        <v>区域随机</v>
      </c>
      <c r="H65" t="n" s="3">
        <v>60151075</v>
      </c>
      <c r="I65" t="n" s="12">
        <v>2</v>
      </c>
      <c r="J65" s="17"/>
      <c r="K65" s="17"/>
      <c r="L65"/>
      <c r="M65" s="17"/>
      <c r="N65"/>
      <c r="O65" s="17"/>
      <c r="P65"/>
      <c r="Q65" s="17"/>
      <c r="R65"/>
      <c r="S65" s="17"/>
      <c r="T65"/>
      <c r="U65" s="17"/>
      <c r="V65"/>
      <c r="W65" s="17"/>
      <c r="X65"/>
      <c r="Y65" s="17"/>
      <c r="Z65"/>
      <c r="AA65" s="17"/>
      <c r="AB65" t="n">
        <v>0</v>
      </c>
    </row>
    <row r="66" spans="2:9">
      <c r="A66" s="8"/>
      <c r="B66" t="n" s="12">
        <f>1000000+INDEX(编号表!$B:$B,MATCH(C66,编号表!$A:$A,0))*1000+INDEX(编号表!$D:$D,MATCH(D66,编号表!$C:$C,0))*100+E66</f>
        <v>1016403</v>
      </c>
      <c r="C66" t="str" s="8">
        <v>漫莎台</v>
      </c>
      <c r="D66" t="str" s="12">
        <v>小怪2</v>
      </c>
      <c r="E66" t="n" s="12">
        <v>3</v>
      </c>
      <c r="F66" t="str" s="18">
        <v>荷汊灵蛙</v>
      </c>
      <c r="G66" t="str" s="17">
        <v>区域随机</v>
      </c>
      <c r="H66" t="n" s="3">
        <v>60151076</v>
      </c>
      <c r="I66" t="n" s="12">
        <v>2</v>
      </c>
      <c r="J66" s="17"/>
      <c r="K66" s="17"/>
      <c r="L66"/>
      <c r="M66" s="17"/>
      <c r="N66"/>
      <c r="O66" s="17"/>
      <c r="P66"/>
      <c r="Q66" s="17"/>
      <c r="R66"/>
      <c r="S66" s="17"/>
      <c r="T66"/>
      <c r="U66" s="17"/>
      <c r="V66"/>
      <c r="W66" s="17"/>
      <c r="X66"/>
      <c r="Y66" s="17"/>
      <c r="Z66"/>
      <c r="AA66" s="17"/>
      <c r="AB66" t="n">
        <v>0</v>
      </c>
    </row>
    <row r="67" spans="2:9">
      <c r="A67" s="8"/>
      <c r="B67" t="n" s="12">
        <f>1000000+INDEX(编号表!$B:$B,MATCH(C67,编号表!$A:$A,0))*1000+INDEX(编号表!$D:$D,MATCH(D67,编号表!$C:$C,0))*100+E67</f>
        <v>1017303</v>
      </c>
      <c r="C67" t="str" s="8">
        <v>匿汊口</v>
      </c>
      <c r="D67" t="str" s="12">
        <v>小怪1</v>
      </c>
      <c r="E67" t="n" s="12">
        <v>3</v>
      </c>
      <c r="F67" t="str" s="18">
        <v>水脉灵蛇</v>
      </c>
      <c r="G67" t="str" s="17">
        <v>区域随机</v>
      </c>
      <c r="H67" t="n" s="3">
        <v>60161077</v>
      </c>
      <c r="I67" t="n" s="12">
        <v>2</v>
      </c>
      <c r="J67" s="17"/>
      <c r="K67" s="17"/>
      <c r="L67"/>
      <c r="M67" s="17"/>
      <c r="N67"/>
      <c r="O67" s="17"/>
      <c r="P67"/>
      <c r="Q67" s="17"/>
      <c r="R67"/>
      <c r="S67" s="17"/>
      <c r="T67"/>
      <c r="U67" s="17"/>
      <c r="V67"/>
      <c r="W67" s="17"/>
      <c r="X67"/>
      <c r="Y67" s="17"/>
      <c r="Z67"/>
      <c r="AA67" s="17"/>
      <c r="AB67" t="n">
        <v>0</v>
      </c>
    </row>
    <row r="68" spans="2:9">
      <c r="A68" s="8"/>
      <c r="B68" t="n" s="12">
        <f>1000000+INDEX(编号表!$B:$B,MATCH(C68,编号表!$A:$A,0))*1000+INDEX(编号表!$D:$D,MATCH(D68,编号表!$C:$C,0))*100+E68</f>
        <v>1017403</v>
      </c>
      <c r="C68" t="str" s="8">
        <v>匿汊口</v>
      </c>
      <c r="D68" t="str" s="12">
        <v>小怪2</v>
      </c>
      <c r="E68" t="n" s="12">
        <v>3</v>
      </c>
      <c r="F68" t="str" s="18">
        <v>低岛灵狼</v>
      </c>
      <c r="G68" t="str" s="17">
        <v>区域随机</v>
      </c>
      <c r="H68" t="n" s="3">
        <v>60161078</v>
      </c>
      <c r="I68" t="n" s="12">
        <v>2</v>
      </c>
      <c r="J68" s="17"/>
      <c r="K68" s="17"/>
      <c r="L68"/>
      <c r="M68" s="17"/>
      <c r="N68"/>
      <c r="O68" s="17"/>
      <c r="P68"/>
      <c r="Q68" s="17"/>
      <c r="R68"/>
      <c r="S68" s="17"/>
      <c r="T68"/>
      <c r="U68" s="17"/>
      <c r="V68"/>
      <c r="W68" s="17"/>
      <c r="X68"/>
      <c r="Y68" s="17"/>
      <c r="Z68"/>
      <c r="AA68" s="17"/>
      <c r="AB68" t="n">
        <v>0</v>
      </c>
    </row>
    <row r="69" spans="2:9">
      <c r="A69" s="8"/>
      <c r="B69" t="n" s="12">
        <f>1000000+INDEX(编号表!$B:$B,MATCH(C69,编号表!$A:$A,0))*1000+INDEX(编号表!$D:$D,MATCH(D69,编号表!$C:$C,0))*100+E69</f>
        <v>1017503</v>
      </c>
      <c r="C69" t="str" s="8">
        <v>匿汊口</v>
      </c>
      <c r="D69" t="str" s="12">
        <v>小怪3</v>
      </c>
      <c r="E69" t="n" s="12">
        <v>3</v>
      </c>
      <c r="F69" t="str" s="18">
        <v>末分岩蟹</v>
      </c>
      <c r="G69" t="str" s="17">
        <v>区域随机</v>
      </c>
      <c r="H69" t="n" s="3">
        <v>60161079</v>
      </c>
      <c r="I69" t="n" s="12">
        <v>2</v>
      </c>
      <c r="J69" s="17"/>
      <c r="K69" s="17"/>
      <c r="L69"/>
      <c r="M69" s="17"/>
      <c r="N69"/>
      <c r="O69" s="17"/>
      <c r="P69"/>
      <c r="Q69" s="17"/>
      <c r="R69"/>
      <c r="S69" s="17"/>
      <c r="T69"/>
      <c r="U69" s="17"/>
      <c r="V69"/>
      <c r="W69" s="17"/>
      <c r="X69"/>
      <c r="Y69" s="17"/>
      <c r="Z69"/>
      <c r="AA69" s="17"/>
      <c r="AB69" t="n">
        <v>0</v>
      </c>
    </row>
    <row r="70" spans="2:9">
      <c r="A70" s="8"/>
      <c r="B70" t="n" s="12">
        <f>1000000+INDEX(编号表!$B:$B,MATCH(C70,编号表!$A:$A,0))*1000+INDEX(编号表!$D:$D,MATCH(D70,编号表!$C:$C,0))*100+E70</f>
        <v>1017103</v>
      </c>
      <c r="C70" t="str" s="8">
        <v>匿汊口</v>
      </c>
      <c r="D70" t="str" s="12">
        <v>精英</v>
      </c>
      <c r="E70" t="n" s="12">
        <v>3</v>
      </c>
      <c r="F70" t="str" s="18">
        <v>荷汊灵蛙·异种</v>
      </c>
      <c r="G70" t="str" s="17">
        <v>区域随机</v>
      </c>
      <c r="H70" t="n" s="3">
        <v>60162080</v>
      </c>
      <c r="I70" t="n" s="12">
        <v>1</v>
      </c>
      <c r="J70" s="17"/>
      <c r="K70" s="17"/>
      <c r="L70"/>
      <c r="M70" s="17"/>
      <c r="N70"/>
      <c r="O70" s="17"/>
      <c r="P70"/>
      <c r="Q70" s="17"/>
      <c r="R70"/>
      <c r="S70" s="17"/>
      <c r="T70"/>
      <c r="U70" s="17"/>
      <c r="V70"/>
      <c r="W70" s="17"/>
      <c r="X70"/>
      <c r="Y70" s="17"/>
      <c r="Z70"/>
      <c r="AA70" s="17"/>
      <c r="AB70" t="n">
        <v>0</v>
      </c>
    </row>
    <row r="71" spans="2:9">
      <c r="A71" s="8"/>
      <c r="B71" t="n" s="12">
        <f>1000000+INDEX(编号表!$B:$B,MATCH(C71,编号表!$A:$A,0))*1000+INDEX(编号表!$D:$D,MATCH(D71,编号表!$C:$C,0))*100+E71</f>
        <v>1017001</v>
      </c>
      <c r="C71" t="str" s="8">
        <v>匿汊口</v>
      </c>
      <c r="D71" t="str" s="12">
        <v>boss</v>
      </c>
      <c r="E71" t="n" s="12">
        <v>1</v>
      </c>
      <c r="F71" t="str" s="18">
        <v>水脉灵蛇·首领</v>
      </c>
      <c r="G71" t="str" s="17">
        <v>区域随机</v>
      </c>
      <c r="H71" t="n" s="3">
        <v>60164081</v>
      </c>
      <c r="I71" t="n" s="12">
        <v>1</v>
      </c>
      <c r="J71" s="17"/>
      <c r="K71" s="17"/>
      <c r="L71"/>
      <c r="M71" s="17"/>
      <c r="N71"/>
      <c r="O71" s="17"/>
      <c r="P71"/>
      <c r="Q71" s="17"/>
      <c r="R71"/>
      <c r="S71" s="17"/>
      <c r="T71"/>
      <c r="U71" s="17"/>
      <c r="V71"/>
      <c r="W71" s="17"/>
      <c r="X71"/>
      <c r="Y71" s="17"/>
      <c r="Z71"/>
      <c r="AA71" s="17"/>
      <c r="AB71" t="n">
        <v>0</v>
      </c>
    </row>
    <row r="72" spans="2:9">
      <c r="A72" s="8"/>
      <c r="B72" t="n" s="12">
        <f>1000000+INDEX(编号表!$B:$B,MATCH(C72,编号表!$A:$A,0))*1000+INDEX(编号表!$D:$D,MATCH(D72,编号表!$C:$C,0))*100+E72</f>
        <v>1018303</v>
      </c>
      <c r="C72" t="str" s="8">
        <v>砾藏岩</v>
      </c>
      <c r="D72" t="str" s="12">
        <v>小怪1</v>
      </c>
      <c r="E72" t="n" s="12">
        <v>3</v>
      </c>
      <c r="F72" t="str" s="18">
        <v>低岛灵狼</v>
      </c>
      <c r="G72" t="str" s="17">
        <v>区域随机</v>
      </c>
      <c r="H72" t="n" s="3">
        <v>60171082</v>
      </c>
      <c r="I72" t="n" s="12">
        <v>2</v>
      </c>
      <c r="J72" s="17"/>
      <c r="K72" s="17"/>
      <c r="L72"/>
      <c r="M72" s="17"/>
      <c r="N72"/>
      <c r="O72" s="17"/>
      <c r="P72"/>
      <c r="Q72" s="17"/>
      <c r="R72"/>
      <c r="S72" s="17"/>
      <c r="T72"/>
      <c r="U72" s="17"/>
      <c r="V72"/>
      <c r="W72" s="17"/>
      <c r="X72"/>
      <c r="Y72" s="17"/>
      <c r="Z72"/>
      <c r="AA72" s="17"/>
      <c r="AB72" t="n">
        <v>0</v>
      </c>
    </row>
    <row r="73" spans="2:9">
      <c r="A73" s="8"/>
      <c r="B73" t="n" s="12">
        <f>1000000+INDEX(编号表!$B:$B,MATCH(C73,编号表!$A:$A,0))*1000+INDEX(编号表!$D:$D,MATCH(D73,编号表!$C:$C,0))*100+E73</f>
        <v>1018103</v>
      </c>
      <c r="C73" t="str" s="8">
        <v>砾藏岩</v>
      </c>
      <c r="D73" t="str" s="12">
        <v>精英</v>
      </c>
      <c r="E73" t="n" s="12">
        <v>3</v>
      </c>
      <c r="F73" t="str" s="18">
        <v>末分岩蟹·异种</v>
      </c>
      <c r="G73" t="str" s="17">
        <v>区域随机</v>
      </c>
      <c r="H73" t="n" s="3">
        <v>60172083</v>
      </c>
      <c r="I73" t="n" s="12">
        <v>1</v>
      </c>
      <c r="J73" s="17"/>
      <c r="K73" s="17"/>
      <c r="L73"/>
      <c r="M73" s="17"/>
      <c r="N73"/>
      <c r="O73" s="17"/>
      <c r="P73"/>
      <c r="Q73" s="17"/>
      <c r="R73"/>
      <c r="S73" s="17"/>
      <c r="T73"/>
      <c r="U73" s="17"/>
      <c r="V73"/>
      <c r="W73" s="17"/>
      <c r="X73"/>
      <c r="Y73" s="17"/>
      <c r="Z73"/>
      <c r="AA73" s="17"/>
      <c r="AB73" t="n">
        <v>0</v>
      </c>
    </row>
    <row r="74" spans="2:9">
      <c r="A74" s="8"/>
      <c r="B74" t="n" s="12">
        <f>1000000+INDEX(编号表!$B:$B,MATCH(C74,编号表!$A:$A,0))*1000+INDEX(编号表!$D:$D,MATCH(D74,编号表!$C:$C,0))*100+E74</f>
        <v>1018403</v>
      </c>
      <c r="C74" t="str" s="8">
        <v>砾藏岩</v>
      </c>
      <c r="D74" t="str" s="12">
        <v>小怪2</v>
      </c>
      <c r="E74" t="n" s="12">
        <v>3</v>
      </c>
      <c r="F74" t="str" s="18">
        <v>荷汊灵蛙</v>
      </c>
      <c r="G74" t="str" s="17">
        <v>区域随机</v>
      </c>
      <c r="H74" t="n" s="3">
        <v>60171084</v>
      </c>
      <c r="I74" t="n" s="12">
        <v>2</v>
      </c>
      <c r="J74" s="17"/>
      <c r="K74" s="17"/>
      <c r="L74"/>
      <c r="M74" s="17"/>
      <c r="N74"/>
      <c r="O74" s="17"/>
      <c r="P74"/>
      <c r="Q74" s="17"/>
      <c r="R74"/>
      <c r="S74" s="17"/>
      <c r="T74"/>
      <c r="U74" s="17"/>
      <c r="V74"/>
      <c r="W74" s="17"/>
      <c r="X74"/>
      <c r="Y74" s="17"/>
      <c r="Z74"/>
      <c r="AA74" s="17"/>
      <c r="AB74" t="n">
        <v>0</v>
      </c>
    </row>
    <row r="75" spans="2:9">
      <c r="A75" s="8"/>
      <c r="B75" t="n" s="12">
        <f>1000000+INDEX(编号表!$B:$B,MATCH(C75,编号表!$A:$A,0))*1000+INDEX(编号表!$D:$D,MATCH(D75,编号表!$C:$C,0))*100+E75</f>
        <v>1018001</v>
      </c>
      <c r="C75" t="str" s="8">
        <v>砾藏岩</v>
      </c>
      <c r="D75" t="str" s="12">
        <v>boss</v>
      </c>
      <c r="E75" t="n" s="12">
        <v>1</v>
      </c>
      <c r="F75" t="str" s="18">
        <v>水脉灵蛇·首领</v>
      </c>
      <c r="G75" t="str" s="17">
        <v>区域随机</v>
      </c>
      <c r="H75" t="n" s="3">
        <v>60174085</v>
      </c>
      <c r="I75" t="n" s="12">
        <v>1</v>
      </c>
      <c r="J75" s="17"/>
      <c r="K75" s="17"/>
      <c r="L75"/>
      <c r="M75" s="17"/>
      <c r="N75"/>
      <c r="O75" s="17"/>
      <c r="P75"/>
      <c r="Q75" s="17"/>
      <c r="R75"/>
      <c r="S75" s="17"/>
      <c r="T75"/>
      <c r="U75" s="17"/>
      <c r="V75"/>
      <c r="W75" s="17"/>
      <c r="X75"/>
      <c r="Y75" s="17"/>
      <c r="Z75"/>
      <c r="AA75" s="17"/>
      <c r="AB75" t="n">
        <v>0</v>
      </c>
    </row>
    <row r="76" spans="2:9">
      <c r="A76" s="8"/>
      <c r="B76" t="n" s="12">
        <f>1000000+INDEX(编号表!$B:$B,MATCH(C76,编号表!$A:$A,0))*1000+INDEX(编号表!$D:$D,MATCH(D76,编号表!$C:$C,0))*100+E76</f>
        <v>1026303</v>
      </c>
      <c r="C76" t="str" s="8">
        <v>风背余晦</v>
      </c>
      <c r="D76" t="str" s="12">
        <v>小怪1</v>
      </c>
      <c r="E76" t="n" s="12">
        <v>3</v>
      </c>
      <c r="F76" t="str" s="18">
        <v>魔化沟底石蟹</v>
      </c>
      <c r="G76" t="str" s="17">
        <v>区域随机</v>
      </c>
      <c r="H76" t="n" s="12">
        <v>60261086</v>
      </c>
      <c r="I76" t="n" s="12">
        <v>2</v>
      </c>
      <c r="J76" s="17"/>
      <c r="K76" s="17"/>
      <c r="L76"/>
      <c r="M76" s="17"/>
      <c r="N76"/>
      <c r="O76" s="17"/>
      <c r="P76"/>
      <c r="Q76" s="17"/>
      <c r="R76"/>
      <c r="S76" s="17"/>
      <c r="T76"/>
      <c r="U76" s="17"/>
      <c r="V76"/>
      <c r="W76" s="17"/>
      <c r="X76"/>
      <c r="Y76" s="17"/>
      <c r="Z76"/>
      <c r="AA76" s="17"/>
      <c r="AB76" t="n">
        <v>0</v>
      </c>
    </row>
    <row r="77" spans="2:9">
      <c r="A77" s="8"/>
      <c r="B77" t="n" s="12">
        <f>1000000+INDEX(编号表!$B:$B,MATCH(C77,编号表!$A:$A,0))*1000+INDEX(编号表!$D:$D,MATCH(D77,编号表!$C:$C,0))*100+E77</f>
        <v>1026403</v>
      </c>
      <c r="C77" t="str" s="8">
        <v>风背余晦</v>
      </c>
      <c r="D77" t="str" s="12">
        <v>小怪2</v>
      </c>
      <c r="E77" t="n" s="12">
        <v>3</v>
      </c>
      <c r="F77" t="str" s="18">
        <v>魔化瘠地灵蛇</v>
      </c>
      <c r="G77" t="str" s="17">
        <v>区域随机</v>
      </c>
      <c r="H77" t="n" s="12">
        <v>60261087</v>
      </c>
      <c r="I77" t="n" s="12">
        <v>2</v>
      </c>
      <c r="J77" s="17"/>
      <c r="K77" s="17"/>
      <c r="L77"/>
      <c r="M77" s="17"/>
      <c r="N77"/>
      <c r="O77" s="17"/>
      <c r="P77"/>
      <c r="Q77" s="17"/>
      <c r="R77"/>
      <c r="S77" s="17"/>
      <c r="T77"/>
      <c r="U77" s="17"/>
      <c r="V77"/>
      <c r="W77" s="17"/>
      <c r="X77"/>
      <c r="Y77" s="17"/>
      <c r="Z77"/>
      <c r="AA77" s="17"/>
      <c r="AB77" t="n">
        <v>0</v>
      </c>
    </row>
    <row r="78" spans="2:9">
      <c r="A78" s="8"/>
      <c r="B78" t="n" s="12">
        <f>1000000+INDEX(编号表!$B:$B,MATCH(C78,编号表!$A:$A,0))*1000+INDEX(编号表!$D:$D,MATCH(D78,编号表!$C:$C,0))*100+E78</f>
        <v>1026503</v>
      </c>
      <c r="C78" t="str" s="8">
        <v>风背余晦</v>
      </c>
      <c r="D78" t="str" s="12">
        <v>小怪3</v>
      </c>
      <c r="E78" t="n" s="12">
        <v>3</v>
      </c>
      <c r="F78" t="str" s="18">
        <v>魔化赭坡岩狼</v>
      </c>
      <c r="G78" t="str" s="17">
        <v>区域随机</v>
      </c>
      <c r="H78" t="n" s="12">
        <v>60261088</v>
      </c>
      <c r="I78" t="n" s="12">
        <v>2</v>
      </c>
      <c r="J78" s="17"/>
      <c r="K78" s="17"/>
      <c r="L78"/>
      <c r="M78" s="17"/>
      <c r="N78"/>
      <c r="O78" s="17"/>
      <c r="P78"/>
      <c r="Q78" s="17"/>
      <c r="R78"/>
      <c r="S78" s="17"/>
      <c r="T78"/>
      <c r="U78" s="17"/>
      <c r="V78"/>
      <c r="W78" s="17"/>
      <c r="X78"/>
      <c r="Y78" s="17"/>
      <c r="Z78"/>
      <c r="AA78" s="17"/>
      <c r="AB78" t="n">
        <v>0</v>
      </c>
    </row>
    <row r="79" spans="2:9">
      <c r="A79" s="8"/>
      <c r="B79" t="n" s="12">
        <f>1000000+INDEX(编号表!$B:$B,MATCH(C79,编号表!$A:$A,0))*1000+INDEX(编号表!$D:$D,MATCH(D79,编号表!$C:$C,0))*100+E79</f>
        <v>1026001</v>
      </c>
      <c r="C79" t="str" s="8">
        <v>风背余晦</v>
      </c>
      <c r="D79" t="str" s="12">
        <v>boss</v>
      </c>
      <c r="E79" t="n" s="12">
        <v>1</v>
      </c>
      <c r="F79" t="str" s="18">
        <v>魔化褐苔灵蜈·首领</v>
      </c>
      <c r="G79" t="str" s="17">
        <v>区域随机</v>
      </c>
      <c r="H79" t="n" s="12">
        <v>60264089</v>
      </c>
      <c r="I79" t="n" s="12">
        <v>1</v>
      </c>
      <c r="J79" s="17"/>
      <c r="K79" s="17"/>
      <c r="L79"/>
      <c r="M79" s="17"/>
      <c r="N79"/>
      <c r="O79" s="17"/>
      <c r="P79"/>
      <c r="Q79" s="17"/>
      <c r="R79"/>
      <c r="S79" s="17"/>
      <c r="T79"/>
      <c r="U79" s="17"/>
      <c r="V79"/>
      <c r="W79" s="17"/>
      <c r="X79"/>
      <c r="Y79" s="17"/>
      <c r="Z79"/>
      <c r="AA79" s="17"/>
      <c r="AB79" t="n">
        <v>0</v>
      </c>
    </row>
    <row r="80" spans="2:9">
      <c r="A80" s="8"/>
      <c r="B80" t="n" s="12">
        <f>1000000+INDEX(编号表!$B:$B,MATCH(C80,编号表!$A:$A,0))*1000+INDEX(编号表!$D:$D,MATCH(D80,编号表!$C:$C,0))*100+E80</f>
        <v>1019303</v>
      </c>
      <c r="C80" t="str" s="8">
        <v>砺赭坂</v>
      </c>
      <c r="D80" t="str" s="12">
        <v>小怪1</v>
      </c>
      <c r="E80" t="n" s="12">
        <v>3</v>
      </c>
      <c r="F80" t="str" s="18">
        <v>沟底石蟹</v>
      </c>
      <c r="G80" t="str" s="17">
        <v>区域随机</v>
      </c>
      <c r="H80" t="n" s="3">
        <v>60191090</v>
      </c>
      <c r="I80" t="n" s="12">
        <v>2</v>
      </c>
      <c r="J80" s="17"/>
      <c r="K80" s="17"/>
      <c r="L80"/>
      <c r="M80" s="17"/>
      <c r="N80"/>
      <c r="O80" s="17"/>
      <c r="P80"/>
      <c r="Q80" s="17"/>
      <c r="R80"/>
      <c r="S80" s="17"/>
      <c r="T80"/>
      <c r="U80" s="17"/>
      <c r="V80"/>
      <c r="W80" s="17"/>
      <c r="X80"/>
      <c r="Y80" s="17"/>
      <c r="Z80"/>
      <c r="AA80" s="17"/>
      <c r="AB80" t="n">
        <v>0</v>
      </c>
    </row>
    <row r="81" spans="2:9">
      <c r="A81" s="8"/>
      <c r="B81" t="n" s="12">
        <f>1000000+INDEX(编号表!$B:$B,MATCH(C81,编号表!$A:$A,0))*1000+INDEX(编号表!$D:$D,MATCH(D81,编号表!$C:$C,0))*100+E81</f>
        <v>1019403</v>
      </c>
      <c r="C81" t="str" s="8">
        <v>砺赭坂</v>
      </c>
      <c r="D81" t="str" s="12">
        <v>小怪2</v>
      </c>
      <c r="E81" t="n" s="12">
        <v>3</v>
      </c>
      <c r="F81" t="str" s="18">
        <v>瘠地灵蛇</v>
      </c>
      <c r="G81" t="str" s="17">
        <v>区域随机</v>
      </c>
      <c r="H81" t="n" s="12">
        <v>60191091</v>
      </c>
      <c r="I81" t="n" s="12">
        <v>2</v>
      </c>
      <c r="J81" s="17"/>
      <c r="K81" s="17"/>
      <c r="L81"/>
      <c r="M81" s="17"/>
      <c r="N81"/>
      <c r="O81" s="17"/>
      <c r="P81"/>
      <c r="Q81" s="17"/>
      <c r="R81"/>
      <c r="S81" s="17"/>
      <c r="T81"/>
      <c r="U81" s="17"/>
      <c r="V81"/>
      <c r="W81" s="17"/>
      <c r="X81"/>
      <c r="Y81" s="17"/>
      <c r="Z81"/>
      <c r="AA81" s="17"/>
      <c r="AB81" t="n">
        <v>0</v>
      </c>
    </row>
    <row r="82" spans="2:9">
      <c r="A82" s="8"/>
      <c r="B82" t="n" s="12">
        <f>1000000+INDEX(编号表!$B:$B,MATCH(C82,编号表!$A:$A,0))*1000+INDEX(编号表!$D:$D,MATCH(D82,编号表!$C:$C,0))*100+E82</f>
        <v>1019503</v>
      </c>
      <c r="C82" t="str" s="8">
        <v>砺赭坂</v>
      </c>
      <c r="D82" t="str" s="12">
        <v>小怪3</v>
      </c>
      <c r="E82" t="n" s="12">
        <v>3</v>
      </c>
      <c r="F82" t="str" s="18">
        <v>赭坡岩狼</v>
      </c>
      <c r="G82" t="str" s="17">
        <v>区域随机</v>
      </c>
      <c r="H82" t="n" s="12">
        <v>60191092</v>
      </c>
      <c r="I82" t="n" s="12">
        <v>2</v>
      </c>
      <c r="J82" s="17"/>
      <c r="K82" s="17"/>
      <c r="L82"/>
      <c r="M82" s="17"/>
      <c r="N82"/>
      <c r="O82" s="17"/>
      <c r="P82"/>
      <c r="Q82" s="17"/>
      <c r="R82"/>
      <c r="S82" s="17"/>
      <c r="T82"/>
      <c r="U82" s="17"/>
      <c r="V82"/>
      <c r="W82" s="17"/>
      <c r="X82"/>
      <c r="Y82" s="17"/>
      <c r="Z82"/>
      <c r="AA82" s="17"/>
      <c r="AB82" t="n">
        <v>0</v>
      </c>
    </row>
    <row r="83" spans="2:9">
      <c r="A83" s="8"/>
      <c r="B83" t="n" s="12">
        <f>1000000+INDEX(编号表!$B:$B,MATCH(C83,编号表!$A:$A,0))*1000+INDEX(编号表!$D:$D,MATCH(D83,编号表!$C:$C,0))*100+E83</f>
        <v>1019603</v>
      </c>
      <c r="C83" t="str" s="8">
        <v>砺赭坂</v>
      </c>
      <c r="D83" t="str" s="12">
        <v>小怪4</v>
      </c>
      <c r="E83" t="n" s="12">
        <v>3</v>
      </c>
      <c r="F83" t="str" s="18">
        <v>褐苔灵蜈</v>
      </c>
      <c r="G83" t="str" s="17">
        <v>区域随机</v>
      </c>
      <c r="H83" t="n" s="12">
        <v>60191093</v>
      </c>
      <c r="I83" t="n" s="12">
        <v>2</v>
      </c>
      <c r="J83" s="17"/>
      <c r="K83" s="17"/>
      <c r="L83"/>
      <c r="M83" s="17"/>
      <c r="N83"/>
      <c r="O83" s="17"/>
      <c r="P83"/>
      <c r="Q83" s="17"/>
      <c r="R83"/>
      <c r="S83" s="17"/>
      <c r="T83"/>
      <c r="U83" s="17"/>
      <c r="V83"/>
      <c r="W83" s="17"/>
      <c r="X83"/>
      <c r="Y83" s="17"/>
      <c r="Z83"/>
      <c r="AA83" s="17"/>
      <c r="AB83" t="n">
        <v>0</v>
      </c>
    </row>
    <row r="84" spans="2:9">
      <c r="A84" s="8"/>
      <c r="B84" t="n" s="12">
        <f>1000000+INDEX(编号表!$B:$B,MATCH(C84,编号表!$A:$A,0))*1000+INDEX(编号表!$D:$D,MATCH(D84,编号表!$C:$C,0))*100+E84</f>
        <v>1019103</v>
      </c>
      <c r="C84" t="str" s="8">
        <v>砺赭坂</v>
      </c>
      <c r="D84" t="str" s="8">
        <v>精英</v>
      </c>
      <c r="E84" t="n" s="12">
        <v>3</v>
      </c>
      <c r="F84" t="str" s="18">
        <v>沟底石蟹·异种</v>
      </c>
      <c r="G84" t="str" s="17">
        <v>区域随机</v>
      </c>
      <c r="H84" t="n" s="12">
        <v>60192094</v>
      </c>
      <c r="I84" t="n" s="12">
        <v>1</v>
      </c>
      <c r="J84" s="17"/>
      <c r="K84" s="17"/>
      <c r="L84"/>
      <c r="M84" s="17"/>
      <c r="N84"/>
      <c r="O84" s="17"/>
      <c r="P84"/>
      <c r="Q84" s="17"/>
      <c r="R84"/>
      <c r="S84" s="17"/>
      <c r="T84"/>
      <c r="U84" s="17"/>
      <c r="V84"/>
      <c r="W84" s="17"/>
      <c r="X84"/>
      <c r="Y84" s="17"/>
      <c r="Z84"/>
      <c r="AA84" s="17"/>
      <c r="AB84" t="n">
        <v>0</v>
      </c>
    </row>
    <row r="85" spans="2:9">
      <c r="A85" s="8"/>
      <c r="B85" t="n" s="12">
        <f>1000000+INDEX(编号表!$B:$B,MATCH(C85,编号表!$A:$A,0))*1000+INDEX(编号表!$D:$D,MATCH(D85,编号表!$C:$C,0))*100+E85</f>
        <v>1020303</v>
      </c>
      <c r="C85" t="str" s="8">
        <v>铁色横侵</v>
      </c>
      <c r="D85" t="str" s="12">
        <v>小怪1</v>
      </c>
      <c r="E85" t="n" s="12">
        <v>3</v>
      </c>
      <c r="F85" t="str" s="18">
        <v>瘠地灵蛇</v>
      </c>
      <c r="G85" t="str" s="17">
        <v>区域随机</v>
      </c>
      <c r="H85" t="n" s="12">
        <v>60201095</v>
      </c>
      <c r="I85" t="n" s="12">
        <v>2</v>
      </c>
      <c r="J85" s="17"/>
      <c r="K85" s="17"/>
      <c r="L85"/>
      <c r="M85" s="17"/>
      <c r="N85"/>
      <c r="O85" s="17"/>
      <c r="P85"/>
      <c r="Q85" s="17"/>
      <c r="R85"/>
      <c r="S85" s="17"/>
      <c r="T85"/>
      <c r="U85" s="17"/>
      <c r="V85"/>
      <c r="W85" s="17"/>
      <c r="X85"/>
      <c r="Y85" s="17"/>
      <c r="Z85"/>
      <c r="AA85" s="17"/>
      <c r="AB85" t="n">
        <v>0</v>
      </c>
    </row>
    <row r="86" spans="2:9">
      <c r="A86" s="8"/>
      <c r="B86" t="n" s="12">
        <f>1000000+INDEX(编号表!$B:$B,MATCH(C86,编号表!$A:$A,0))*1000+INDEX(编号表!$D:$D,MATCH(D86,编号表!$C:$C,0))*100+E86</f>
        <v>1020403</v>
      </c>
      <c r="C86" t="str" s="8">
        <v>铁色横侵</v>
      </c>
      <c r="D86" t="str" s="12">
        <v>小怪2</v>
      </c>
      <c r="E86" t="n" s="12">
        <v>3</v>
      </c>
      <c r="F86" t="str" s="18">
        <v>赭坡岩狼</v>
      </c>
      <c r="G86" t="str" s="17">
        <v>区域随机</v>
      </c>
      <c r="H86" t="n" s="12">
        <v>60201096</v>
      </c>
      <c r="I86" t="n" s="12">
        <v>2</v>
      </c>
      <c r="J86" s="17"/>
      <c r="K86" s="17"/>
      <c r="L86"/>
      <c r="M86" s="17"/>
      <c r="N86"/>
      <c r="O86" s="17"/>
      <c r="P86"/>
      <c r="Q86" s="17"/>
      <c r="R86"/>
      <c r="S86" s="17"/>
      <c r="T86"/>
      <c r="U86" s="17"/>
      <c r="V86"/>
      <c r="W86" s="17"/>
      <c r="X86"/>
      <c r="Y86" s="17"/>
      <c r="Z86"/>
      <c r="AA86" s="17"/>
      <c r="AB86" t="n">
        <v>0</v>
      </c>
    </row>
    <row r="87" spans="2:9">
      <c r="A87" s="8"/>
      <c r="B87" t="n" s="12">
        <f>1000000+INDEX(编号表!$B:$B,MATCH(C87,编号表!$A:$A,0))*1000+INDEX(编号表!$D:$D,MATCH(D87,编号表!$C:$C,0))*100+E87</f>
        <v>1020503</v>
      </c>
      <c r="C87" t="str" s="8">
        <v>铁色横侵</v>
      </c>
      <c r="D87" t="str" s="12">
        <v>小怪3</v>
      </c>
      <c r="E87" t="n" s="12">
        <v>3</v>
      </c>
      <c r="F87" t="str" s="18">
        <v>褐苔灵蜈</v>
      </c>
      <c r="G87" t="str" s="17">
        <v>区域随机</v>
      </c>
      <c r="H87" t="n" s="12">
        <v>60201097</v>
      </c>
      <c r="I87" t="n" s="12">
        <v>2</v>
      </c>
      <c r="J87" s="17"/>
      <c r="K87" s="17"/>
      <c r="L87"/>
      <c r="M87" s="17"/>
      <c r="N87"/>
      <c r="O87" s="17"/>
      <c r="P87"/>
      <c r="Q87" s="17"/>
      <c r="R87"/>
      <c r="S87" s="17"/>
      <c r="T87"/>
      <c r="U87" s="17"/>
      <c r="V87"/>
      <c r="W87" s="17"/>
      <c r="X87"/>
      <c r="Y87" s="17"/>
      <c r="Z87"/>
      <c r="AA87" s="17"/>
      <c r="AB87" t="n">
        <v>0</v>
      </c>
    </row>
    <row r="88" spans="2:9">
      <c r="A88" s="8"/>
      <c r="B88" t="n" s="12">
        <f>1000000+INDEX(编号表!$B:$B,MATCH(C88,编号表!$A:$A,0))*1000+INDEX(编号表!$D:$D,MATCH(D88,编号表!$C:$C,0))*100+E88</f>
        <v>1020103</v>
      </c>
      <c r="C88" t="str" s="8">
        <v>铁色横侵</v>
      </c>
      <c r="D88" t="str" s="8">
        <v>精英</v>
      </c>
      <c r="E88" t="n" s="12">
        <v>3</v>
      </c>
      <c r="F88" t="str" s="18">
        <v>沟底石蟹·异种</v>
      </c>
      <c r="G88" t="str" s="17">
        <v>区域随机</v>
      </c>
      <c r="H88" t="n" s="12">
        <v>60202098</v>
      </c>
      <c r="I88" t="n" s="12">
        <v>1</v>
      </c>
      <c r="J88" s="17"/>
      <c r="K88" s="17"/>
      <c r="L88"/>
      <c r="M88" s="17"/>
      <c r="N88"/>
      <c r="O88" s="17"/>
      <c r="P88"/>
      <c r="Q88" s="17"/>
      <c r="R88"/>
      <c r="S88" s="17"/>
      <c r="T88"/>
      <c r="U88" s="17"/>
      <c r="V88"/>
      <c r="W88" s="17"/>
      <c r="X88"/>
      <c r="Y88" s="17"/>
      <c r="Z88"/>
      <c r="AA88" s="17"/>
      <c r="AB88" t="n">
        <v>0</v>
      </c>
    </row>
    <row r="89" spans="2:9">
      <c r="A89" s="8"/>
      <c r="B89" t="n" s="12">
        <f>1000000+INDEX(编号表!$B:$B,MATCH(C89,编号表!$A:$A,0))*1000+INDEX(编号表!$D:$D,MATCH(D89,编号表!$C:$C,0))*100+E89</f>
        <v>1020001</v>
      </c>
      <c r="C89" t="str" s="8">
        <v>铁色横侵</v>
      </c>
      <c r="D89" t="str" s="12">
        <v>boss</v>
      </c>
      <c r="E89" t="n" s="12">
        <v>1</v>
      </c>
      <c r="F89" t="str" s="18">
        <v>瘠地灵蛇·首领</v>
      </c>
      <c r="G89" t="str" s="17">
        <v>区域随机</v>
      </c>
      <c r="H89" t="n" s="12">
        <v>60204099</v>
      </c>
      <c r="I89" t="n" s="12">
        <v>1</v>
      </c>
      <c r="J89" s="17"/>
      <c r="K89" s="17"/>
      <c r="L89"/>
      <c r="M89" s="17"/>
      <c r="N89"/>
      <c r="O89" s="17"/>
      <c r="P89"/>
      <c r="Q89" s="17"/>
      <c r="R89"/>
      <c r="S89" s="17"/>
      <c r="T89"/>
      <c r="U89" s="17"/>
      <c r="V89"/>
      <c r="W89" s="17"/>
      <c r="X89"/>
      <c r="Y89" s="17"/>
      <c r="Z89"/>
      <c r="AA89" s="17"/>
      <c r="AB89" t="n">
        <v>0</v>
      </c>
    </row>
    <row r="90" spans="2:9">
      <c r="A90" s="8"/>
      <c r="B90" t="n" s="12">
        <f>1000000+INDEX(编号表!$B:$B,MATCH(C90,编号表!$A:$A,0))*1000+INDEX(编号表!$D:$D,MATCH(D90,编号表!$C:$C,0))*100+E90</f>
        <v>1021303</v>
      </c>
      <c r="C90" t="str" s="8">
        <v>伏沟鸣石</v>
      </c>
      <c r="D90" t="str" s="12">
        <v>小怪1</v>
      </c>
      <c r="E90" t="n" s="12">
        <v>3</v>
      </c>
      <c r="F90" t="str" s="18">
        <v>赭坡岩狼</v>
      </c>
      <c r="G90" t="str" s="17">
        <v>区域随机</v>
      </c>
      <c r="H90" t="n" s="12">
        <v>60211100</v>
      </c>
      <c r="I90" t="n" s="12">
        <v>2</v>
      </c>
      <c r="J90" s="17"/>
      <c r="K90" s="17"/>
      <c r="L90"/>
      <c r="M90" s="17"/>
      <c r="N90"/>
      <c r="O90" s="17"/>
      <c r="P90"/>
      <c r="Q90" s="17"/>
      <c r="R90"/>
      <c r="S90" s="17"/>
      <c r="T90"/>
      <c r="U90" s="17"/>
      <c r="V90"/>
      <c r="W90" s="17"/>
      <c r="X90"/>
      <c r="Y90" s="17"/>
      <c r="Z90"/>
      <c r="AA90" s="17"/>
      <c r="AB90" t="n">
        <v>0</v>
      </c>
    </row>
    <row r="91" spans="2:9">
      <c r="A91" s="8"/>
      <c r="B91" t="n" s="12">
        <f>1000000+INDEX(编号表!$B:$B,MATCH(C91,编号表!$A:$A,0))*1000+INDEX(编号表!$D:$D,MATCH(D91,编号表!$C:$C,0))*100+E91</f>
        <v>1021403</v>
      </c>
      <c r="C91" t="str" s="8">
        <v>伏沟鸣石</v>
      </c>
      <c r="D91" t="str" s="12">
        <v>小怪2</v>
      </c>
      <c r="E91" t="n" s="12">
        <v>3</v>
      </c>
      <c r="F91" t="str" s="18">
        <v>褐苔灵蜈</v>
      </c>
      <c r="G91" t="str" s="17">
        <v>区域随机</v>
      </c>
      <c r="H91" t="n" s="12">
        <v>60211101</v>
      </c>
      <c r="I91" t="n" s="12">
        <v>2</v>
      </c>
      <c r="J91" s="17"/>
      <c r="K91" s="17"/>
      <c r="L91"/>
      <c r="M91" s="17"/>
      <c r="N91"/>
      <c r="O91" s="17"/>
      <c r="P91"/>
      <c r="Q91" s="17"/>
      <c r="R91"/>
      <c r="S91" s="17"/>
      <c r="T91"/>
      <c r="U91" s="17"/>
      <c r="V91"/>
      <c r="W91" s="17"/>
      <c r="X91"/>
      <c r="Y91" s="17"/>
      <c r="Z91"/>
      <c r="AA91" s="17"/>
      <c r="AB91" t="n">
        <v>0</v>
      </c>
    </row>
    <row r="92" spans="2:9">
      <c r="A92" s="8"/>
      <c r="B92" t="n" s="12">
        <f>1000000+INDEX(编号表!$B:$B,MATCH(C92,编号表!$A:$A,0))*1000+INDEX(编号表!$D:$D,MATCH(D92,编号表!$C:$C,0))*100+E92</f>
        <v>1021103</v>
      </c>
      <c r="C92" t="str" s="8">
        <v>伏沟鸣石</v>
      </c>
      <c r="D92" t="str" s="8">
        <v>精英</v>
      </c>
      <c r="E92" t="n" s="12">
        <v>3</v>
      </c>
      <c r="F92" t="str" s="18">
        <v>沟底石蟹·异种</v>
      </c>
      <c r="G92" t="str" s="17">
        <v>区域随机</v>
      </c>
      <c r="H92" t="n" s="12">
        <v>60212102</v>
      </c>
      <c r="I92" t="n" s="12">
        <v>1</v>
      </c>
      <c r="J92" s="17"/>
      <c r="K92" s="17"/>
      <c r="L92"/>
      <c r="M92" s="17"/>
      <c r="N92"/>
      <c r="O92" s="17"/>
      <c r="P92"/>
      <c r="Q92" s="17"/>
      <c r="R92"/>
      <c r="S92" s="17"/>
      <c r="T92"/>
      <c r="U92" s="17"/>
      <c r="V92"/>
      <c r="W92" s="17"/>
      <c r="X92"/>
      <c r="Y92" s="17"/>
      <c r="Z92"/>
      <c r="AA92" s="17"/>
      <c r="AB92" t="n">
        <v>0</v>
      </c>
    </row>
    <row r="93" spans="2:9">
      <c r="A93" s="8"/>
      <c r="B93" t="n" s="12">
        <f>1000000+INDEX(编号表!$B:$B,MATCH(C93,编号表!$A:$A,0))*1000+INDEX(编号表!$D:$D,MATCH(D93,编号表!$C:$C,0))*100+E93</f>
        <v>1021001</v>
      </c>
      <c r="C93" t="str" s="8">
        <v>伏沟鸣石</v>
      </c>
      <c r="D93" t="str" s="12">
        <v>boss</v>
      </c>
      <c r="E93" t="n" s="12">
        <v>1</v>
      </c>
      <c r="F93" t="str" s="18">
        <v>瘠地灵蛇·首领</v>
      </c>
      <c r="G93" t="str" s="17">
        <v>区域随机</v>
      </c>
      <c r="H93" t="n" s="12">
        <v>60214103</v>
      </c>
      <c r="I93" t="n" s="12">
        <v>1</v>
      </c>
      <c r="J93" s="17"/>
      <c r="K93" s="17"/>
      <c r="L93"/>
      <c r="M93" s="17"/>
      <c r="N93"/>
      <c r="O93" s="17"/>
      <c r="P93"/>
      <c r="Q93" s="17"/>
      <c r="R93"/>
      <c r="S93" s="17"/>
      <c r="T93"/>
      <c r="U93" s="17"/>
      <c r="V93"/>
      <c r="W93" s="17"/>
      <c r="X93"/>
      <c r="Y93" s="17"/>
      <c r="Z93"/>
      <c r="AA93" s="17"/>
      <c r="AB93" t="n">
        <v>0</v>
      </c>
    </row>
    <row r="94" spans="2:9">
      <c r="A94" s="8"/>
      <c r="B94" t="n" s="12">
        <f>1000000+INDEX(编号表!$B:$B,MATCH(C94,编号表!$A:$A,0))*1000+INDEX(编号表!$D:$D,MATCH(D94,编号表!$C:$C,0))*100+E94</f>
        <v>1022304</v>
      </c>
      <c r="C94" t="str" s="8">
        <v>褐苔含润</v>
      </c>
      <c r="D94" t="str" s="12">
        <v>小怪1</v>
      </c>
      <c r="E94" t="n" s="12">
        <v>4</v>
      </c>
      <c r="F94" t="str" s="18">
        <v>赭坡岩狼</v>
      </c>
      <c r="G94" t="str" s="17">
        <v>区域随机</v>
      </c>
      <c r="H94" t="n" s="12">
        <v>60221104</v>
      </c>
      <c r="I94" t="n" s="12">
        <v>2</v>
      </c>
      <c r="J94" s="17"/>
      <c r="K94" s="17"/>
      <c r="L94"/>
      <c r="M94" s="17"/>
      <c r="N94"/>
      <c r="O94" s="17"/>
      <c r="P94"/>
      <c r="Q94" s="17"/>
      <c r="R94"/>
      <c r="S94" s="17"/>
      <c r="T94"/>
      <c r="U94" s="17"/>
      <c r="V94"/>
      <c r="W94" s="17"/>
      <c r="X94"/>
      <c r="Y94" s="17"/>
      <c r="Z94"/>
      <c r="AA94" s="17"/>
      <c r="AB94" t="n">
        <v>0</v>
      </c>
    </row>
    <row r="95" spans="2:9">
      <c r="A95" s="8"/>
      <c r="B95" t="n" s="12">
        <f>1000000+INDEX(编号表!$B:$B,MATCH(C95,编号表!$A:$A,0))*1000+INDEX(编号表!$D:$D,MATCH(D95,编号表!$C:$C,0))*100+E95</f>
        <v>1022404</v>
      </c>
      <c r="C95" t="str" s="8">
        <v>褐苔含润</v>
      </c>
      <c r="D95" t="str" s="12">
        <v>小怪2</v>
      </c>
      <c r="E95" t="n" s="12">
        <v>4</v>
      </c>
      <c r="F95" t="str" s="18">
        <v>褐苔灵蜈</v>
      </c>
      <c r="G95" t="str" s="17">
        <v>区域随机</v>
      </c>
      <c r="H95" t="n" s="12">
        <v>60221105</v>
      </c>
      <c r="I95" t="n" s="12">
        <v>2</v>
      </c>
      <c r="J95" s="17"/>
      <c r="K95" s="17"/>
      <c r="L95"/>
      <c r="M95" s="17"/>
      <c r="N95"/>
      <c r="O95" s="17"/>
      <c r="P95"/>
      <c r="Q95" s="17"/>
      <c r="R95"/>
      <c r="S95" s="17"/>
      <c r="T95"/>
      <c r="U95" s="17"/>
      <c r="V95"/>
      <c r="W95" s="17"/>
      <c r="X95"/>
      <c r="Y95" s="17"/>
      <c r="Z95"/>
      <c r="AA95" s="17"/>
      <c r="AB95" t="n">
        <v>0</v>
      </c>
    </row>
    <row r="96" spans="2:9">
      <c r="A96" s="8"/>
      <c r="B96" t="n" s="12">
        <f>1000000+INDEX(编号表!$B:$B,MATCH(C96,编号表!$A:$A,0))*1000+INDEX(编号表!$D:$D,MATCH(D96,编号表!$C:$C,0))*100+E96</f>
        <v>1023304</v>
      </c>
      <c r="C96" t="str" s="8">
        <v>肩生瘠芽</v>
      </c>
      <c r="D96" t="str" s="12">
        <v>小怪1</v>
      </c>
      <c r="E96" t="n" s="12">
        <v>4</v>
      </c>
      <c r="F96" t="str" s="18">
        <v>沟底石蟹</v>
      </c>
      <c r="G96" t="str" s="17">
        <v>区域随机</v>
      </c>
      <c r="H96" t="n" s="12">
        <v>60231106</v>
      </c>
      <c r="I96" t="n" s="12">
        <v>2</v>
      </c>
      <c r="J96" s="17"/>
      <c r="K96" s="17"/>
      <c r="L96"/>
      <c r="M96" s="17"/>
      <c r="N96"/>
      <c r="O96" s="17"/>
      <c r="P96"/>
      <c r="Q96" s="17"/>
      <c r="R96"/>
      <c r="S96" s="17"/>
      <c r="T96"/>
      <c r="U96" s="17"/>
      <c r="V96"/>
      <c r="W96" s="17"/>
      <c r="X96"/>
      <c r="Y96" s="17"/>
      <c r="Z96"/>
      <c r="AA96" s="17"/>
      <c r="AB96" t="n">
        <v>0</v>
      </c>
    </row>
    <row r="97" spans="2:9">
      <c r="A97" s="8"/>
      <c r="B97" t="n" s="12">
        <f>1000000+INDEX(编号表!$B:$B,MATCH(C97,编号表!$A:$A,0))*1000+INDEX(编号表!$D:$D,MATCH(D97,编号表!$C:$C,0))*100+E97</f>
        <v>1023404</v>
      </c>
      <c r="C97" t="str" s="8">
        <v>肩生瘠芽</v>
      </c>
      <c r="D97" t="str" s="12">
        <v>小怪2</v>
      </c>
      <c r="E97" t="n" s="12">
        <v>4</v>
      </c>
      <c r="F97" t="str" s="18">
        <v>瘠地灵蛇</v>
      </c>
      <c r="G97" t="str" s="17">
        <v>区域随机</v>
      </c>
      <c r="H97" t="n" s="12">
        <v>60231107</v>
      </c>
      <c r="I97" t="n" s="12">
        <v>2</v>
      </c>
      <c r="J97" s="17"/>
      <c r="K97" s="17"/>
      <c r="L97"/>
      <c r="M97" s="17"/>
      <c r="N97"/>
      <c r="O97" s="17"/>
      <c r="P97"/>
      <c r="Q97" s="17"/>
      <c r="R97"/>
      <c r="S97" s="17"/>
      <c r="T97"/>
      <c r="U97" s="17"/>
      <c r="V97"/>
      <c r="W97" s="17"/>
      <c r="X97"/>
      <c r="Y97" s="17"/>
      <c r="Z97"/>
      <c r="AA97" s="17"/>
      <c r="AB97" t="n">
        <v>0</v>
      </c>
    </row>
    <row r="98" spans="2:9">
      <c r="A98" s="8"/>
      <c r="B98" t="n" s="12">
        <f>1000000+INDEX(编号表!$B:$B,MATCH(C98,编号表!$A:$A,0))*1000+INDEX(编号表!$D:$D,MATCH(D98,编号表!$C:$C,0))*100+E98</f>
        <v>1024303</v>
      </c>
      <c r="C98" t="str" s="8">
        <v>岩腹潜龛</v>
      </c>
      <c r="D98" t="str" s="12">
        <v>小怪1</v>
      </c>
      <c r="E98" t="n" s="12">
        <v>3</v>
      </c>
      <c r="F98" t="str" s="18">
        <v>赭坡岩狼</v>
      </c>
      <c r="G98" t="str" s="17">
        <v>区域随机</v>
      </c>
      <c r="H98" t="n" s="12">
        <v>60241108</v>
      </c>
      <c r="I98" t="n" s="12">
        <v>2</v>
      </c>
      <c r="J98" s="17"/>
      <c r="K98" s="17"/>
      <c r="L98"/>
      <c r="M98" s="17"/>
      <c r="N98"/>
      <c r="O98" s="17"/>
      <c r="P98"/>
      <c r="Q98" s="17"/>
      <c r="R98"/>
      <c r="S98" s="17"/>
      <c r="T98"/>
      <c r="U98" s="17"/>
      <c r="V98"/>
      <c r="W98" s="17"/>
      <c r="X98"/>
      <c r="Y98" s="17"/>
      <c r="Z98"/>
      <c r="AA98" s="17"/>
      <c r="AB98" t="n">
        <v>0</v>
      </c>
    </row>
    <row r="99" spans="2:9">
      <c r="A99" s="8"/>
      <c r="B99" t="n" s="12">
        <f>1000000+INDEX(编号表!$B:$B,MATCH(C99,编号表!$A:$A,0))*1000+INDEX(编号表!$D:$D,MATCH(D99,编号表!$C:$C,0))*100+E99</f>
        <v>1024403</v>
      </c>
      <c r="C99" t="str" s="8">
        <v>岩腹潜龛</v>
      </c>
      <c r="D99" t="str" s="12">
        <v>小怪2</v>
      </c>
      <c r="E99" t="n" s="12">
        <v>3</v>
      </c>
      <c r="F99" t="str" s="18">
        <v>褐苔灵蜈</v>
      </c>
      <c r="G99" t="str" s="17">
        <v>区域随机</v>
      </c>
      <c r="H99" t="n" s="12">
        <v>60241109</v>
      </c>
      <c r="I99" t="n" s="12">
        <v>2</v>
      </c>
      <c r="J99" s="17"/>
      <c r="K99" s="17"/>
      <c r="L99"/>
      <c r="M99" s="17"/>
      <c r="N99"/>
      <c r="O99" s="17"/>
      <c r="P99"/>
      <c r="Q99" s="17"/>
      <c r="R99"/>
      <c r="S99" s="17"/>
      <c r="T99"/>
      <c r="U99" s="17"/>
      <c r="V99"/>
      <c r="W99" s="17"/>
      <c r="X99"/>
      <c r="Y99" s="17"/>
      <c r="Z99"/>
      <c r="AA99" s="17"/>
      <c r="AB99" t="n">
        <v>0</v>
      </c>
    </row>
    <row r="100" spans="2:9">
      <c r="A100" s="8"/>
      <c r="B100" t="n" s="12">
        <f>1000000+INDEX(编号表!$B:$B,MATCH(C100,编号表!$A:$A,0))*1000+INDEX(编号表!$D:$D,MATCH(D100,编号表!$C:$C,0))*100+E100</f>
        <v>1024503</v>
      </c>
      <c r="C100" t="str" s="8">
        <v>岩腹潜龛</v>
      </c>
      <c r="D100" t="str" s="12">
        <v>小怪3</v>
      </c>
      <c r="E100" t="n" s="12">
        <v>3</v>
      </c>
      <c r="F100" t="str" s="18">
        <v>沟底石蟹</v>
      </c>
      <c r="G100" t="str" s="17">
        <v>区域随机</v>
      </c>
      <c r="H100" t="n" s="12">
        <v>60241110</v>
      </c>
      <c r="I100" t="n" s="12">
        <v>2</v>
      </c>
      <c r="J100" s="17"/>
      <c r="K100" s="17"/>
      <c r="L100"/>
      <c r="M100" s="17"/>
      <c r="N100"/>
      <c r="O100" s="17"/>
      <c r="P100"/>
      <c r="Q100" s="17"/>
      <c r="R100"/>
      <c r="S100" s="17"/>
      <c r="T100"/>
      <c r="U100" s="17"/>
      <c r="V100"/>
      <c r="W100" s="17"/>
      <c r="X100"/>
      <c r="Y100" s="17"/>
      <c r="Z100"/>
      <c r="AA100" s="17"/>
      <c r="AB100" t="n">
        <v>0</v>
      </c>
    </row>
    <row r="101" spans="2:9">
      <c r="A101" s="8"/>
      <c r="B101" t="n" s="12">
        <f>1000000+INDEX(编号表!$B:$B,MATCH(C101,编号表!$A:$A,0))*1000+INDEX(编号表!$D:$D,MATCH(D101,编号表!$C:$C,0))*100+E101</f>
        <v>1024103</v>
      </c>
      <c r="C101" t="str" s="8">
        <v>岩腹潜龛</v>
      </c>
      <c r="D101" t="str" s="8">
        <v>精英</v>
      </c>
      <c r="E101" t="n" s="12">
        <v>3</v>
      </c>
      <c r="F101" t="str" s="18">
        <v>瘠地灵蛇·异种</v>
      </c>
      <c r="G101" t="str" s="17">
        <v>区域随机</v>
      </c>
      <c r="H101" t="n" s="12">
        <v>60242111</v>
      </c>
      <c r="I101" t="n" s="12">
        <v>1</v>
      </c>
      <c r="J101" s="17"/>
      <c r="K101" s="17"/>
      <c r="L101"/>
      <c r="M101" s="17"/>
      <c r="N101"/>
      <c r="O101" s="17"/>
      <c r="P101"/>
      <c r="Q101" s="17"/>
      <c r="R101"/>
      <c r="S101" s="17"/>
      <c r="T101"/>
      <c r="U101" s="17"/>
      <c r="V101"/>
      <c r="W101" s="17"/>
      <c r="X101"/>
      <c r="Y101" s="17"/>
      <c r="Z101"/>
      <c r="AA101" s="17"/>
      <c r="AB101" t="n">
        <v>0</v>
      </c>
    </row>
    <row r="102" spans="2:9">
      <c r="A102" s="8"/>
      <c r="B102" t="n" s="12">
        <f>1000000+INDEX(编号表!$B:$B,MATCH(C102,编号表!$A:$A,0))*1000+INDEX(编号表!$D:$D,MATCH(D102,编号表!$C:$C,0))*100+E102</f>
        <v>1025303</v>
      </c>
      <c r="C102" t="str" s="8">
        <v>水息留痕</v>
      </c>
      <c r="D102" t="str" s="12">
        <v>小怪1</v>
      </c>
      <c r="E102" t="n" s="12">
        <v>3</v>
      </c>
      <c r="F102" t="str" s="18">
        <v>赭坡岩狼</v>
      </c>
      <c r="G102" t="str" s="17">
        <v>区域随机</v>
      </c>
      <c r="H102" t="n" s="12">
        <v>60251112</v>
      </c>
      <c r="I102" t="n" s="12">
        <v>2</v>
      </c>
      <c r="J102" s="17"/>
      <c r="K102" s="17"/>
      <c r="L102"/>
      <c r="M102" s="17"/>
      <c r="N102"/>
      <c r="O102" s="17"/>
      <c r="P102"/>
      <c r="Q102" s="17"/>
      <c r="R102"/>
      <c r="S102" s="17"/>
      <c r="T102"/>
      <c r="U102" s="17"/>
      <c r="V102"/>
      <c r="W102" s="17"/>
      <c r="X102"/>
      <c r="Y102" s="17"/>
      <c r="Z102"/>
      <c r="AA102" s="17"/>
      <c r="AB102" t="n">
        <v>0</v>
      </c>
    </row>
    <row r="103" spans="2:9">
      <c r="A103" s="8"/>
      <c r="B103" t="n" s="12">
        <f>1000000+INDEX(编号表!$B:$B,MATCH(C103,编号表!$A:$A,0))*1000+INDEX(编号表!$D:$D,MATCH(D103,编号表!$C:$C,0))*100+E103</f>
        <v>1025403</v>
      </c>
      <c r="C103" t="str" s="8">
        <v>水息留痕</v>
      </c>
      <c r="D103" t="str" s="12">
        <v>小怪2</v>
      </c>
      <c r="E103" t="n" s="12">
        <v>3</v>
      </c>
      <c r="F103" t="str" s="18">
        <v>褐苔灵蜈</v>
      </c>
      <c r="G103" t="str" s="17">
        <v>区域随机</v>
      </c>
      <c r="H103" t="n" s="12">
        <v>60251113</v>
      </c>
      <c r="I103" t="n" s="12">
        <v>2</v>
      </c>
      <c r="J103" s="17"/>
      <c r="K103" s="17"/>
      <c r="L103"/>
      <c r="M103" s="17"/>
      <c r="N103"/>
      <c r="O103" s="17"/>
      <c r="P103"/>
      <c r="Q103" s="17"/>
      <c r="R103"/>
      <c r="S103" s="17"/>
      <c r="T103"/>
      <c r="U103" s="17"/>
      <c r="V103"/>
      <c r="W103" s="17"/>
      <c r="X103"/>
      <c r="Y103" s="17"/>
      <c r="Z103"/>
      <c r="AA103" s="17"/>
      <c r="AB103" t="n">
        <v>0</v>
      </c>
    </row>
    <row r="104" spans="2:9">
      <c r="A104" s="8"/>
      <c r="B104" t="n" s="12">
        <f>1000000+INDEX(编号表!$B:$B,MATCH(C104,编号表!$A:$A,0))*1000+INDEX(编号表!$D:$D,MATCH(D104,编号表!$C:$C,0))*100+E104</f>
        <v>1025103</v>
      </c>
      <c r="C104" t="str" s="8">
        <v>水息留痕</v>
      </c>
      <c r="D104" t="str" s="8">
        <v>精英</v>
      </c>
      <c r="E104" t="n" s="12">
        <v>3</v>
      </c>
      <c r="F104" t="str" s="18">
        <v>沟底石蟹·异种</v>
      </c>
      <c r="G104" t="str" s="17">
        <v>区域随机</v>
      </c>
      <c r="H104" t="n" s="12">
        <v>60252114</v>
      </c>
      <c r="I104" t="n" s="12">
        <v>1</v>
      </c>
      <c r="J104" s="17"/>
      <c r="K104" s="17"/>
      <c r="L104"/>
      <c r="M104" s="17"/>
      <c r="N104"/>
      <c r="O104" s="17"/>
      <c r="P104"/>
      <c r="Q104" s="17"/>
      <c r="R104"/>
      <c r="S104" s="17"/>
      <c r="T104"/>
      <c r="U104" s="17"/>
      <c r="V104"/>
      <c r="W104" s="17"/>
      <c r="X104"/>
      <c r="Y104" s="17"/>
      <c r="Z104"/>
      <c r="AA104" s="17"/>
      <c r="AB104" t="n">
        <v>0</v>
      </c>
    </row>
    <row r="105" spans="2:9">
      <c r="A105" s="8"/>
      <c r="B105" t="n" s="12">
        <f>1000000+INDEX(编号表!$B:$B,MATCH(C105,编号表!$A:$A,0))*1000+INDEX(编号表!$D:$D,MATCH(D105,编号表!$C:$C,0))*100+E105</f>
        <v>1025001</v>
      </c>
      <c r="C105" t="str" s="8">
        <v>水息留痕</v>
      </c>
      <c r="D105" t="str" s="12">
        <v>boss</v>
      </c>
      <c r="E105" t="n" s="12">
        <v>1</v>
      </c>
      <c r="F105" t="str" s="18">
        <v>瘠地灵蛇·首领</v>
      </c>
      <c r="G105" t="str" s="17">
        <v>区域随机</v>
      </c>
      <c r="H105" t="n" s="12">
        <v>60254115</v>
      </c>
      <c r="I105" t="n" s="12">
        <v>1</v>
      </c>
      <c r="J105" s="17"/>
      <c r="K105" s="17"/>
      <c r="L105"/>
      <c r="M105" s="17"/>
      <c r="N105"/>
      <c r="O105" s="17"/>
      <c r="P105"/>
      <c r="Q105" s="17"/>
      <c r="R105"/>
      <c r="S105" s="17"/>
      <c r="T105"/>
      <c r="U105" s="17"/>
      <c r="V105"/>
      <c r="W105" s="17"/>
      <c r="X105"/>
      <c r="Y105" s="17"/>
      <c r="Z105"/>
      <c r="AA105" s="17"/>
      <c r="AB105" t="n">
        <v>0</v>
      </c>
    </row>
    <row r="106" spans="2:9">
      <c r="A106" s="8"/>
      <c r="B106" t="n" s="12">
        <f>1000000+INDEX(编号表!$B:$B,MATCH(C106,编号表!$A:$A,0))*1000+INDEX(编号表!$D:$D,MATCH(D106,编号表!$C:$C,0))*100+E106</f>
        <v>1042304</v>
      </c>
      <c r="C106" t="str" s="8">
        <v>泻砾堑</v>
      </c>
      <c r="D106" t="str" s="12">
        <v>小怪1</v>
      </c>
      <c r="E106" t="n" s="12">
        <v>4</v>
      </c>
      <c r="F106" t="str" s="18">
        <v>碎堑岩狼</v>
      </c>
      <c r="G106" t="str" s="17">
        <v>区域随机</v>
      </c>
      <c r="H106" t="n" s="12">
        <v>60421116</v>
      </c>
      <c r="I106" t="n" s="12">
        <v>2</v>
      </c>
      <c r="J106" s="17"/>
      <c r="K106" s="17"/>
      <c r="L106"/>
      <c r="M106" s="17"/>
      <c r="N106"/>
      <c r="O106" s="17"/>
      <c r="P106"/>
      <c r="Q106" s="17"/>
      <c r="R106"/>
      <c r="S106" s="17"/>
      <c r="T106"/>
      <c r="U106" s="17"/>
      <c r="V106"/>
      <c r="W106" s="17"/>
      <c r="X106"/>
      <c r="Y106" s="17"/>
      <c r="Z106"/>
      <c r="AA106" s="17"/>
      <c r="AB106" t="n">
        <v>0</v>
      </c>
    </row>
    <row r="107" spans="2:9">
      <c r="A107" s="8"/>
      <c r="B107" t="n" s="12">
        <f>1000000+INDEX(编号表!$B:$B,MATCH(C107,编号表!$A:$A,0))*1000+INDEX(编号表!$D:$D,MATCH(D107,编号表!$C:$C,0))*100+E107</f>
        <v>1042404</v>
      </c>
      <c r="C107" t="str" s="8">
        <v>泻砾堑</v>
      </c>
      <c r="D107" t="str" s="12">
        <v>小怪2</v>
      </c>
      <c r="E107" t="n" s="12">
        <v>4</v>
      </c>
      <c r="F107" t="str" s="18">
        <v>断谷灵蝠</v>
      </c>
      <c r="G107" t="str" s="17">
        <v>区域随机</v>
      </c>
      <c r="H107" t="n" s="12">
        <v>60421117</v>
      </c>
      <c r="I107" t="n" s="12">
        <v>2</v>
      </c>
      <c r="J107" s="17"/>
      <c r="K107" s="17"/>
      <c r="L107"/>
      <c r="M107" s="17"/>
      <c r="N107"/>
      <c r="O107" s="17"/>
      <c r="P107"/>
      <c r="Q107" s="17"/>
      <c r="R107"/>
      <c r="S107" s="17"/>
      <c r="T107"/>
      <c r="U107" s="17"/>
      <c r="V107"/>
      <c r="W107" s="17"/>
      <c r="X107"/>
      <c r="Y107" s="17"/>
      <c r="Z107"/>
      <c r="AA107" s="17"/>
      <c r="AB107" t="n">
        <v>0</v>
      </c>
    </row>
    <row r="108" spans="2:9">
      <c r="A108" s="8"/>
      <c r="B108" t="n" s="12">
        <f>1000000+INDEX(编号表!$B:$B,MATCH(C108,编号表!$A:$A,0))*1000+INDEX(编号表!$D:$D,MATCH(D108,编号表!$C:$C,0))*100+E108</f>
        <v>1042504</v>
      </c>
      <c r="C108" t="str" s="8">
        <v>泻砾堑</v>
      </c>
      <c r="D108" t="str" s="12">
        <v>小怪3</v>
      </c>
      <c r="E108" t="n" s="12">
        <v>4</v>
      </c>
      <c r="F108" t="str" s="18">
        <v>截风灵蛇</v>
      </c>
      <c r="G108" t="str" s="17">
        <v>区域随机</v>
      </c>
      <c r="H108" t="n" s="12">
        <v>60421118</v>
      </c>
      <c r="I108" t="n" s="12">
        <v>2</v>
      </c>
      <c r="J108" s="17"/>
      <c r="K108" s="17"/>
      <c r="L108"/>
      <c r="M108" s="17"/>
      <c r="N108"/>
      <c r="O108" s="17"/>
      <c r="P108"/>
      <c r="Q108" s="17"/>
      <c r="R108"/>
      <c r="S108" s="17"/>
      <c r="T108"/>
      <c r="U108" s="17"/>
      <c r="V108"/>
      <c r="W108" s="17"/>
      <c r="X108"/>
      <c r="Y108" s="17"/>
      <c r="Z108"/>
      <c r="AA108" s="17"/>
      <c r="AB108" t="n">
        <v>0</v>
      </c>
    </row>
    <row r="109" spans="2:9">
      <c r="A109" s="8"/>
      <c r="B109" t="n" s="12">
        <f>1000000+INDEX(编号表!$B:$B,MATCH(C109,编号表!$A:$A,0))*1000+INDEX(编号表!$D:$D,MATCH(D109,编号表!$C:$C,0))*100+E109</f>
        <v>1042101</v>
      </c>
      <c r="C109" t="str" s="8">
        <v>泻砾堑</v>
      </c>
      <c r="D109" t="str" s="12">
        <v>精英</v>
      </c>
      <c r="E109" t="n" s="12">
        <v>1</v>
      </c>
      <c r="F109" t="str" s="18">
        <v>崩石灵蜈·异种</v>
      </c>
      <c r="G109" t="str" s="17">
        <v>区域随机</v>
      </c>
      <c r="H109" t="n" s="12">
        <v>60422119</v>
      </c>
      <c r="I109" t="n" s="12">
        <v>1</v>
      </c>
      <c r="J109" s="17"/>
      <c r="K109" s="17"/>
      <c r="L109"/>
      <c r="M109" s="17"/>
      <c r="N109"/>
      <c r="O109" s="17"/>
      <c r="P109"/>
      <c r="Q109" s="17"/>
      <c r="R109"/>
      <c r="S109" s="17"/>
      <c r="T109"/>
      <c r="U109" s="17"/>
      <c r="V109"/>
      <c r="W109" s="17"/>
      <c r="X109"/>
      <c r="Y109" s="17"/>
      <c r="Z109"/>
      <c r="AA109" s="17"/>
      <c r="AB109" t="n">
        <v>0</v>
      </c>
    </row>
    <row r="110" spans="2:9">
      <c r="A110" s="8"/>
      <c r="B110" t="n" s="12">
        <f>1000000+INDEX(编号表!$B:$B,MATCH(C110,编号表!$A:$A,0))*1000+INDEX(编号表!$D:$D,MATCH(D110,编号表!$C:$C,0))*100+E110</f>
        <v>1043304</v>
      </c>
      <c r="C110" t="str" s="8">
        <v>幽崩谷</v>
      </c>
      <c r="D110" t="str" s="12">
        <v>小怪1</v>
      </c>
      <c r="E110" t="n" s="12">
        <v>4</v>
      </c>
      <c r="F110" t="str" s="18">
        <v>碎堑岩狼</v>
      </c>
      <c r="G110" t="str" s="17">
        <v>区域随机</v>
      </c>
      <c r="H110" t="n" s="12">
        <v>60431120</v>
      </c>
      <c r="I110" t="n" s="12">
        <v>2</v>
      </c>
      <c r="J110" s="17"/>
      <c r="K110" s="17"/>
      <c r="L110"/>
      <c r="M110" s="17"/>
      <c r="N110"/>
      <c r="O110" s="17"/>
      <c r="P110"/>
      <c r="Q110" s="17"/>
      <c r="R110"/>
      <c r="S110" s="17"/>
      <c r="T110"/>
      <c r="U110" s="17"/>
      <c r="V110"/>
      <c r="W110" s="17"/>
      <c r="X110"/>
      <c r="Y110" s="17"/>
      <c r="Z110"/>
      <c r="AA110" s="17"/>
      <c r="AB110" t="n">
        <v>0</v>
      </c>
    </row>
    <row r="111" spans="2:9">
      <c r="A111" s="8"/>
      <c r="B111" t="n" s="12">
        <f>1000000+INDEX(编号表!$B:$B,MATCH(C111,编号表!$A:$A,0))*1000+INDEX(编号表!$D:$D,MATCH(D111,编号表!$C:$C,0))*100+E111</f>
        <v>1043404</v>
      </c>
      <c r="C111" t="str" s="8">
        <v>幽崩谷</v>
      </c>
      <c r="D111" t="str" s="12">
        <v>小怪2</v>
      </c>
      <c r="E111" t="n" s="12">
        <v>4</v>
      </c>
      <c r="F111" t="str" s="18">
        <v>断谷灵蝠</v>
      </c>
      <c r="G111" t="str" s="17">
        <v>区域随机</v>
      </c>
      <c r="H111" t="n" s="12">
        <v>60431121</v>
      </c>
      <c r="I111" t="n" s="12">
        <v>2</v>
      </c>
      <c r="J111" s="17"/>
      <c r="K111" s="17"/>
      <c r="L111"/>
      <c r="M111" s="17"/>
      <c r="N111"/>
      <c r="O111" s="17"/>
      <c r="P111"/>
      <c r="Q111" s="17"/>
      <c r="R111"/>
      <c r="S111" s="17"/>
      <c r="T111"/>
      <c r="U111" s="17"/>
      <c r="V111"/>
      <c r="W111" s="17"/>
      <c r="X111"/>
      <c r="Y111" s="17"/>
      <c r="Z111"/>
      <c r="AA111" s="17"/>
      <c r="AB111" t="n">
        <v>0</v>
      </c>
    </row>
    <row r="112" spans="2:9">
      <c r="A112" s="8"/>
      <c r="B112" t="n" s="12">
        <f>1000000+INDEX(编号表!$B:$B,MATCH(C112,编号表!$A:$A,0))*1000+INDEX(编号表!$D:$D,MATCH(D112,编号表!$C:$C,0))*100+E112</f>
        <v>1043103</v>
      </c>
      <c r="C112" t="str" s="8">
        <v>幽崩谷</v>
      </c>
      <c r="D112" t="str" s="12">
        <v>精英</v>
      </c>
      <c r="E112" t="n" s="12">
        <v>3</v>
      </c>
      <c r="F112" t="str" s="18">
        <v>截风灵蛇·异种</v>
      </c>
      <c r="G112" t="str" s="17">
        <v>区域随机</v>
      </c>
      <c r="H112" t="n" s="12">
        <v>60432122</v>
      </c>
      <c r="I112" t="n" s="12">
        <v>1</v>
      </c>
      <c r="J112" s="17"/>
      <c r="K112" s="17"/>
      <c r="L112"/>
      <c r="M112" s="17"/>
      <c r="N112"/>
      <c r="O112" s="17"/>
      <c r="P112"/>
      <c r="Q112" s="17"/>
      <c r="R112"/>
      <c r="S112" s="17"/>
      <c r="T112"/>
      <c r="U112" s="17"/>
      <c r="V112"/>
      <c r="W112" s="17"/>
      <c r="X112"/>
      <c r="Y112" s="17"/>
      <c r="Z112"/>
      <c r="AA112" s="17"/>
      <c r="AB112" t="n">
        <v>0</v>
      </c>
    </row>
    <row r="113" spans="2:9">
      <c r="A113" s="8"/>
      <c r="B113" t="n" s="12">
        <f>1000000+INDEX(编号表!$B:$B,MATCH(C113,编号表!$A:$A,0))*1000+INDEX(编号表!$D:$D,MATCH(D113,编号表!$C:$C,0))*100+E113</f>
        <v>1043001</v>
      </c>
      <c r="C113" t="str" s="8">
        <v>幽崩谷</v>
      </c>
      <c r="D113" t="str" s="12">
        <v>boss</v>
      </c>
      <c r="E113" t="n" s="12">
        <v>1</v>
      </c>
      <c r="F113" t="str" s="18">
        <v>崩石灵蜈·首领</v>
      </c>
      <c r="G113" t="str" s="17">
        <v>区域随机</v>
      </c>
      <c r="H113" t="n" s="12">
        <v>60434123</v>
      </c>
      <c r="I113" t="n" s="12">
        <v>1</v>
      </c>
      <c r="J113" s="17"/>
      <c r="K113" s="17"/>
      <c r="L113"/>
      <c r="M113" s="17"/>
      <c r="N113"/>
      <c r="O113" s="17"/>
      <c r="P113"/>
      <c r="Q113" s="17"/>
      <c r="R113"/>
      <c r="S113" s="17"/>
      <c r="T113"/>
      <c r="U113" s="17"/>
      <c r="V113"/>
      <c r="W113" s="17"/>
      <c r="X113"/>
      <c r="Y113" s="17"/>
      <c r="Z113"/>
      <c r="AA113" s="17"/>
      <c r="AB113" t="n">
        <v>0</v>
      </c>
    </row>
    <row r="114" spans="2:9">
      <c r="A114" s="8"/>
      <c r="B114" t="n" s="12">
        <f>1000000+INDEX(编号表!$B:$B,MATCH(C114,编号表!$A:$A,0))*1000+INDEX(编号表!$D:$D,MATCH(D114,编号表!$C:$C,0))*100+E114</f>
        <v>1044304</v>
      </c>
      <c r="C114" t="str" s="8">
        <v>截风坡</v>
      </c>
      <c r="D114" t="str" s="12">
        <v>小怪1</v>
      </c>
      <c r="E114" t="n" s="12">
        <v>4</v>
      </c>
      <c r="F114" t="str" s="18">
        <v>碎堑岩狼</v>
      </c>
      <c r="G114" t="str" s="17">
        <v>区域随机</v>
      </c>
      <c r="H114" t="n" s="12">
        <v>60441124</v>
      </c>
      <c r="I114" t="n" s="12">
        <v>2</v>
      </c>
      <c r="J114" s="17"/>
      <c r="K114" s="17"/>
      <c r="L114"/>
      <c r="M114" s="17"/>
      <c r="N114"/>
      <c r="O114" s="17"/>
      <c r="P114"/>
      <c r="Q114" s="17"/>
      <c r="R114"/>
      <c r="S114" s="17"/>
      <c r="T114"/>
      <c r="U114" s="17"/>
      <c r="V114"/>
      <c r="W114" s="17"/>
      <c r="X114"/>
      <c r="Y114" s="17"/>
      <c r="Z114"/>
      <c r="AA114" s="17"/>
      <c r="AB114" t="n">
        <v>0</v>
      </c>
    </row>
    <row r="115" spans="2:9">
      <c r="A115" s="8"/>
      <c r="B115" t="n" s="12">
        <f>1000000+INDEX(编号表!$B:$B,MATCH(C115,编号表!$A:$A,0))*1000+INDEX(编号表!$D:$D,MATCH(D115,编号表!$C:$C,0))*100+E115</f>
        <v>1044404</v>
      </c>
      <c r="C115" t="str" s="8">
        <v>截风坡</v>
      </c>
      <c r="D115" t="str" s="12">
        <v>小怪2</v>
      </c>
      <c r="E115" t="n" s="12">
        <v>4</v>
      </c>
      <c r="F115" t="str" s="18">
        <v>断谷灵蝠</v>
      </c>
      <c r="G115" t="str" s="17">
        <v>区域随机</v>
      </c>
      <c r="H115" t="n" s="12">
        <v>60441125</v>
      </c>
      <c r="I115" t="n" s="12">
        <v>2</v>
      </c>
      <c r="J115" s="17"/>
      <c r="K115" s="17"/>
      <c r="L115"/>
      <c r="M115" s="17"/>
      <c r="N115"/>
      <c r="O115" s="17"/>
      <c r="P115"/>
      <c r="Q115" s="17"/>
      <c r="R115"/>
      <c r="S115" s="17"/>
      <c r="T115"/>
      <c r="U115" s="17"/>
      <c r="V115"/>
      <c r="W115" s="17"/>
      <c r="X115"/>
      <c r="Y115" s="17"/>
      <c r="Z115"/>
      <c r="AA115" s="17"/>
      <c r="AB115" t="n">
        <v>0</v>
      </c>
    </row>
    <row r="116" spans="2:9">
      <c r="A116" s="8"/>
      <c r="B116" t="n" s="12">
        <f>1000000+INDEX(编号表!$B:$B,MATCH(C116,编号表!$A:$A,0))*1000+INDEX(编号表!$D:$D,MATCH(D116,编号表!$C:$C,0))*100+E116</f>
        <v>1044103</v>
      </c>
      <c r="C116" t="str" s="8">
        <v>截风坡</v>
      </c>
      <c r="D116" t="str" s="12">
        <v>精英</v>
      </c>
      <c r="E116" t="n" s="12">
        <v>3</v>
      </c>
      <c r="F116" t="str" s="18">
        <v>截风灵蛇·异种</v>
      </c>
      <c r="G116" t="str" s="17">
        <v>区域随机</v>
      </c>
      <c r="H116" t="n" s="12">
        <v>60442126</v>
      </c>
      <c r="I116" t="n" s="12">
        <v>1</v>
      </c>
      <c r="J116" s="17"/>
      <c r="K116" s="17"/>
      <c r="L116"/>
      <c r="M116" s="17"/>
      <c r="N116"/>
      <c r="O116" s="17"/>
      <c r="P116"/>
      <c r="Q116" s="17"/>
      <c r="R116"/>
      <c r="S116" s="17"/>
      <c r="T116"/>
      <c r="U116" s="17"/>
      <c r="V116"/>
      <c r="W116" s="17"/>
      <c r="X116"/>
      <c r="Y116" s="17"/>
      <c r="Z116"/>
      <c r="AA116" s="17"/>
      <c r="AB116" t="n">
        <v>0</v>
      </c>
    </row>
    <row r="117" spans="2:9">
      <c r="A117" s="8"/>
      <c r="B117" t="n" s="12">
        <f>1000000+INDEX(编号表!$B:$B,MATCH(C117,编号表!$A:$A,0))*1000+INDEX(编号表!$D:$D,MATCH(D117,编号表!$C:$C,0))*100+E117</f>
        <v>1044001</v>
      </c>
      <c r="C117" t="str" s="8">
        <v>截风坡</v>
      </c>
      <c r="D117" t="str" s="12">
        <v>boss</v>
      </c>
      <c r="E117" t="n" s="12">
        <v>1</v>
      </c>
      <c r="F117" t="str" s="18">
        <v>崩石灵蜈·首领</v>
      </c>
      <c r="G117" t="str" s="17">
        <v>区域随机</v>
      </c>
      <c r="H117" t="n" s="12">
        <v>60444127</v>
      </c>
      <c r="I117" t="n" s="12">
        <v>1</v>
      </c>
      <c r="J117" s="17"/>
      <c r="K117" s="17"/>
      <c r="L117"/>
      <c r="M117" s="17"/>
      <c r="N117"/>
      <c r="O117" s="17"/>
      <c r="P117"/>
      <c r="Q117" s="17"/>
      <c r="R117"/>
      <c r="S117" s="17"/>
      <c r="T117"/>
      <c r="U117" s="17"/>
      <c r="V117"/>
      <c r="W117" s="17"/>
      <c r="X117"/>
      <c r="Y117" s="17"/>
      <c r="Z117"/>
      <c r="AA117" s="17"/>
      <c r="AB117" t="n">
        <v>0</v>
      </c>
    </row>
    <row r="118" spans="2:9">
      <c r="A118" s="8"/>
      <c r="B118" t="n" s="12">
        <f>1000000+INDEX(编号表!$B:$B,MATCH(C118,编号表!$A:$A,0))*1000+INDEX(编号表!$D:$D,MATCH(D118,编号表!$C:$C,0))*100+E118</f>
        <v>1045304</v>
      </c>
      <c r="C118" t="str" s="8">
        <v>隙光苔</v>
      </c>
      <c r="D118" t="str" s="12">
        <v>小怪1</v>
      </c>
      <c r="E118" t="n" s="12">
        <v>4</v>
      </c>
      <c r="F118" t="str" s="18">
        <v>碎堑岩狼</v>
      </c>
      <c r="G118" t="str" s="17">
        <v>区域随机</v>
      </c>
      <c r="H118" t="n" s="12">
        <v>60451128</v>
      </c>
      <c r="I118" t="n" s="12">
        <v>2</v>
      </c>
      <c r="J118" s="17"/>
      <c r="K118" s="17"/>
      <c r="L118"/>
      <c r="M118" s="17"/>
      <c r="N118"/>
      <c r="O118" s="17"/>
      <c r="P118"/>
      <c r="Q118" s="17"/>
      <c r="R118"/>
      <c r="S118" s="17"/>
      <c r="T118"/>
      <c r="U118" s="17"/>
      <c r="V118"/>
      <c r="W118" s="17"/>
      <c r="X118"/>
      <c r="Y118" s="17"/>
      <c r="Z118"/>
      <c r="AA118" s="17"/>
      <c r="AB118" t="n">
        <v>0</v>
      </c>
    </row>
    <row r="119" spans="2:9">
      <c r="A119" s="8"/>
      <c r="B119" t="n" s="12">
        <f>1000000+INDEX(编号表!$B:$B,MATCH(C119,编号表!$A:$A,0))*1000+INDEX(编号表!$D:$D,MATCH(D119,编号表!$C:$C,0))*100+E119</f>
        <v>1046304</v>
      </c>
      <c r="C119" t="str" s="8">
        <v>浸岩菖</v>
      </c>
      <c r="D119" t="str" s="12">
        <v>小怪1</v>
      </c>
      <c r="E119" t="n" s="12">
        <v>4</v>
      </c>
      <c r="F119" t="str" s="18">
        <v>断谷灵蝠</v>
      </c>
      <c r="G119" t="str" s="17">
        <v>区域随机</v>
      </c>
      <c r="H119" t="n" s="12">
        <v>60461129</v>
      </c>
      <c r="I119" t="n" s="12">
        <v>2</v>
      </c>
      <c r="J119" s="17"/>
      <c r="K119" s="17"/>
      <c r="L119"/>
      <c r="M119" s="17"/>
      <c r="N119"/>
      <c r="O119" s="17"/>
      <c r="P119"/>
      <c r="Q119" s="17"/>
      <c r="R119"/>
      <c r="S119" s="17"/>
      <c r="T119"/>
      <c r="U119" s="17"/>
      <c r="V119"/>
      <c r="W119" s="17"/>
      <c r="X119"/>
      <c r="Y119" s="17"/>
      <c r="Z119"/>
      <c r="AA119" s="17"/>
      <c r="AB119" t="n">
        <v>0</v>
      </c>
    </row>
    <row r="120" spans="2:9">
      <c r="A120" s="8"/>
      <c r="B120" t="n" s="12">
        <f>1000000+INDEX(编号表!$B:$B,MATCH(C120,编号表!$A:$A,0))*1000+INDEX(编号表!$D:$D,MATCH(D120,编号表!$C:$C,0))*100+E120</f>
        <v>1047304</v>
      </c>
      <c r="C120" t="str" s="8">
        <v>裂口</v>
      </c>
      <c r="D120" t="str" s="12">
        <v>小怪1</v>
      </c>
      <c r="E120" t="n" s="12">
        <v>4</v>
      </c>
      <c r="F120" t="str" s="18">
        <v>截风灵蛇</v>
      </c>
      <c r="G120" t="str" s="17">
        <v>区域随机</v>
      </c>
      <c r="H120" t="n" s="12">
        <v>60471130</v>
      </c>
      <c r="I120" t="n" s="12">
        <v>2</v>
      </c>
      <c r="J120" s="17"/>
      <c r="K120" s="17"/>
      <c r="L120"/>
      <c r="M120" s="17"/>
      <c r="N120"/>
      <c r="O120" s="17"/>
      <c r="P120"/>
      <c r="Q120" s="17"/>
      <c r="R120"/>
      <c r="S120" s="17"/>
      <c r="T120"/>
      <c r="U120" s="17"/>
      <c r="V120"/>
      <c r="W120" s="17"/>
      <c r="X120"/>
      <c r="Y120" s="17"/>
      <c r="Z120"/>
      <c r="AA120" s="17"/>
      <c r="AB120" t="n">
        <v>0</v>
      </c>
    </row>
    <row r="121" spans="2:9">
      <c r="A121" s="8"/>
      <c r="B121" t="n" s="12">
        <f>1000000+INDEX(编号表!$B:$B,MATCH(C121,编号表!$A:$A,0))*1000+INDEX(编号表!$D:$D,MATCH(D121,编号表!$C:$C,0))*100+E121</f>
        <v>1047404</v>
      </c>
      <c r="C121" t="str" s="8">
        <v>裂口</v>
      </c>
      <c r="D121" t="str" s="12">
        <v>小怪2</v>
      </c>
      <c r="E121" t="n" s="12">
        <v>4</v>
      </c>
      <c r="F121" t="str" s="18">
        <v>崩石灵蜈</v>
      </c>
      <c r="G121" t="str" s="17">
        <v>区域随机</v>
      </c>
      <c r="H121" t="n" s="12">
        <v>60471131</v>
      </c>
      <c r="I121" t="n" s="12">
        <v>2</v>
      </c>
      <c r="J121" s="17"/>
      <c r="K121" s="17"/>
      <c r="L121"/>
      <c r="M121" s="17"/>
      <c r="N121"/>
      <c r="O121" s="17"/>
      <c r="P121"/>
      <c r="Q121" s="17"/>
      <c r="R121"/>
      <c r="S121" s="17"/>
      <c r="T121"/>
      <c r="U121" s="17"/>
      <c r="V121"/>
      <c r="W121" s="17"/>
      <c r="X121"/>
      <c r="Y121" s="17"/>
      <c r="Z121"/>
      <c r="AA121" s="17"/>
      <c r="AB121" t="n">
        <v>0</v>
      </c>
    </row>
    <row r="122" spans="2:9">
      <c r="A122" s="8"/>
      <c r="B122" t="n" s="12">
        <f>1000000+INDEX(编号表!$B:$B,MATCH(C122,编号表!$A:$A,0))*1000+INDEX(编号表!$D:$D,MATCH(D122,编号表!$C:$C,0))*100+E122</f>
        <v>1047504</v>
      </c>
      <c r="C122" t="str" s="8">
        <v>裂口</v>
      </c>
      <c r="D122" t="str" s="12">
        <v>小怪3</v>
      </c>
      <c r="E122" t="n" s="12">
        <v>4</v>
      </c>
      <c r="F122" t="str" s="18">
        <v>碎堑岩狼</v>
      </c>
      <c r="G122" t="str" s="17">
        <v>区域随机</v>
      </c>
      <c r="H122" t="n" s="12">
        <v>60471132</v>
      </c>
      <c r="I122" t="n" s="12">
        <v>2</v>
      </c>
      <c r="J122" s="17"/>
      <c r="K122" s="17"/>
      <c r="L122"/>
      <c r="M122" s="17"/>
      <c r="N122"/>
      <c r="O122" s="17"/>
      <c r="P122"/>
      <c r="Q122" s="17"/>
      <c r="R122"/>
      <c r="S122" s="17"/>
      <c r="T122"/>
      <c r="U122" s="17"/>
      <c r="V122"/>
      <c r="W122" s="17"/>
      <c r="X122"/>
      <c r="Y122" s="17"/>
      <c r="Z122"/>
      <c r="AA122" s="17"/>
      <c r="AB122" t="n">
        <v>0</v>
      </c>
    </row>
    <row r="123" spans="2:9">
      <c r="A123" s="8"/>
      <c r="B123" t="n" s="12">
        <f>1000000+INDEX(编号表!$B:$B,MATCH(C123,编号表!$A:$A,0))*1000+INDEX(编号表!$D:$D,MATCH(D123,编号表!$C:$C,0))*100+E123</f>
        <v>1048304</v>
      </c>
      <c r="C123" t="str" s="8">
        <v>承影</v>
      </c>
      <c r="D123" t="str" s="12">
        <v>小怪1</v>
      </c>
      <c r="E123" t="n" s="12">
        <v>4</v>
      </c>
      <c r="F123" t="str" s="18">
        <v>断谷灵蝠</v>
      </c>
      <c r="G123" t="str" s="17">
        <v>区域随机</v>
      </c>
      <c r="H123" t="n" s="12">
        <v>60481133</v>
      </c>
      <c r="I123" t="n" s="12">
        <v>2</v>
      </c>
      <c r="J123" s="17"/>
      <c r="K123" s="17"/>
      <c r="L123"/>
      <c r="M123" s="17"/>
      <c r="N123"/>
      <c r="O123" s="17"/>
      <c r="P123"/>
      <c r="Q123" s="17"/>
      <c r="R123"/>
      <c r="S123" s="17"/>
      <c r="T123"/>
      <c r="U123" s="17"/>
      <c r="V123"/>
      <c r="W123" s="17"/>
      <c r="X123"/>
      <c r="Y123" s="17"/>
      <c r="Z123"/>
      <c r="AA123" s="17"/>
      <c r="AB123" t="n">
        <v>0</v>
      </c>
    </row>
    <row r="124" spans="2:9">
      <c r="A124" s="8"/>
      <c r="B124" t="n" s="12">
        <f>1000000+INDEX(编号表!$B:$B,MATCH(C124,编号表!$A:$A,0))*1000+INDEX(编号表!$D:$D,MATCH(D124,编号表!$C:$C,0))*100+E124</f>
        <v>1048103</v>
      </c>
      <c r="C124" t="str" s="8">
        <v>承影</v>
      </c>
      <c r="D124" t="str" s="12">
        <v>精英</v>
      </c>
      <c r="E124" t="n" s="12">
        <v>3</v>
      </c>
      <c r="F124" t="str" s="18">
        <v>截风灵蛇·异种</v>
      </c>
      <c r="G124" t="str" s="17">
        <v>区域随机</v>
      </c>
      <c r="H124" t="n" s="12">
        <v>60482134</v>
      </c>
      <c r="I124" t="n" s="12">
        <v>1</v>
      </c>
      <c r="J124" s="17"/>
      <c r="K124" s="17"/>
      <c r="L124"/>
      <c r="M124" s="17"/>
      <c r="N124"/>
      <c r="O124" s="17"/>
      <c r="P124"/>
      <c r="Q124" s="17"/>
      <c r="R124"/>
      <c r="S124" s="17"/>
      <c r="T124"/>
      <c r="U124" s="17"/>
      <c r="V124"/>
      <c r="W124" s="17"/>
      <c r="X124"/>
      <c r="Y124" s="17"/>
      <c r="Z124"/>
      <c r="AA124" s="17"/>
      <c r="AB124" t="n">
        <v>0</v>
      </c>
    </row>
    <row r="125" spans="2:9">
      <c r="A125" s="8"/>
      <c r="B125" t="n" s="12">
        <f>1000000+INDEX(编号表!$B:$B,MATCH(C125,编号表!$A:$A,0))*1000+INDEX(编号表!$D:$D,MATCH(D125,编号表!$C:$C,0))*100+E125</f>
        <v>1048001</v>
      </c>
      <c r="C125" t="str" s="8">
        <v>承影</v>
      </c>
      <c r="D125" t="str" s="12">
        <v>boss</v>
      </c>
      <c r="E125" t="n" s="12">
        <v>1</v>
      </c>
      <c r="F125" t="str" s="18">
        <v>崩石灵蜈·首领</v>
      </c>
      <c r="G125" t="str" s="17">
        <v>区域随机</v>
      </c>
      <c r="H125" t="n" s="12">
        <v>60484135</v>
      </c>
      <c r="I125" t="n" s="12">
        <v>1</v>
      </c>
      <c r="J125" s="17"/>
      <c r="K125" s="17"/>
      <c r="L125"/>
      <c r="M125" s="17"/>
      <c r="N125"/>
      <c r="O125" s="17"/>
      <c r="P125"/>
      <c r="Q125" s="17"/>
      <c r="R125"/>
      <c r="S125" s="17"/>
      <c r="T125"/>
      <c r="U125" s="17"/>
      <c r="V125"/>
      <c r="W125" s="17"/>
      <c r="X125"/>
      <c r="Y125" s="17"/>
      <c r="Z125"/>
      <c r="AA125" s="17"/>
      <c r="AB125" t="n">
        <v>0</v>
      </c>
    </row>
    <row r="126" spans="2:9">
      <c r="A126" s="8"/>
      <c r="B126" t="n" s="12">
        <f>1000000+INDEX(编号表!$B:$B,MATCH(C126,编号表!$A:$A,0))*1000+INDEX(编号表!$D:$D,MATCH(D126,编号表!$C:$C,0))*100+E126</f>
        <v>1049304</v>
      </c>
      <c r="C126" t="str" s="8">
        <v>壅浊石</v>
      </c>
      <c r="D126" t="str" s="12">
        <v>小怪1</v>
      </c>
      <c r="E126" t="n" s="12">
        <v>4</v>
      </c>
      <c r="F126" t="str" s="18">
        <v>魔化碎堑岩狼</v>
      </c>
      <c r="G126" t="str" s="17">
        <v>区域随机</v>
      </c>
      <c r="H126" t="n" s="12">
        <v>60491136</v>
      </c>
      <c r="I126" t="n" s="12">
        <v>2</v>
      </c>
      <c r="J126" s="17"/>
      <c r="K126" s="17"/>
      <c r="L126"/>
      <c r="M126" s="17"/>
      <c r="N126"/>
      <c r="O126" s="17"/>
      <c r="P126"/>
      <c r="Q126" s="17"/>
      <c r="R126"/>
      <c r="S126" s="17"/>
      <c r="T126"/>
      <c r="U126" s="17"/>
      <c r="V126"/>
      <c r="W126" s="17"/>
      <c r="X126"/>
      <c r="Y126" s="17"/>
      <c r="Z126"/>
      <c r="AA126" s="17"/>
      <c r="AB126" t="n">
        <v>0</v>
      </c>
    </row>
    <row r="127" spans="2:9">
      <c r="A127" s="8"/>
      <c r="B127" t="n" s="12">
        <f>1000000+INDEX(编号表!$B:$B,MATCH(C127,编号表!$A:$A,0))*1000+INDEX(编号表!$D:$D,MATCH(D127,编号表!$C:$C,0))*100+E127</f>
        <v>1049404</v>
      </c>
      <c r="C127" t="str" s="8">
        <v>壅浊石</v>
      </c>
      <c r="D127" t="str" s="12">
        <v>小怪2</v>
      </c>
      <c r="E127" t="n" s="12">
        <v>4</v>
      </c>
      <c r="F127" t="str" s="18">
        <v>魔化断谷灵蝠</v>
      </c>
      <c r="G127" t="str" s="17">
        <v>区域随机</v>
      </c>
      <c r="H127" t="n" s="12">
        <v>60491137</v>
      </c>
      <c r="I127" t="n" s="12">
        <v>2</v>
      </c>
      <c r="J127" s="17"/>
      <c r="K127" s="17"/>
      <c r="L127"/>
      <c r="M127" s="17"/>
      <c r="N127"/>
      <c r="O127" s="17"/>
      <c r="P127"/>
      <c r="Q127" s="17"/>
      <c r="R127"/>
      <c r="S127" s="17"/>
      <c r="T127"/>
      <c r="U127" s="17"/>
      <c r="V127"/>
      <c r="W127" s="17"/>
      <c r="X127"/>
      <c r="Y127" s="17"/>
      <c r="Z127"/>
      <c r="AA127" s="17"/>
      <c r="AB127" t="n">
        <v>0</v>
      </c>
    </row>
    <row r="128" spans="2:9">
      <c r="A128" s="8"/>
      <c r="B128" t="n" s="12">
        <f>1000000+INDEX(编号表!$B:$B,MATCH(C128,编号表!$A:$A,0))*1000+INDEX(编号表!$D:$D,MATCH(D128,编号表!$C:$C,0))*100+E128</f>
        <v>1049001</v>
      </c>
      <c r="C128" t="str" s="8">
        <v>壅浊石</v>
      </c>
      <c r="D128" t="str" s="12">
        <v>boss</v>
      </c>
      <c r="E128" t="n" s="12">
        <v>1</v>
      </c>
      <c r="F128" t="str" s="18">
        <v>魔化截风灵蛇</v>
      </c>
      <c r="G128" t="str" s="17">
        <v>区域随机</v>
      </c>
      <c r="H128" t="n" s="12">
        <v>60491138</v>
      </c>
      <c r="I128" t="n" s="12">
        <v>2</v>
      </c>
      <c r="J128" s="17"/>
      <c r="K128" s="17"/>
      <c r="L128"/>
      <c r="M128" s="17"/>
      <c r="N128"/>
      <c r="O128" s="17"/>
      <c r="P128"/>
      <c r="Q128" s="17"/>
      <c r="R128"/>
      <c r="S128" s="17"/>
      <c r="T128"/>
      <c r="U128" s="17"/>
      <c r="V128"/>
      <c r="W128" s="17"/>
      <c r="X128"/>
      <c r="Y128" s="17"/>
      <c r="Z128"/>
      <c r="AA128" s="17"/>
      <c r="AB128" t="n">
        <v>0</v>
      </c>
    </row>
    <row r="129" spans="2:9">
      <c r="A129" s="8"/>
      <c r="B129" t="n" s="12">
        <f>1000000+INDEX(编号表!$B:$B,MATCH(C129,编号表!$A:$A,0))*1000+INDEX(编号表!$D:$D,MATCH(D129,编号表!$C:$C,0))*100+E129</f>
        <v>1051304</v>
      </c>
      <c r="C129" t="str" s="8">
        <v>沉岚</v>
      </c>
      <c r="D129" t="str" s="12">
        <v>小怪1</v>
      </c>
      <c r="E129" t="n" s="12">
        <v>4</v>
      </c>
      <c r="F129" t="str" s="18">
        <v>台缘岩蟹</v>
      </c>
      <c r="G129" t="str" s="17">
        <v>区域随机</v>
      </c>
      <c r="H129" t="n" s="12">
        <v>60511139</v>
      </c>
      <c r="I129" t="n" s="12">
        <v>2</v>
      </c>
      <c r="J129" s="17"/>
      <c r="K129" s="17"/>
      <c r="L129"/>
      <c r="M129" s="17"/>
      <c r="N129"/>
      <c r="O129" s="17"/>
      <c r="P129"/>
      <c r="Q129" s="17"/>
      <c r="R129"/>
      <c r="S129" s="17"/>
      <c r="T129"/>
      <c r="U129" s="17"/>
      <c r="V129"/>
      <c r="W129" s="17"/>
      <c r="X129"/>
      <c r="Y129" s="17"/>
      <c r="Z129"/>
      <c r="AA129" s="17"/>
      <c r="AB129" t="n">
        <v>0</v>
      </c>
    </row>
    <row r="130" spans="2:9">
      <c r="A130" s="8"/>
      <c r="B130" t="n" s="12">
        <f>1000000+INDEX(编号表!$B:$B,MATCH(C130,编号表!$A:$A,0))*1000+INDEX(编号表!$D:$D,MATCH(D130,编号表!$C:$C,0))*100+E130</f>
        <v>1051404</v>
      </c>
      <c r="C130" t="str" s="8">
        <v>沉岚</v>
      </c>
      <c r="D130" t="str" s="12">
        <v>小怪2</v>
      </c>
      <c r="E130" t="n" s="12">
        <v>4</v>
      </c>
      <c r="F130" t="str" s="18">
        <v>雾台灵蝠</v>
      </c>
      <c r="G130" t="str" s="17">
        <v>区域随机</v>
      </c>
      <c r="H130" t="n" s="12">
        <v>60511140</v>
      </c>
      <c r="I130" t="n" s="12">
        <v>2</v>
      </c>
      <c r="J130" s="17"/>
      <c r="K130" s="17"/>
      <c r="L130"/>
      <c r="M130" s="17"/>
      <c r="N130"/>
      <c r="O130" s="17"/>
      <c r="P130"/>
      <c r="Q130" s="17"/>
      <c r="R130"/>
      <c r="S130" s="17"/>
      <c r="T130"/>
      <c r="U130" s="17"/>
      <c r="V130"/>
      <c r="W130" s="17"/>
      <c r="X130"/>
      <c r="Y130" s="17"/>
      <c r="Z130"/>
      <c r="AA130" s="17"/>
      <c r="AB130" t="n">
        <v>0</v>
      </c>
    </row>
    <row r="131" spans="2:9">
      <c r="A131" s="8"/>
      <c r="B131" t="n" s="12">
        <f>1000000+INDEX(编号表!$B:$B,MATCH(C131,编号表!$A:$A,0))*1000+INDEX(编号表!$D:$D,MATCH(D131,编号表!$C:$C,0))*100+E131</f>
        <v>1051103</v>
      </c>
      <c r="C131" t="str" s="8">
        <v>沉岚</v>
      </c>
      <c r="D131" t="str" s="12">
        <v>精英</v>
      </c>
      <c r="E131" t="n" s="12">
        <v>3</v>
      </c>
      <c r="F131" t="str" s="18">
        <v>悬岩灵狼·异种</v>
      </c>
      <c r="G131" t="str" s="17">
        <v>区域随机</v>
      </c>
      <c r="H131" t="n" s="12">
        <v>60512141</v>
      </c>
      <c r="I131" t="n" s="12">
        <v>1</v>
      </c>
      <c r="J131" s="17"/>
      <c r="K131" s="17"/>
      <c r="L131"/>
      <c r="M131" s="17"/>
      <c r="N131"/>
      <c r="O131" s="17"/>
      <c r="P131"/>
      <c r="Q131" s="17"/>
      <c r="R131"/>
      <c r="S131" s="17"/>
      <c r="T131"/>
      <c r="U131" s="17"/>
      <c r="V131"/>
      <c r="W131" s="17"/>
      <c r="X131"/>
      <c r="Y131" s="17"/>
      <c r="Z131"/>
      <c r="AA131" s="17"/>
      <c r="AB131" t="n">
        <v>0</v>
      </c>
    </row>
    <row r="132" spans="2:9">
      <c r="A132" s="8"/>
      <c r="B132" t="n" s="12">
        <f>1000000+INDEX(编号表!$B:$B,MATCH(C132,编号表!$A:$A,0))*1000+INDEX(编号表!$D:$D,MATCH(D132,编号表!$C:$C,0))*100+E132</f>
        <v>1052304</v>
      </c>
      <c r="C132" t="str" s="8">
        <v>悬晖</v>
      </c>
      <c r="D132" t="str" s="12">
        <v>小怪1</v>
      </c>
      <c r="E132" t="n" s="12">
        <v>4</v>
      </c>
      <c r="F132" t="str" s="18">
        <v>暗角灵蛇</v>
      </c>
      <c r="G132" t="str" s="17">
        <v>区域随机</v>
      </c>
      <c r="H132" t="n" s="12">
        <v>60521142</v>
      </c>
      <c r="I132" t="n" s="12">
        <v>2</v>
      </c>
      <c r="J132" s="17"/>
      <c r="K132" s="17"/>
      <c r="L132"/>
      <c r="M132" s="17"/>
      <c r="N132"/>
      <c r="O132" s="17"/>
      <c r="P132"/>
      <c r="Q132" s="17"/>
      <c r="R132"/>
      <c r="S132" s="17"/>
      <c r="T132"/>
      <c r="U132" s="17"/>
      <c r="V132"/>
      <c r="W132" s="17"/>
      <c r="X132"/>
      <c r="Y132" s="17"/>
      <c r="Z132"/>
      <c r="AA132" s="17"/>
      <c r="AB132" t="n">
        <v>0</v>
      </c>
    </row>
    <row r="133" spans="2:9">
      <c r="A133" s="8"/>
      <c r="B133" t="n" s="12">
        <f>1000000+INDEX(编号表!$B:$B,MATCH(C133,编号表!$A:$A,0))*1000+INDEX(编号表!$D:$D,MATCH(D133,编号表!$C:$C,0))*100+E133</f>
        <v>1052103</v>
      </c>
      <c r="C133" t="str" s="8">
        <v>悬晖</v>
      </c>
      <c r="D133" t="str" s="12">
        <v>精英</v>
      </c>
      <c r="E133" t="n" s="12">
        <v>3</v>
      </c>
      <c r="F133" t="str" s="18">
        <v>台缘岩蟹·异种</v>
      </c>
      <c r="G133" t="str" s="17">
        <v>区域随机</v>
      </c>
      <c r="H133" t="n" s="12">
        <v>60522143</v>
      </c>
      <c r="I133" t="n" s="12">
        <v>1</v>
      </c>
      <c r="J133" s="17"/>
      <c r="K133" s="17"/>
      <c r="L133"/>
      <c r="M133" s="17"/>
      <c r="N133"/>
      <c r="O133" s="17"/>
      <c r="P133"/>
      <c r="Q133" s="17"/>
      <c r="R133"/>
      <c r="S133" s="17"/>
      <c r="T133"/>
      <c r="U133" s="17"/>
      <c r="V133"/>
      <c r="W133" s="17"/>
      <c r="X133"/>
      <c r="Y133" s="17"/>
      <c r="Z133"/>
      <c r="AA133" s="17"/>
      <c r="AB133" t="n">
        <v>0</v>
      </c>
    </row>
    <row r="134" spans="2:9">
      <c r="A134" s="8"/>
      <c r="B134" t="n" s="12">
        <f>1000000+INDEX(编号表!$B:$B,MATCH(C134,编号表!$A:$A,0))*1000+INDEX(编号表!$D:$D,MATCH(D134,编号表!$C:$C,0))*100+E134</f>
        <v>1052001</v>
      </c>
      <c r="C134" t="str" s="8">
        <v>悬晖</v>
      </c>
      <c r="D134" t="str" s="12">
        <v>boss</v>
      </c>
      <c r="E134" t="n" s="12">
        <v>1</v>
      </c>
      <c r="F134" t="str" s="18">
        <v>雾台灵蝠·首领</v>
      </c>
      <c r="G134" t="str" s="17">
        <v>区域随机</v>
      </c>
      <c r="H134" t="n" s="12">
        <v>60524144</v>
      </c>
      <c r="I134" t="n" s="12">
        <v>1</v>
      </c>
      <c r="J134" s="17"/>
      <c r="K134" s="17"/>
      <c r="L134"/>
      <c r="M134" s="17"/>
      <c r="N134"/>
      <c r="O134" s="17"/>
      <c r="P134"/>
      <c r="Q134" s="17"/>
      <c r="R134"/>
      <c r="S134" s="17"/>
      <c r="T134"/>
      <c r="U134" s="17"/>
      <c r="V134"/>
      <c r="W134" s="17"/>
      <c r="X134"/>
      <c r="Y134" s="17"/>
      <c r="Z134"/>
      <c r="AA134" s="17"/>
      <c r="AB134" t="n">
        <v>0</v>
      </c>
    </row>
    <row r="135" spans="2:9">
      <c r="A135" s="8"/>
      <c r="B135" t="n" s="12">
        <f>1000000+INDEX(编号表!$B:$B,MATCH(C135,编号表!$A:$A,0))*1000+INDEX(编号表!$D:$D,MATCH(D135,编号表!$C:$C,0))*100+E135</f>
        <v>1053304</v>
      </c>
      <c r="C135" t="str" s="8">
        <v>隐翳</v>
      </c>
      <c r="D135" t="str" s="12">
        <v>小怪1</v>
      </c>
      <c r="E135" t="n" s="12">
        <v>4</v>
      </c>
      <c r="F135" t="str" s="18">
        <v>悬岩灵狼</v>
      </c>
      <c r="G135" t="str" s="17">
        <v>区域随机</v>
      </c>
      <c r="H135" t="n" s="12">
        <v>60531145</v>
      </c>
      <c r="I135" t="n" s="12">
        <v>2</v>
      </c>
      <c r="J135" s="17"/>
      <c r="K135" s="17"/>
      <c r="L135"/>
      <c r="M135" s="17"/>
      <c r="N135"/>
      <c r="O135" s="17"/>
      <c r="P135"/>
      <c r="Q135" s="17"/>
      <c r="R135"/>
      <c r="S135" s="17"/>
      <c r="T135"/>
      <c r="U135" s="17"/>
      <c r="V135"/>
      <c r="W135" s="17"/>
      <c r="X135"/>
      <c r="Y135" s="17"/>
      <c r="Z135"/>
      <c r="AA135" s="17"/>
      <c r="AB135" t="n">
        <v>0</v>
      </c>
    </row>
    <row r="136" spans="2:9">
      <c r="A136" s="8"/>
      <c r="B136" t="n" s="12">
        <f>1000000+INDEX(编号表!$B:$B,MATCH(C136,编号表!$A:$A,0))*1000+INDEX(编号表!$D:$D,MATCH(D136,编号表!$C:$C,0))*100+E136</f>
        <v>1053404</v>
      </c>
      <c r="C136" t="str" s="8">
        <v>隐翳</v>
      </c>
      <c r="D136" t="str" s="12">
        <v>小怪2</v>
      </c>
      <c r="E136" t="n" s="12">
        <v>4</v>
      </c>
      <c r="F136" t="str" s="18">
        <v>暗角灵蛇</v>
      </c>
      <c r="G136" t="str" s="17">
        <v>区域随机</v>
      </c>
      <c r="H136" t="n" s="12">
        <v>60531146</v>
      </c>
      <c r="I136" t="n" s="12">
        <v>2</v>
      </c>
      <c r="J136" s="17"/>
      <c r="K136" s="17"/>
      <c r="L136"/>
      <c r="M136" s="17"/>
      <c r="N136"/>
      <c r="O136" s="17"/>
      <c r="P136"/>
      <c r="Q136" s="17"/>
      <c r="R136"/>
      <c r="S136" s="17"/>
      <c r="T136"/>
      <c r="U136" s="17"/>
      <c r="V136"/>
      <c r="W136" s="17"/>
      <c r="X136"/>
      <c r="Y136" s="17"/>
      <c r="Z136"/>
      <c r="AA136" s="17"/>
      <c r="AB136" t="n">
        <v>0</v>
      </c>
    </row>
    <row r="137" spans="2:9">
      <c r="A137" s="8"/>
      <c r="B137" t="n" s="12">
        <f>1000000+INDEX(编号表!$B:$B,MATCH(C137,编号表!$A:$A,0))*1000+INDEX(编号表!$D:$D,MATCH(D137,编号表!$C:$C,0))*100+E137</f>
        <v>1053103</v>
      </c>
      <c r="C137" t="str" s="8">
        <v>隐翳</v>
      </c>
      <c r="D137" t="str" s="12">
        <v>精英</v>
      </c>
      <c r="E137" t="n" s="12">
        <v>3</v>
      </c>
      <c r="F137" t="str" s="18">
        <v>台缘岩蟹·异种</v>
      </c>
      <c r="G137" t="str" s="17">
        <v>区域随机</v>
      </c>
      <c r="H137" t="n" s="12">
        <v>60532147</v>
      </c>
      <c r="I137" t="n" s="12">
        <v>1</v>
      </c>
      <c r="J137" s="17"/>
      <c r="K137" s="17"/>
      <c r="L137"/>
      <c r="M137" s="17"/>
      <c r="N137"/>
      <c r="O137" s="17"/>
      <c r="P137"/>
      <c r="Q137" s="17"/>
      <c r="R137"/>
      <c r="S137" s="17"/>
      <c r="T137"/>
      <c r="U137" s="17"/>
      <c r="V137"/>
      <c r="W137" s="17"/>
      <c r="X137"/>
      <c r="Y137" s="17"/>
      <c r="Z137"/>
      <c r="AA137" s="17"/>
      <c r="AB137" t="n">
        <v>0</v>
      </c>
    </row>
    <row r="138" spans="2:9">
      <c r="A138" s="8"/>
      <c r="B138" t="n" s="12">
        <f>1000000+INDEX(编号表!$B:$B,MATCH(C138,编号表!$A:$A,0))*1000+INDEX(编号表!$D:$D,MATCH(D138,编号表!$C:$C,0))*100+E138</f>
        <v>1053001</v>
      </c>
      <c r="C138" t="str" s="8">
        <v>隐翳</v>
      </c>
      <c r="D138" t="str" s="12">
        <v>boss</v>
      </c>
      <c r="E138" t="n" s="12">
        <v>1</v>
      </c>
      <c r="F138" t="str" s="18">
        <v>雾台灵蝠·首领</v>
      </c>
      <c r="G138" t="str" s="17">
        <v>区域随机</v>
      </c>
      <c r="H138" t="n" s="12">
        <v>60534148</v>
      </c>
      <c r="I138" t="n" s="12">
        <v>1</v>
      </c>
      <c r="J138" s="17"/>
      <c r="K138" s="17"/>
      <c r="L138"/>
      <c r="M138" s="17"/>
      <c r="N138"/>
      <c r="O138" s="17"/>
      <c r="P138"/>
      <c r="Q138" s="17"/>
      <c r="R138"/>
      <c r="S138" s="17"/>
      <c r="T138"/>
      <c r="U138" s="17"/>
      <c r="V138"/>
      <c r="W138" s="17"/>
      <c r="X138"/>
      <c r="Y138" s="17"/>
      <c r="Z138"/>
      <c r="AA138" s="17"/>
      <c r="AB138" t="n">
        <v>0</v>
      </c>
    </row>
    <row r="139" spans="2:9">
      <c r="A139" s="8"/>
      <c r="B139" t="n" s="12">
        <f>1000000+INDEX(编号表!$B:$B,MATCH(C139,编号表!$A:$A,0))*1000+INDEX(编号表!$D:$D,MATCH(D139,编号表!$C:$C,0))*100+E139</f>
        <v>1054304</v>
      </c>
      <c r="C139" t="str" s="8">
        <v>云根露</v>
      </c>
      <c r="D139" t="str" s="12">
        <v>小怪1</v>
      </c>
      <c r="E139" t="n" s="12">
        <v>4</v>
      </c>
      <c r="F139" t="str" s="18">
        <v>悬岩灵狼</v>
      </c>
      <c r="G139" t="str" s="17">
        <v>区域随机</v>
      </c>
      <c r="H139" t="n" s="12">
        <v>60541149</v>
      </c>
      <c r="I139" t="n" s="12">
        <v>2</v>
      </c>
      <c r="J139" s="17"/>
      <c r="K139" s="17"/>
      <c r="L139"/>
      <c r="M139" s="17"/>
      <c r="N139"/>
      <c r="O139" s="17"/>
      <c r="P139"/>
      <c r="Q139" s="17"/>
      <c r="R139"/>
      <c r="S139" s="17"/>
      <c r="T139"/>
      <c r="U139" s="17"/>
      <c r="V139"/>
      <c r="W139" s="17"/>
      <c r="X139"/>
      <c r="Y139" s="17"/>
      <c r="Z139"/>
      <c r="AA139" s="17"/>
      <c r="AB139" t="n">
        <v>0</v>
      </c>
    </row>
    <row r="140" spans="2:9">
      <c r="A140" s="8"/>
      <c r="B140" t="n" s="12">
        <f>1000000+INDEX(编号表!$B:$B,MATCH(C140,编号表!$A:$A,0))*1000+INDEX(编号表!$D:$D,MATCH(D140,编号表!$C:$C,0))*100+E140</f>
        <v>1055304</v>
      </c>
      <c r="C140" t="str" s="8">
        <v>风痕苔生</v>
      </c>
      <c r="D140" t="str" s="12">
        <v>小怪1</v>
      </c>
      <c r="E140" t="n" s="12">
        <v>4</v>
      </c>
      <c r="F140" t="str" s="18">
        <v>暗角灵蛇</v>
      </c>
      <c r="G140" t="str" s="17">
        <v>区域随机</v>
      </c>
      <c r="H140" t="n" s="12">
        <v>60551150</v>
      </c>
      <c r="I140" t="n" s="12">
        <v>2</v>
      </c>
      <c r="J140" s="17"/>
      <c r="K140" s="17"/>
      <c r="L140"/>
      <c r="M140" s="17"/>
      <c r="N140"/>
      <c r="O140" s="17"/>
      <c r="P140"/>
      <c r="Q140" s="17"/>
      <c r="R140"/>
      <c r="S140" s="17"/>
      <c r="T140"/>
      <c r="U140" s="17"/>
      <c r="V140"/>
      <c r="W140" s="17"/>
      <c r="X140"/>
      <c r="Y140" s="17"/>
      <c r="Z140"/>
      <c r="AA140" s="17"/>
      <c r="AB140" t="n">
        <v>0</v>
      </c>
    </row>
    <row r="141" spans="2:9">
      <c r="A141" s="8"/>
      <c r="B141" t="n" s="12">
        <f>1000000+INDEX(编号表!$B:$B,MATCH(C141,编号表!$A:$A,0))*1000+INDEX(编号表!$D:$D,MATCH(D141,编号表!$C:$C,0))*100+E141</f>
        <v>1056304</v>
      </c>
      <c r="C141" t="str" s="8">
        <v>涓台窦</v>
      </c>
      <c r="D141" t="str" s="12">
        <v>小怪1</v>
      </c>
      <c r="E141" t="n" s="12">
        <v>4</v>
      </c>
      <c r="F141" t="str" s="18">
        <v>台缘岩蟹</v>
      </c>
      <c r="G141" t="str" s="17">
        <v>区域随机</v>
      </c>
      <c r="H141" t="n" s="12">
        <v>60561151</v>
      </c>
      <c r="I141" t="n" s="12">
        <v>2</v>
      </c>
      <c r="J141" s="17"/>
      <c r="K141" s="17"/>
      <c r="L141"/>
      <c r="M141" s="17"/>
      <c r="N141"/>
      <c r="O141" s="17"/>
      <c r="P141"/>
      <c r="Q141" s="17"/>
      <c r="R141"/>
      <c r="S141" s="17"/>
      <c r="T141"/>
      <c r="U141" s="17"/>
      <c r="V141"/>
      <c r="W141" s="17"/>
      <c r="X141"/>
      <c r="Y141" s="17"/>
      <c r="Z141"/>
      <c r="AA141" s="17"/>
      <c r="AB141" t="n">
        <v>0</v>
      </c>
    </row>
    <row r="142" spans="2:9">
      <c r="A142" s="8"/>
      <c r="B142" t="n" s="12">
        <f>1000000+INDEX(编号表!$B:$B,MATCH(C142,编号表!$A:$A,0))*1000+INDEX(编号表!$D:$D,MATCH(D142,编号表!$C:$C,0))*100+E142</f>
        <v>1056404</v>
      </c>
      <c r="C142" t="str" s="8">
        <v>涓台窦</v>
      </c>
      <c r="D142" t="str" s="12">
        <v>小怪2</v>
      </c>
      <c r="E142" t="n" s="12">
        <v>4</v>
      </c>
      <c r="F142" t="str" s="18">
        <v>雾台灵蝠</v>
      </c>
      <c r="G142" t="str" s="17">
        <v>区域随机</v>
      </c>
      <c r="H142" t="n" s="12">
        <v>60561152</v>
      </c>
      <c r="I142" t="n" s="12">
        <v>2</v>
      </c>
      <c r="J142" s="17"/>
      <c r="K142" s="17"/>
      <c r="L142"/>
      <c r="M142" s="17"/>
      <c r="N142"/>
      <c r="O142" s="17"/>
      <c r="P142"/>
      <c r="Q142" s="17"/>
      <c r="R142"/>
      <c r="S142" s="17"/>
      <c r="T142"/>
      <c r="U142" s="17"/>
      <c r="V142"/>
      <c r="W142" s="17"/>
      <c r="X142"/>
      <c r="Y142" s="17"/>
      <c r="Z142"/>
      <c r="AA142" s="17"/>
      <c r="AB142" t="n">
        <v>0</v>
      </c>
    </row>
    <row r="143" spans="2:9">
      <c r="A143" s="8"/>
      <c r="B143" t="n" s="12">
        <f>1000000+INDEX(编号表!$B:$B,MATCH(C143,编号表!$A:$A,0))*1000+INDEX(编号表!$D:$D,MATCH(D143,编号表!$C:$C,0))*100+E143</f>
        <v>1056103</v>
      </c>
      <c r="C143" t="str" s="8">
        <v>涓台窦</v>
      </c>
      <c r="D143" t="str" s="12">
        <v>精英</v>
      </c>
      <c r="E143" t="n" s="12">
        <v>3</v>
      </c>
      <c r="F143" t="str" s="18">
        <v>悬岩灵狼·异种</v>
      </c>
      <c r="G143" t="str" s="17">
        <v>区域随机</v>
      </c>
      <c r="H143" t="n" s="12">
        <v>60562153</v>
      </c>
      <c r="I143" t="n" s="12">
        <v>1</v>
      </c>
      <c r="J143" s="17"/>
      <c r="K143" s="17"/>
      <c r="L143"/>
      <c r="M143" s="17"/>
      <c r="N143"/>
      <c r="O143" s="17"/>
      <c r="P143"/>
      <c r="Q143" s="17"/>
      <c r="R143"/>
      <c r="S143" s="17"/>
      <c r="T143"/>
      <c r="U143" s="17"/>
      <c r="V143"/>
      <c r="W143" s="17"/>
      <c r="X143"/>
      <c r="Y143" s="17"/>
      <c r="Z143"/>
      <c r="AA143" s="17"/>
      <c r="AB143" t="n">
        <v>0</v>
      </c>
    </row>
    <row r="144" spans="2:9">
      <c r="A144" s="8"/>
      <c r="B144" t="n" s="12">
        <f>1000000+INDEX(编号表!$B:$B,MATCH(C144,编号表!$A:$A,0))*1000+INDEX(编号表!$D:$D,MATCH(D144,编号表!$C:$C,0))*100+E144</f>
        <v>1056001</v>
      </c>
      <c r="C144" t="str" s="8">
        <v>涓台窦</v>
      </c>
      <c r="D144" t="str" s="12">
        <v>boss</v>
      </c>
      <c r="E144" t="n" s="12">
        <v>1</v>
      </c>
      <c r="F144" t="str" s="18">
        <v>暗角灵蛇·首领</v>
      </c>
      <c r="G144" t="str" s="17">
        <v>区域随机</v>
      </c>
      <c r="H144" t="n" s="12">
        <v>60564154</v>
      </c>
      <c r="I144" t="n" s="12">
        <v>1</v>
      </c>
      <c r="J144" s="17"/>
      <c r="K144" s="17"/>
      <c r="L144"/>
      <c r="M144" s="17"/>
      <c r="N144"/>
      <c r="O144" s="17"/>
      <c r="P144"/>
      <c r="Q144" s="17"/>
      <c r="R144"/>
      <c r="S144" s="17"/>
      <c r="T144"/>
      <c r="U144" s="17"/>
      <c r="V144"/>
      <c r="W144" s="17"/>
      <c r="X144"/>
      <c r="Y144" s="17"/>
      <c r="Z144"/>
      <c r="AA144" s="17"/>
      <c r="AB144" t="n">
        <v>0</v>
      </c>
    </row>
    <row r="145" spans="2:9">
      <c r="A145" s="8"/>
      <c r="B145" t="n" s="12">
        <f>1000000+INDEX(编号表!$B:$B,MATCH(C145,编号表!$A:$A,0))*1000+INDEX(编号表!$D:$D,MATCH(D145,编号表!$C:$C,0))*100+E145</f>
        <v>1057304</v>
      </c>
      <c r="C145" t="str" s="8">
        <v>孔收暮影</v>
      </c>
      <c r="D145" t="str" s="12">
        <v>小怪1</v>
      </c>
      <c r="E145" t="n" s="12">
        <v>4</v>
      </c>
      <c r="F145" t="str" s="18">
        <v>台缘岩蟹</v>
      </c>
      <c r="G145" t="str" s="17">
        <v>区域随机</v>
      </c>
      <c r="H145" t="n" s="12">
        <v>60571155</v>
      </c>
      <c r="I145" t="n" s="12">
        <v>2</v>
      </c>
      <c r="J145" s="17"/>
      <c r="K145" s="17"/>
      <c r="L145"/>
      <c r="M145" s="17"/>
      <c r="N145"/>
      <c r="O145" s="17"/>
      <c r="P145"/>
      <c r="Q145" s="17"/>
      <c r="R145"/>
      <c r="S145" s="17"/>
      <c r="T145"/>
      <c r="U145" s="17"/>
      <c r="V145"/>
      <c r="W145" s="17"/>
      <c r="X145"/>
      <c r="Y145" s="17"/>
      <c r="Z145"/>
      <c r="AA145" s="17"/>
      <c r="AB145" t="n">
        <v>0</v>
      </c>
    </row>
    <row r="146" spans="2:9">
      <c r="A146" s="8"/>
      <c r="B146" t="n" s="12">
        <f>1000000+INDEX(编号表!$B:$B,MATCH(C146,编号表!$A:$A,0))*1000+INDEX(编号表!$D:$D,MATCH(D146,编号表!$C:$C,0))*100+E146</f>
        <v>1057404</v>
      </c>
      <c r="C146" t="str" s="8">
        <v>孔收暮影</v>
      </c>
      <c r="D146" t="str" s="12">
        <v>小怪2</v>
      </c>
      <c r="E146" t="n" s="12">
        <v>4</v>
      </c>
      <c r="F146" t="str" s="18">
        <v>雾台灵蝠</v>
      </c>
      <c r="G146" t="str" s="17">
        <v>区域随机</v>
      </c>
      <c r="H146" t="n" s="12">
        <v>60571156</v>
      </c>
      <c r="I146" t="n" s="12">
        <v>2</v>
      </c>
      <c r="J146" s="17"/>
      <c r="K146" s="17"/>
      <c r="L146"/>
      <c r="M146" s="17"/>
      <c r="N146"/>
      <c r="O146" s="17"/>
      <c r="P146"/>
      <c r="Q146" s="17"/>
      <c r="R146"/>
      <c r="S146" s="17"/>
      <c r="T146"/>
      <c r="U146" s="17"/>
      <c r="V146"/>
      <c r="W146" s="17"/>
      <c r="X146"/>
      <c r="Y146" s="17"/>
      <c r="Z146"/>
      <c r="AA146" s="17"/>
      <c r="AB146" t="n">
        <v>0</v>
      </c>
    </row>
    <row r="147" spans="2:9">
      <c r="A147" s="8"/>
      <c r="B147" t="n" s="12">
        <f>1000000+INDEX(编号表!$B:$B,MATCH(C147,编号表!$A:$A,0))*1000+INDEX(编号表!$D:$D,MATCH(D147,编号表!$C:$C,0))*100+E147</f>
        <v>1057103</v>
      </c>
      <c r="C147" t="str" s="8">
        <v>孔收暮影</v>
      </c>
      <c r="D147" t="str" s="12">
        <v>精英</v>
      </c>
      <c r="E147" t="n" s="12">
        <v>3</v>
      </c>
      <c r="F147" t="str" s="18">
        <v>悬岩灵狼·异种</v>
      </c>
      <c r="G147" t="str" s="17">
        <v>区域随机</v>
      </c>
      <c r="H147" t="n" s="12">
        <v>60572157</v>
      </c>
      <c r="I147" t="n" s="12">
        <v>1</v>
      </c>
      <c r="J147" s="17"/>
      <c r="K147" s="17"/>
      <c r="L147"/>
      <c r="M147" s="17"/>
      <c r="N147"/>
      <c r="O147" s="17"/>
      <c r="P147"/>
      <c r="Q147" s="17"/>
      <c r="R147"/>
      <c r="S147" s="17"/>
      <c r="T147"/>
      <c r="U147" s="17"/>
      <c r="V147"/>
      <c r="W147" s="17"/>
      <c r="X147"/>
      <c r="Y147" s="17"/>
      <c r="Z147"/>
      <c r="AA147" s="17"/>
      <c r="AB147" t="n">
        <v>0</v>
      </c>
    </row>
    <row r="148" spans="2:9">
      <c r="A148" s="8"/>
      <c r="B148" t="n" s="12">
        <f>1000000+INDEX(编号表!$B:$B,MATCH(C148,编号表!$A:$A,0))*1000+INDEX(编号表!$D:$D,MATCH(D148,编号表!$C:$C,0))*100+E148</f>
        <v>1057001</v>
      </c>
      <c r="C148" t="str" s="8">
        <v>孔收暮影</v>
      </c>
      <c r="D148" t="str" s="12">
        <v>boss</v>
      </c>
      <c r="E148" t="n" s="12">
        <v>1</v>
      </c>
      <c r="F148" t="str" s="18">
        <v>暗角灵蛇·首领</v>
      </c>
      <c r="G148" t="str" s="17">
        <v>区域随机</v>
      </c>
      <c r="H148" t="n" s="12">
        <v>60574158</v>
      </c>
      <c r="I148" t="n" s="12">
        <v>1</v>
      </c>
      <c r="J148" s="17"/>
      <c r="K148" s="17"/>
      <c r="L148"/>
      <c r="M148" s="17"/>
      <c r="N148"/>
      <c r="O148" s="17"/>
      <c r="P148"/>
      <c r="Q148" s="17"/>
      <c r="R148"/>
      <c r="S148" s="17"/>
      <c r="T148"/>
      <c r="U148" s="17"/>
      <c r="V148"/>
      <c r="W148" s="17"/>
      <c r="X148"/>
      <c r="Y148" s="17"/>
      <c r="Z148"/>
      <c r="AA148" s="17"/>
      <c r="AB148" t="n">
        <v>0</v>
      </c>
    </row>
    <row r="149" spans="2:9">
      <c r="A149" s="8"/>
      <c r="B149" t="n" s="12">
        <f>1000000+INDEX(编号表!$B:$B,MATCH(C149,编号表!$A:$A,0))*1000+INDEX(编号表!$D:$D,MATCH(D149,编号表!$C:$C,0))*100+E149</f>
        <v>1058304</v>
      </c>
      <c r="C149" t="str" s="8">
        <v>雾黯岩</v>
      </c>
      <c r="D149" t="str" s="12">
        <v>小怪1</v>
      </c>
      <c r="E149" t="n" s="12">
        <v>4</v>
      </c>
      <c r="F149" t="str" s="18">
        <v>魔化台缘岩蟹</v>
      </c>
      <c r="G149" t="str" s="17">
        <v>区域随机</v>
      </c>
      <c r="H149" t="n" s="12">
        <v>60581159</v>
      </c>
      <c r="I149" t="n" s="12">
        <v>2</v>
      </c>
      <c r="J149" s="17"/>
      <c r="K149" s="17"/>
      <c r="L149"/>
      <c r="M149" s="17"/>
      <c r="N149"/>
      <c r="O149" s="17"/>
      <c r="P149"/>
      <c r="Q149" s="17"/>
      <c r="R149"/>
      <c r="S149" s="17"/>
      <c r="T149"/>
      <c r="U149" s="17"/>
      <c r="V149"/>
      <c r="W149" s="17"/>
      <c r="X149"/>
      <c r="Y149" s="17"/>
      <c r="Z149"/>
      <c r="AA149" s="17"/>
      <c r="AB149" t="n">
        <v>0</v>
      </c>
    </row>
    <row r="150" spans="2:9">
      <c r="A150" s="8"/>
      <c r="B150" t="n" s="12">
        <f>1000000+INDEX(编号表!$B:$B,MATCH(C150,编号表!$A:$A,0))*1000+INDEX(编号表!$D:$D,MATCH(D150,编号表!$C:$C,0))*100+E150</f>
        <v>1058102</v>
      </c>
      <c r="C150" t="str" s="8">
        <v>雾黯岩</v>
      </c>
      <c r="D150" t="str" s="12">
        <v>精英</v>
      </c>
      <c r="E150" t="n" s="12">
        <v>2</v>
      </c>
      <c r="F150" t="str" s="18">
        <v>魔化雾台灵蝠·异种</v>
      </c>
      <c r="G150" t="str" s="17">
        <v>区域随机</v>
      </c>
      <c r="H150" t="n" s="12">
        <v>60582160</v>
      </c>
      <c r="I150" t="n" s="12">
        <v>1</v>
      </c>
      <c r="J150" s="17"/>
      <c r="K150" s="17"/>
      <c r="L150"/>
      <c r="M150" s="17"/>
      <c r="N150"/>
      <c r="O150" s="17"/>
      <c r="P150"/>
      <c r="Q150" s="17"/>
      <c r="R150"/>
      <c r="S150" s="17"/>
      <c r="T150"/>
      <c r="U150" s="17"/>
      <c r="V150"/>
      <c r="W150" s="17"/>
      <c r="X150"/>
      <c r="Y150" s="17"/>
      <c r="Z150"/>
      <c r="AA150" s="17"/>
      <c r="AB150" t="n">
        <v>0</v>
      </c>
    </row>
    <row r="151" spans="2:9">
      <c r="A151" s="8"/>
      <c r="B151" t="n" s="12">
        <f>1000000+INDEX(编号表!$B:$B,MATCH(C151,编号表!$A:$A,0))*1000+INDEX(编号表!$D:$D,MATCH(D151,编号表!$C:$C,0))*100+E151</f>
        <v>1058001</v>
      </c>
      <c r="C151" t="str" s="8">
        <v>雾黯岩</v>
      </c>
      <c r="D151" t="str" s="12">
        <v>boss</v>
      </c>
      <c r="E151" t="n" s="12">
        <v>1</v>
      </c>
      <c r="F151" t="str" s="18">
        <v>魔化悬岩灵狼·首领</v>
      </c>
      <c r="G151" t="str" s="17">
        <v>区域随机</v>
      </c>
      <c r="H151" t="n" s="12">
        <v>60584161</v>
      </c>
      <c r="I151" t="n" s="12">
        <v>1</v>
      </c>
      <c r="J151" s="17"/>
      <c r="K151" s="17"/>
      <c r="L151"/>
      <c r="M151" s="17"/>
      <c r="N151"/>
      <c r="O151" s="17"/>
      <c r="P151"/>
      <c r="Q151" s="17"/>
      <c r="R151"/>
      <c r="S151" s="17"/>
      <c r="T151"/>
      <c r="U151" s="17"/>
      <c r="V151"/>
      <c r="W151" s="17"/>
      <c r="X151"/>
      <c r="Y151" s="17"/>
      <c r="Z151"/>
      <c r="AA151" s="17"/>
      <c r="AB151" t="n">
        <v>0</v>
      </c>
    </row>
    <row r="152" spans="2:9">
      <c r="A152" s="8"/>
      <c r="B152" t="n" s="12">
        <f>1000000+INDEX(编号表!$B:$B,MATCH(C152,编号表!$A:$A,0))*1000+INDEX(编号表!$D:$D,MATCH(D152,编号表!$C:$C,0))*100+E152</f>
        <v>1064001</v>
      </c>
      <c r="C152" t="str" s="8">
        <v>雪檐古兽</v>
      </c>
      <c r="D152" t="str" s="12">
        <v>boss</v>
      </c>
      <c r="E152" t="n" s="12">
        <v>1</v>
      </c>
      <c r="F152" t="str" s="18">
        <v>霰坡岩蟹</v>
      </c>
      <c r="G152" t="str" s="17">
        <v>区域随机</v>
      </c>
      <c r="H152" t="n" s="12">
        <v>60641162</v>
      </c>
      <c r="I152" t="n" s="12">
        <v>2</v>
      </c>
      <c r="J152" s="17"/>
      <c r="K152" s="17"/>
      <c r="L152"/>
      <c r="M152" s="17"/>
      <c r="N152"/>
      <c r="O152" s="17"/>
      <c r="P152"/>
      <c r="Q152" s="17"/>
      <c r="R152"/>
      <c r="S152" s="17"/>
      <c r="T152"/>
      <c r="U152" s="17"/>
      <c r="V152"/>
      <c r="W152" s="17"/>
      <c r="X152"/>
      <c r="Y152" s="17"/>
      <c r="Z152"/>
      <c r="AA152" s="17"/>
      <c r="AB152" t="n">
        <v>0</v>
      </c>
    </row>
    <row r="153" spans="2:27">
      <c r="A153" s="8"/>
      <c r="B153" t="n" s="12">
        <f>1000000+INDEX(编号表!$B:$B,MATCH(C153,编号表!$A:$A,0))*1000+INDEX(编号表!$D:$D,MATCH(D153,编号表!$C:$C,0))*100+E153</f>
        <v>1064304</v>
      </c>
      <c r="C153" t="str" s="8">
        <v>雪檐古兽</v>
      </c>
      <c r="D153" t="str" s="12">
        <v>小怪1</v>
      </c>
      <c r="E153" t="n" s="12">
        <v>4</v>
      </c>
      <c r="F153" t="str" s="18">
        <v>凇痕灵蝠·首领</v>
      </c>
      <c r="G153" t="str" s="17">
        <v>区域随机</v>
      </c>
      <c r="H153" t="n" s="12">
        <v>60644163</v>
      </c>
      <c r="I153" t="n" s="12">
        <v>1</v>
      </c>
      <c r="J153" s="17"/>
      <c r="K153" s="17"/>
      <c r="L153"/>
      <c r="M153" s="17"/>
      <c r="N153"/>
      <c r="O153" s="17"/>
      <c r="P153"/>
      <c r="Q153" s="17"/>
      <c r="R153"/>
      <c r="S153" s="17"/>
      <c r="T153"/>
      <c r="U153" s="17"/>
      <c r="V153"/>
      <c r="W153" s="17"/>
      <c r="X153"/>
      <c r="Y153" s="17"/>
      <c r="Z153"/>
      <c r="AA153" s="17"/>
      <c r="AB153" t="n">
        <v>0</v>
      </c>
    </row>
    <row r="154" ht="14.4" spans="2:27">
      <c r="A154" s="8"/>
      <c r="B154" t="n" s="12">
        <f>1000000+INDEX(编号表!$B:$B,MATCH(C154,编号表!$A:$A,0))*1000+INDEX(编号表!$D:$D,MATCH(D154,编号表!$C:$C,0))*100+E154</f>
        <v>1064103</v>
      </c>
      <c r="C154" t="str" s="8">
        <v>雪檐古兽</v>
      </c>
      <c r="D154" t="str" s="12">
        <v>精英</v>
      </c>
      <c r="E154" t="n" s="12">
        <v>3</v>
      </c>
      <c r="F154" t="str" s="18">
        <v>雪脊灵狼·异种</v>
      </c>
      <c r="G154" t="str" s="17">
        <v>区域随机</v>
      </c>
      <c r="H154" t="n" s="12">
        <v>60642164</v>
      </c>
      <c r="I154" t="n" s="12">
        <v>1</v>
      </c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 t="n">
        <v>0</v>
      </c>
    </row>
    <row r="155" spans="2:27">
      <c r="A155" s="8"/>
      <c r="B155" t="n" s="12">
        <f>1000000+INDEX(编号表!$B:$B,MATCH(C155,编号表!$A:$A,0))*1000+INDEX(编号表!$D:$D,MATCH(D155,编号表!$C:$C,0))*100+E155</f>
        <v>1064504</v>
      </c>
      <c r="C155" t="str" s="8">
        <v>雪檐古兽</v>
      </c>
      <c r="D155" t="str" s="12">
        <v>小怪3</v>
      </c>
      <c r="E155" t="n" s="12">
        <v>4</v>
      </c>
      <c r="F155" t="str" s="18">
        <v>融沟灵蛇</v>
      </c>
      <c r="G155" t="str" s="17">
        <v>区域随机</v>
      </c>
      <c r="H155" t="n" s="12">
        <v>60641165</v>
      </c>
      <c r="I155" t="n" s="12">
        <v>2</v>
      </c>
      <c r="J155" s="17"/>
      <c r="K155" s="17"/>
      <c r="L155"/>
      <c r="M155" s="17"/>
      <c r="N155"/>
      <c r="O155" s="17"/>
      <c r="P155"/>
      <c r="Q155" s="17"/>
      <c r="R155"/>
      <c r="S155" s="17"/>
      <c r="T155"/>
      <c r="U155" s="17"/>
      <c r="V155"/>
      <c r="W155" s="17"/>
      <c r="X155"/>
      <c r="Y155" s="17"/>
      <c r="Z155"/>
      <c r="AA155" s="17"/>
      <c r="AB155" t="n">
        <v>0</v>
      </c>
    </row>
    <row r="156" spans="2:27">
      <c r="A156" s="8"/>
      <c r="B156" t="n" s="12">
        <f>1000000+INDEX(编号表!$B:$B,MATCH(C156,编号表!$A:$A,0))*1000+INDEX(编号表!$D:$D,MATCH(D156,编号表!$C:$C,0))*100+E156</f>
        <v>1064604</v>
      </c>
      <c r="C156" t="str" s="8">
        <v>雪檐古兽</v>
      </c>
      <c r="D156" t="str" s="12">
        <v>小怪4</v>
      </c>
      <c r="E156" t="n" s="12">
        <v>4</v>
      </c>
      <c r="F156" t="str" s="18">
        <v>霰坡岩蟹</v>
      </c>
      <c r="G156" t="str" s="17">
        <v>区域随机</v>
      </c>
      <c r="H156" t="n" s="12">
        <v>60641166</v>
      </c>
      <c r="I156" t="n" s="12">
        <v>2</v>
      </c>
      <c r="J156" s="17"/>
      <c r="K156" s="17"/>
      <c r="L156"/>
      <c r="M156" s="17"/>
      <c r="N156"/>
      <c r="O156" s="17"/>
      <c r="P156"/>
      <c r="Q156" s="17"/>
      <c r="R156"/>
      <c r="S156" s="17"/>
      <c r="T156"/>
      <c r="U156" s="17"/>
      <c r="V156"/>
      <c r="W156" s="17"/>
      <c r="X156"/>
      <c r="Y156" s="17"/>
      <c r="Z156"/>
      <c r="AA156" s="17"/>
      <c r="AB156" t="n">
        <v>0</v>
      </c>
    </row>
    <row r="157" spans="2:27">
      <c r="A157" s="8"/>
      <c r="B157" t="n" s="12">
        <f>1000000+INDEX(编号表!$B:$B,MATCH(C157,编号表!$A:$A,0))*1000+INDEX(编号表!$D:$D,MATCH(D157,编号表!$C:$C,0))*100+E157</f>
        <v>1065103</v>
      </c>
      <c r="C157" t="str" s="8">
        <v>霰砾坡</v>
      </c>
      <c r="D157" t="str" s="12">
        <v>精英</v>
      </c>
      <c r="E157" t="n" s="12">
        <v>3</v>
      </c>
      <c r="F157" t="str" s="18">
        <v>凇痕灵蝠·异种</v>
      </c>
      <c r="G157" t="str" s="17">
        <v>区域随机</v>
      </c>
      <c r="H157" t="n" s="12">
        <v>60652167</v>
      </c>
      <c r="I157" t="n" s="12">
        <v>1</v>
      </c>
      <c r="J157" s="17"/>
      <c r="K157" s="17"/>
      <c r="L157"/>
      <c r="M157" s="17"/>
      <c r="N157"/>
      <c r="O157" s="17"/>
      <c r="P157"/>
      <c r="Q157" s="17"/>
      <c r="R157"/>
      <c r="S157" s="17"/>
      <c r="T157"/>
      <c r="U157" s="17"/>
      <c r="V157"/>
      <c r="W157" s="17"/>
      <c r="X157"/>
      <c r="Y157" s="17"/>
      <c r="Z157"/>
      <c r="AA157" s="17"/>
      <c r="AB157" t="n">
        <v>0</v>
      </c>
    </row>
    <row r="158" spans="2:27">
      <c r="A158" s="8"/>
      <c r="B158" t="n" s="12">
        <f>1000000+INDEX(编号表!$B:$B,MATCH(C158,编号表!$A:$A,0))*1000+INDEX(编号表!$D:$D,MATCH(D158,编号表!$C:$C,0))*100+E158</f>
        <v>1065303</v>
      </c>
      <c r="C158" t="str" s="8">
        <v>霰砾坡</v>
      </c>
      <c r="D158" t="str" s="12">
        <v>小怪1</v>
      </c>
      <c r="E158" t="n" s="12">
        <v>3</v>
      </c>
      <c r="F158" t="str" s="18">
        <v>雪脊灵狼</v>
      </c>
      <c r="G158" t="str" s="17">
        <v>区域随机</v>
      </c>
      <c r="H158" t="n" s="12">
        <v>60651168</v>
      </c>
      <c r="I158" t="n" s="12">
        <v>2</v>
      </c>
      <c r="J158" s="17"/>
      <c r="K158" s="17"/>
      <c r="L158"/>
      <c r="M158" s="17"/>
      <c r="N158"/>
      <c r="O158" s="17"/>
      <c r="P158"/>
      <c r="Q158" s="17"/>
      <c r="R158"/>
      <c r="S158" s="17"/>
      <c r="T158"/>
      <c r="U158" s="17"/>
      <c r="V158"/>
      <c r="W158" s="17"/>
      <c r="X158"/>
      <c r="Y158" s="17"/>
      <c r="Z158"/>
      <c r="AA158" s="17"/>
      <c r="AB158" t="n">
        <v>0</v>
      </c>
    </row>
    <row r="159" spans="2:27">
      <c r="A159" s="8"/>
      <c r="B159" t="n" s="12">
        <f>1000000+INDEX(编号表!$B:$B,MATCH(C159,编号表!$A:$A,0))*1000+INDEX(编号表!$D:$D,MATCH(D159,编号表!$C:$C,0))*100+E159</f>
        <v>1065404</v>
      </c>
      <c r="C159" t="str" s="8">
        <v>霰砾坡</v>
      </c>
      <c r="D159" t="str" s="12">
        <v>小怪2</v>
      </c>
      <c r="E159" t="n" s="12">
        <v>4</v>
      </c>
      <c r="F159" t="str" s="18">
        <v>融沟灵蛇</v>
      </c>
      <c r="G159" t="str" s="17">
        <v>区域随机</v>
      </c>
      <c r="H159" t="n" s="12">
        <v>60651169</v>
      </c>
      <c r="I159" t="n" s="12">
        <v>2</v>
      </c>
      <c r="J159" s="17"/>
      <c r="K159" s="17"/>
      <c r="L159"/>
      <c r="M159" s="17"/>
      <c r="N159"/>
      <c r="O159" s="17"/>
      <c r="P159"/>
      <c r="Q159" s="17"/>
      <c r="R159"/>
      <c r="S159" s="17"/>
      <c r="T159"/>
      <c r="U159" s="17"/>
      <c r="V159"/>
      <c r="W159" s="17"/>
      <c r="X159"/>
      <c r="Y159" s="17"/>
      <c r="Z159"/>
      <c r="AA159" s="17"/>
      <c r="AB159" t="n">
        <v>0</v>
      </c>
    </row>
    <row r="160" spans="2:27">
      <c r="A160" s="8"/>
      <c r="B160" t="n" s="12">
        <f>1000000+INDEX(编号表!$B:$B,MATCH(C160,编号表!$A:$A,0))*1000+INDEX(编号表!$D:$D,MATCH(D160,编号表!$C:$C,0))*100+E160</f>
        <v>1065504</v>
      </c>
      <c r="C160" t="str" s="8">
        <v>霰砾坡</v>
      </c>
      <c r="D160" t="str" s="12">
        <v>小怪3</v>
      </c>
      <c r="E160" t="n" s="12">
        <v>4</v>
      </c>
      <c r="F160" t="str" s="18">
        <v>霰坡岩蟹</v>
      </c>
      <c r="G160" t="str" s="17">
        <v>区域随机</v>
      </c>
      <c r="H160" t="n" s="12">
        <v>60651170</v>
      </c>
      <c r="I160" t="n" s="12">
        <v>2</v>
      </c>
      <c r="J160" s="17"/>
      <c r="K160" s="17"/>
      <c r="L160"/>
      <c r="M160" s="17"/>
      <c r="N160"/>
      <c r="O160" s="17"/>
      <c r="P160"/>
      <c r="Q160" s="17"/>
      <c r="R160"/>
      <c r="S160" s="17"/>
      <c r="T160"/>
      <c r="U160" s="17"/>
      <c r="V160"/>
      <c r="W160" s="17"/>
      <c r="X160"/>
      <c r="Y160" s="17"/>
      <c r="Z160"/>
      <c r="AA160" s="17"/>
      <c r="AB160" t="n">
        <v>0</v>
      </c>
    </row>
    <row r="161" spans="2:27">
      <c r="A161" s="8"/>
      <c r="B161" t="n" s="12">
        <f>1000000+INDEX(编号表!$B:$B,MATCH(C161,编号表!$A:$A,0))*1000+INDEX(编号表!$D:$D,MATCH(D161,编号表!$C:$C,0))*100+E161</f>
        <v>1065604</v>
      </c>
      <c r="C161" t="str" s="8">
        <v>霰砾坡</v>
      </c>
      <c r="D161" t="str" s="12">
        <v>小怪4</v>
      </c>
      <c r="E161" t="n" s="12">
        <v>4</v>
      </c>
      <c r="F161" t="str" s="18">
        <v>凇痕灵蝠</v>
      </c>
      <c r="G161" t="str" s="17">
        <v>区域随机</v>
      </c>
      <c r="H161" t="n" s="12">
        <v>60651171</v>
      </c>
      <c r="I161" t="n" s="12">
        <v>2</v>
      </c>
      <c r="J161" s="17"/>
      <c r="K161" s="17"/>
      <c r="L161"/>
      <c r="M161" s="17"/>
      <c r="N161"/>
      <c r="O161" s="17"/>
      <c r="P161"/>
      <c r="Q161" s="17"/>
      <c r="R161"/>
      <c r="S161" s="17"/>
      <c r="T161"/>
      <c r="U161" s="17"/>
      <c r="V161"/>
      <c r="W161" s="17"/>
      <c r="X161"/>
      <c r="Y161" s="17"/>
      <c r="Z161"/>
      <c r="AA161" s="17"/>
      <c r="AB161" t="n">
        <v>0</v>
      </c>
    </row>
    <row r="162" spans="2:27">
      <c r="A162" s="8"/>
      <c r="B162" t="n" s="12">
        <f>1000000+INDEX(编号表!$B:$B,MATCH(C162,编号表!$A:$A,0))*1000+INDEX(编号表!$D:$D,MATCH(D162,编号表!$C:$C,0))*100+E162</f>
        <v>1061103</v>
      </c>
      <c r="C162" t="str" s="8">
        <v>融口初声</v>
      </c>
      <c r="D162" t="str" s="12">
        <v>精英</v>
      </c>
      <c r="E162" t="n" s="12">
        <v>3</v>
      </c>
      <c r="F162" t="str" s="18">
        <v>雪脊灵狼·首领</v>
      </c>
      <c r="G162" t="str" s="17">
        <v>区域随机</v>
      </c>
      <c r="H162" t="n" s="12">
        <v>60614172</v>
      </c>
      <c r="I162" t="n" s="12">
        <v>1</v>
      </c>
      <c r="J162" s="17"/>
      <c r="K162" s="17"/>
      <c r="L162"/>
      <c r="M162" s="17"/>
      <c r="N162"/>
      <c r="O162" s="17"/>
      <c r="P162"/>
      <c r="Q162" s="17"/>
      <c r="R162"/>
      <c r="S162" s="17"/>
      <c r="T162"/>
      <c r="U162" s="17"/>
      <c r="V162"/>
      <c r="W162" s="17"/>
      <c r="X162"/>
      <c r="Y162" s="17"/>
      <c r="Z162"/>
      <c r="AA162" s="17"/>
      <c r="AB162" t="n">
        <v>0</v>
      </c>
    </row>
    <row r="163" ht="14.4" spans="2:27">
      <c r="A163" s="8"/>
      <c r="B163" t="n" s="12">
        <f>1000000+INDEX(编号表!$B:$B,MATCH(C163,编号表!$A:$A,0))*1000+INDEX(编号表!$D:$D,MATCH(D163,编号表!$C:$C,0))*100+E163</f>
        <v>1061001</v>
      </c>
      <c r="C163" t="str" s="8">
        <v>融口初声</v>
      </c>
      <c r="D163" t="str" s="12">
        <v>boss</v>
      </c>
      <c r="E163" t="n" s="12">
        <v>1</v>
      </c>
      <c r="F163" t="str" s="18">
        <v>融沟灵蛇</v>
      </c>
      <c r="G163" t="str" s="17">
        <v>区域随机</v>
      </c>
      <c r="H163" t="n" s="12">
        <v>60611173</v>
      </c>
      <c r="I163" t="n" s="12">
        <v>2</v>
      </c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 t="n">
        <v>0</v>
      </c>
    </row>
    <row r="164" spans="2:27">
      <c r="A164" s="8"/>
      <c r="B164" t="n" s="12">
        <f>1000000+INDEX(编号表!$B:$B,MATCH(C164,编号表!$A:$A,0))*1000+INDEX(编号表!$D:$D,MATCH(D164,编号表!$C:$C,0))*100+E164</f>
        <v>1061404</v>
      </c>
      <c r="C164" t="str" s="8">
        <v>融口初声</v>
      </c>
      <c r="D164" t="str" s="12">
        <v>小怪2</v>
      </c>
      <c r="E164" t="n" s="12">
        <v>4</v>
      </c>
      <c r="F164" t="str" s="18">
        <v>霰坡岩蟹·异种</v>
      </c>
      <c r="G164" t="str" s="17">
        <v>区域随机</v>
      </c>
      <c r="H164" t="n" s="12">
        <v>60612174</v>
      </c>
      <c r="I164" t="n" s="12">
        <v>1</v>
      </c>
      <c r="J164" s="17"/>
      <c r="K164" s="17"/>
      <c r="L164"/>
      <c r="M164" s="17"/>
      <c r="N164"/>
      <c r="O164" s="17"/>
      <c r="P164"/>
      <c r="Q164" s="17"/>
      <c r="R164"/>
      <c r="S164" s="17"/>
      <c r="T164"/>
      <c r="U164" s="17"/>
      <c r="V164"/>
      <c r="W164" s="17"/>
      <c r="X164"/>
      <c r="Y164" s="17"/>
      <c r="Z164"/>
      <c r="AA164" s="17"/>
      <c r="AB164" t="n">
        <v>0</v>
      </c>
    </row>
    <row r="165" spans="2:27">
      <c r="A165" s="8"/>
      <c r="B165" t="n" s="12">
        <f>1000000+INDEX(编号表!$B:$B,MATCH(C165,编号表!$A:$A,0))*1000+INDEX(编号表!$D:$D,MATCH(D165,编号表!$C:$C,0))*100+E165</f>
        <v>1061504</v>
      </c>
      <c r="C165" t="str" s="8">
        <v>融口初声</v>
      </c>
      <c r="D165" t="str" s="12">
        <v>小怪3</v>
      </c>
      <c r="E165" t="n" s="12">
        <v>4</v>
      </c>
      <c r="F165" t="str" s="18">
        <v>凇痕灵蝠</v>
      </c>
      <c r="G165" t="str" s="17">
        <v>区域随机</v>
      </c>
      <c r="H165" t="n" s="12">
        <v>60611175</v>
      </c>
      <c r="I165" t="n" s="12">
        <v>2</v>
      </c>
      <c r="J165" s="17"/>
      <c r="K165" s="17"/>
      <c r="L165"/>
      <c r="M165" s="17"/>
      <c r="N165"/>
      <c r="O165" s="17"/>
      <c r="P165"/>
      <c r="Q165" s="17"/>
      <c r="R165"/>
      <c r="S165" s="17"/>
      <c r="T165"/>
      <c r="U165" s="17"/>
      <c r="V165"/>
      <c r="W165" s="17"/>
      <c r="X165"/>
      <c r="Y165" s="17"/>
      <c r="Z165"/>
      <c r="AA165" s="17"/>
      <c r="AB165" t="n">
        <v>0</v>
      </c>
    </row>
    <row r="166" spans="2:27">
      <c r="A166" s="8"/>
      <c r="B166" t="n" s="12">
        <f>1000000+INDEX(编号表!$B:$B,MATCH(C166,编号表!$A:$A,0))*1000+INDEX(编号表!$D:$D,MATCH(D166,编号表!$C:$C,0))*100+E166</f>
        <v>1062101</v>
      </c>
      <c r="C166" t="str" s="8">
        <v>凇覆苔痕</v>
      </c>
      <c r="D166" t="str" s="12">
        <v>精英</v>
      </c>
      <c r="E166" t="n" s="12">
        <v>1</v>
      </c>
      <c r="F166" t="str" s="18">
        <v>雪脊灵狼</v>
      </c>
      <c r="G166" t="str" s="17">
        <v>区域随机</v>
      </c>
      <c r="H166" t="n" s="12">
        <v>60621176</v>
      </c>
      <c r="I166" t="n" s="12">
        <v>2</v>
      </c>
      <c r="J166" s="17"/>
      <c r="K166" s="17"/>
      <c r="L166"/>
      <c r="M166" s="17"/>
      <c r="N166"/>
      <c r="O166" s="17"/>
      <c r="P166"/>
      <c r="Q166" s="17"/>
      <c r="R166"/>
      <c r="S166" s="17"/>
      <c r="T166"/>
      <c r="U166" s="17"/>
      <c r="V166"/>
      <c r="W166" s="17"/>
      <c r="X166"/>
      <c r="Y166" s="17"/>
      <c r="Z166"/>
      <c r="AA166" s="17"/>
      <c r="AB166" t="n">
        <v>0</v>
      </c>
    </row>
    <row r="167" spans="2:27">
      <c r="A167" s="8"/>
      <c r="B167" t="n" s="12">
        <f>1000000+INDEX(编号表!$B:$B,MATCH(C167,编号表!$A:$A,0))*1000+INDEX(编号表!$D:$D,MATCH(D167,编号表!$C:$C,0))*100+E167</f>
        <v>1062304</v>
      </c>
      <c r="C167" t="str" s="8">
        <v>凇覆苔痕</v>
      </c>
      <c r="D167" t="str" s="12">
        <v>小怪1</v>
      </c>
      <c r="E167" t="n" s="12">
        <v>4</v>
      </c>
      <c r="F167" t="str" s="18">
        <v>融沟灵蛇·异种</v>
      </c>
      <c r="G167" t="str" s="17">
        <v>区域随机</v>
      </c>
      <c r="H167" t="n" s="12">
        <v>60622177</v>
      </c>
      <c r="I167" t="n" s="12">
        <v>1</v>
      </c>
      <c r="J167" s="17"/>
      <c r="K167" s="17"/>
      <c r="L167"/>
      <c r="M167" s="17"/>
      <c r="N167"/>
      <c r="O167" s="17"/>
      <c r="P167"/>
      <c r="Q167" s="17"/>
      <c r="R167"/>
      <c r="S167" s="17"/>
      <c r="T167"/>
      <c r="U167" s="17"/>
      <c r="V167"/>
      <c r="W167" s="17"/>
      <c r="X167"/>
      <c r="Y167" s="17"/>
      <c r="Z167"/>
      <c r="AA167" s="17"/>
      <c r="AB167" t="n">
        <v>0</v>
      </c>
    </row>
    <row r="168" spans="2:27">
      <c r="A168" s="8"/>
      <c r="B168" t="n" s="12">
        <f>1000000+INDEX(编号表!$B:$B,MATCH(C168,编号表!$A:$A,0))*1000+INDEX(编号表!$D:$D,MATCH(D168,编号表!$C:$C,0))*100+E168</f>
        <v>1062404</v>
      </c>
      <c r="C168" t="str" s="8">
        <v>凇覆苔痕</v>
      </c>
      <c r="D168" t="str" s="12">
        <v>小怪2</v>
      </c>
      <c r="E168" t="n" s="12">
        <v>4</v>
      </c>
      <c r="F168" t="str" s="18">
        <v>霰坡岩蟹</v>
      </c>
      <c r="G168" t="str" s="17">
        <v>区域随机</v>
      </c>
      <c r="H168" t="n" s="12">
        <v>60621178</v>
      </c>
      <c r="I168" t="n" s="12">
        <v>2</v>
      </c>
      <c r="J168" s="17"/>
      <c r="K168" s="17"/>
      <c r="L168"/>
      <c r="M168" s="17"/>
      <c r="N168"/>
      <c r="O168" s="17"/>
      <c r="P168"/>
      <c r="Q168" s="17"/>
      <c r="R168"/>
      <c r="S168" s="17"/>
      <c r="T168"/>
      <c r="U168" s="17"/>
      <c r="V168"/>
      <c r="W168" s="17"/>
      <c r="X168"/>
      <c r="Y168" s="17"/>
      <c r="Z168"/>
      <c r="AA168" s="17"/>
      <c r="AB168" t="n">
        <v>0</v>
      </c>
    </row>
    <row r="169" spans="1:9">
      <c r="A169" s="8"/>
      <c r="B169" t="n" s="12">
        <f>1000000+INDEX(编号表!$B:$B,MATCH(C169,编号表!$A:$A,0))*1000+INDEX(编号表!$D:$D,MATCH(D169,编号表!$C:$C,0))*100+E169</f>
        <v>1062504</v>
      </c>
      <c r="C169" t="str" s="8">
        <v>凇覆苔痕</v>
      </c>
      <c r="D169" t="str" s="12">
        <v>小怪3</v>
      </c>
      <c r="E169" t="n" s="12">
        <v>4</v>
      </c>
      <c r="F169" t="str" s="18">
        <v>凇痕灵蝠</v>
      </c>
      <c r="G169" t="str" s="17">
        <v>区域随机</v>
      </c>
      <c r="H169" t="n" s="12">
        <v>60621179</v>
      </c>
      <c r="I169" t="n" s="12">
        <v>2</v>
      </c>
      <c r="J169" s="17"/>
      <c r="K169" s="17"/>
      <c r="L169"/>
      <c r="M169" s="17"/>
      <c r="N169"/>
      <c r="O169" s="17"/>
      <c r="P169"/>
      <c r="Q169" s="17"/>
      <c r="R169"/>
      <c r="S169" s="17"/>
      <c r="T169"/>
      <c r="U169" s="17"/>
      <c r="V169"/>
      <c r="W169" s="17"/>
      <c r="X169"/>
      <c r="Y169" s="17"/>
      <c r="Z169"/>
      <c r="AA169" s="17"/>
      <c r="AB169" t="n">
        <v>0</v>
      </c>
    </row>
    <row r="170" spans="1:9">
      <c r="A170" s="8"/>
      <c r="B170" t="n" s="12">
        <f>1000000+INDEX(编号表!$B:$B,MATCH(C170,编号表!$A:$A,0))*1000+INDEX(编号表!$D:$D,MATCH(D170,编号表!$C:$C,0))*100+E170</f>
        <v>1062604</v>
      </c>
      <c r="C170" t="str" s="8">
        <v>凇覆苔痕</v>
      </c>
      <c r="D170" t="str" s="12">
        <v>小怪4</v>
      </c>
      <c r="E170" t="n" s="12">
        <v>4</v>
      </c>
      <c r="F170" t="str" s="18">
        <v>雪脊灵狼</v>
      </c>
      <c r="G170" t="str" s="17">
        <v>区域随机</v>
      </c>
      <c r="H170" t="n" s="12">
        <v>60621180</v>
      </c>
      <c r="I170" t="n" s="12">
        <v>2</v>
      </c>
      <c r="J170" s="17"/>
      <c r="K170" s="17"/>
      <c r="L170"/>
      <c r="M170" s="17"/>
      <c r="N170"/>
      <c r="O170" s="17"/>
      <c r="P170"/>
      <c r="Q170" s="17"/>
      <c r="R170"/>
      <c r="S170" s="17"/>
      <c r="T170"/>
      <c r="U170" s="17"/>
      <c r="V170"/>
      <c r="W170" s="17"/>
      <c r="X170"/>
      <c r="Y170" s="17"/>
      <c r="Z170"/>
      <c r="AA170" s="17"/>
      <c r="AB170" t="n">
        <v>0</v>
      </c>
    </row>
    <row r="171" spans="1:9">
      <c r="A171" s="8"/>
      <c r="B171" t="n" s="12">
        <f>1000000+INDEX(编号表!$B:$B,MATCH(C171,编号表!$A:$A,0))*1000+INDEX(编号表!$D:$D,MATCH(D171,编号表!$C:$C,0))*100+E171</f>
        <v>1059103</v>
      </c>
      <c r="C171" t="str" s="8">
        <v>寒水迟芽</v>
      </c>
      <c r="D171" t="str" s="12">
        <v>精英</v>
      </c>
      <c r="E171" t="n" s="12">
        <v>3</v>
      </c>
      <c r="F171" t="str" s="18">
        <v>融沟灵蛇</v>
      </c>
      <c r="G171" t="str" s="17">
        <v>区域随机</v>
      </c>
      <c r="H171" t="n" s="12">
        <v>60591181</v>
      </c>
      <c r="I171" t="n" s="12">
        <v>2</v>
      </c>
      <c r="J171" s="17"/>
      <c r="K171" s="17"/>
      <c r="L171"/>
      <c r="M171" s="17"/>
      <c r="N171"/>
      <c r="O171" s="17"/>
      <c r="P171"/>
      <c r="Q171" s="17"/>
      <c r="R171"/>
      <c r="S171" s="17"/>
      <c r="T171"/>
      <c r="U171" s="17"/>
      <c r="V171"/>
      <c r="W171" s="17"/>
      <c r="X171"/>
      <c r="Y171" s="17"/>
      <c r="Z171"/>
      <c r="AA171" s="17"/>
      <c r="AB171" t="n">
        <v>0</v>
      </c>
    </row>
    <row r="172" spans="1:9">
      <c r="A172" s="8"/>
      <c r="B172" t="n" s="12">
        <f>1000000+INDEX(编号表!$B:$B,MATCH(C172,编号表!$A:$A,0))*1000+INDEX(编号表!$D:$D,MATCH(D172,编号表!$C:$C,0))*100+E172</f>
        <v>1059304</v>
      </c>
      <c r="C172" t="str" s="8">
        <v>寒水迟芽</v>
      </c>
      <c r="D172" t="str" s="12">
        <v>小怪1</v>
      </c>
      <c r="E172" t="n" s="12">
        <v>4</v>
      </c>
      <c r="F172" t="str" s="18">
        <v>霰坡岩蟹</v>
      </c>
      <c r="G172" t="str" s="17">
        <v>区域随机</v>
      </c>
      <c r="H172" t="n" s="12">
        <v>60591182</v>
      </c>
      <c r="I172" t="n" s="12">
        <v>2</v>
      </c>
      <c r="J172" s="17"/>
      <c r="K172" s="17"/>
      <c r="L172"/>
      <c r="M172" s="17"/>
      <c r="N172"/>
      <c r="O172" s="17"/>
      <c r="P172"/>
      <c r="Q172" s="17"/>
      <c r="R172"/>
      <c r="S172" s="17"/>
      <c r="T172"/>
      <c r="U172" s="17"/>
      <c r="V172"/>
      <c r="W172" s="17"/>
      <c r="X172"/>
      <c r="Y172" s="17"/>
      <c r="Z172"/>
      <c r="AA172" s="17"/>
      <c r="AB172" t="n">
        <v>0</v>
      </c>
    </row>
    <row r="173" spans="1:9">
      <c r="A173" s="8"/>
      <c r="B173" t="n" s="12">
        <f>1000000+INDEX(编号表!$B:$B,MATCH(C173,编号表!$A:$A,0))*1000+INDEX(编号表!$D:$D,MATCH(D173,编号表!$C:$C,0))*100+E173</f>
        <v>1059404</v>
      </c>
      <c r="C173" t="str" s="8">
        <v>寒水迟芽</v>
      </c>
      <c r="D173" t="str" s="12">
        <v>小怪2</v>
      </c>
      <c r="E173" t="n" s="12">
        <v>4</v>
      </c>
      <c r="F173" t="str" s="18">
        <v>凇痕灵蝠·异种</v>
      </c>
      <c r="G173" t="str" s="17">
        <v>区域随机</v>
      </c>
      <c r="H173" t="n" s="12">
        <v>60592183</v>
      </c>
      <c r="I173" t="n" s="12">
        <v>1</v>
      </c>
      <c r="J173" s="17"/>
      <c r="K173" s="17"/>
      <c r="L173"/>
      <c r="M173" s="17"/>
      <c r="N173"/>
      <c r="O173" s="17"/>
      <c r="P173"/>
      <c r="Q173" s="17"/>
      <c r="R173"/>
      <c r="S173" s="17"/>
      <c r="T173"/>
      <c r="U173" s="17"/>
      <c r="V173"/>
      <c r="W173" s="17"/>
      <c r="X173"/>
      <c r="Y173" s="17"/>
      <c r="Z173"/>
      <c r="AA173" s="17"/>
      <c r="AB173" t="n">
        <v>0</v>
      </c>
    </row>
    <row r="174" spans="1:9">
      <c r="A174" s="8"/>
      <c r="B174" t="n" s="12">
        <f>1000000+INDEX(编号表!$B:$B,MATCH(C174,编号表!$A:$A,0))*1000+INDEX(编号表!$D:$D,MATCH(D174,编号表!$C:$C,0))*100+E174</f>
        <v>1059503</v>
      </c>
      <c r="C174" t="str" s="8">
        <v>寒水迟芽</v>
      </c>
      <c r="D174" t="str" s="12">
        <v>小怪3</v>
      </c>
      <c r="E174" t="n" s="12">
        <v>3</v>
      </c>
      <c r="F174" t="str" s="18">
        <v>雪脊灵狼</v>
      </c>
      <c r="G174" t="str" s="17">
        <v>区域随机</v>
      </c>
      <c r="H174" t="n" s="12">
        <v>60591184</v>
      </c>
      <c r="I174" t="n" s="12">
        <v>2</v>
      </c>
      <c r="J174" s="17"/>
      <c r="K174" s="17"/>
      <c r="L174"/>
      <c r="M174" s="17"/>
      <c r="N174"/>
      <c r="O174" s="17"/>
      <c r="P174"/>
      <c r="Q174" s="17"/>
      <c r="R174"/>
      <c r="S174" s="17"/>
      <c r="T174"/>
      <c r="U174" s="17"/>
      <c r="V174"/>
      <c r="W174" s="17"/>
      <c r="X174"/>
      <c r="Y174" s="17"/>
      <c r="Z174"/>
      <c r="AA174" s="17"/>
      <c r="AB174" t="n">
        <v>0</v>
      </c>
    </row>
    <row r="175" spans="1:9">
      <c r="A175" s="8"/>
      <c r="B175" t="n" s="12">
        <f>1000000+INDEX(编号表!$B:$B,MATCH(C175,编号表!$A:$A,0))*1000+INDEX(编号表!$D:$D,MATCH(D175,编号表!$C:$C,0))*100+E175</f>
        <v>1059604</v>
      </c>
      <c r="C175" t="str" s="8">
        <v>寒水迟芽</v>
      </c>
      <c r="D175" t="str" s="12">
        <v>小怪4</v>
      </c>
      <c r="E175" t="n" s="12">
        <v>4</v>
      </c>
      <c r="F175" t="str" s="18">
        <v>融沟灵蛇</v>
      </c>
      <c r="G175" t="str" s="17">
        <v>区域随机</v>
      </c>
      <c r="H175" t="n" s="12">
        <v>60591185</v>
      </c>
      <c r="I175" t="n" s="12">
        <v>2</v>
      </c>
      <c r="J175" s="17"/>
      <c r="K175" s="17"/>
      <c r="L175"/>
      <c r="M175" s="17"/>
      <c r="N175"/>
      <c r="O175" s="17"/>
      <c r="P175"/>
      <c r="Q175" s="17"/>
      <c r="R175"/>
      <c r="S175" s="17"/>
      <c r="T175"/>
      <c r="U175" s="17"/>
      <c r="V175"/>
      <c r="W175" s="17"/>
      <c r="X175"/>
      <c r="Y175" s="17"/>
      <c r="Z175"/>
      <c r="AA175" s="17"/>
      <c r="AB175" t="n">
        <v>0</v>
      </c>
    </row>
    <row r="176" spans="1:9">
      <c r="A176" s="8"/>
      <c r="B176" t="n" s="12">
        <f>1000000+INDEX(编号表!$B:$B,MATCH(C176,编号表!$A:$A,0))*1000+INDEX(编号表!$D:$D,MATCH(D176,编号表!$C:$C,0))*100+E176</f>
        <v>1060103</v>
      </c>
      <c r="C176" t="str" s="8">
        <v>鞍窍</v>
      </c>
      <c r="D176" t="str" s="12">
        <v>精英</v>
      </c>
      <c r="E176" t="n" s="12">
        <v>3</v>
      </c>
      <c r="F176" t="str" s="18">
        <v>霰坡岩蟹</v>
      </c>
      <c r="G176" t="str" s="17">
        <v>区域随机</v>
      </c>
      <c r="H176" t="n" s="12">
        <v>60601186</v>
      </c>
      <c r="I176" t="n" s="12">
        <v>2</v>
      </c>
      <c r="J176" s="17"/>
      <c r="K176" s="17"/>
      <c r="L176"/>
      <c r="M176" s="17"/>
      <c r="N176"/>
      <c r="O176" s="17"/>
      <c r="P176"/>
      <c r="Q176" s="17"/>
      <c r="R176"/>
      <c r="S176" s="17"/>
      <c r="T176"/>
      <c r="U176" s="17"/>
      <c r="V176"/>
      <c r="W176" s="17"/>
      <c r="X176"/>
      <c r="Y176" s="17"/>
      <c r="Z176"/>
      <c r="AA176" s="17"/>
      <c r="AB176" t="n">
        <v>0</v>
      </c>
    </row>
    <row r="177" spans="1:9">
      <c r="A177" s="8"/>
      <c r="B177" t="n" s="12">
        <f>1000000+INDEX(编号表!$B:$B,MATCH(C177,编号表!$A:$A,0))*1000+INDEX(编号表!$D:$D,MATCH(D177,编号表!$C:$C,0))*100+E177</f>
        <v>1060304</v>
      </c>
      <c r="C177" t="str" s="8">
        <v>鞍窍</v>
      </c>
      <c r="D177" t="str" s="12">
        <v>小怪1</v>
      </c>
      <c r="E177" t="n" s="12">
        <v>4</v>
      </c>
      <c r="F177" t="str" s="18">
        <v>凇痕灵蝠</v>
      </c>
      <c r="G177" t="str" s="17">
        <v>区域随机</v>
      </c>
      <c r="H177" t="n" s="12">
        <v>60601187</v>
      </c>
      <c r="I177" t="n" s="12">
        <v>2</v>
      </c>
      <c r="J177" s="17"/>
      <c r="K177" s="17"/>
      <c r="L177"/>
      <c r="M177" s="17"/>
      <c r="N177"/>
      <c r="O177" s="17"/>
      <c r="P177"/>
      <c r="Q177" s="17"/>
      <c r="R177"/>
      <c r="S177" s="17"/>
      <c r="T177"/>
      <c r="U177" s="17"/>
      <c r="V177"/>
      <c r="W177" s="17"/>
      <c r="X177"/>
      <c r="Y177" s="17"/>
      <c r="Z177"/>
      <c r="AA177" s="17"/>
      <c r="AB177" t="n">
        <v>0</v>
      </c>
    </row>
    <row r="178" spans="1:9">
      <c r="A178" s="8"/>
      <c r="B178" t="n" s="12">
        <f>1000000+INDEX(编号表!$B:$B,MATCH(C178,编号表!$A:$A,0))*1000+INDEX(编号表!$D:$D,MATCH(D178,编号表!$C:$C,0))*100+E178</f>
        <v>1060404</v>
      </c>
      <c r="C178" t="str" s="8">
        <v>鞍窍</v>
      </c>
      <c r="D178" t="str" s="12">
        <v>小怪2</v>
      </c>
      <c r="E178" t="n" s="12">
        <v>4</v>
      </c>
      <c r="F178" t="str" s="18">
        <v>雪脊灵狼·异种</v>
      </c>
      <c r="G178" t="str" s="17">
        <v>区域随机</v>
      </c>
      <c r="H178" t="n" s="12">
        <v>60602188</v>
      </c>
      <c r="I178" t="n" s="12">
        <v>1</v>
      </c>
      <c r="J178" s="17"/>
      <c r="K178" s="17"/>
      <c r="L178"/>
      <c r="M178" s="17"/>
      <c r="N178"/>
      <c r="O178" s="17"/>
      <c r="P178"/>
      <c r="Q178" s="17"/>
      <c r="R178"/>
      <c r="S178" s="17"/>
      <c r="T178"/>
      <c r="U178" s="17"/>
      <c r="V178"/>
      <c r="W178" s="17"/>
      <c r="X178"/>
      <c r="Y178" s="17"/>
      <c r="Z178"/>
      <c r="AA178" s="17"/>
      <c r="AB178" t="n">
        <v>0</v>
      </c>
    </row>
    <row r="179" spans="1:9">
      <c r="A179" s="8"/>
      <c r="B179" t="n" s="12">
        <f>1000000+INDEX(编号表!$B:$B,MATCH(C179,编号表!$A:$A,0))*1000+INDEX(编号表!$D:$D,MATCH(D179,编号表!$C:$C,0))*100+E179</f>
        <v>1060504</v>
      </c>
      <c r="C179" t="str" s="8">
        <v>鞍窍</v>
      </c>
      <c r="D179" t="str" s="12">
        <v>小怪3</v>
      </c>
      <c r="E179" t="n" s="12">
        <v>4</v>
      </c>
      <c r="F179" t="str" s="18">
        <v>融沟灵蛇</v>
      </c>
      <c r="G179" t="str" s="17">
        <v>区域随机</v>
      </c>
      <c r="H179" t="n" s="12">
        <v>60601189</v>
      </c>
      <c r="I179" t="n" s="12">
        <v>2</v>
      </c>
      <c r="J179" s="17"/>
      <c r="K179" s="17"/>
      <c r="L179"/>
      <c r="M179" s="17"/>
      <c r="N179"/>
      <c r="O179" s="17"/>
      <c r="P179"/>
      <c r="Q179" s="17"/>
      <c r="R179"/>
      <c r="S179" s="17"/>
      <c r="T179"/>
      <c r="U179" s="17"/>
      <c r="V179"/>
      <c r="W179" s="17"/>
      <c r="X179"/>
      <c r="Y179" s="17"/>
      <c r="Z179"/>
      <c r="AA179" s="17"/>
      <c r="AB179" t="n">
        <v>0</v>
      </c>
    </row>
    <row r="180" spans="1:9">
      <c r="A180" s="8"/>
      <c r="B180" t="n" s="12">
        <f>1000000+INDEX(编号表!$B:$B,MATCH(C180,编号表!$A:$A,0))*1000+INDEX(编号表!$D:$D,MATCH(D180,编号表!$C:$C,0))*100+E180</f>
        <v>1063103</v>
      </c>
      <c r="C180" t="str" s="8">
        <v>霁台</v>
      </c>
      <c r="D180" t="str" s="12">
        <v>精英</v>
      </c>
      <c r="E180" t="n" s="12">
        <v>3</v>
      </c>
      <c r="F180" t="str" s="18">
        <v>霰坡岩蟹</v>
      </c>
      <c r="G180" t="str" s="17">
        <v>区域随机</v>
      </c>
      <c r="H180" t="n" s="12">
        <v>60631190</v>
      </c>
      <c r="I180" t="n" s="12">
        <v>2</v>
      </c>
      <c r="J180" s="17"/>
      <c r="K180" s="17"/>
      <c r="L180"/>
      <c r="M180" s="17"/>
      <c r="N180"/>
      <c r="O180" s="17"/>
      <c r="P180"/>
      <c r="Q180" s="17"/>
      <c r="R180"/>
      <c r="S180" s="17"/>
      <c r="T180"/>
      <c r="U180" s="17"/>
      <c r="V180"/>
      <c r="W180" s="17"/>
      <c r="X180"/>
      <c r="Y180" s="17"/>
      <c r="Z180"/>
      <c r="AA180" s="17"/>
      <c r="AB180" t="n">
        <v>0</v>
      </c>
    </row>
    <row r="181" spans="1:9">
      <c r="A181" s="8"/>
      <c r="B181" t="n" s="12">
        <f>1000000+INDEX(编号表!$B:$B,MATCH(C181,编号表!$A:$A,0))*1000+INDEX(编号表!$D:$D,MATCH(D181,编号表!$C:$C,0))*100+E181</f>
        <v>1063304</v>
      </c>
      <c r="C181" t="str" s="8">
        <v>霁台</v>
      </c>
      <c r="D181" t="str" s="12">
        <v>小怪1</v>
      </c>
      <c r="E181" t="n" s="12">
        <v>4</v>
      </c>
      <c r="F181" t="str" s="18">
        <v>凇痕灵蝠·异种</v>
      </c>
      <c r="G181" t="str" s="17">
        <v>区域随机</v>
      </c>
      <c r="H181" t="n" s="12">
        <v>60632191</v>
      </c>
      <c r="I181" t="n" s="12">
        <v>1</v>
      </c>
      <c r="J181" s="17"/>
      <c r="K181" s="17"/>
      <c r="L181"/>
      <c r="M181" s="17"/>
      <c r="N181"/>
      <c r="O181" s="17"/>
      <c r="P181"/>
      <c r="Q181" s="17"/>
      <c r="R181"/>
      <c r="S181" s="17"/>
      <c r="T181"/>
      <c r="U181" s="17"/>
      <c r="V181"/>
      <c r="W181" s="17"/>
      <c r="X181"/>
      <c r="Y181" s="17"/>
      <c r="Z181"/>
      <c r="AA181" s="17"/>
      <c r="AB181" t="n">
        <v>0</v>
      </c>
    </row>
    <row r="182" spans="1:9">
      <c r="A182" s="8"/>
      <c r="B182" t="n" s="12">
        <f>1000000+INDEX(编号表!$B:$B,MATCH(C182,编号表!$A:$A,0))*1000+INDEX(编号表!$D:$D,MATCH(D182,编号表!$C:$C,0))*100+E182</f>
        <v>1063404</v>
      </c>
      <c r="C182" t="str" s="8">
        <v>霁台</v>
      </c>
      <c r="D182" t="str" s="12">
        <v>小怪2</v>
      </c>
      <c r="E182" t="n" s="12">
        <v>4</v>
      </c>
      <c r="F182" t="str" s="18">
        <v>雪脊灵狼</v>
      </c>
      <c r="G182" t="str" s="17">
        <v>区域随机</v>
      </c>
      <c r="H182" t="n" s="12">
        <v>60631192</v>
      </c>
      <c r="I182" t="n" s="12">
        <v>2</v>
      </c>
      <c r="J182" s="17"/>
      <c r="K182" s="17"/>
      <c r="L182"/>
      <c r="M182" s="17"/>
      <c r="N182"/>
      <c r="O182" s="17"/>
      <c r="P182"/>
      <c r="Q182" s="17"/>
      <c r="R182"/>
      <c r="S182" s="17"/>
      <c r="T182"/>
      <c r="U182" s="17"/>
      <c r="V182"/>
      <c r="W182" s="17"/>
      <c r="X182"/>
      <c r="Y182" s="17"/>
      <c r="Z182"/>
      <c r="AA182" s="17"/>
      <c r="AB182" t="n">
        <v>0</v>
      </c>
    </row>
    <row r="183" spans="1:9">
      <c r="A183" s="8"/>
      <c r="B183" t="n" s="12">
        <f>1000000+INDEX(编号表!$B:$B,MATCH(C183,编号表!$A:$A,0))*1000+INDEX(编号表!$D:$D,MATCH(D183,编号表!$C:$C,0))*100+E183</f>
        <v>1063504</v>
      </c>
      <c r="C183" t="str" s="8">
        <v>霁台</v>
      </c>
      <c r="D183" t="str" s="12">
        <v>小怪3</v>
      </c>
      <c r="E183" t="n" s="12">
        <v>4</v>
      </c>
      <c r="F183" t="str" s="18">
        <v>融沟灵蛇</v>
      </c>
      <c r="G183" t="str" s="17">
        <v>区域随机</v>
      </c>
      <c r="H183" t="n" s="12">
        <v>60631193</v>
      </c>
      <c r="I183" t="n" s="12">
        <v>2</v>
      </c>
      <c r="J183" s="17"/>
      <c r="K183" s="17"/>
      <c r="L183"/>
      <c r="M183" s="17"/>
      <c r="N183"/>
      <c r="O183" s="17"/>
      <c r="P183"/>
      <c r="Q183" s="17"/>
      <c r="R183"/>
      <c r="S183" s="17"/>
      <c r="T183"/>
      <c r="U183" s="17"/>
      <c r="V183"/>
      <c r="W183" s="17"/>
      <c r="X183"/>
      <c r="Y183" s="17"/>
      <c r="Z183"/>
      <c r="AA183" s="17"/>
      <c r="AB183" t="n">
        <v>0</v>
      </c>
    </row>
    <row r="184" spans="1:9">
      <c r="A184" s="8"/>
      <c r="B184" t="n" s="12">
        <v>1066304</v>
      </c>
      <c r="C184" t="str" s="8">
        <v>凛冽坡</v>
      </c>
      <c r="D184" t="str" s="12">
        <v>小怪1</v>
      </c>
      <c r="E184" t="n" s="12">
        <v>4</v>
      </c>
      <c r="F184" t="str" s="18">
        <v>裸岩灵蛇</v>
      </c>
      <c r="G184" t="str" s="17">
        <v>区域随机</v>
      </c>
      <c r="H184" t="n" s="12">
        <v>60661194</v>
      </c>
      <c r="I184" t="n" s="12">
        <v>2</v>
      </c>
      <c r="J184" s="17"/>
      <c r="K184" s="17"/>
      <c r="L184"/>
      <c r="M184" s="17"/>
      <c r="N184"/>
      <c r="O184" s="17"/>
      <c r="P184"/>
      <c r="Q184" s="17"/>
      <c r="R184"/>
      <c r="S184" s="17"/>
      <c r="T184"/>
      <c r="U184" s="17"/>
      <c r="V184"/>
      <c r="W184" s="17"/>
      <c r="X184"/>
      <c r="Y184" s="17"/>
      <c r="Z184"/>
      <c r="AA184" s="17"/>
      <c r="AB184" t="n">
        <v>0</v>
      </c>
    </row>
    <row r="185" spans="2:9">
      <c r="A185" s="8"/>
      <c r="B185" t="n" s="12">
        <v>1066404</v>
      </c>
      <c r="C185" t="str" s="8">
        <v>凛冽坡</v>
      </c>
      <c r="D185" t="str" s="12">
        <v>小怪2</v>
      </c>
      <c r="E185" t="n" s="12">
        <v>4</v>
      </c>
      <c r="F185" t="str" s="18">
        <v>回光岩蟹</v>
      </c>
      <c r="G185" t="str" s="17">
        <v>区域随机</v>
      </c>
      <c r="H185" t="n" s="12">
        <v>60661195</v>
      </c>
      <c r="I185" t="n" s="12">
        <v>2</v>
      </c>
      <c r="J185" s="17"/>
      <c r="K185" s="17"/>
      <c r="L185"/>
      <c r="M185" s="17"/>
      <c r="N185"/>
      <c r="O185" s="17"/>
      <c r="P185"/>
      <c r="Q185" s="17"/>
      <c r="R185"/>
      <c r="S185" s="17"/>
      <c r="T185"/>
      <c r="U185" s="17"/>
      <c r="V185"/>
      <c r="W185" s="17"/>
      <c r="X185"/>
      <c r="Y185" s="17"/>
      <c r="Z185"/>
      <c r="AA185" s="17"/>
      <c r="AB185" t="n">
        <v>0</v>
      </c>
    </row>
    <row r="186" spans="2:9">
      <c r="A186" s="8"/>
      <c r="B186" t="n" s="12">
        <v>1066504</v>
      </c>
      <c r="C186" t="str" s="8">
        <v>凛冽坡</v>
      </c>
      <c r="D186" t="str" s="12">
        <v>小怪3</v>
      </c>
      <c r="E186" t="n" s="12">
        <v>4</v>
      </c>
      <c r="F186" t="str" s="18">
        <v>高风灵蝠</v>
      </c>
      <c r="G186" t="str" s="17">
        <v>区域随机</v>
      </c>
      <c r="H186" t="n" s="12">
        <v>60661196</v>
      </c>
      <c r="I186" t="n" s="12">
        <v>2</v>
      </c>
      <c r="J186" s="17"/>
      <c r="K186" s="17"/>
      <c r="L186"/>
      <c r="M186" s="17"/>
      <c r="N186"/>
      <c r="O186" s="17"/>
      <c r="P186"/>
      <c r="Q186" s="17"/>
      <c r="R186"/>
      <c r="S186" s="17"/>
      <c r="T186"/>
      <c r="U186" s="17"/>
      <c r="V186"/>
      <c r="W186" s="17"/>
      <c r="X186"/>
      <c r="Y186" s="17"/>
      <c r="Z186"/>
      <c r="AA186" s="17"/>
      <c r="AB186" t="n">
        <v>0</v>
      </c>
    </row>
    <row r="187" spans="2:9">
      <c r="A187" s="8"/>
      <c r="B187" t="n" s="12">
        <v>1066103</v>
      </c>
      <c r="C187" t="str" s="8">
        <v>凛冽坡</v>
      </c>
      <c r="D187" t="str" s="12">
        <v>精英</v>
      </c>
      <c r="E187" t="n" s="12">
        <v>3</v>
      </c>
      <c r="F187" t="str" s="18">
        <v>绝顶灵狼·异种</v>
      </c>
      <c r="G187" t="str" s="17">
        <v>区域随机</v>
      </c>
      <c r="H187" t="n" s="12">
        <v>60662197</v>
      </c>
      <c r="I187" t="n" s="12">
        <v>1</v>
      </c>
      <c r="J187" s="17"/>
      <c r="K187" s="17"/>
      <c r="L187"/>
      <c r="M187" s="17"/>
      <c r="N187"/>
      <c r="O187" s="17"/>
      <c r="P187"/>
      <c r="Q187" s="17"/>
      <c r="R187"/>
      <c r="S187" s="17"/>
      <c r="T187"/>
      <c r="U187" s="17"/>
      <c r="V187"/>
      <c r="W187" s="17"/>
      <c r="X187"/>
      <c r="Y187" s="17"/>
      <c r="Z187"/>
      <c r="AA187" s="17"/>
      <c r="AB187" t="n">
        <v>0</v>
      </c>
    </row>
    <row r="188" spans="2:9">
      <c r="A188" s="8"/>
      <c r="B188" t="n" s="12">
        <v>1067304</v>
      </c>
      <c r="C188" t="str" s="8">
        <v>虚浮台</v>
      </c>
      <c r="D188" t="str" s="12">
        <v>小怪1</v>
      </c>
      <c r="E188" t="n" s="12">
        <v>4</v>
      </c>
      <c r="F188" t="str" s="18">
        <v>裸岩灵蛇</v>
      </c>
      <c r="G188" t="str" s="17">
        <v>区域随机</v>
      </c>
      <c r="H188" t="n" s="12">
        <v>60671198</v>
      </c>
      <c r="I188" t="n" s="12">
        <v>2</v>
      </c>
      <c r="J188" s="17"/>
      <c r="K188" s="17"/>
      <c r="L188"/>
      <c r="M188" s="17"/>
      <c r="N188"/>
      <c r="O188" s="17"/>
      <c r="P188"/>
      <c r="Q188" s="17"/>
      <c r="R188"/>
      <c r="S188" s="17"/>
      <c r="T188"/>
      <c r="U188" s="17"/>
      <c r="V188"/>
      <c r="W188" s="17"/>
      <c r="X188"/>
      <c r="Y188" s="17"/>
      <c r="Z188"/>
      <c r="AA188" s="17"/>
      <c r="AB188" t="n">
        <v>0</v>
      </c>
    </row>
    <row r="189" spans="2:9">
      <c r="A189" s="8"/>
      <c r="B189" t="n" s="12">
        <v>1067404</v>
      </c>
      <c r="C189" t="str" s="8">
        <v>虚浮台</v>
      </c>
      <c r="D189" t="str" s="12">
        <v>小怪2</v>
      </c>
      <c r="E189" t="n" s="12">
        <v>4</v>
      </c>
      <c r="F189" t="str" s="18">
        <v>回光岩蟹</v>
      </c>
      <c r="G189" t="str" s="17">
        <v>区域随机</v>
      </c>
      <c r="H189" t="n" s="12">
        <v>60671199</v>
      </c>
      <c r="I189" t="n" s="12">
        <v>2</v>
      </c>
      <c r="J189" s="17"/>
      <c r="K189" s="17"/>
      <c r="L189"/>
      <c r="M189" s="17"/>
      <c r="N189"/>
      <c r="O189" s="17"/>
      <c r="P189"/>
      <c r="Q189" s="17"/>
      <c r="R189"/>
      <c r="S189" s="17"/>
      <c r="T189"/>
      <c r="U189" s="17"/>
      <c r="V189"/>
      <c r="W189" s="17"/>
      <c r="X189"/>
      <c r="Y189" s="17"/>
      <c r="Z189"/>
      <c r="AA189" s="17"/>
      <c r="AB189" t="n">
        <v>0</v>
      </c>
    </row>
    <row r="190" spans="2:9">
      <c r="A190" s="8"/>
      <c r="B190" t="n" s="12">
        <v>1067504</v>
      </c>
      <c r="C190" t="str" s="8">
        <v>虚浮台</v>
      </c>
      <c r="D190" t="str" s="12">
        <v>小怪3</v>
      </c>
      <c r="E190" t="n" s="12">
        <v>4</v>
      </c>
      <c r="F190" t="str" s="18">
        <v>高风灵蝠</v>
      </c>
      <c r="G190" t="str" s="17">
        <v>区域随机</v>
      </c>
      <c r="H190" t="n" s="12">
        <v>60671200</v>
      </c>
      <c r="I190" t="n" s="12">
        <v>2</v>
      </c>
      <c r="J190" s="17"/>
      <c r="K190" s="17"/>
      <c r="L190"/>
      <c r="M190" s="17"/>
      <c r="N190"/>
      <c r="O190" s="17"/>
      <c r="P190"/>
      <c r="Q190" s="17"/>
      <c r="R190"/>
      <c r="S190" s="17"/>
      <c r="T190"/>
      <c r="U190" s="17"/>
      <c r="V190"/>
      <c r="W190" s="17"/>
      <c r="X190"/>
      <c r="Y190" s="17"/>
      <c r="Z190"/>
      <c r="AA190" s="17"/>
      <c r="AB190" t="n">
        <v>0</v>
      </c>
    </row>
    <row r="191" spans="2:9">
      <c r="A191" s="8"/>
      <c r="B191" t="n" s="12">
        <v>1067103</v>
      </c>
      <c r="C191" t="str" s="8">
        <v>虚浮台</v>
      </c>
      <c r="D191" t="str" s="12">
        <v>精英</v>
      </c>
      <c r="E191" t="n" s="12">
        <v>3</v>
      </c>
      <c r="F191" t="str" s="18">
        <v>绝顶灵狼·异种</v>
      </c>
      <c r="G191" t="str" s="17">
        <v>区域随机</v>
      </c>
      <c r="H191" t="n" s="12">
        <v>60672201</v>
      </c>
      <c r="I191" t="n" s="12">
        <v>1</v>
      </c>
      <c r="J191" s="17"/>
      <c r="K191" s="17"/>
      <c r="L191"/>
      <c r="M191" s="17"/>
      <c r="N191"/>
      <c r="O191" s="17"/>
      <c r="P191"/>
      <c r="Q191" s="17"/>
      <c r="R191"/>
      <c r="S191" s="17"/>
      <c r="T191"/>
      <c r="U191" s="17"/>
      <c r="V191"/>
      <c r="W191" s="17"/>
      <c r="X191"/>
      <c r="Y191" s="17"/>
      <c r="Z191"/>
      <c r="AA191" s="17"/>
      <c r="AB191" t="n">
        <v>0</v>
      </c>
    </row>
    <row r="192" spans="2:9">
      <c r="A192" s="8"/>
      <c r="B192" t="n" s="12">
        <v>1068404</v>
      </c>
      <c r="C192" t="str" s="8">
        <v>照影窗</v>
      </c>
      <c r="D192" t="str" s="12">
        <v>小怪2</v>
      </c>
      <c r="E192" t="n" s="12">
        <v>4</v>
      </c>
      <c r="F192" t="str" s="18">
        <v>裸岩灵蛇</v>
      </c>
      <c r="G192" t="str" s="17">
        <v>区域随机</v>
      </c>
      <c r="H192" t="n" s="12">
        <v>60681203</v>
      </c>
      <c r="I192" t="n" s="12">
        <v>2</v>
      </c>
      <c r="J192" s="17"/>
      <c r="K192" s="17"/>
      <c r="L192"/>
      <c r="M192" s="17"/>
      <c r="N192"/>
      <c r="O192" s="17"/>
      <c r="P192"/>
      <c r="Q192" s="17"/>
      <c r="R192"/>
      <c r="S192" s="17"/>
      <c r="T192"/>
      <c r="U192" s="17"/>
      <c r="V192"/>
      <c r="W192" s="17"/>
      <c r="X192"/>
      <c r="Y192" s="17"/>
      <c r="Z192"/>
      <c r="AA192" s="17"/>
      <c r="AB192" t="n">
        <v>0</v>
      </c>
    </row>
    <row r="193" spans="2:9">
      <c r="A193" s="8"/>
      <c r="B193" t="n" s="12">
        <v>1068504</v>
      </c>
      <c r="C193" t="str" s="8">
        <v>照影窗</v>
      </c>
      <c r="D193" t="str" s="12">
        <v>小怪3</v>
      </c>
      <c r="E193" t="n" s="12">
        <v>4</v>
      </c>
      <c r="F193" t="str" s="18">
        <v>回光岩蟹</v>
      </c>
      <c r="G193" t="str" s="17">
        <v>区域随机</v>
      </c>
      <c r="H193" t="n" s="12">
        <v>60681204</v>
      </c>
      <c r="I193" t="n" s="12">
        <v>2</v>
      </c>
      <c r="J193" s="17"/>
      <c r="K193" s="17"/>
      <c r="L193"/>
      <c r="M193" s="17"/>
      <c r="N193"/>
      <c r="O193" s="17"/>
      <c r="P193"/>
      <c r="Q193" s="17"/>
      <c r="R193"/>
      <c r="S193" s="17"/>
      <c r="T193"/>
      <c r="U193" s="17"/>
      <c r="V193"/>
      <c r="W193" s="17"/>
      <c r="X193"/>
      <c r="Y193" s="17"/>
      <c r="Z193"/>
      <c r="AA193" s="17"/>
      <c r="AB193" t="n">
        <v>0</v>
      </c>
    </row>
    <row r="194" spans="2:9">
      <c r="A194" s="8"/>
      <c r="B194" t="n" s="12">
        <v>1068103</v>
      </c>
      <c r="C194" t="str" s="8">
        <v>照影窗</v>
      </c>
      <c r="D194" t="str" s="12">
        <v>精英</v>
      </c>
      <c r="E194" t="n" s="12">
        <v>3</v>
      </c>
      <c r="F194" t="str" s="18">
        <v>高风灵蝠·异种</v>
      </c>
      <c r="G194" t="str" s="17">
        <v>区域随机</v>
      </c>
      <c r="H194" t="n" s="12">
        <v>60682205</v>
      </c>
      <c r="I194" t="n" s="12">
        <v>1</v>
      </c>
      <c r="J194" s="17"/>
      <c r="K194" s="17"/>
      <c r="L194"/>
      <c r="M194" s="17"/>
      <c r="N194"/>
      <c r="O194" s="17"/>
      <c r="P194"/>
      <c r="Q194" s="17"/>
      <c r="R194"/>
      <c r="S194" s="17"/>
      <c r="T194"/>
      <c r="U194" s="17"/>
      <c r="V194"/>
      <c r="W194" s="17"/>
      <c r="X194"/>
      <c r="Y194" s="17"/>
      <c r="Z194"/>
      <c r="AA194" s="17"/>
      <c r="AB194" t="n">
        <v>0</v>
      </c>
    </row>
    <row r="195" spans="2:9">
      <c r="A195" s="8"/>
      <c r="B195" t="n" s="12">
        <v>1068001</v>
      </c>
      <c r="C195" t="str" s="8">
        <v>照影窗</v>
      </c>
      <c r="D195" t="str" s="12">
        <v>BOSS</v>
      </c>
      <c r="E195" t="n" s="12">
        <v>1</v>
      </c>
      <c r="F195" t="str" s="18">
        <v>绝顶灵狼·首领</v>
      </c>
      <c r="G195" t="str" s="17">
        <v>区域随机</v>
      </c>
      <c r="H195" t="n" s="12">
        <v>60684206</v>
      </c>
      <c r="I195" t="n" s="12">
        <v>1</v>
      </c>
      <c r="J195" s="17"/>
      <c r="K195" s="17"/>
      <c r="L195"/>
      <c r="M195" s="17"/>
      <c r="N195"/>
      <c r="O195" s="17"/>
      <c r="P195"/>
      <c r="Q195" s="17"/>
      <c r="R195"/>
      <c r="S195" s="17"/>
      <c r="T195"/>
      <c r="U195" s="17"/>
      <c r="V195"/>
      <c r="W195" s="17"/>
      <c r="X195"/>
      <c r="Y195" s="17"/>
      <c r="Z195"/>
      <c r="AA195" s="17"/>
      <c r="AB195" t="n">
        <v>0</v>
      </c>
    </row>
    <row r="196" spans="2:9">
      <c r="A196" s="8"/>
      <c r="B196" t="n" s="12">
        <v>1069304</v>
      </c>
      <c r="C196" t="str" s="8">
        <v>回光藓</v>
      </c>
      <c r="D196" t="str" s="12">
        <v>小怪1</v>
      </c>
      <c r="E196" t="n" s="12">
        <v>4</v>
      </c>
      <c r="F196" t="str" s="18">
        <v>裸岩灵蛇</v>
      </c>
      <c r="G196" t="str" s="17">
        <v>区域随机</v>
      </c>
      <c r="H196" t="n" s="12">
        <v>60691207</v>
      </c>
      <c r="I196" t="n" s="12">
        <v>2</v>
      </c>
      <c r="J196" s="17"/>
      <c r="K196" s="17"/>
      <c r="L196"/>
      <c r="M196" s="17"/>
      <c r="N196"/>
      <c r="O196" s="17"/>
      <c r="P196"/>
      <c r="Q196" s="17"/>
      <c r="R196"/>
      <c r="S196" s="17"/>
      <c r="T196"/>
      <c r="U196" s="17"/>
      <c r="V196"/>
      <c r="W196" s="17"/>
      <c r="X196"/>
      <c r="Y196" s="17"/>
      <c r="Z196"/>
      <c r="AA196" s="17"/>
      <c r="AB196" t="n">
        <v>0</v>
      </c>
    </row>
    <row r="197" spans="2:9">
      <c r="A197" s="8"/>
      <c r="B197" t="n" s="12">
        <v>1070304</v>
      </c>
      <c r="C197" t="str" s="8">
        <v>风偃枝</v>
      </c>
      <c r="D197" t="str" s="12">
        <v>小怪1</v>
      </c>
      <c r="E197" t="n" s="12">
        <v>4</v>
      </c>
      <c r="F197" t="str" s="18">
        <v>回光岩蟹</v>
      </c>
      <c r="G197" t="str" s="17">
        <v>区域随机</v>
      </c>
      <c r="H197" t="n" s="12">
        <v>60701208</v>
      </c>
      <c r="I197" t="n" s="12">
        <v>2</v>
      </c>
      <c r="J197" s="17"/>
      <c r="K197" s="17"/>
      <c r="L197"/>
      <c r="M197" s="17"/>
      <c r="N197"/>
      <c r="O197" s="17"/>
      <c r="P197"/>
      <c r="Q197" s="17"/>
      <c r="R197"/>
      <c r="S197" s="17"/>
      <c r="T197"/>
      <c r="U197" s="17"/>
      <c r="V197"/>
      <c r="W197" s="17"/>
      <c r="X197"/>
      <c r="Y197" s="17"/>
      <c r="Z197"/>
      <c r="AA197" s="17"/>
      <c r="AB197" t="n">
        <v>0</v>
      </c>
    </row>
    <row r="198" spans="2:9">
      <c r="A198" s="8"/>
      <c r="B198" t="n" s="12">
        <v>1071304</v>
      </c>
      <c r="C198" t="str" s="8">
        <v>阖岫口</v>
      </c>
      <c r="D198" t="str" s="12">
        <v>小怪1</v>
      </c>
      <c r="E198" t="n" s="12">
        <v>4</v>
      </c>
      <c r="F198" t="str" s="18">
        <v>高风灵蝠</v>
      </c>
      <c r="G198" t="str" s="17">
        <v>区域随机</v>
      </c>
      <c r="H198" t="n" s="12">
        <v>60711209</v>
      </c>
      <c r="I198" t="n" s="12">
        <v>2</v>
      </c>
      <c r="J198" s="17"/>
      <c r="K198" s="17"/>
      <c r="L198"/>
      <c r="M198" s="17"/>
      <c r="N198"/>
      <c r="O198" s="17"/>
      <c r="P198"/>
      <c r="Q198" s="17"/>
      <c r="R198"/>
      <c r="S198" s="17"/>
      <c r="T198"/>
      <c r="U198" s="17"/>
      <c r="V198"/>
      <c r="W198" s="17"/>
      <c r="X198"/>
      <c r="Y198" s="17"/>
      <c r="Z198"/>
      <c r="AA198" s="17"/>
      <c r="AB198" t="n">
        <v>0</v>
      </c>
    </row>
    <row r="199" spans="2:9">
      <c r="A199" s="8"/>
      <c r="B199" t="n" s="12">
        <v>1071504</v>
      </c>
      <c r="C199" t="str" s="8">
        <v>阖岫口</v>
      </c>
      <c r="D199" t="str" s="12">
        <v>小怪3</v>
      </c>
      <c r="E199" t="n" s="12">
        <v>4</v>
      </c>
      <c r="F199" t="str" s="18">
        <v>绝顶灵狼</v>
      </c>
      <c r="G199" t="str" s="17">
        <v>区域随机</v>
      </c>
      <c r="H199" t="n" s="12">
        <v>60711211</v>
      </c>
      <c r="I199" t="n" s="12">
        <v>2</v>
      </c>
      <c r="J199" s="17"/>
      <c r="K199" s="17"/>
      <c r="L199"/>
      <c r="M199" s="17"/>
      <c r="N199"/>
      <c r="O199" s="17"/>
      <c r="P199"/>
      <c r="Q199" s="17"/>
      <c r="R199"/>
      <c r="S199" s="17"/>
      <c r="T199"/>
      <c r="U199" s="17"/>
      <c r="V199"/>
      <c r="W199" s="17"/>
      <c r="X199"/>
      <c r="Y199" s="17"/>
      <c r="Z199"/>
      <c r="AA199" s="17"/>
      <c r="AB199" t="n">
        <v>0</v>
      </c>
    </row>
    <row r="200" spans="2:9">
      <c r="A200" s="8"/>
      <c r="B200" t="n" s="12">
        <v>1071103</v>
      </c>
      <c r="C200" t="str" s="8">
        <v>阖岫口</v>
      </c>
      <c r="D200" t="str" s="12">
        <v>精英</v>
      </c>
      <c r="E200" t="n" s="12">
        <v>3</v>
      </c>
      <c r="F200" t="str" s="18">
        <v>裸岩灵蛇·异种</v>
      </c>
      <c r="G200" t="str" s="17">
        <v>区域随机</v>
      </c>
      <c r="H200" t="n" s="12">
        <v>60712212</v>
      </c>
      <c r="I200" t="n" s="12">
        <v>1</v>
      </c>
      <c r="J200" s="17"/>
      <c r="K200" s="17"/>
      <c r="L200"/>
      <c r="M200" s="17"/>
      <c r="N200"/>
      <c r="O200" s="17"/>
      <c r="P200"/>
      <c r="Q200" s="17"/>
      <c r="R200"/>
      <c r="S200" s="17"/>
      <c r="T200"/>
      <c r="U200" s="17"/>
      <c r="V200"/>
      <c r="W200" s="17"/>
      <c r="X200"/>
      <c r="Y200" s="17"/>
      <c r="Z200"/>
      <c r="AA200" s="17"/>
      <c r="AB200" t="n">
        <v>0</v>
      </c>
    </row>
    <row r="201" spans="2:9">
      <c r="A201" s="8"/>
      <c r="B201" t="n" s="12">
        <v>1071001</v>
      </c>
      <c r="C201" t="str" s="8">
        <v>阖岫口</v>
      </c>
      <c r="D201" t="str" s="12">
        <v>BOSS</v>
      </c>
      <c r="E201" t="n" s="12">
        <v>1</v>
      </c>
      <c r="F201" t="str" s="18">
        <v>回光岩蟹·首领</v>
      </c>
      <c r="G201" t="str" s="17">
        <v>区域随机</v>
      </c>
      <c r="H201" t="n" s="12">
        <v>60714213</v>
      </c>
      <c r="I201" t="n" s="12">
        <v>1</v>
      </c>
      <c r="J201" s="17"/>
      <c r="K201" s="17"/>
      <c r="L201"/>
      <c r="M201" s="17"/>
      <c r="N201"/>
      <c r="O201" s="17"/>
      <c r="P201"/>
      <c r="Q201" s="17"/>
      <c r="R201"/>
      <c r="S201" s="17"/>
      <c r="T201"/>
      <c r="U201" s="17"/>
      <c r="V201"/>
      <c r="W201" s="17"/>
      <c r="X201"/>
      <c r="Y201" s="17"/>
      <c r="Z201"/>
      <c r="AA201" s="17"/>
      <c r="AB201" t="n">
        <v>0</v>
      </c>
    </row>
    <row r="202" spans="2:9">
      <c r="A202" s="8"/>
      <c r="B202" t="n" s="12">
        <v>1072304</v>
      </c>
      <c r="C202" t="str" s="8">
        <v>坠尽渊</v>
      </c>
      <c r="D202" t="str" s="12">
        <v>小怪1</v>
      </c>
      <c r="E202" t="n" s="12">
        <v>4</v>
      </c>
      <c r="F202" t="str" s="18">
        <v>高风灵蝠</v>
      </c>
      <c r="G202" t="str" s="17">
        <v>区域随机</v>
      </c>
      <c r="H202" t="n" s="12">
        <v>60721214</v>
      </c>
      <c r="I202" t="n" s="12">
        <v>2</v>
      </c>
      <c r="J202" s="17"/>
      <c r="K202" s="17"/>
      <c r="L202"/>
      <c r="M202" s="17"/>
      <c r="N202"/>
      <c r="O202" s="17"/>
      <c r="P202"/>
      <c r="Q202" s="17"/>
      <c r="R202"/>
      <c r="S202" s="17"/>
      <c r="T202"/>
      <c r="U202" s="17"/>
      <c r="V202"/>
      <c r="W202" s="17"/>
      <c r="X202"/>
      <c r="Y202" s="17"/>
      <c r="Z202"/>
      <c r="AA202" s="17"/>
      <c r="AB202" t="n">
        <v>0</v>
      </c>
    </row>
    <row r="203" spans="2:9">
      <c r="A203" s="8"/>
      <c r="B203" t="n" s="12">
        <v>1072404</v>
      </c>
      <c r="C203" t="str" s="8">
        <v>坠尽渊</v>
      </c>
      <c r="D203" t="str" s="12">
        <v>小怪2</v>
      </c>
      <c r="E203" t="n" s="12">
        <v>4</v>
      </c>
      <c r="F203" t="str" s="18">
        <v>绝顶灵狼</v>
      </c>
      <c r="G203" t="str" s="17">
        <v>区域随机</v>
      </c>
      <c r="H203" t="n" s="12">
        <v>60721215</v>
      </c>
      <c r="I203" t="n" s="12">
        <v>2</v>
      </c>
      <c r="J203" s="17"/>
      <c r="K203" s="17"/>
      <c r="L203"/>
      <c r="M203" s="17"/>
      <c r="N203"/>
      <c r="O203" s="17"/>
      <c r="P203"/>
      <c r="Q203" s="17"/>
      <c r="R203"/>
      <c r="S203" s="17"/>
      <c r="T203"/>
      <c r="U203" s="17"/>
      <c r="V203"/>
      <c r="W203" s="17"/>
      <c r="X203"/>
      <c r="Y203" s="17"/>
      <c r="Z203"/>
      <c r="AA203" s="17"/>
      <c r="AB203" t="n">
        <v>0</v>
      </c>
    </row>
    <row r="204" spans="2:9">
      <c r="A204" s="8"/>
      <c r="B204" t="n" s="12">
        <v>1072504</v>
      </c>
      <c r="C204" t="str" s="8">
        <v>坠尽渊</v>
      </c>
      <c r="D204" t="str" s="12">
        <v>小怪3</v>
      </c>
      <c r="E204" t="n" s="12">
        <v>4</v>
      </c>
      <c r="F204" t="str" s="18">
        <v>裸岩灵蛇</v>
      </c>
      <c r="G204" t="str" s="17">
        <v>区域随机</v>
      </c>
      <c r="H204" t="n" s="12">
        <v>60721216</v>
      </c>
      <c r="I204" t="n" s="12">
        <v>2</v>
      </c>
      <c r="J204" s="17"/>
      <c r="K204" s="17"/>
      <c r="L204"/>
      <c r="M204" s="17"/>
      <c r="N204"/>
      <c r="O204" s="17"/>
      <c r="P204"/>
      <c r="Q204" s="17"/>
      <c r="R204"/>
      <c r="S204" s="17"/>
      <c r="T204"/>
      <c r="U204" s="17"/>
      <c r="V204"/>
      <c r="W204" s="17"/>
      <c r="X204"/>
      <c r="Y204" s="17"/>
      <c r="Z204"/>
      <c r="AA204" s="17"/>
      <c r="AB204" t="n">
        <v>0</v>
      </c>
    </row>
    <row r="205" spans="2:9">
      <c r="A205" s="8"/>
      <c r="B205" t="n" s="12">
        <v>1072103</v>
      </c>
      <c r="C205" t="str" s="8">
        <v>坠尽渊</v>
      </c>
      <c r="D205" t="str" s="12">
        <v>精英</v>
      </c>
      <c r="E205" t="n" s="12">
        <v>3</v>
      </c>
      <c r="F205" t="str" s="18">
        <v>回光岩蟹·异种</v>
      </c>
      <c r="G205" t="str" s="17">
        <v>区域随机</v>
      </c>
      <c r="H205" t="n" s="12">
        <v>60722217</v>
      </c>
      <c r="I205" t="n" s="12">
        <v>1</v>
      </c>
      <c r="J205" s="17"/>
      <c r="K205" s="17"/>
      <c r="L205"/>
      <c r="M205" s="17"/>
      <c r="N205"/>
      <c r="O205" s="17"/>
      <c r="P205"/>
      <c r="Q205" s="17"/>
      <c r="R205"/>
      <c r="S205" s="17"/>
      <c r="T205"/>
      <c r="U205" s="17"/>
      <c r="V205"/>
      <c r="W205" s="17"/>
      <c r="X205"/>
      <c r="Y205" s="17"/>
      <c r="Z205"/>
      <c r="AA205" s="17"/>
      <c r="AB205" t="n">
        <v>0</v>
      </c>
    </row>
    <row r="206" spans="2:9">
      <c r="A206" s="8"/>
      <c r="B206" t="n" s="12">
        <v>1073404</v>
      </c>
      <c r="C206" t="str" s="8">
        <v>昏金岩</v>
      </c>
      <c r="D206" t="str" s="12">
        <v>小怪2</v>
      </c>
      <c r="E206" t="n" s="12">
        <v>4</v>
      </c>
      <c r="F206" t="str" s="18">
        <v>魔化高风灵蝠</v>
      </c>
      <c r="G206" t="str" s="17">
        <v>区域随机</v>
      </c>
      <c r="H206" t="n" s="12">
        <v>60731219</v>
      </c>
      <c r="I206" t="n" s="12">
        <v>2</v>
      </c>
      <c r="J206" s="17"/>
      <c r="K206" s="17"/>
      <c r="L206"/>
      <c r="M206" s="17"/>
      <c r="N206"/>
      <c r="O206" s="17"/>
      <c r="P206"/>
      <c r="Q206" s="17"/>
      <c r="R206"/>
      <c r="S206" s="17"/>
      <c r="T206"/>
      <c r="U206" s="17"/>
      <c r="V206"/>
      <c r="W206" s="17"/>
      <c r="X206"/>
      <c r="Y206" s="17"/>
      <c r="Z206"/>
      <c r="AA206" s="17"/>
      <c r="AB206" t="n">
        <v>0</v>
      </c>
    </row>
    <row r="207" spans="2:9">
      <c r="A207" s="8"/>
      <c r="B207" t="n" s="12">
        <v>1073504</v>
      </c>
      <c r="C207" t="str" s="8">
        <v>昏金岩</v>
      </c>
      <c r="D207" t="str" s="12">
        <v>小怪3</v>
      </c>
      <c r="E207" t="n" s="12">
        <v>4</v>
      </c>
      <c r="F207" t="str" s="18">
        <v>魔化绝顶灵狼</v>
      </c>
      <c r="G207" t="str" s="17">
        <v>区域随机</v>
      </c>
      <c r="H207" t="n" s="12">
        <v>60731220</v>
      </c>
      <c r="I207" t="n" s="12">
        <v>2</v>
      </c>
      <c r="J207" s="17"/>
      <c r="K207" s="17"/>
      <c r="L207"/>
      <c r="M207" s="17"/>
      <c r="N207"/>
      <c r="O207" s="17"/>
      <c r="P207"/>
      <c r="Q207" s="17"/>
      <c r="R207"/>
      <c r="S207" s="17"/>
      <c r="T207"/>
      <c r="U207" s="17"/>
      <c r="V207"/>
      <c r="W207" s="17"/>
      <c r="X207"/>
      <c r="Y207" s="17"/>
      <c r="Z207"/>
      <c r="AA207" s="17"/>
      <c r="AB207" t="n">
        <v>0</v>
      </c>
    </row>
    <row r="208" spans="2:9">
      <c r="A208" s="8"/>
      <c r="B208" t="n" s="12">
        <v>1073103</v>
      </c>
      <c r="C208" t="str" s="8">
        <v>昏金岩</v>
      </c>
      <c r="D208" t="str" s="12">
        <v>精英</v>
      </c>
      <c r="E208" t="n" s="12">
        <v>3</v>
      </c>
      <c r="F208" t="str" s="18">
        <v>魔化裸岩灵蛇·异种</v>
      </c>
      <c r="G208" t="str" s="17">
        <v>区域随机</v>
      </c>
      <c r="H208" t="n" s="12">
        <v>60732221</v>
      </c>
      <c r="I208" t="n" s="12">
        <v>1</v>
      </c>
      <c r="J208" s="17"/>
      <c r="K208" s="17"/>
      <c r="L208"/>
      <c r="M208" s="17"/>
      <c r="N208"/>
      <c r="O208" s="17"/>
      <c r="P208"/>
      <c r="Q208" s="17"/>
      <c r="R208"/>
      <c r="S208" s="17"/>
      <c r="T208"/>
      <c r="U208" s="17"/>
      <c r="V208"/>
      <c r="W208" s="17"/>
      <c r="X208"/>
      <c r="Y208" s="17"/>
      <c r="Z208"/>
      <c r="AA208" s="17"/>
      <c r="AB208" t="n">
        <v>0</v>
      </c>
    </row>
    <row r="209" spans="2:9">
      <c r="A209" s="8"/>
      <c r="B209" t="n" s="12">
        <v>1073001</v>
      </c>
      <c r="C209" t="str" s="8">
        <v>昏金岩</v>
      </c>
      <c r="D209" t="str" s="12">
        <v>BOSS</v>
      </c>
      <c r="E209" t="n" s="12">
        <v>1</v>
      </c>
      <c r="F209" t="str" s="18">
        <v>魔化回光岩蟹·首领</v>
      </c>
      <c r="G209" t="str" s="17">
        <v>区域随机</v>
      </c>
      <c r="H209" t="n" s="12">
        <v>60734222</v>
      </c>
      <c r="I209" t="n" s="12">
        <v>1</v>
      </c>
      <c r="J209" s="17"/>
      <c r="K209" s="17"/>
      <c r="L209"/>
      <c r="M209" s="17"/>
      <c r="N209"/>
      <c r="O209" s="17"/>
      <c r="P209"/>
      <c r="Q209" s="17"/>
      <c r="R209"/>
      <c r="S209" s="17"/>
      <c r="T209"/>
      <c r="U209" s="17"/>
      <c r="V209"/>
      <c r="W209" s="17"/>
      <c r="X209"/>
      <c r="Y209" s="17"/>
      <c r="Z209"/>
      <c r="AA209" s="17"/>
      <c r="AB209" t="n">
        <v>0</v>
      </c>
    </row>
    <row r="210">
      <c r="A210" s="8"/>
      <c r="B210" t="n" s="12">
        <v>1900205</v>
      </c>
      <c r="C210" t="str" s="8">
        <v>蔽苇汀</v>
      </c>
      <c r="D210" t="str" s="12">
        <v>本轮补齐</v>
      </c>
      <c r="E210" t="n" s="12">
        <v>205</v>
      </c>
      <c r="F210" t="str" s="18">
        <v>苇泽灵蛙·异种</v>
      </c>
      <c r="G210" t="str" s="17">
        <v>区域随机</v>
      </c>
      <c r="H210" t="n" s="12">
        <v>60042030</v>
      </c>
      <c r="I210" t="n" s="12">
        <v>1</v>
      </c>
      <c r="J210" s="17"/>
      <c r="K210" s="17"/>
      <c r="L210"/>
      <c r="M210" s="17"/>
      <c r="N210"/>
      <c r="O210" s="17"/>
      <c r="P210"/>
      <c r="Q210" s="17"/>
      <c r="R210"/>
      <c r="S210" s="17"/>
      <c r="T210"/>
      <c r="U210" s="17"/>
      <c r="V210"/>
      <c r="W210" s="17"/>
      <c r="X210"/>
      <c r="Y210" s="17"/>
      <c r="Z210"/>
      <c r="AA210" s="17"/>
      <c r="AB210" t="n">
        <v>0</v>
      </c>
    </row>
    <row r="211">
      <c r="A211" s="8"/>
      <c r="B211" t="n" s="12">
        <v>1900206</v>
      </c>
      <c r="C211" t="str" s="8">
        <v>渍岩罅</v>
      </c>
      <c r="D211" t="str" s="12">
        <v>本轮补齐</v>
      </c>
      <c r="E211" t="n" s="12">
        <v>206</v>
      </c>
      <c r="F211" t="str" s="18">
        <v>湿壁灵蝠</v>
      </c>
      <c r="G211" t="str" s="17">
        <v>区域随机</v>
      </c>
      <c r="H211" t="n" s="12">
        <v>61001001</v>
      </c>
      <c r="I211" t="n" s="12">
        <v>2</v>
      </c>
      <c r="J211" s="17"/>
      <c r="K211" s="17"/>
      <c r="L211"/>
      <c r="M211" s="17"/>
      <c r="N211"/>
      <c r="O211" s="17"/>
      <c r="P211"/>
      <c r="Q211" s="17"/>
      <c r="R211"/>
      <c r="S211" s="17"/>
      <c r="T211"/>
      <c r="U211" s="17"/>
      <c r="V211"/>
      <c r="W211" s="17"/>
      <c r="X211"/>
      <c r="Y211" s="17"/>
      <c r="Z211"/>
      <c r="AA211" s="17"/>
      <c r="AB211" t="n">
        <v>0</v>
      </c>
    </row>
    <row r="212">
      <c r="A212" s="8"/>
      <c r="B212" t="n" s="12">
        <v>1900207</v>
      </c>
      <c r="C212" t="str" s="8">
        <v>渍岩罅</v>
      </c>
      <c r="D212" t="str" s="12">
        <v>本轮补齐</v>
      </c>
      <c r="E212" t="n" s="12">
        <v>207</v>
      </c>
      <c r="F212" t="str" s="18">
        <v>湍流石蟹</v>
      </c>
      <c r="G212" t="str" s="17">
        <v>区域随机</v>
      </c>
      <c r="H212" t="n" s="12">
        <v>61001002</v>
      </c>
      <c r="I212" t="n" s="12">
        <v>2</v>
      </c>
      <c r="J212" s="17"/>
      <c r="K212" s="17"/>
      <c r="L212"/>
      <c r="M212" s="17"/>
      <c r="N212"/>
      <c r="O212" s="17"/>
      <c r="P212"/>
      <c r="Q212" s="17"/>
      <c r="R212"/>
      <c r="S212" s="17"/>
      <c r="T212"/>
      <c r="U212" s="17"/>
      <c r="V212"/>
      <c r="W212" s="17"/>
      <c r="X212"/>
      <c r="Y212" s="17"/>
      <c r="Z212"/>
      <c r="AA212" s="17"/>
      <c r="AB212" t="n">
        <v>0</v>
      </c>
    </row>
    <row r="213">
      <c r="A213" s="8"/>
      <c r="B213" t="n" s="12">
        <v>1900208</v>
      </c>
      <c r="C213" t="str" s="8">
        <v>渍岩罅</v>
      </c>
      <c r="D213" t="str" s="12">
        <v>本轮补齐</v>
      </c>
      <c r="E213" t="n" s="12">
        <v>208</v>
      </c>
      <c r="F213" t="str" s="18">
        <v>峡岩灵狼·异种</v>
      </c>
      <c r="G213" t="str" s="17">
        <v>区域随机</v>
      </c>
      <c r="H213" t="n" s="12">
        <v>61002003</v>
      </c>
      <c r="I213" t="n" s="12">
        <v>1</v>
      </c>
      <c r="J213" s="17"/>
      <c r="K213" s="17"/>
      <c r="L213"/>
      <c r="M213" s="17"/>
      <c r="N213"/>
      <c r="O213" s="17"/>
      <c r="P213"/>
      <c r="Q213" s="17"/>
      <c r="R213"/>
      <c r="S213" s="17"/>
      <c r="T213"/>
      <c r="U213" s="17"/>
      <c r="V213"/>
      <c r="W213" s="17"/>
      <c r="X213"/>
      <c r="Y213" s="17"/>
      <c r="Z213"/>
      <c r="AA213" s="17"/>
      <c r="AB213" t="n">
        <v>0</v>
      </c>
    </row>
    <row r="214">
      <c r="A214" s="8"/>
      <c r="B214" t="n" s="12">
        <v>1900209</v>
      </c>
      <c r="C214" t="str" s="8">
        <v>危石夹</v>
      </c>
      <c r="D214" t="str" s="12">
        <v>本轮补齐</v>
      </c>
      <c r="E214" t="n" s="12">
        <v>209</v>
      </c>
      <c r="F214" t="str" s="18">
        <v>湿壁灵蝠</v>
      </c>
      <c r="G214" t="str" s="17">
        <v>区域随机</v>
      </c>
      <c r="H214" t="n" s="12">
        <v>61011001</v>
      </c>
      <c r="I214" t="n" s="12">
        <v>2</v>
      </c>
      <c r="J214" s="17"/>
      <c r="K214" s="17"/>
      <c r="L214"/>
      <c r="M214" s="17"/>
      <c r="N214"/>
      <c r="O214" s="17"/>
      <c r="P214"/>
      <c r="Q214" s="17"/>
      <c r="R214"/>
      <c r="S214" s="17"/>
      <c r="T214"/>
      <c r="U214" s="17"/>
      <c r="V214"/>
      <c r="W214" s="17"/>
      <c r="X214"/>
      <c r="Y214" s="17"/>
      <c r="Z214"/>
      <c r="AA214" s="17"/>
      <c r="AB214" t="n">
        <v>0</v>
      </c>
    </row>
    <row r="215">
      <c r="A215" s="8"/>
      <c r="B215" t="n" s="12">
        <v>1900210</v>
      </c>
      <c r="C215" t="str" s="8">
        <v>危石夹</v>
      </c>
      <c r="D215" t="str" s="12">
        <v>本轮补齐</v>
      </c>
      <c r="E215" t="n" s="12">
        <v>210</v>
      </c>
      <c r="F215" t="str" s="18">
        <v>湍流石蟹</v>
      </c>
      <c r="G215" t="str" s="17">
        <v>区域随机</v>
      </c>
      <c r="H215" t="n" s="12">
        <v>61011002</v>
      </c>
      <c r="I215" t="n" s="12">
        <v>2</v>
      </c>
      <c r="J215" s="17"/>
      <c r="K215" s="17"/>
      <c r="L215"/>
      <c r="M215" s="17"/>
      <c r="N215"/>
      <c r="O215" s="17"/>
      <c r="P215"/>
      <c r="Q215" s="17"/>
      <c r="R215"/>
      <c r="S215" s="17"/>
      <c r="T215"/>
      <c r="U215" s="17"/>
      <c r="V215"/>
      <c r="W215" s="17"/>
      <c r="X215"/>
      <c r="Y215" s="17"/>
      <c r="Z215"/>
      <c r="AA215" s="17"/>
      <c r="AB215" t="n">
        <v>0</v>
      </c>
    </row>
    <row r="216">
      <c r="A216" s="8"/>
      <c r="B216" t="n" s="12">
        <v>1900211</v>
      </c>
      <c r="C216" t="str" s="8">
        <v>危石夹</v>
      </c>
      <c r="D216" t="str" s="12">
        <v>本轮补齐</v>
      </c>
      <c r="E216" t="n" s="12">
        <v>211</v>
      </c>
      <c r="F216" t="str" s="18">
        <v>峡岩灵狼·异种</v>
      </c>
      <c r="G216" t="str" s="17">
        <v>区域随机</v>
      </c>
      <c r="H216" t="n" s="12">
        <v>61012003</v>
      </c>
      <c r="I216" t="n" s="12">
        <v>1</v>
      </c>
      <c r="J216" s="17"/>
      <c r="K216" s="17"/>
      <c r="L216"/>
      <c r="M216" s="17"/>
      <c r="N216"/>
      <c r="O216" s="17"/>
      <c r="P216"/>
      <c r="Q216" s="17"/>
      <c r="R216"/>
      <c r="S216" s="17"/>
      <c r="T216"/>
      <c r="U216" s="17"/>
      <c r="V216"/>
      <c r="W216" s="17"/>
      <c r="X216"/>
      <c r="Y216" s="17"/>
      <c r="Z216"/>
      <c r="AA216" s="17"/>
      <c r="AB216" t="n">
        <v>0</v>
      </c>
    </row>
    <row r="217">
      <c r="A217" s="8"/>
      <c r="B217" t="n" s="12">
        <v>1900212</v>
      </c>
      <c r="C217" t="str" s="8">
        <v>一线湍</v>
      </c>
      <c r="D217" t="str" s="12">
        <v>本轮补齐</v>
      </c>
      <c r="E217" t="n" s="12">
        <v>212</v>
      </c>
      <c r="F217" t="str" s="18">
        <v>湿壁灵蝠</v>
      </c>
      <c r="G217" t="str" s="17">
        <v>区域随机</v>
      </c>
      <c r="H217" t="n" s="12">
        <v>61021001</v>
      </c>
      <c r="I217" t="n" s="12">
        <v>2</v>
      </c>
      <c r="J217" s="17"/>
      <c r="K217" s="17"/>
      <c r="L217"/>
      <c r="M217" s="17"/>
      <c r="N217"/>
      <c r="O217" s="17"/>
      <c r="P217"/>
      <c r="Q217" s="17"/>
      <c r="R217"/>
      <c r="S217" s="17"/>
      <c r="T217"/>
      <c r="U217" s="17"/>
      <c r="V217"/>
      <c r="W217" s="17"/>
      <c r="X217"/>
      <c r="Y217" s="17"/>
      <c r="Z217"/>
      <c r="AA217" s="17"/>
      <c r="AB217" t="n">
        <v>0</v>
      </c>
    </row>
    <row r="218">
      <c r="A218" s="8"/>
      <c r="B218" t="n" s="12">
        <v>1900213</v>
      </c>
      <c r="C218" t="str" s="8">
        <v>一线湍</v>
      </c>
      <c r="D218" t="str" s="12">
        <v>本轮补齐</v>
      </c>
      <c r="E218" t="n" s="12">
        <v>213</v>
      </c>
      <c r="F218" t="str" s="18">
        <v>湍流石蟹</v>
      </c>
      <c r="G218" t="str" s="17">
        <v>区域随机</v>
      </c>
      <c r="H218" t="n" s="12">
        <v>61021002</v>
      </c>
      <c r="I218" t="n" s="12">
        <v>2</v>
      </c>
      <c r="J218" s="17"/>
      <c r="K218" s="17"/>
      <c r="L218"/>
      <c r="M218" s="17"/>
      <c r="N218"/>
      <c r="O218" s="17"/>
      <c r="P218"/>
      <c r="Q218" s="17"/>
      <c r="R218"/>
      <c r="S218" s="17"/>
      <c r="T218"/>
      <c r="U218" s="17"/>
      <c r="V218"/>
      <c r="W218" s="17"/>
      <c r="X218"/>
      <c r="Y218" s="17"/>
      <c r="Z218"/>
      <c r="AA218" s="17"/>
      <c r="AB218" t="n">
        <v>0</v>
      </c>
    </row>
    <row r="219">
      <c r="A219" s="8"/>
      <c r="B219" t="n" s="12">
        <v>1900214</v>
      </c>
      <c r="C219" t="str" s="8">
        <v>一线湍</v>
      </c>
      <c r="D219" t="str" s="12">
        <v>本轮补齐</v>
      </c>
      <c r="E219" t="n" s="12">
        <v>214</v>
      </c>
      <c r="F219" t="str" s="18">
        <v>峡岩灵狼·异种</v>
      </c>
      <c r="G219" t="str" s="17">
        <v>区域随机</v>
      </c>
      <c r="H219" t="n" s="12">
        <v>61022003</v>
      </c>
      <c r="I219" t="n" s="12">
        <v>1</v>
      </c>
      <c r="J219" s="17"/>
      <c r="K219" s="17"/>
      <c r="L219"/>
      <c r="M219" s="17"/>
      <c r="N219"/>
      <c r="O219" s="17"/>
      <c r="P219"/>
      <c r="Q219" s="17"/>
      <c r="R219"/>
      <c r="S219" s="17"/>
      <c r="T219"/>
      <c r="U219" s="17"/>
      <c r="V219"/>
      <c r="W219" s="17"/>
      <c r="X219"/>
      <c r="Y219" s="17"/>
      <c r="Z219"/>
      <c r="AA219" s="17"/>
      <c r="AB219" t="n">
        <v>0</v>
      </c>
    </row>
    <row r="220">
      <c r="A220" s="8"/>
      <c r="B220" t="n" s="12">
        <v>1900215</v>
      </c>
      <c r="C220" t="str" s="8">
        <v>一线湍</v>
      </c>
      <c r="D220" t="str" s="12">
        <v>本轮补齐</v>
      </c>
      <c r="E220" t="n" s="12">
        <v>215</v>
      </c>
      <c r="F220" t="str" s="18">
        <v>裂罅灵蛇·首领</v>
      </c>
      <c r="G220" t="str" s="17">
        <v>区域随机</v>
      </c>
      <c r="H220" t="n" s="12">
        <v>61024004</v>
      </c>
      <c r="I220" t="n" s="12">
        <v>1</v>
      </c>
      <c r="J220" s="17"/>
      <c r="K220" s="17"/>
      <c r="L220"/>
      <c r="M220" s="17"/>
      <c r="N220"/>
      <c r="O220" s="17"/>
      <c r="P220"/>
      <c r="Q220" s="17"/>
      <c r="R220"/>
      <c r="S220" s="17"/>
      <c r="T220"/>
      <c r="U220" s="17"/>
      <c r="V220"/>
      <c r="W220" s="17"/>
      <c r="X220"/>
      <c r="Y220" s="17"/>
      <c r="Z220"/>
      <c r="AA220" s="17"/>
      <c r="AB220" t="n">
        <v>0</v>
      </c>
    </row>
    <row r="221">
      <c r="A221" s="8"/>
      <c r="B221" t="n" s="12">
        <v>1900216</v>
      </c>
      <c r="C221" t="str" s="8">
        <v>垂水衣</v>
      </c>
      <c r="D221" t="str" s="12">
        <v>本轮补齐</v>
      </c>
      <c r="E221" t="n" s="12">
        <v>216</v>
      </c>
      <c r="F221" t="str" s="18">
        <v>湿壁灵蝠</v>
      </c>
      <c r="G221" t="str" s="17">
        <v>区域随机</v>
      </c>
      <c r="H221" t="n" s="12">
        <v>61031001</v>
      </c>
      <c r="I221" t="n" s="12">
        <v>2</v>
      </c>
      <c r="J221" s="17"/>
      <c r="K221" s="17"/>
      <c r="L221"/>
      <c r="M221" s="17"/>
      <c r="N221"/>
      <c r="O221" s="17"/>
      <c r="P221"/>
      <c r="Q221" s="17"/>
      <c r="R221"/>
      <c r="S221" s="17"/>
      <c r="T221"/>
      <c r="U221" s="17"/>
      <c r="V221"/>
      <c r="W221" s="17"/>
      <c r="X221"/>
      <c r="Y221" s="17"/>
      <c r="Z221"/>
      <c r="AA221" s="17"/>
      <c r="AB221" t="n">
        <v>0</v>
      </c>
    </row>
    <row r="222">
      <c r="A222" s="8"/>
      <c r="B222" t="n" s="12">
        <v>1900217</v>
      </c>
      <c r="C222" t="str" s="8">
        <v>垂水衣</v>
      </c>
      <c r="D222" t="str" s="12">
        <v>本轮补齐</v>
      </c>
      <c r="E222" t="n" s="12">
        <v>217</v>
      </c>
      <c r="F222" t="str" s="18">
        <v>湍流石蟹</v>
      </c>
      <c r="G222" t="str" s="17">
        <v>区域随机</v>
      </c>
      <c r="H222" t="n" s="12">
        <v>61031002</v>
      </c>
      <c r="I222" t="n" s="12">
        <v>2</v>
      </c>
      <c r="J222" s="17"/>
      <c r="K222" s="17"/>
      <c r="L222"/>
      <c r="M222" s="17"/>
      <c r="N222"/>
      <c r="O222" s="17"/>
      <c r="P222"/>
      <c r="Q222" s="17"/>
      <c r="R222"/>
      <c r="S222" s="17"/>
      <c r="T222"/>
      <c r="U222" s="17"/>
      <c r="V222"/>
      <c r="W222" s="17"/>
      <c r="X222"/>
      <c r="Y222" s="17"/>
      <c r="Z222"/>
      <c r="AA222" s="17"/>
      <c r="AB222" t="n">
        <v>0</v>
      </c>
    </row>
    <row r="223">
      <c r="A223" s="8"/>
      <c r="B223" t="n" s="12">
        <v>1900218</v>
      </c>
      <c r="C223" t="str" s="8">
        <v>垂水衣</v>
      </c>
      <c r="D223" t="str" s="12">
        <v>本轮补齐</v>
      </c>
      <c r="E223" t="n" s="12">
        <v>218</v>
      </c>
      <c r="F223" t="str" s="18">
        <v>峡岩灵狼·异种</v>
      </c>
      <c r="G223" t="str" s="17">
        <v>区域随机</v>
      </c>
      <c r="H223" t="n" s="12">
        <v>61032003</v>
      </c>
      <c r="I223" t="n" s="12">
        <v>1</v>
      </c>
      <c r="J223" s="17"/>
      <c r="K223" s="17"/>
      <c r="L223"/>
      <c r="M223" s="17"/>
      <c r="N223"/>
      <c r="O223" s="17"/>
      <c r="P223"/>
      <c r="Q223" s="17"/>
      <c r="R223"/>
      <c r="S223" s="17"/>
      <c r="T223"/>
      <c r="U223" s="17"/>
      <c r="V223"/>
      <c r="W223" s="17"/>
      <c r="X223"/>
      <c r="Y223" s="17"/>
      <c r="Z223"/>
      <c r="AA223" s="17"/>
      <c r="AB223" t="n">
        <v>0</v>
      </c>
    </row>
    <row r="224">
      <c r="A224" s="8"/>
      <c r="B224" t="n" s="12">
        <v>1900219</v>
      </c>
      <c r="C224" t="str" s="8">
        <v>余光蕨</v>
      </c>
      <c r="D224" t="str" s="12">
        <v>本轮补齐</v>
      </c>
      <c r="E224" t="n" s="12">
        <v>219</v>
      </c>
      <c r="F224" t="str" s="18">
        <v>湿壁灵蝠</v>
      </c>
      <c r="G224" t="str" s="17">
        <v>区域随机</v>
      </c>
      <c r="H224" t="n" s="12">
        <v>61041001</v>
      </c>
      <c r="I224" t="n" s="12">
        <v>2</v>
      </c>
      <c r="J224" s="17"/>
      <c r="K224" s="17"/>
      <c r="L224"/>
      <c r="M224" s="17"/>
      <c r="N224"/>
      <c r="O224" s="17"/>
      <c r="P224"/>
      <c r="Q224" s="17"/>
      <c r="R224"/>
      <c r="S224" s="17"/>
      <c r="T224"/>
      <c r="U224" s="17"/>
      <c r="V224"/>
      <c r="W224" s="17"/>
      <c r="X224"/>
      <c r="Y224" s="17"/>
      <c r="Z224"/>
      <c r="AA224" s="17"/>
      <c r="AB224" t="n">
        <v>0</v>
      </c>
    </row>
    <row r="225">
      <c r="A225" s="8"/>
      <c r="B225" t="n" s="12">
        <v>1900220</v>
      </c>
      <c r="C225" t="str" s="8">
        <v>余光蕨</v>
      </c>
      <c r="D225" t="str" s="12">
        <v>本轮补齐</v>
      </c>
      <c r="E225" t="n" s="12">
        <v>220</v>
      </c>
      <c r="F225" t="str" s="18">
        <v>湍流石蟹</v>
      </c>
      <c r="G225" t="str" s="17">
        <v>区域随机</v>
      </c>
      <c r="H225" t="n" s="12">
        <v>61041002</v>
      </c>
      <c r="I225" t="n" s="12">
        <v>2</v>
      </c>
      <c r="J225" s="17"/>
      <c r="K225" s="17"/>
      <c r="L225"/>
      <c r="M225" s="17"/>
      <c r="N225"/>
      <c r="O225" s="17"/>
      <c r="P225"/>
      <c r="Q225" s="17"/>
      <c r="R225"/>
      <c r="S225" s="17"/>
      <c r="T225"/>
      <c r="U225" s="17"/>
      <c r="V225"/>
      <c r="W225" s="17"/>
      <c r="X225"/>
      <c r="Y225" s="17"/>
      <c r="Z225"/>
      <c r="AA225" s="17"/>
      <c r="AB225" t="n">
        <v>0</v>
      </c>
    </row>
    <row r="226">
      <c r="A226" s="8"/>
      <c r="B226" t="n" s="12">
        <v>1900221</v>
      </c>
      <c r="C226" t="str" s="8">
        <v>余光蕨</v>
      </c>
      <c r="D226" t="str" s="12">
        <v>本轮补齐</v>
      </c>
      <c r="E226" t="n" s="12">
        <v>221</v>
      </c>
      <c r="F226" t="str" s="18">
        <v>峡岩灵狼·异种</v>
      </c>
      <c r="G226" t="str" s="17">
        <v>区域随机</v>
      </c>
      <c r="H226" t="n" s="12">
        <v>61042003</v>
      </c>
      <c r="I226" t="n" s="12">
        <v>1</v>
      </c>
      <c r="J226" s="17"/>
      <c r="K226" s="17"/>
      <c r="L226"/>
      <c r="M226" s="17"/>
      <c r="N226"/>
      <c r="O226" s="17"/>
      <c r="P226"/>
      <c r="Q226" s="17"/>
      <c r="R226"/>
      <c r="S226" s="17"/>
      <c r="T226"/>
      <c r="U226" s="17"/>
      <c r="V226"/>
      <c r="W226" s="17"/>
      <c r="X226"/>
      <c r="Y226" s="17"/>
      <c r="Z226"/>
      <c r="AA226" s="17"/>
      <c r="AB226" t="n">
        <v>0</v>
      </c>
    </row>
    <row r="227">
      <c r="A227" s="8"/>
      <c r="B227" t="n" s="12">
        <v>1900222</v>
      </c>
      <c r="C227" t="str" s="8">
        <v>掩流口</v>
      </c>
      <c r="D227" t="str" s="12">
        <v>本轮补齐</v>
      </c>
      <c r="E227" t="n" s="12">
        <v>222</v>
      </c>
      <c r="F227" t="str" s="18">
        <v>湿壁灵蝠</v>
      </c>
      <c r="G227" t="str" s="17">
        <v>区域随机</v>
      </c>
      <c r="H227" t="n" s="12">
        <v>61051001</v>
      </c>
      <c r="I227" t="n" s="12">
        <v>2</v>
      </c>
      <c r="J227" s="17"/>
      <c r="K227" s="17"/>
      <c r="L227"/>
      <c r="M227" s="17"/>
      <c r="N227"/>
      <c r="O227" s="17"/>
      <c r="P227"/>
      <c r="Q227" s="17"/>
      <c r="R227"/>
      <c r="S227" s="17"/>
      <c r="T227"/>
      <c r="U227" s="17"/>
      <c r="V227"/>
      <c r="W227" s="17"/>
      <c r="X227"/>
      <c r="Y227" s="17"/>
      <c r="Z227"/>
      <c r="AA227" s="17"/>
      <c r="AB227" t="n">
        <v>0</v>
      </c>
    </row>
    <row r="228">
      <c r="A228" s="8"/>
      <c r="B228" t="n" s="12">
        <v>1900223</v>
      </c>
      <c r="C228" t="str" s="8">
        <v>掩流口</v>
      </c>
      <c r="D228" t="str" s="12">
        <v>本轮补齐</v>
      </c>
      <c r="E228" t="n" s="12">
        <v>223</v>
      </c>
      <c r="F228" t="str" s="18">
        <v>湍流石蟹</v>
      </c>
      <c r="G228" t="str" s="17">
        <v>区域随机</v>
      </c>
      <c r="H228" t="n" s="12">
        <v>61051002</v>
      </c>
      <c r="I228" t="n" s="12">
        <v>2</v>
      </c>
      <c r="J228" s="17"/>
      <c r="K228" s="17"/>
      <c r="L228"/>
      <c r="M228" s="17"/>
      <c r="N228"/>
      <c r="O228" s="17"/>
      <c r="P228"/>
      <c r="Q228" s="17"/>
      <c r="R228"/>
      <c r="S228" s="17"/>
      <c r="T228"/>
      <c r="U228" s="17"/>
      <c r="V228"/>
      <c r="W228" s="17"/>
      <c r="X228"/>
      <c r="Y228" s="17"/>
      <c r="Z228"/>
      <c r="AA228" s="17"/>
      <c r="AB228" t="n">
        <v>0</v>
      </c>
    </row>
    <row r="229">
      <c r="A229" s="8"/>
      <c r="B229" t="n" s="12">
        <v>1900224</v>
      </c>
      <c r="C229" t="str" s="8">
        <v>掩流口</v>
      </c>
      <c r="D229" t="str" s="12">
        <v>本轮补齐</v>
      </c>
      <c r="E229" t="n" s="12">
        <v>224</v>
      </c>
      <c r="F229" t="str" s="18">
        <v>峡岩灵狼·异种</v>
      </c>
      <c r="G229" t="str" s="17">
        <v>区域随机</v>
      </c>
      <c r="H229" t="n" s="12">
        <v>61052003</v>
      </c>
      <c r="I229" t="n" s="12">
        <v>1</v>
      </c>
      <c r="J229" s="17"/>
      <c r="K229" s="17"/>
      <c r="L229"/>
      <c r="M229" s="17"/>
      <c r="N229"/>
      <c r="O229" s="17"/>
      <c r="P229"/>
      <c r="Q229" s="17"/>
      <c r="R229"/>
      <c r="S229" s="17"/>
      <c r="T229"/>
      <c r="U229" s="17"/>
      <c r="V229"/>
      <c r="W229" s="17"/>
      <c r="X229"/>
      <c r="Y229" s="17"/>
      <c r="Z229"/>
      <c r="AA229" s="17"/>
      <c r="AB229" t="n">
        <v>0</v>
      </c>
    </row>
    <row r="230">
      <c r="A230" s="8"/>
      <c r="B230" t="n" s="12">
        <v>1900225</v>
      </c>
      <c r="C230" t="str" s="8">
        <v>掩流口</v>
      </c>
      <c r="D230" t="str" s="12">
        <v>本轮补齐</v>
      </c>
      <c r="E230" t="n" s="12">
        <v>225</v>
      </c>
      <c r="F230" t="str" s="18">
        <v>裂罅灵蛇·首领</v>
      </c>
      <c r="G230" t="str" s="17">
        <v>区域随机</v>
      </c>
      <c r="H230" t="n" s="12">
        <v>61054004</v>
      </c>
      <c r="I230" t="n" s="12">
        <v>1</v>
      </c>
      <c r="J230" s="17"/>
      <c r="K230" s="17"/>
      <c r="L230"/>
      <c r="M230" s="17"/>
      <c r="N230"/>
      <c r="O230" s="17"/>
      <c r="P230"/>
      <c r="Q230" s="17"/>
      <c r="R230"/>
      <c r="S230" s="17"/>
      <c r="T230"/>
      <c r="U230" s="17"/>
      <c r="V230"/>
      <c r="W230" s="17"/>
      <c r="X230"/>
      <c r="Y230" s="17"/>
      <c r="Z230"/>
      <c r="AA230" s="17"/>
      <c r="AB230" t="n">
        <v>0</v>
      </c>
    </row>
    <row r="231">
      <c r="A231" s="8"/>
      <c r="B231" t="n" s="12">
        <v>1900226</v>
      </c>
      <c r="C231" t="str" s="8">
        <v>涔缝</v>
      </c>
      <c r="D231" t="str" s="12">
        <v>本轮补齐</v>
      </c>
      <c r="E231" t="n" s="12">
        <v>226</v>
      </c>
      <c r="F231" t="str" s="18">
        <v>湿壁灵蝠</v>
      </c>
      <c r="G231" t="str" s="17">
        <v>区域随机</v>
      </c>
      <c r="H231" t="n" s="12">
        <v>61061001</v>
      </c>
      <c r="I231" t="n" s="12">
        <v>2</v>
      </c>
      <c r="J231" s="17"/>
      <c r="K231" s="17"/>
      <c r="L231"/>
      <c r="M231" s="17"/>
      <c r="N231"/>
      <c r="O231" s="17"/>
      <c r="P231"/>
      <c r="Q231" s="17"/>
      <c r="R231"/>
      <c r="S231" s="17"/>
      <c r="T231"/>
      <c r="U231" s="17"/>
      <c r="V231"/>
      <c r="W231" s="17"/>
      <c r="X231"/>
      <c r="Y231" s="17"/>
      <c r="Z231"/>
      <c r="AA231" s="17"/>
      <c r="AB231" t="n">
        <v>0</v>
      </c>
    </row>
    <row r="232">
      <c r="A232" s="8"/>
      <c r="B232" t="n" s="12">
        <v>1900227</v>
      </c>
      <c r="C232" t="str" s="8">
        <v>涔缝</v>
      </c>
      <c r="D232" t="str" s="12">
        <v>本轮补齐</v>
      </c>
      <c r="E232" t="n" s="12">
        <v>227</v>
      </c>
      <c r="F232" t="str" s="18">
        <v>湍流石蟹</v>
      </c>
      <c r="G232" t="str" s="17">
        <v>区域随机</v>
      </c>
      <c r="H232" t="n" s="12">
        <v>61061002</v>
      </c>
      <c r="I232" t="n" s="12">
        <v>2</v>
      </c>
      <c r="J232" s="17"/>
      <c r="K232" s="17"/>
      <c r="L232"/>
      <c r="M232" s="17"/>
      <c r="N232"/>
      <c r="O232" s="17"/>
      <c r="P232"/>
      <c r="Q232" s="17"/>
      <c r="R232"/>
      <c r="S232" s="17"/>
      <c r="T232"/>
      <c r="U232" s="17"/>
      <c r="V232"/>
      <c r="W232" s="17"/>
      <c r="X232"/>
      <c r="Y232" s="17"/>
      <c r="Z232"/>
      <c r="AA232" s="17"/>
      <c r="AB232" t="n">
        <v>0</v>
      </c>
    </row>
    <row r="233">
      <c r="A233" s="8"/>
      <c r="B233" t="n" s="12">
        <v>1900228</v>
      </c>
      <c r="C233" t="str" s="8">
        <v>涔缝</v>
      </c>
      <c r="D233" t="str" s="12">
        <v>本轮补齐</v>
      </c>
      <c r="E233" t="n" s="12">
        <v>228</v>
      </c>
      <c r="F233" t="str" s="18">
        <v>峡岩灵狼·异种</v>
      </c>
      <c r="G233" t="str" s="17">
        <v>区域随机</v>
      </c>
      <c r="H233" t="n" s="12">
        <v>61062003</v>
      </c>
      <c r="I233" t="n" s="12">
        <v>1</v>
      </c>
      <c r="J233" s="17"/>
      <c r="K233" s="17"/>
      <c r="L233"/>
      <c r="M233" s="17"/>
      <c r="N233"/>
      <c r="O233" s="17"/>
      <c r="P233"/>
      <c r="Q233" s="17"/>
      <c r="R233"/>
      <c r="S233" s="17"/>
      <c r="T233"/>
      <c r="U233" s="17"/>
      <c r="V233"/>
      <c r="W233" s="17"/>
      <c r="X233"/>
      <c r="Y233" s="17"/>
      <c r="Z233"/>
      <c r="AA233" s="17"/>
      <c r="AB233" t="n">
        <v>0</v>
      </c>
    </row>
    <row r="234">
      <c r="A234" s="8"/>
      <c r="B234" t="n" s="12">
        <v>1900229</v>
      </c>
      <c r="C234" t="str" s="8">
        <v>涔缝</v>
      </c>
      <c r="D234" t="str" s="12">
        <v>本轮补齐</v>
      </c>
      <c r="E234" t="n" s="12">
        <v>229</v>
      </c>
      <c r="F234" t="str" s="18">
        <v>裂罅灵蛇·首领</v>
      </c>
      <c r="G234" t="str" s="17">
        <v>区域随机</v>
      </c>
      <c r="H234" t="n" s="12">
        <v>61064004</v>
      </c>
      <c r="I234" t="n" s="12">
        <v>1</v>
      </c>
      <c r="J234" s="17"/>
      <c r="K234" s="17"/>
      <c r="L234"/>
      <c r="M234" s="17"/>
      <c r="N234"/>
      <c r="O234" s="17"/>
      <c r="P234"/>
      <c r="Q234" s="17"/>
      <c r="R234"/>
      <c r="S234" s="17"/>
      <c r="T234"/>
      <c r="U234" s="17"/>
      <c r="V234"/>
      <c r="W234" s="17"/>
      <c r="X234"/>
      <c r="Y234" s="17"/>
      <c r="Z234"/>
      <c r="AA234" s="17"/>
      <c r="AB234" t="n">
        <v>0</v>
      </c>
    </row>
    <row r="235">
      <c r="A235" s="8"/>
      <c r="B235" t="n" s="12">
        <v>1900230</v>
      </c>
      <c r="C235" t="str" s="8">
        <v>浊影洄</v>
      </c>
      <c r="D235" t="str" s="12">
        <v>本轮补齐</v>
      </c>
      <c r="E235" t="n" s="12">
        <v>230</v>
      </c>
      <c r="F235" t="str" s="18">
        <v>魔化湿壁灵蝠</v>
      </c>
      <c r="G235" t="str" s="17">
        <v>区域随机</v>
      </c>
      <c r="H235" t="n" s="12">
        <v>61071001</v>
      </c>
      <c r="I235" t="n" s="12">
        <v>2</v>
      </c>
      <c r="J235" s="17"/>
      <c r="K235" s="17"/>
      <c r="L235"/>
      <c r="M235" s="17"/>
      <c r="N235"/>
      <c r="O235" s="17"/>
      <c r="P235"/>
      <c r="Q235" s="17"/>
      <c r="R235"/>
      <c r="S235" s="17"/>
      <c r="T235"/>
      <c r="U235" s="17"/>
      <c r="V235"/>
      <c r="W235" s="17"/>
      <c r="X235"/>
      <c r="Y235" s="17"/>
      <c r="Z235"/>
      <c r="AA235" s="17"/>
      <c r="AB235" t="n">
        <v>0</v>
      </c>
    </row>
    <row r="236">
      <c r="A236" s="8"/>
      <c r="B236" t="n" s="12">
        <v>1900231</v>
      </c>
      <c r="C236" t="str" s="8">
        <v>浊影洄</v>
      </c>
      <c r="D236" t="str" s="12">
        <v>本轮补齐</v>
      </c>
      <c r="E236" t="n" s="12">
        <v>231</v>
      </c>
      <c r="F236" t="str" s="18">
        <v>魔化湍流石蟹</v>
      </c>
      <c r="G236" t="str" s="17">
        <v>区域随机</v>
      </c>
      <c r="H236" t="n" s="12">
        <v>61071002</v>
      </c>
      <c r="I236" t="n" s="12">
        <v>2</v>
      </c>
      <c r="J236" s="17"/>
      <c r="K236" s="17"/>
      <c r="L236"/>
      <c r="M236" s="17"/>
      <c r="N236"/>
      <c r="O236" s="17"/>
      <c r="P236"/>
      <c r="Q236" s="17"/>
      <c r="R236"/>
      <c r="S236" s="17"/>
      <c r="T236"/>
      <c r="U236" s="17"/>
      <c r="V236"/>
      <c r="W236" s="17"/>
      <c r="X236"/>
      <c r="Y236" s="17"/>
      <c r="Z236"/>
      <c r="AA236" s="17"/>
      <c r="AB236" t="n">
        <v>0</v>
      </c>
    </row>
    <row r="237">
      <c r="A237" s="8"/>
      <c r="B237" t="n" s="12">
        <v>1900232</v>
      </c>
      <c r="C237" t="str" s="8">
        <v>浊影洄</v>
      </c>
      <c r="D237" t="str" s="12">
        <v>本轮补齐</v>
      </c>
      <c r="E237" t="n" s="12">
        <v>232</v>
      </c>
      <c r="F237" t="str" s="18">
        <v>魔化峡岩灵狼·异种</v>
      </c>
      <c r="G237" t="str" s="17">
        <v>区域随机</v>
      </c>
      <c r="H237" t="n" s="12">
        <v>61072003</v>
      </c>
      <c r="I237" t="n" s="12">
        <v>1</v>
      </c>
      <c r="J237" s="17"/>
      <c r="K237" s="17"/>
      <c r="L237"/>
      <c r="M237" s="17"/>
      <c r="N237"/>
      <c r="O237" s="17"/>
      <c r="P237"/>
      <c r="Q237" s="17"/>
      <c r="R237"/>
      <c r="S237" s="17"/>
      <c r="T237"/>
      <c r="U237" s="17"/>
      <c r="V237"/>
      <c r="W237" s="17"/>
      <c r="X237"/>
      <c r="Y237" s="17"/>
      <c r="Z237"/>
      <c r="AA237" s="17"/>
      <c r="AB237" t="n">
        <v>0</v>
      </c>
    </row>
    <row r="238">
      <c r="A238" s="8"/>
      <c r="B238" t="n" s="12">
        <v>1900233</v>
      </c>
      <c r="C238" t="str" s="8">
        <v>浊影洄</v>
      </c>
      <c r="D238" t="str" s="12">
        <v>本轮补齐</v>
      </c>
      <c r="E238" t="n" s="12">
        <v>233</v>
      </c>
      <c r="F238" t="str" s="18">
        <v>魔化裂罅灵蛇·首领</v>
      </c>
      <c r="G238" t="str" s="17">
        <v>区域随机</v>
      </c>
      <c r="H238" t="n" s="12">
        <v>61074004</v>
      </c>
      <c r="I238" t="n" s="12">
        <v>1</v>
      </c>
      <c r="J238" s="17"/>
      <c r="K238" s="17"/>
      <c r="L238"/>
      <c r="M238" s="17"/>
      <c r="N238"/>
      <c r="O238" s="17"/>
      <c r="P238"/>
      <c r="Q238" s="17"/>
      <c r="R238"/>
      <c r="S238" s="17"/>
      <c r="T238"/>
      <c r="U238" s="17"/>
      <c r="V238"/>
      <c r="W238" s="17"/>
      <c r="X238"/>
      <c r="Y238" s="17"/>
      <c r="Z238"/>
      <c r="AA238" s="17"/>
      <c r="AB238" t="n">
        <v>0</v>
      </c>
    </row>
    <row r="239">
      <c r="A239" s="8"/>
      <c r="B239" t="n" s="12">
        <v>1900234</v>
      </c>
      <c r="C239" t="str" s="8">
        <v>异霭浦</v>
      </c>
      <c r="D239" t="str" s="12">
        <v>本轮补齐</v>
      </c>
      <c r="E239" t="n" s="12">
        <v>234</v>
      </c>
      <c r="F239" t="str" s="18">
        <v>岩隙灵蝠·异种</v>
      </c>
      <c r="G239" t="str" s="17">
        <v>区域随机</v>
      </c>
      <c r="H239" t="n" s="12">
        <v>60062903</v>
      </c>
      <c r="I239" t="n" s="12">
        <v>1</v>
      </c>
      <c r="J239" s="17"/>
      <c r="K239" s="17"/>
      <c r="L239"/>
      <c r="M239" s="17"/>
      <c r="N239"/>
      <c r="O239" s="17"/>
      <c r="P239"/>
      <c r="Q239" s="17"/>
      <c r="R239"/>
      <c r="S239" s="17"/>
      <c r="T239"/>
      <c r="U239" s="17"/>
      <c r="V239"/>
      <c r="W239" s="17"/>
      <c r="X239"/>
      <c r="Y239" s="17"/>
      <c r="Z239"/>
      <c r="AA239" s="17"/>
      <c r="AB239" t="n">
        <v>0</v>
      </c>
    </row>
    <row r="240">
      <c r="A240" s="8"/>
      <c r="B240" t="n" s="12">
        <v>1900235</v>
      </c>
      <c r="C240" t="str" s="8">
        <v>砾台</v>
      </c>
      <c r="D240" t="str" s="12">
        <v>本轮补齐</v>
      </c>
      <c r="E240" t="n" s="12">
        <v>235</v>
      </c>
      <c r="F240" t="str" s="18">
        <v>岩隙灵蝠·异种</v>
      </c>
      <c r="G240" t="str" s="17">
        <v>区域随机</v>
      </c>
      <c r="H240" t="n" s="12">
        <v>60072903</v>
      </c>
      <c r="I240" t="n" s="12">
        <v>1</v>
      </c>
      <c r="J240" s="17"/>
      <c r="K240" s="17"/>
      <c r="L240"/>
      <c r="M240" s="17"/>
      <c r="N240"/>
      <c r="O240" s="17"/>
      <c r="P240"/>
      <c r="Q240" s="17"/>
      <c r="R240"/>
      <c r="S240" s="17"/>
      <c r="T240"/>
      <c r="U240" s="17"/>
      <c r="V240"/>
      <c r="W240" s="17"/>
      <c r="X240"/>
      <c r="Y240" s="17"/>
      <c r="Z240"/>
      <c r="AA240" s="17"/>
      <c r="AB240" t="n">
        <v>0</v>
      </c>
    </row>
    <row r="241">
      <c r="A241" s="8"/>
      <c r="B241" t="n" s="12">
        <v>1900236</v>
      </c>
      <ns0:c xmlns:ns0="http://schemas.openxmlformats.org/spreadsheetml/2006/main" r="C241" s="8" t="inlineStr">
        <ns0:is>
          <ns0:t>水镜滩·水退方见</ns0:t>
        </ns0:is>
      </ns0:c>
      <c r="D241" t="str" s="12">
        <v>本轮补齐</v>
      </c>
      <c r="E241" t="n" s="12">
        <v>236</v>
      </c>
      <c r="F241" t="str" s="18">
        <v>浅汊水蛇·首领</v>
      </c>
      <c r="G241" t="str" s="17">
        <v>区域随机</v>
      </c>
      <c r="H241" t="n" s="12">
        <v>60104905</v>
      </c>
      <c r="I241" t="n" s="12">
        <v>1</v>
      </c>
      <c r="J241" s="17"/>
      <c r="K241" s="17"/>
      <c r="L241"/>
      <c r="M241" s="17"/>
      <c r="N241"/>
      <c r="O241" s="17"/>
      <c r="P241"/>
      <c r="Q241" s="17"/>
      <c r="R241"/>
      <c r="S241" s="17"/>
      <c r="T241"/>
      <c r="U241" s="17"/>
      <c r="V241"/>
      <c r="W241" s="17"/>
      <c r="X241"/>
      <c r="Y241" s="17"/>
      <c r="Z241"/>
      <c r="AA241" s="17"/>
      <c r="AB241" t="n">
        <v>0</v>
      </c>
    </row>
    <row r="242">
      <c r="A242" s="8"/>
      <c r="B242" t="n" s="12">
        <v>1900237</v>
      </c>
      <c r="C242" t="str" s="8">
        <v>粉浪风</v>
      </c>
      <c r="D242" t="str" s="12">
        <v>本轮补齐</v>
      </c>
      <c r="E242" t="n" s="12">
        <v>237</v>
      </c>
      <c r="F242" t="str" s="18">
        <v>末分岩蟹·异种</v>
      </c>
      <c r="G242" t="str" s="17">
        <v>区域随机</v>
      </c>
      <c r="H242" t="n" s="12">
        <v>60142903</v>
      </c>
      <c r="I242" t="n" s="12">
        <v>1</v>
      </c>
      <c r="J242" s="17"/>
      <c r="K242" s="17"/>
      <c r="L242"/>
      <c r="M242" s="17"/>
      <c r="N242"/>
      <c r="O242" s="17"/>
      <c r="P242"/>
      <c r="Q242" s="17"/>
      <c r="R242"/>
      <c r="S242" s="17"/>
      <c r="T242"/>
      <c r="U242" s="17"/>
      <c r="V242"/>
      <c r="W242" s="17"/>
      <c r="X242"/>
      <c r="Y242" s="17"/>
      <c r="Z242"/>
      <c r="AA242" s="17"/>
      <c r="AB242" t="n">
        <v>0</v>
      </c>
    </row>
    <row r="243">
      <c r="A243" s="8"/>
      <c r="B243" t="n" s="12">
        <v>1900238</v>
      </c>
      <c r="C243" t="str" s="8">
        <v>漫莎台</v>
      </c>
      <c r="D243" t="str" s="12">
        <v>本轮补齐</v>
      </c>
      <c r="E243" t="n" s="12">
        <v>238</v>
      </c>
      <c r="F243" t="str" s="18">
        <v>低岛灵狼·异种</v>
      </c>
      <c r="G243" t="str" s="17">
        <v>区域随机</v>
      </c>
      <c r="H243" t="n" s="12">
        <v>60152902</v>
      </c>
      <c r="I243" t="n" s="12">
        <v>1</v>
      </c>
      <c r="J243" s="17"/>
      <c r="K243" s="17"/>
      <c r="L243"/>
      <c r="M243" s="17"/>
      <c r="N243"/>
      <c r="O243" s="17"/>
      <c r="P243"/>
      <c r="Q243" s="17"/>
      <c r="R243"/>
      <c r="S243" s="17"/>
      <c r="T243"/>
      <c r="U243" s="17"/>
      <c r="V243"/>
      <c r="W243" s="17"/>
      <c r="X243"/>
      <c r="Y243" s="17"/>
      <c r="Z243"/>
      <c r="AA243" s="17"/>
      <c r="AB243" t="n">
        <v>0</v>
      </c>
    </row>
    <row r="244">
      <c r="A244" s="8"/>
      <c r="B244" t="n" s="12">
        <v>1900239</v>
      </c>
      <c r="C244" t="str" s="8">
        <v>褐苔含润</v>
      </c>
      <c r="D244" t="str" s="12">
        <v>本轮补齐</v>
      </c>
      <c r="E244" t="n" s="12">
        <v>239</v>
      </c>
      <c r="F244" t="str" s="18">
        <v>沟底石蟹·异种</v>
      </c>
      <c r="G244" t="str" s="17">
        <v>区域随机</v>
      </c>
      <c r="H244" t="n" s="12">
        <v>60222902</v>
      </c>
      <c r="I244" t="n" s="12">
        <v>1</v>
      </c>
      <c r="J244" s="17"/>
      <c r="K244" s="17"/>
      <c r="L244"/>
      <c r="M244" s="17"/>
      <c r="N244"/>
      <c r="O244" s="17"/>
      <c r="P244"/>
      <c r="Q244" s="17"/>
      <c r="R244"/>
      <c r="S244" s="17"/>
      <c r="T244"/>
      <c r="U244" s="17"/>
      <c r="V244"/>
      <c r="W244" s="17"/>
      <c r="X244"/>
      <c r="Y244" s="17"/>
      <c r="Z244"/>
      <c r="AA244" s="17"/>
      <c r="AB244" t="n">
        <v>0</v>
      </c>
    </row>
    <row r="245">
      <c r="A245" s="8"/>
      <c r="B245" t="n" s="12">
        <v>1900240</v>
      </c>
      <c r="C245" t="str" s="8">
        <v>肩生瘠芽</v>
      </c>
      <c r="D245" t="str" s="12">
        <v>本轮补齐</v>
      </c>
      <c r="E245" t="n" s="12">
        <v>240</v>
      </c>
      <c r="F245" t="str" s="18">
        <v>沟底石蟹·异种</v>
      </c>
      <c r="G245" t="str" s="17">
        <v>区域随机</v>
      </c>
      <c r="H245" t="n" s="12">
        <v>60232902</v>
      </c>
      <c r="I245" t="n" s="12">
        <v>1</v>
      </c>
      <c r="J245" s="17"/>
      <c r="K245" s="17"/>
      <c r="L245"/>
      <c r="M245" s="17"/>
      <c r="N245"/>
      <c r="O245" s="17"/>
      <c r="P245"/>
      <c r="Q245" s="17"/>
      <c r="R245"/>
      <c r="S245" s="17"/>
      <c r="T245"/>
      <c r="U245" s="17"/>
      <c r="V245"/>
      <c r="W245" s="17"/>
      <c r="X245"/>
      <c r="Y245" s="17"/>
      <c r="Z245"/>
      <c r="AA245" s="17"/>
      <c r="AB245" t="n">
        <v>0</v>
      </c>
    </row>
    <row r="246">
      <c r="A246" s="8"/>
      <c r="B246" t="n" s="12">
        <v>1900241</v>
      </c>
      <c r="C246" t="str" s="8">
        <v>岩腹潜龛</v>
      </c>
      <c r="D246" t="str" s="12">
        <v>本轮补齐</v>
      </c>
      <c r="E246" t="n" s="12">
        <v>241</v>
      </c>
      <c r="F246" t="str" s="18">
        <v>赭坡岩狼·首领</v>
      </c>
      <c r="G246" t="str" s="17">
        <v>区域随机</v>
      </c>
      <c r="H246" t="n" s="12">
        <v>60244904</v>
      </c>
      <c r="I246" t="n" s="12">
        <v>1</v>
      </c>
      <c r="J246" s="17"/>
      <c r="K246" s="17"/>
      <c r="L246"/>
      <c r="M246" s="17"/>
      <c r="N246"/>
      <c r="O246" s="17"/>
      <c r="P246"/>
      <c r="Q246" s="17"/>
      <c r="R246"/>
      <c r="S246" s="17"/>
      <c r="T246"/>
      <c r="U246" s="17"/>
      <c r="V246"/>
      <c r="W246" s="17"/>
      <c r="X246"/>
      <c r="Y246" s="17"/>
      <c r="Z246"/>
      <c r="AA246" s="17"/>
      <c r="AB246" t="n">
        <v>0</v>
      </c>
    </row>
    <row r="247">
      <c r="A247" s="8"/>
      <c r="B247" t="n" s="12">
        <v>1900242</v>
      </c>
      <c r="C247" t="str" s="8">
        <v>风背余晦</v>
      </c>
      <c r="D247" t="str" s="12">
        <v>本轮补齐</v>
      </c>
      <c r="E247" t="n" s="12">
        <v>242</v>
      </c>
      <c r="F247" t="str" s="18">
        <v>魔化赭坡岩狼·异种</v>
      </c>
      <c r="G247" t="str" s="17">
        <v>区域随机</v>
      </c>
      <c r="H247" t="n" s="12">
        <v>60262904</v>
      </c>
      <c r="I247" t="n" s="12">
        <v>1</v>
      </c>
      <c r="J247" s="17"/>
      <c r="K247" s="17"/>
      <c r="L247"/>
      <c r="M247" s="17"/>
      <c r="N247"/>
      <c r="O247" s="17"/>
      <c r="P247"/>
      <c r="Q247" s="17"/>
      <c r="R247"/>
      <c r="S247" s="17"/>
      <c r="T247"/>
      <c r="U247" s="17"/>
      <c r="V247"/>
      <c r="W247" s="17"/>
      <c r="X247"/>
      <c r="Y247" s="17"/>
      <c r="Z247"/>
      <c r="AA247" s="17"/>
      <c r="AB247" t="n">
        <v>0</v>
      </c>
    </row>
    <row r="248">
      <c r="A248" s="8"/>
      <c r="B248" t="n" s="12">
        <v>1900243</v>
      </c>
      <c r="C248" t="str" s="8">
        <v>隙光苔</v>
      </c>
      <c r="D248" t="str" s="12">
        <v>本轮补齐</v>
      </c>
      <c r="E248" t="n" s="12">
        <v>243</v>
      </c>
      <c r="F248" t="str" s="18">
        <v>断谷灵蝠·异种</v>
      </c>
      <c r="G248" t="str" s="17">
        <v>区域随机</v>
      </c>
      <c r="H248" t="n" s="12">
        <v>60452901</v>
      </c>
      <c r="I248" t="n" s="12">
        <v>1</v>
      </c>
      <c r="J248" s="17"/>
      <c r="K248" s="17"/>
      <c r="L248"/>
      <c r="M248" s="17"/>
      <c r="N248"/>
      <c r="O248" s="17"/>
      <c r="P248"/>
      <c r="Q248" s="17"/>
      <c r="R248"/>
      <c r="S248" s="17"/>
      <c r="T248"/>
      <c r="U248" s="17"/>
      <c r="V248"/>
      <c r="W248" s="17"/>
      <c r="X248"/>
      <c r="Y248" s="17"/>
      <c r="Z248"/>
      <c r="AA248" s="17"/>
      <c r="AB248" t="n">
        <v>0</v>
      </c>
    </row>
    <row r="249">
      <c r="A249" s="8"/>
      <c r="B249" t="n" s="12">
        <v>1900244</v>
      </c>
      <c r="C249" t="str" s="8">
        <v>浸岩菖</v>
      </c>
      <c r="D249" t="str" s="12">
        <v>本轮补齐</v>
      </c>
      <c r="E249" t="n" s="12">
        <v>244</v>
      </c>
      <c r="F249" t="str" s="18">
        <v>断谷灵蝠·异种</v>
      </c>
      <c r="G249" t="str" s="17">
        <v>区域随机</v>
      </c>
      <c r="H249" t="n" s="12">
        <v>60462901</v>
      </c>
      <c r="I249" t="n" s="12">
        <v>1</v>
      </c>
      <c r="J249" s="17"/>
      <c r="K249" s="17"/>
      <c r="L249"/>
      <c r="M249" s="17"/>
      <c r="N249"/>
      <c r="O249" s="17"/>
      <c r="P249"/>
      <c r="Q249" s="17"/>
      <c r="R249"/>
      <c r="S249" s="17"/>
      <c r="T249"/>
      <c r="U249" s="17"/>
      <c r="V249"/>
      <c r="W249" s="17"/>
      <c r="X249"/>
      <c r="Y249" s="17"/>
      <c r="Z249"/>
      <c r="AA249" s="17"/>
      <c r="AB249" t="n">
        <v>0</v>
      </c>
    </row>
    <row r="250">
      <c r="A250" s="8"/>
      <c r="B250" t="n" s="12">
        <v>1900245</v>
      </c>
      <c r="C250" t="str" s="8">
        <v>裂口</v>
      </c>
      <c r="D250" t="str" s="12">
        <v>本轮补齐</v>
      </c>
      <c r="E250" t="n" s="12">
        <v>245</v>
      </c>
      <c r="F250" t="str" s="18">
        <v>崩石灵蜈·异种</v>
      </c>
      <c r="G250" t="str" s="17">
        <v>区域随机</v>
      </c>
      <c r="H250" t="n" s="12">
        <v>60472903</v>
      </c>
      <c r="I250" t="n" s="12">
        <v>1</v>
      </c>
      <c r="J250" s="17"/>
      <c r="K250" s="17"/>
      <c r="L250"/>
      <c r="M250" s="17"/>
      <c r="N250"/>
      <c r="O250" s="17"/>
      <c r="P250"/>
      <c r="Q250" s="17"/>
      <c r="R250"/>
      <c r="S250" s="17"/>
      <c r="T250"/>
      <c r="U250" s="17"/>
      <c r="V250"/>
      <c r="W250" s="17"/>
      <c r="X250"/>
      <c r="Y250" s="17"/>
      <c r="Z250"/>
      <c r="AA250" s="17"/>
      <c r="AB250" t="n">
        <v>0</v>
      </c>
    </row>
    <row r="251">
      <c r="A251" s="8"/>
      <c r="B251" t="n" s="12">
        <v>1900246</v>
      </c>
      <c r="C251" t="str" s="8">
        <v>裂口</v>
      </c>
      <c r="D251" t="str" s="12">
        <v>本轮补齐</v>
      </c>
      <c r="E251" t="n" s="12">
        <v>246</v>
      </c>
      <c r="F251" t="str" s="18">
        <v>碎堑岩狼·首领</v>
      </c>
      <c r="G251" t="str" s="17">
        <v>区域随机</v>
      </c>
      <c r="H251" t="n" s="12">
        <v>60474904</v>
      </c>
      <c r="I251" t="n" s="12">
        <v>1</v>
      </c>
      <c r="J251" s="17"/>
      <c r="K251" s="17"/>
      <c r="L251"/>
      <c r="M251" s="17"/>
      <c r="N251"/>
      <c r="O251" s="17"/>
      <c r="P251"/>
      <c r="Q251" s="17"/>
      <c r="R251"/>
      <c r="S251" s="17"/>
      <c r="T251"/>
      <c r="U251" s="17"/>
      <c r="V251"/>
      <c r="W251" s="17"/>
      <c r="X251"/>
      <c r="Y251" s="17"/>
      <c r="Z251"/>
      <c r="AA251" s="17"/>
      <c r="AB251" t="n">
        <v>0</v>
      </c>
    </row>
    <row r="252">
      <c r="A252" s="8"/>
      <c r="B252" t="n" s="12">
        <v>1900247</v>
      </c>
      <c r="C252" t="str" s="8">
        <v>壅浊石</v>
      </c>
      <c r="D252" t="str" s="12">
        <v>本轮补齐</v>
      </c>
      <c r="E252" t="n" s="12">
        <v>247</v>
      </c>
      <c r="F252" t="str" s="18">
        <v>魔化崩石灵蜈·异种</v>
      </c>
      <c r="G252" t="str" s="17">
        <v>区域随机</v>
      </c>
      <c r="H252" t="n" s="12">
        <v>60492903</v>
      </c>
      <c r="I252" t="n" s="12">
        <v>1</v>
      </c>
      <c r="J252" s="17"/>
      <c r="K252" s="17"/>
      <c r="L252"/>
      <c r="M252" s="17"/>
      <c r="N252"/>
      <c r="O252" s="17"/>
      <c r="P252"/>
      <c r="Q252" s="17"/>
      <c r="R252"/>
      <c r="S252" s="17"/>
      <c r="T252"/>
      <c r="U252" s="17"/>
      <c r="V252"/>
      <c r="W252" s="17"/>
      <c r="X252"/>
      <c r="Y252" s="17"/>
      <c r="Z252"/>
      <c r="AA252" s="17"/>
      <c r="AB252" t="n">
        <v>0</v>
      </c>
    </row>
    <row r="253">
      <c r="A253" s="8"/>
      <c r="B253" t="n" s="12">
        <v>1900248</v>
      </c>
      <c r="C253" t="str" s="8">
        <v>云根露</v>
      </c>
      <c r="D253" t="str" s="12">
        <v>本轮补齐</v>
      </c>
      <c r="E253" t="n" s="12">
        <v>248</v>
      </c>
      <c r="F253" t="str" s="18">
        <v>悬岩灵狼·异种</v>
      </c>
      <c r="G253" t="str" s="17">
        <v>区域随机</v>
      </c>
      <c r="H253" t="n" s="12">
        <v>60542901</v>
      </c>
      <c r="I253" t="n" s="12">
        <v>1</v>
      </c>
      <c r="J253" s="17"/>
      <c r="K253" s="17"/>
      <c r="L253"/>
      <c r="M253" s="17"/>
      <c r="N253"/>
      <c r="O253" s="17"/>
      <c r="P253"/>
      <c r="Q253" s="17"/>
      <c r="R253"/>
      <c r="S253" s="17"/>
      <c r="T253"/>
      <c r="U253" s="17"/>
      <c r="V253"/>
      <c r="W253" s="17"/>
      <c r="X253"/>
      <c r="Y253" s="17"/>
      <c r="Z253"/>
      <c r="AA253" s="17"/>
      <c r="AB253" t="n">
        <v>0</v>
      </c>
    </row>
    <row r="254">
      <c r="A254" s="8"/>
      <c r="B254" t="n" s="12">
        <v>1900249</v>
      </c>
      <c r="C254" t="str" s="8">
        <v>风痕苔生</v>
      </c>
      <c r="D254" t="str" s="12">
        <v>本轮补齐</v>
      </c>
      <c r="E254" t="n" s="12">
        <v>249</v>
      </c>
      <c r="F254" t="str" s="18">
        <v>悬岩灵狼·异种</v>
      </c>
      <c r="G254" t="str" s="17">
        <v>区域随机</v>
      </c>
      <c r="H254" t="n" s="12">
        <v>60552901</v>
      </c>
      <c r="I254" t="n" s="12">
        <v>1</v>
      </c>
      <c r="J254" s="17"/>
      <c r="K254" s="17"/>
      <c r="L254"/>
      <c r="M254" s="17"/>
      <c r="N254"/>
      <c r="O254" s="17"/>
      <c r="P254"/>
      <c r="Q254" s="17"/>
      <c r="R254"/>
      <c r="S254" s="17"/>
      <c r="T254"/>
      <c r="U254" s="17"/>
      <c r="V254"/>
      <c r="W254" s="17"/>
      <c r="X254"/>
      <c r="Y254" s="17"/>
      <c r="Z254"/>
      <c r="AA254" s="17"/>
      <c r="AB254" t="n">
        <v>0</v>
      </c>
    </row>
    <row r="255">
      <c r="A255" s="8"/>
      <c r="B255" t="n" s="12">
        <v>1900250</v>
      </c>
      <c r="C255" t="str" s="8">
        <v>鞍窍</v>
      </c>
      <c r="D255" t="str" s="12">
        <v>本轮补齐</v>
      </c>
      <c r="E255" t="n" s="12">
        <v>250</v>
      </c>
      <c r="F255" t="str" s="18">
        <v>雪脊灵狼·首领</v>
      </c>
      <c r="G255" t="str" s="17">
        <v>区域随机</v>
      </c>
      <c r="H255" t="n" s="12">
        <v>60604904</v>
      </c>
      <c r="I255" t="n" s="12">
        <v>1</v>
      </c>
      <c r="J255" s="17"/>
      <c r="K255" s="17"/>
      <c r="L255"/>
      <c r="M255" s="17"/>
      <c r="N255"/>
      <c r="O255" s="17"/>
      <c r="P255"/>
      <c r="Q255" s="17"/>
      <c r="R255"/>
      <c r="S255" s="17"/>
      <c r="T255"/>
      <c r="U255" s="17"/>
      <c r="V255"/>
      <c r="W255" s="17"/>
      <c r="X255"/>
      <c r="Y255" s="17"/>
      <c r="Z255"/>
      <c r="AA255" s="17"/>
      <c r="AB255" t="n">
        <v>0</v>
      </c>
    </row>
    <row r="256">
      <c r="A256" s="8"/>
      <c r="B256" t="n" s="12">
        <v>1900251</v>
      </c>
      <c r="C256" t="str" s="8">
        <v>霁台</v>
      </c>
      <c r="D256" t="str" s="12">
        <v>本轮补齐</v>
      </c>
      <c r="E256" t="n" s="12">
        <v>251</v>
      </c>
      <c r="F256" t="str" s="18">
        <v>雪脊灵狼·首领</v>
      </c>
      <c r="G256" t="str" s="17">
        <v>区域随机</v>
      </c>
      <c r="H256" t="n" s="12">
        <v>60634904</v>
      </c>
      <c r="I256" t="n" s="12">
        <v>1</v>
      </c>
      <c r="J256" s="17"/>
      <c r="K256" s="17"/>
      <c r="L256"/>
      <c r="M256" s="17"/>
      <c r="N256"/>
      <c r="O256" s="17"/>
      <c r="P256"/>
      <c r="Q256" s="17"/>
      <c r="R256"/>
      <c r="S256" s="17"/>
      <c r="T256"/>
      <c r="U256" s="17"/>
      <c r="V256"/>
      <c r="W256" s="17"/>
      <c r="X256"/>
      <c r="Y256" s="17"/>
      <c r="Z256"/>
      <c r="AA256" s="17"/>
      <c r="AB256" t="n">
        <v>0</v>
      </c>
    </row>
    <row r="257">
      <c r="A257" s="8"/>
      <c r="B257" t="n" s="12">
        <v>1900252</v>
      </c>
      <c r="C257" t="str" s="8">
        <v>脊阴</v>
      </c>
      <c r="D257" t="str" s="12">
        <v>本轮补齐</v>
      </c>
      <c r="E257" t="n" s="12">
        <v>252</v>
      </c>
      <c r="F257" t="str" s="18">
        <v>魔化雪脊灵狼</v>
      </c>
      <c r="G257" t="str" s="17">
        <v>区域随机</v>
      </c>
      <c r="H257" t="n" s="12">
        <v>60551900</v>
      </c>
      <c r="I257" t="n" s="12">
        <v>2</v>
      </c>
      <c r="J257" s="17"/>
      <c r="K257" s="17"/>
      <c r="L257"/>
      <c r="M257" s="17"/>
      <c r="N257"/>
      <c r="O257" s="17"/>
      <c r="P257"/>
      <c r="Q257" s="17"/>
      <c r="R257"/>
      <c r="S257" s="17"/>
      <c r="T257"/>
      <c r="U257" s="17"/>
      <c r="V257"/>
      <c r="W257" s="17"/>
      <c r="X257"/>
      <c r="Y257" s="17"/>
      <c r="Z257"/>
      <c r="AA257" s="17"/>
      <c r="AB257" t="n">
        <v>0</v>
      </c>
    </row>
    <row r="258">
      <c r="A258" s="8"/>
      <c r="B258" t="n" s="12">
        <v>1900253</v>
      </c>
      <c r="C258" t="str" s="8">
        <v>脊阴</v>
      </c>
      <c r="D258" t="str" s="12">
        <v>本轮补齐</v>
      </c>
      <c r="E258" t="n" s="12">
        <v>253</v>
      </c>
      <c r="F258" t="str" s="18">
        <v>魔化霰坡岩蟹·异种</v>
      </c>
      <c r="G258" t="str" s="17">
        <v>区域随机</v>
      </c>
      <c r="H258" t="n" s="12">
        <v>60552902</v>
      </c>
      <c r="I258" t="n" s="12">
        <v>1</v>
      </c>
      <c r="J258" s="17"/>
      <c r="K258" s="17"/>
      <c r="L258"/>
      <c r="M258" s="17"/>
      <c r="N258"/>
      <c r="O258" s="17"/>
      <c r="P258"/>
      <c r="Q258" s="17"/>
      <c r="R258"/>
      <c r="S258" s="17"/>
      <c r="T258"/>
      <c r="U258" s="17"/>
      <c r="V258"/>
      <c r="W258" s="17"/>
      <c r="X258"/>
      <c r="Y258" s="17"/>
      <c r="Z258"/>
      <c r="AA258" s="17"/>
      <c r="AB258" t="n">
        <v>0</v>
      </c>
    </row>
    <row r="259">
      <c r="A259" s="8"/>
      <c r="B259" t="n" s="12">
        <v>1900254</v>
      </c>
      <c r="C259" t="str" s="8">
        <v>回光藓</v>
      </c>
      <c r="D259" t="str" s="12">
        <v>本轮补齐</v>
      </c>
      <c r="E259" t="n" s="12">
        <v>254</v>
      </c>
      <c r="F259" t="str" s="18">
        <v>绝顶灵狼·异种</v>
      </c>
      <c r="G259" t="str" s="17">
        <v>区域随机</v>
      </c>
      <c r="H259" t="n" s="12">
        <v>60602901</v>
      </c>
      <c r="I259" t="n" s="12">
        <v>1</v>
      </c>
      <c r="J259" s="17"/>
      <c r="K259" s="17"/>
      <c r="L259"/>
      <c r="M259" s="17"/>
      <c r="N259"/>
      <c r="O259" s="17"/>
      <c r="P259"/>
      <c r="Q259" s="17"/>
      <c r="R259"/>
      <c r="S259" s="17"/>
      <c r="T259"/>
      <c r="U259" s="17"/>
      <c r="V259"/>
      <c r="W259" s="17"/>
      <c r="X259"/>
      <c r="Y259" s="17"/>
      <c r="Z259"/>
      <c r="AA259" s="17"/>
      <c r="AB259" t="n">
        <v>0</v>
      </c>
    </row>
    <row r="260">
      <c r="A260" s="8"/>
      <c r="B260" t="n" s="12">
        <v>1900255</v>
      </c>
      <c r="C260" t="str" s="8">
        <v>风偃枝</v>
      </c>
      <c r="D260" t="str" s="12">
        <v>本轮补齐</v>
      </c>
      <c r="E260" t="n" s="12">
        <v>255</v>
      </c>
      <c r="F260" t="str" s="18">
        <v>绝顶灵狼·异种</v>
      </c>
      <c r="G260" t="str" s="17">
        <v>区域随机</v>
      </c>
      <c r="H260" t="n" s="12">
        <v>60612901</v>
      </c>
      <c r="I260" t="n" s="12">
        <v>1</v>
      </c>
      <c r="J260" s="17"/>
      <c r="K260" s="17"/>
      <c r="L260"/>
      <c r="M260" s="17"/>
      <c r="N260"/>
      <c r="O260" s="17"/>
      <c r="P260"/>
      <c r="Q260" s="17"/>
      <c r="R260"/>
      <c r="S260" s="17"/>
      <c r="T260"/>
      <c r="U260" s="17"/>
      <c r="V260"/>
      <c r="W260" s="17"/>
      <c r="X260"/>
      <c r="Y260" s="17"/>
      <c r="Z260"/>
      <c r="AA260" s="17"/>
      <c r="AB260" t="n">
        <v>0</v>
      </c>
    </row>
    <row r="261">
      <c r="A261" s="8"/>
      <c r="B261" t="n" s="12">
        <v>1900256</v>
      </c>
      <c r="C261" t="str" s="8">
        <v>坠尽渊</v>
      </c>
      <c r="D261" t="str" s="12">
        <v>本轮补齐</v>
      </c>
      <c r="E261" t="n" s="12">
        <v>256</v>
      </c>
      <c r="F261" t="str" s="18">
        <v>绝顶灵狼·首领</v>
      </c>
      <c r="G261" t="str" s="17">
        <v>区域随机</v>
      </c>
      <c r="H261" t="n" s="12">
        <v>60634905</v>
      </c>
      <c r="I261" t="n" s="12">
        <v>1</v>
      </c>
      <c r="J261" s="17"/>
      <c r="K261" s="17"/>
      <c r="L261"/>
      <c r="M261" s="17"/>
      <c r="N261"/>
      <c r="O261" s="17"/>
      <c r="P261"/>
      <c r="Q261" s="17"/>
      <c r="R261"/>
      <c r="S261" s="17"/>
      <c r="T261"/>
      <c r="U261" s="17"/>
      <c r="V261"/>
      <c r="W261" s="17"/>
      <c r="X261"/>
      <c r="Y261" s="17"/>
      <c r="Z261"/>
      <c r="AA261" s="17"/>
      <c r="AB261" t="n">
        <v>0</v>
      </c>
    </row>
  </sheetData>
  <autoFilter xmlns:etc="http://www.wps.cn/officeDocument/2017/etCustomData" ref="A4:AB209" etc:filterBottomFollowUsedRange="0">
    <extLst/>
  </autoFilter>
  <mergeCells count="2">
    <mergeCell ref="H1:AA1"/>
    <mergeCell ref="H2:AA2"/>
  </mergeCells>
  <conditionalFormatting sqref="G26">
    <cfRule type="duplicateValues" dxfId="0" priority="12"/>
  </conditionalFormatting>
  <conditionalFormatting sqref="G37">
    <cfRule type="duplicateValues" dxfId="0" priority="625"/>
  </conditionalFormatting>
  <conditionalFormatting sqref="G61">
    <cfRule type="duplicateValues" dxfId="0" priority="7"/>
  </conditionalFormatting>
  <conditionalFormatting sqref="G71">
    <cfRule type="duplicateValues" dxfId="0" priority="6"/>
  </conditionalFormatting>
  <conditionalFormatting sqref="G75">
    <cfRule type="duplicateValues" dxfId="0" priority="5"/>
  </conditionalFormatting>
  <conditionalFormatting sqref="G85">
    <cfRule type="duplicateValues" dxfId="0" priority="4"/>
  </conditionalFormatting>
  <conditionalFormatting sqref="G89">
    <cfRule type="duplicateValues" dxfId="0" priority="3"/>
  </conditionalFormatting>
  <conditionalFormatting sqref="G101">
    <cfRule type="duplicateValues" dxfId="0" priority="2"/>
  </conditionalFormatting>
  <conditionalFormatting sqref="G105">
    <cfRule type="duplicateValues" dxfId="0" priority="1"/>
  </conditionalFormatting>
  <conditionalFormatting sqref="G3:G4">
    <cfRule type="duplicateValues" dxfId="0" priority="15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2"/>
  <sheetViews>
    <sheetView workbookViewId="0">
      <selection activeCell="B8" sqref="B8"/>
    </sheetView>
  </sheetViews>
  <sheetFormatPr defaultColWidth="9" defaultRowHeight="14.4" outlineLevelCol="1"/>
  <cols>
    <col min="2" max="2" width="81.0925925925926" style="1" customWidth="1"/>
  </cols>
  <sheetData>
    <row r="1" spans="1:2">
      <c r="A1" t="s">
        <v>287</v>
      </c>
      <c r="B1" t="s">
        <v>288</v>
      </c>
    </row>
    <row r="2" spans="1:2">
      <c r="A2" t="s">
        <v>289</v>
      </c>
      <c r="B2" t="s">
        <v>290</v>
      </c>
    </row>
    <row r="3" spans="1:2">
      <c r="A3" t="s">
        <v>291</v>
      </c>
      <c r="B3" t="s">
        <v>292</v>
      </c>
    </row>
    <row r="4" spans="1:2">
      <c r="A4" t="s">
        <v>293</v>
      </c>
      <c r="B4" t="s">
        <v>294</v>
      </c>
    </row>
    <row r="5" spans="1:2">
      <c r="A5" t="s">
        <v>295</v>
      </c>
      <c r="B5" t="s">
        <v>296</v>
      </c>
    </row>
    <row r="6" spans="1:2">
      <c r="A6" t="s">
        <v>297</v>
      </c>
      <c r="B6" t="s">
        <v>298</v>
      </c>
    </row>
    <row r="7" spans="1:2">
      <c r="A7" t="s">
        <v>299</v>
      </c>
      <c r="B7" t="s">
        <v>300</v>
      </c>
    </row>
    <row r="8" spans="1:2">
      <c r="A8" t="s">
        <v>301</v>
      </c>
    </row>
    <row r="9" spans="1:2">
      <c r="A9" t="s">
        <v>302</v>
      </c>
    </row>
    <row r="10" spans="1:2">
      <c r="A10" t="s">
        <v>303</v>
      </c>
    </row>
    <row r="11" spans="1:2">
      <c r="A11" t="s">
        <v>304</v>
      </c>
    </row>
    <row r="12" spans="1:2">
      <c r="A12" t="s">
        <v>305</v>
      </c>
    </row>
    <row r="13" spans="1:2">
      <c r="A13" t="s">
        <v>306</v>
      </c>
    </row>
    <row r="14" spans="1:2">
      <c r="A14" t="s">
        <v>307</v>
      </c>
    </row>
    <row r="15" spans="1:2">
      <c r="A15" t="s">
        <v>308</v>
      </c>
    </row>
    <row r="16" spans="1:2">
      <c r="A16" t="s">
        <v>309</v>
      </c>
    </row>
    <row r="17" spans="1:1">
      <c r="A17" t="s">
        <v>310</v>
      </c>
    </row>
    <row r="18" spans="1:1">
      <c r="A18" t="s">
        <v>311</v>
      </c>
    </row>
    <row r="19" spans="1:1">
      <c r="A19" t="s">
        <v>312</v>
      </c>
    </row>
    <row r="20" spans="1:1">
      <c r="A20" t="s">
        <v>313</v>
      </c>
    </row>
    <row r="21" spans="1:1">
      <c r="A21" t="s">
        <v>314</v>
      </c>
    </row>
    <row r="22" spans="1:1">
      <c r="A22" t="s">
        <v>315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77"/>
  <sheetViews>
    <sheetView workbookViewId="0">
      <selection activeCell="C14" sqref="C14"/>
    </sheetView>
  </sheetViews>
  <sheetFormatPr defaultColWidth="9" defaultRowHeight="14.4"/>
  <cols>
    <col min="2" max="3" width="12.7222222222222" style="10" customWidth="1"/>
    <col min="4" max="7" width="11" style="1" customWidth="1"/>
    <col min="8" max="8" width="9.36111111111111" style="1" customWidth="1"/>
    <col min="10" max="10" width="9.36111111111111" style="1" customWidth="1"/>
    <col min="12" max="12" width="9.36111111111111" style="1" customWidth="1"/>
    <col min="14" max="14" width="9.36111111111111" style="1" customWidth="1"/>
    <col min="16" max="16" width="9.36111111111111" style="1" customWidth="1"/>
    <col min="18" max="18" width="9.36111111111111" style="1" customWidth="1"/>
    <col min="20" max="20" width="9.36111111111111" style="1" customWidth="1"/>
    <col min="22" max="22" width="9.36111111111111" style="1" customWidth="1"/>
  </cols>
  <sheetData>
    <row r="1" s="10" customFormat="1" spans="1:23">
      <c r="A1" s="10" t="s">
        <v>13</v>
      </c>
      <c r="B1" s="10" t="s">
        <v>14</v>
      </c>
      <c r="C1" s="10" t="s">
        <v>18</v>
      </c>
      <c r="D1" s="10" t="s">
        <v>19</v>
      </c>
      <c r="E1" t="s">
        <v>20</v>
      </c>
      <c r="F1" s="10" t="s">
        <v>21</v>
      </c>
      <c r="G1" t="s">
        <v>22</v>
      </c>
      <c r="H1" s="10" t="s">
        <v>23</v>
      </c>
      <c r="I1" t="s">
        <v>24</v>
      </c>
      <c r="J1" s="10" t="s">
        <v>25</v>
      </c>
      <c r="K1" t="s">
        <v>26</v>
      </c>
      <c r="L1" s="10" t="s">
        <v>27</v>
      </c>
      <c r="M1" t="s">
        <v>28</v>
      </c>
      <c r="N1" s="10" t="s">
        <v>29</v>
      </c>
      <c r="O1" t="s">
        <v>30</v>
      </c>
      <c r="P1" s="10" t="s">
        <v>31</v>
      </c>
      <c r="Q1" t="s">
        <v>32</v>
      </c>
      <c r="R1" s="10" t="s">
        <v>33</v>
      </c>
      <c r="S1" t="s">
        <v>34</v>
      </c>
      <c r="T1" s="10" t="s">
        <v>35</v>
      </c>
      <c r="U1" t="s">
        <v>36</v>
      </c>
      <c r="V1" s="10" t="s">
        <v>37</v>
      </c>
      <c r="W1" t="s">
        <v>38</v>
      </c>
    </row>
    <row r="2" s="10" customFormat="1" spans="1:23">
      <c r="A2" s="10" t="s">
        <v>1</v>
      </c>
      <c r="C2" s="10" t="s">
        <v>2</v>
      </c>
      <c r="D2" s="10" t="s">
        <v>316</v>
      </c>
      <c r="E2" s="10" t="s">
        <v>317</v>
      </c>
      <c r="F2" s="10" t="s">
        <v>318</v>
      </c>
      <c r="G2" s="10" t="s">
        <v>319</v>
      </c>
      <c r="H2" s="10" t="s">
        <v>320</v>
      </c>
      <c r="I2" s="10" t="s">
        <v>321</v>
      </c>
      <c r="J2" s="10" t="s">
        <v>322</v>
      </c>
      <c r="K2" s="10" t="s">
        <v>323</v>
      </c>
      <c r="L2" s="10" t="s">
        <v>324</v>
      </c>
      <c r="M2" s="10" t="s">
        <v>325</v>
      </c>
      <c r="N2" s="10" t="s">
        <v>326</v>
      </c>
      <c r="O2" s="10" t="s">
        <v>327</v>
      </c>
      <c r="P2" s="10" t="s">
        <v>328</v>
      </c>
      <c r="Q2" s="10" t="s">
        <v>329</v>
      </c>
      <c r="R2" s="10" t="s">
        <v>330</v>
      </c>
      <c r="S2" s="10" t="s">
        <v>331</v>
      </c>
      <c r="T2" s="10" t="s">
        <v>332</v>
      </c>
      <c r="U2" s="10" t="s">
        <v>333</v>
      </c>
      <c r="V2" s="10" t="s">
        <v>334</v>
      </c>
      <c r="W2" s="10" t="s">
        <v>335</v>
      </c>
    </row>
    <row r="3" spans="1:23">
      <c r="A3">
        <v>1</v>
      </c>
      <c r="B3" s="10" t="s">
        <v>336</v>
      </c>
      <c r="C3" s="10" t="s">
        <v>43</v>
      </c>
      <c r="D3">
        <v>60011037</v>
      </c>
      <c r="E3">
        <v>2</v>
      </c>
      <c r="F3">
        <v>60011090</v>
      </c>
      <c r="G3">
        <v>2</v>
      </c>
      <c r="H3">
        <v>60371001</v>
      </c>
      <c r="I3">
        <v>2</v>
      </c>
      <c r="J3">
        <v>60011033</v>
      </c>
      <c r="K3">
        <v>2</v>
      </c>
      <c r="L3">
        <v>60011035</v>
      </c>
      <c r="M3">
        <v>2</v>
      </c>
      <c r="N3">
        <v>60371009</v>
      </c>
      <c r="O3">
        <v>2</v>
      </c>
      <c r="P3">
        <v>60011016</v>
      </c>
      <c r="Q3">
        <v>2</v>
      </c>
      <c r="R3">
        <v>60011090</v>
      </c>
      <c r="S3">
        <v>2</v>
      </c>
      <c r="T3">
        <v>60011081</v>
      </c>
      <c r="U3">
        <v>2</v>
      </c>
      <c r="V3">
        <v>60371011</v>
      </c>
      <c r="W3">
        <v>2</v>
      </c>
    </row>
    <row r="4" spans="1:23">
      <c r="A4">
        <v>2</v>
      </c>
      <c r="B4" s="10" t="s">
        <v>337</v>
      </c>
      <c r="C4" s="10" t="s">
        <v>43</v>
      </c>
      <c r="D4">
        <v>60011119</v>
      </c>
      <c r="E4">
        <v>1</v>
      </c>
      <c r="F4">
        <v>60011105</v>
      </c>
      <c r="G4">
        <v>1</v>
      </c>
      <c r="H4">
        <v>60371107</v>
      </c>
      <c r="I4">
        <v>1</v>
      </c>
      <c r="J4">
        <v>60011106</v>
      </c>
      <c r="K4">
        <v>1</v>
      </c>
      <c r="L4">
        <v>60011127</v>
      </c>
      <c r="M4">
        <v>1</v>
      </c>
    </row>
    <row r="5" spans="1:23">
      <c r="A5">
        <v>3</v>
      </c>
      <c r="B5" s="10" t="s">
        <v>337</v>
      </c>
      <c r="C5" s="10" t="s">
        <v>43</v>
      </c>
      <c r="D5">
        <v>60011106</v>
      </c>
      <c r="E5">
        <v>1</v>
      </c>
      <c r="F5">
        <v>60011127</v>
      </c>
      <c r="G5">
        <v>1</v>
      </c>
    </row>
    <row r="6" spans="1:23">
      <c r="A6">
        <v>4</v>
      </c>
      <c r="B6" s="10" t="s">
        <v>338</v>
      </c>
      <c r="C6" s="10" t="s">
        <v>43</v>
      </c>
      <c r="D6">
        <v>60011105</v>
      </c>
      <c r="E6">
        <v>1</v>
      </c>
      <c r="F6">
        <v>60371107</v>
      </c>
      <c r="G6">
        <v>1</v>
      </c>
      <c r="H6">
        <v>60011106</v>
      </c>
      <c r="I6">
        <v>1</v>
      </c>
      <c r="J6">
        <v>60011127</v>
      </c>
      <c r="K6">
        <v>1</v>
      </c>
      <c r="L6">
        <v>60011121</v>
      </c>
      <c r="M6">
        <v>1</v>
      </c>
    </row>
    <row r="7" spans="1:23">
      <c r="A7">
        <v>5</v>
      </c>
      <c r="B7" s="10" t="s">
        <v>339</v>
      </c>
      <c r="C7" s="10" t="s">
        <v>43</v>
      </c>
      <c r="D7">
        <v>60011105</v>
      </c>
      <c r="E7">
        <v>6</v>
      </c>
      <c r="F7">
        <v>60371107</v>
      </c>
      <c r="G7">
        <v>6</v>
      </c>
      <c r="H7">
        <v>60011106</v>
      </c>
      <c r="I7">
        <v>6</v>
      </c>
      <c r="J7">
        <v>60011127</v>
      </c>
      <c r="K7">
        <v>6</v>
      </c>
      <c r="L7">
        <v>60011121</v>
      </c>
      <c r="M7">
        <v>6</v>
      </c>
      <c r="N7">
        <v>60371124</v>
      </c>
      <c r="O7">
        <v>6</v>
      </c>
    </row>
    <row r="8" spans="1:23">
      <c r="A8">
        <v>6</v>
      </c>
      <c r="B8" s="10" t="s">
        <v>340</v>
      </c>
      <c r="C8" s="10" t="s">
        <v>82</v>
      </c>
      <c r="D8">
        <v>60011132</v>
      </c>
      <c r="E8">
        <v>1</v>
      </c>
    </row>
    <row r="9" spans="1:23">
      <c r="A9">
        <v>7</v>
      </c>
      <c r="B9" s="10" t="s">
        <v>340</v>
      </c>
      <c r="C9" s="10" t="s">
        <v>43</v>
      </c>
      <c r="D9">
        <v>60011105</v>
      </c>
      <c r="E9">
        <v>4</v>
      </c>
      <c r="F9">
        <v>60371107</v>
      </c>
      <c r="G9">
        <v>4</v>
      </c>
      <c r="H9">
        <v>60011106</v>
      </c>
      <c r="I9">
        <v>4</v>
      </c>
      <c r="J9">
        <v>60011127</v>
      </c>
      <c r="K9">
        <v>4</v>
      </c>
      <c r="L9">
        <v>60011121</v>
      </c>
      <c r="M9">
        <v>4</v>
      </c>
      <c r="N9">
        <v>60371124</v>
      </c>
      <c r="O9">
        <v>4</v>
      </c>
    </row>
    <row r="10" spans="1:23">
      <c r="A10">
        <v>8</v>
      </c>
      <c r="B10" s="10" t="s">
        <v>341</v>
      </c>
      <c r="C10" s="10" t="s">
        <v>43</v>
      </c>
      <c r="D10">
        <v>60011014</v>
      </c>
      <c r="E10">
        <v>1</v>
      </c>
      <c r="F10">
        <v>60011026</v>
      </c>
      <c r="G10">
        <v>1</v>
      </c>
      <c r="H10">
        <v>60011032</v>
      </c>
      <c r="I10">
        <v>1</v>
      </c>
      <c r="J10">
        <v>60371024</v>
      </c>
      <c r="K10">
        <v>1</v>
      </c>
      <c r="L10">
        <v>60011019</v>
      </c>
      <c r="M10">
        <v>1</v>
      </c>
    </row>
    <row r="11" spans="1:23">
      <c r="A11">
        <v>9</v>
      </c>
      <c r="B11" s="10" t="s">
        <v>342</v>
      </c>
      <c r="C11" s="10" t="s">
        <v>43</v>
      </c>
      <c r="D11">
        <v>60011014</v>
      </c>
      <c r="E11">
        <v>1</v>
      </c>
      <c r="F11">
        <v>60011032</v>
      </c>
      <c r="G11">
        <v>1</v>
      </c>
      <c r="H11">
        <v>60371024</v>
      </c>
      <c r="I11">
        <v>1</v>
      </c>
      <c r="J11">
        <v>60011019</v>
      </c>
      <c r="K11">
        <v>1</v>
      </c>
      <c r="L11">
        <v>60011022</v>
      </c>
      <c r="M11">
        <v>1</v>
      </c>
    </row>
    <row r="12" spans="1:23">
      <c r="A12">
        <v>10</v>
      </c>
      <c r="B12" s="10" t="s">
        <v>343</v>
      </c>
      <c r="C12" s="10" t="s">
        <v>82</v>
      </c>
      <c r="D12">
        <v>60011028</v>
      </c>
      <c r="E12">
        <v>1</v>
      </c>
    </row>
    <row r="13" spans="1:23">
      <c r="A13">
        <v>11</v>
      </c>
      <c r="B13" s="10" t="s">
        <v>344</v>
      </c>
      <c r="C13" s="10" t="s">
        <v>43</v>
      </c>
      <c r="D13">
        <v>60011032</v>
      </c>
      <c r="E13">
        <v>1</v>
      </c>
      <c r="F13">
        <v>60371059</v>
      </c>
      <c r="G13">
        <v>1</v>
      </c>
      <c r="H13">
        <v>60371061</v>
      </c>
      <c r="I13">
        <v>1</v>
      </c>
      <c r="J13">
        <v>60371063</v>
      </c>
      <c r="K13">
        <v>1</v>
      </c>
      <c r="L13" s="11">
        <v>60371065</v>
      </c>
      <c r="M13">
        <v>1</v>
      </c>
      <c r="N13">
        <v>60371067</v>
      </c>
      <c r="O13">
        <v>1</v>
      </c>
      <c r="P13">
        <v>60371397</v>
      </c>
      <c r="Q13">
        <v>1</v>
      </c>
    </row>
    <row r="14" spans="1:23">
      <c r="A14">
        <v>12</v>
      </c>
      <c r="B14" s="10" t="s">
        <v>345</v>
      </c>
      <c r="C14" s="10" t="s">
        <v>43</v>
      </c>
      <c r="D14">
        <v>60371069</v>
      </c>
      <c r="E14">
        <v>5</v>
      </c>
    </row>
    <row r="15" spans="1:23">
      <c r="A15">
        <v>13</v>
      </c>
      <c r="B15" s="10" t="s">
        <v>346</v>
      </c>
      <c r="C15" s="10" t="s">
        <v>43</v>
      </c>
      <c r="D15">
        <v>60371091</v>
      </c>
      <c r="E15">
        <v>1</v>
      </c>
      <c r="F15">
        <v>60371101</v>
      </c>
      <c r="G15">
        <v>1</v>
      </c>
      <c r="H15">
        <v>60371103</v>
      </c>
      <c r="I15">
        <v>2</v>
      </c>
      <c r="J15">
        <v>60371094</v>
      </c>
      <c r="K15">
        <v>1</v>
      </c>
      <c r="L15">
        <v>60371096</v>
      </c>
      <c r="M15">
        <v>1</v>
      </c>
    </row>
    <row r="16" spans="1:23">
      <c r="A16">
        <v>14</v>
      </c>
      <c r="B16" s="10" t="s">
        <v>347</v>
      </c>
      <c r="C16" s="10" t="s">
        <v>43</v>
      </c>
      <c r="D16">
        <v>60371091</v>
      </c>
      <c r="E16">
        <v>1</v>
      </c>
      <c r="F16">
        <v>60371101</v>
      </c>
      <c r="G16">
        <v>1</v>
      </c>
      <c r="H16">
        <v>60371094</v>
      </c>
      <c r="I16">
        <v>1</v>
      </c>
      <c r="J16">
        <v>60371096</v>
      </c>
      <c r="K16">
        <v>1</v>
      </c>
    </row>
    <row r="17" spans="1:15">
      <c r="A17">
        <v>15</v>
      </c>
      <c r="B17" s="10" t="s">
        <v>348</v>
      </c>
      <c r="C17" s="10" t="s">
        <v>43</v>
      </c>
      <c r="D17">
        <v>60371091</v>
      </c>
      <c r="E17">
        <v>1</v>
      </c>
      <c r="F17">
        <v>60371101</v>
      </c>
      <c r="G17">
        <v>1</v>
      </c>
      <c r="H17">
        <v>60371103</v>
      </c>
      <c r="I17">
        <v>2</v>
      </c>
      <c r="J17">
        <v>60371094</v>
      </c>
      <c r="K17">
        <v>1</v>
      </c>
      <c r="L17">
        <v>60371096</v>
      </c>
      <c r="M17">
        <v>1</v>
      </c>
    </row>
    <row r="18" spans="1:15">
      <c r="A18">
        <v>16</v>
      </c>
      <c r="B18" s="10" t="s">
        <v>348</v>
      </c>
      <c r="C18" s="10" t="s">
        <v>82</v>
      </c>
      <c r="D18">
        <v>60371093</v>
      </c>
      <c r="E18">
        <v>1</v>
      </c>
    </row>
    <row r="19" spans="1:15">
      <c r="A19">
        <v>17</v>
      </c>
      <c r="B19" s="10" t="s">
        <v>349</v>
      </c>
      <c r="C19" s="10" t="s">
        <v>43</v>
      </c>
      <c r="D19">
        <v>60011121</v>
      </c>
      <c r="E19">
        <v>1</v>
      </c>
      <c r="F19">
        <v>60371124</v>
      </c>
      <c r="G19">
        <v>1</v>
      </c>
      <c r="H19">
        <v>60011127</v>
      </c>
      <c r="I19">
        <v>1</v>
      </c>
      <c r="J19">
        <v>60371002</v>
      </c>
      <c r="K19">
        <v>1</v>
      </c>
    </row>
    <row r="20" spans="1:15">
      <c r="A20">
        <v>18</v>
      </c>
      <c r="B20" s="10" t="s">
        <v>349</v>
      </c>
      <c r="C20" s="10" t="s">
        <v>82</v>
      </c>
      <c r="D20">
        <v>60011132</v>
      </c>
      <c r="E20">
        <v>1</v>
      </c>
    </row>
    <row r="21" spans="1:15">
      <c r="A21">
        <v>19</v>
      </c>
      <c r="B21" s="10" t="s">
        <v>350</v>
      </c>
      <c r="C21" s="10" t="s">
        <v>43</v>
      </c>
      <c r="D21">
        <v>60371057</v>
      </c>
      <c r="E21">
        <v>1</v>
      </c>
      <c r="F21">
        <v>60371040</v>
      </c>
      <c r="G21">
        <v>1</v>
      </c>
      <c r="H21">
        <v>60371042</v>
      </c>
      <c r="I21">
        <v>1</v>
      </c>
      <c r="J21">
        <v>60371044</v>
      </c>
      <c r="K21">
        <v>1</v>
      </c>
    </row>
    <row r="22" spans="1:15">
      <c r="A22">
        <v>20</v>
      </c>
      <c r="B22" s="10" t="s">
        <v>351</v>
      </c>
      <c r="C22" s="10" t="s">
        <v>43</v>
      </c>
      <c r="D22">
        <v>60371042</v>
      </c>
      <c r="E22">
        <v>1</v>
      </c>
      <c r="F22">
        <v>60371044</v>
      </c>
      <c r="G22">
        <v>1</v>
      </c>
      <c r="H22">
        <v>60371046</v>
      </c>
      <c r="I22">
        <v>1</v>
      </c>
      <c r="J22">
        <v>60371055</v>
      </c>
      <c r="K22">
        <v>1</v>
      </c>
    </row>
    <row r="23" spans="1:15">
      <c r="A23">
        <v>21</v>
      </c>
      <c r="B23" s="10" t="s">
        <v>352</v>
      </c>
      <c r="C23" s="10" t="s">
        <v>43</v>
      </c>
      <c r="D23">
        <v>60371042</v>
      </c>
      <c r="E23">
        <v>1</v>
      </c>
      <c r="F23">
        <v>60371044</v>
      </c>
      <c r="G23">
        <v>1</v>
      </c>
      <c r="H23">
        <v>60371046</v>
      </c>
      <c r="I23">
        <v>1</v>
      </c>
      <c r="J23">
        <v>60371055</v>
      </c>
      <c r="K23">
        <v>1</v>
      </c>
    </row>
    <row r="24" spans="1:15">
      <c r="A24">
        <v>22</v>
      </c>
      <c r="B24" s="10" t="s">
        <v>352</v>
      </c>
      <c r="C24" s="10" t="s">
        <v>82</v>
      </c>
      <c r="D24">
        <v>60371053</v>
      </c>
      <c r="E24">
        <v>1</v>
      </c>
    </row>
    <row r="25" spans="1:15">
      <c r="A25">
        <v>23</v>
      </c>
      <c r="B25" s="10" t="s">
        <v>353</v>
      </c>
      <c r="C25" s="10" t="s">
        <v>43</v>
      </c>
      <c r="D25">
        <v>60371094</v>
      </c>
      <c r="E25">
        <v>1</v>
      </c>
      <c r="F25">
        <v>60371107</v>
      </c>
      <c r="G25">
        <v>1</v>
      </c>
      <c r="H25">
        <v>60371108</v>
      </c>
      <c r="I25">
        <v>1</v>
      </c>
      <c r="J25">
        <v>60371110</v>
      </c>
      <c r="K25">
        <v>1</v>
      </c>
    </row>
    <row r="26" spans="1:15">
      <c r="A26">
        <v>24</v>
      </c>
      <c r="B26" s="10" t="s">
        <v>354</v>
      </c>
      <c r="C26" s="10" t="s">
        <v>43</v>
      </c>
      <c r="D26">
        <v>60371107</v>
      </c>
      <c r="E26">
        <v>1</v>
      </c>
      <c r="F26">
        <v>60371108</v>
      </c>
      <c r="G26">
        <v>1</v>
      </c>
      <c r="H26">
        <v>60371110</v>
      </c>
      <c r="I26">
        <v>1</v>
      </c>
      <c r="J26">
        <v>60371115</v>
      </c>
      <c r="K26">
        <v>1</v>
      </c>
      <c r="L26">
        <v>60011105</v>
      </c>
      <c r="M26">
        <v>1</v>
      </c>
      <c r="N26">
        <v>60011106</v>
      </c>
      <c r="O26">
        <v>1</v>
      </c>
    </row>
    <row r="27" spans="1:15">
      <c r="A27">
        <v>25</v>
      </c>
      <c r="B27" s="10" t="s">
        <v>355</v>
      </c>
      <c r="C27" s="10" t="s">
        <v>43</v>
      </c>
      <c r="D27">
        <v>60371107</v>
      </c>
      <c r="E27">
        <v>1</v>
      </c>
      <c r="F27">
        <v>60371108</v>
      </c>
      <c r="G27">
        <v>1</v>
      </c>
      <c r="H27">
        <v>60371110</v>
      </c>
      <c r="I27">
        <v>1</v>
      </c>
      <c r="J27">
        <v>60371115</v>
      </c>
      <c r="K27">
        <v>1</v>
      </c>
      <c r="L27">
        <v>60011105</v>
      </c>
      <c r="M27">
        <v>1</v>
      </c>
      <c r="N27">
        <v>60011106</v>
      </c>
      <c r="O27">
        <v>1</v>
      </c>
    </row>
    <row r="28" spans="1:15">
      <c r="A28">
        <v>26</v>
      </c>
      <c r="B28" s="10" t="s">
        <v>356</v>
      </c>
      <c r="C28" s="10" t="s">
        <v>43</v>
      </c>
      <c r="D28">
        <v>60371094</v>
      </c>
      <c r="E28">
        <v>1</v>
      </c>
      <c r="F28">
        <v>60371112</v>
      </c>
      <c r="G28">
        <v>2</v>
      </c>
      <c r="H28">
        <v>60011105</v>
      </c>
      <c r="I28">
        <v>1</v>
      </c>
      <c r="J28">
        <v>60011106</v>
      </c>
      <c r="K28">
        <v>1</v>
      </c>
    </row>
    <row r="29" spans="1:15">
      <c r="A29">
        <v>27</v>
      </c>
      <c r="B29" s="10" t="s">
        <v>356</v>
      </c>
      <c r="C29" s="10" t="s">
        <v>82</v>
      </c>
      <c r="D29">
        <v>60371206</v>
      </c>
      <c r="E29">
        <v>1</v>
      </c>
    </row>
    <row r="30" spans="1:15">
      <c r="A30">
        <v>28</v>
      </c>
      <c r="B30" s="10" t="s">
        <v>357</v>
      </c>
      <c r="C30" s="10" t="s">
        <v>43</v>
      </c>
      <c r="D30">
        <v>60371207</v>
      </c>
      <c r="E30">
        <v>1</v>
      </c>
      <c r="F30">
        <v>60371140</v>
      </c>
      <c r="G30">
        <v>1</v>
      </c>
      <c r="H30">
        <v>60371075</v>
      </c>
      <c r="I30">
        <v>1</v>
      </c>
    </row>
    <row r="31" spans="1:15">
      <c r="A31">
        <v>29</v>
      </c>
      <c r="B31" s="10" t="s">
        <v>358</v>
      </c>
      <c r="C31" s="10" t="s">
        <v>82</v>
      </c>
      <c r="D31">
        <v>60371265</v>
      </c>
      <c r="E31">
        <v>1</v>
      </c>
    </row>
    <row r="32" spans="1:15">
      <c r="A32">
        <v>30</v>
      </c>
      <c r="B32" s="10" t="s">
        <v>336</v>
      </c>
      <c r="C32" s="10" t="s">
        <v>82</v>
      </c>
      <c r="D32">
        <v>60371490</v>
      </c>
      <c r="E32">
        <v>1</v>
      </c>
    </row>
    <row r="33" spans="1:6">
      <c r="A33">
        <v>31</v>
      </c>
      <c r="B33" s="10" t="s">
        <v>336</v>
      </c>
      <c r="C33" s="10" t="s">
        <v>82</v>
      </c>
      <c r="D33">
        <v>60371491</v>
      </c>
      <c r="E33">
        <v>1</v>
      </c>
    </row>
    <row r="38" ht="14.25" customHeight="1" spans="1:6">
      <c r="A38">
        <v>1</v>
      </c>
      <c r="B38" s="3" t="s">
        <v>336</v>
      </c>
      <c r="D38" s="10" t="s">
        <v>359</v>
      </c>
      <c r="F38">
        <v>1000000</v>
      </c>
    </row>
    <row r="39" ht="14.25" customHeight="1" spans="1:6">
      <c r="A39">
        <v>2</v>
      </c>
      <c r="B39" s="3" t="s">
        <v>341</v>
      </c>
      <c r="D39" s="10" t="s">
        <v>360</v>
      </c>
    </row>
    <row r="40" ht="14.25" customHeight="1" spans="1:6">
      <c r="A40">
        <v>3</v>
      </c>
      <c r="B40" s="3" t="s">
        <v>342</v>
      </c>
      <c r="D40" s="10" t="s">
        <v>361</v>
      </c>
    </row>
    <row r="41" ht="14.25" customHeight="1" spans="1:6">
      <c r="A41">
        <v>4</v>
      </c>
      <c r="B41" s="3" t="s">
        <v>343</v>
      </c>
      <c r="D41" s="10" t="s">
        <v>362</v>
      </c>
    </row>
    <row r="42" ht="14.25" customHeight="1" spans="1:6">
      <c r="A42">
        <v>5</v>
      </c>
      <c r="B42" s="3" t="s">
        <v>344</v>
      </c>
      <c r="D42" s="10" t="s">
        <v>363</v>
      </c>
    </row>
    <row r="43" ht="14.25" customHeight="1" spans="1:6">
      <c r="A43">
        <v>6</v>
      </c>
      <c r="B43" s="3" t="s">
        <v>345</v>
      </c>
      <c r="D43" s="10" t="s">
        <v>364</v>
      </c>
    </row>
    <row r="44" ht="14.25" customHeight="1" spans="1:6">
      <c r="A44">
        <v>7</v>
      </c>
      <c r="B44" s="3" t="s">
        <v>346</v>
      </c>
      <c r="D44" s="10" t="s">
        <v>63</v>
      </c>
    </row>
    <row r="45" ht="14.25" customHeight="1" spans="1:6">
      <c r="A45">
        <v>8</v>
      </c>
      <c r="B45" s="3" t="s">
        <v>347</v>
      </c>
      <c r="D45" s="10" t="s">
        <v>269</v>
      </c>
    </row>
    <row r="46" ht="14.25" customHeight="1" spans="1:6">
      <c r="A46">
        <v>9</v>
      </c>
      <c r="B46" s="3" t="s">
        <v>348</v>
      </c>
    </row>
    <row r="47" ht="14.25" customHeight="1" spans="1:6">
      <c r="A47">
        <v>10</v>
      </c>
      <c r="B47" s="3" t="s">
        <v>349</v>
      </c>
    </row>
    <row r="48" ht="14.25" customHeight="1" spans="1:6">
      <c r="A48">
        <v>11</v>
      </c>
      <c r="B48" s="3" t="s">
        <v>350</v>
      </c>
    </row>
    <row r="49" ht="14.25" customHeight="1" spans="1:2">
      <c r="A49">
        <v>12</v>
      </c>
      <c r="B49" s="3" t="s">
        <v>351</v>
      </c>
    </row>
    <row r="50" ht="14.25" customHeight="1" spans="1:2">
      <c r="A50">
        <v>13</v>
      </c>
      <c r="B50" s="3" t="s">
        <v>352</v>
      </c>
    </row>
    <row r="51" ht="14.25" customHeight="1" spans="1:2">
      <c r="A51">
        <v>14</v>
      </c>
      <c r="B51" s="3" t="s">
        <v>353</v>
      </c>
    </row>
    <row r="52" ht="14.25" customHeight="1" spans="1:2">
      <c r="A52">
        <v>15</v>
      </c>
      <c r="B52" s="3" t="s">
        <v>354</v>
      </c>
    </row>
    <row r="53" ht="14.25" customHeight="1" spans="1:2">
      <c r="A53">
        <v>16</v>
      </c>
      <c r="B53" s="3" t="s">
        <v>355</v>
      </c>
    </row>
    <row r="54" ht="14.25" customHeight="1" spans="1:2">
      <c r="A54">
        <v>17</v>
      </c>
      <c r="B54" s="3" t="s">
        <v>365</v>
      </c>
    </row>
    <row r="55" ht="14.25" customHeight="1" spans="1:2">
      <c r="A55">
        <v>18</v>
      </c>
      <c r="B55" s="3" t="s">
        <v>357</v>
      </c>
    </row>
    <row r="56" ht="14.25" customHeight="1" spans="1:2">
      <c r="A56">
        <v>19</v>
      </c>
      <c r="B56" s="3" t="s">
        <v>358</v>
      </c>
    </row>
    <row r="57" ht="14.25" customHeight="1" spans="1:2">
      <c r="A57">
        <v>20</v>
      </c>
      <c r="B57" s="3" t="s">
        <v>337</v>
      </c>
    </row>
    <row r="58" ht="14.25" customHeight="1" spans="1:2">
      <c r="A58">
        <v>21</v>
      </c>
      <c r="B58" s="3" t="s">
        <v>338</v>
      </c>
    </row>
    <row r="59" ht="14.25" customHeight="1" spans="1:2">
      <c r="A59">
        <v>22</v>
      </c>
      <c r="B59" s="3" t="s">
        <v>339</v>
      </c>
    </row>
    <row r="60" ht="14.25" customHeight="1" spans="1:2">
      <c r="A60">
        <v>23</v>
      </c>
      <c r="B60" s="3" t="s">
        <v>366</v>
      </c>
    </row>
    <row r="61" ht="14.25" customHeight="1" spans="1:2">
      <c r="A61">
        <v>24</v>
      </c>
      <c r="B61" s="3" t="s">
        <v>367</v>
      </c>
    </row>
    <row r="62" ht="14.25" customHeight="1" spans="1:2">
      <c r="A62">
        <v>25</v>
      </c>
      <c r="B62" s="3" t="s">
        <v>368</v>
      </c>
    </row>
    <row r="63" ht="14.25" customHeight="1" spans="1:2">
      <c r="A63">
        <v>26</v>
      </c>
      <c r="B63" s="3" t="s">
        <v>369</v>
      </c>
    </row>
    <row r="64" ht="14.25" customHeight="1" spans="1:2">
      <c r="A64">
        <v>27</v>
      </c>
      <c r="B64" s="3" t="s">
        <v>370</v>
      </c>
    </row>
    <row r="65" ht="14.25" customHeight="1" spans="1:2">
      <c r="A65">
        <v>28</v>
      </c>
      <c r="B65" s="3" t="s">
        <v>371</v>
      </c>
    </row>
    <row r="66" ht="14.25" customHeight="1" spans="1:2">
      <c r="A66">
        <v>29</v>
      </c>
      <c r="B66" s="3" t="s">
        <v>372</v>
      </c>
    </row>
    <row r="67" ht="14.25" customHeight="1" spans="1:2">
      <c r="A67">
        <v>30</v>
      </c>
      <c r="B67" s="3" t="s">
        <v>373</v>
      </c>
    </row>
    <row r="68" ht="14.25" customHeight="1" spans="1:2">
      <c r="A68">
        <v>31</v>
      </c>
      <c r="B68" s="3" t="s">
        <v>374</v>
      </c>
    </row>
    <row r="69" ht="14.25" customHeight="1" spans="1:2">
      <c r="A69">
        <v>32</v>
      </c>
      <c r="B69" s="3" t="s">
        <v>375</v>
      </c>
    </row>
    <row r="70" ht="14.25" customHeight="1" spans="1:2">
      <c r="A70">
        <v>33</v>
      </c>
      <c r="B70" s="3" t="s">
        <v>376</v>
      </c>
    </row>
    <row r="71" ht="14.25" customHeight="1" spans="1:2">
      <c r="A71">
        <v>34</v>
      </c>
      <c r="B71" s="3" t="s">
        <v>377</v>
      </c>
    </row>
    <row r="72" ht="14.25" customHeight="1" spans="1:2">
      <c r="A72">
        <v>35</v>
      </c>
      <c r="B72" s="3" t="s">
        <v>378</v>
      </c>
    </row>
    <row r="73" ht="14.25" customHeight="1" spans="1:2">
      <c r="A73">
        <v>36</v>
      </c>
      <c r="B73" s="3" t="s">
        <v>379</v>
      </c>
    </row>
    <row r="74" ht="14.25" customHeight="1" spans="1:2">
      <c r="A74">
        <v>37</v>
      </c>
      <c r="B74" s="3" t="s">
        <v>380</v>
      </c>
    </row>
    <row r="75" ht="14.25" customHeight="1" spans="1:2">
      <c r="A75">
        <v>38</v>
      </c>
      <c r="B75" s="3" t="s">
        <v>381</v>
      </c>
    </row>
    <row r="76" ht="14.25" customHeight="1" spans="1:2">
      <c r="A76">
        <v>39</v>
      </c>
      <c r="B76" s="3" t="s">
        <v>382</v>
      </c>
    </row>
    <row r="77" ht="14.25" customHeight="1" spans="1:2">
      <c r="A77">
        <v>40</v>
      </c>
      <c r="B77" s="3" t="s">
        <v>383</v>
      </c>
    </row>
  </sheetData>
  <conditionalFormatting sqref="D11">
    <cfRule type="duplicateValues" dxfId="1" priority="14"/>
  </conditionalFormatting>
  <conditionalFormatting sqref="E11">
    <cfRule type="duplicateValues" dxfId="1" priority="13"/>
  </conditionalFormatting>
  <conditionalFormatting sqref="D16">
    <cfRule type="duplicateValues" dxfId="1" priority="12"/>
  </conditionalFormatting>
  <conditionalFormatting sqref="E16">
    <cfRule type="duplicateValues" dxfId="1" priority="11"/>
  </conditionalFormatting>
  <conditionalFormatting sqref="F16">
    <cfRule type="duplicateValues" dxfId="1" priority="10"/>
  </conditionalFormatting>
  <conditionalFormatting sqref="G16">
    <cfRule type="duplicateValues" dxfId="1" priority="9"/>
  </conditionalFormatting>
  <conditionalFormatting sqref="D17">
    <cfRule type="duplicateValues" dxfId="1" priority="8"/>
  </conditionalFormatting>
  <conditionalFormatting sqref="E17">
    <cfRule type="duplicateValues" dxfId="1" priority="7"/>
  </conditionalFormatting>
  <conditionalFormatting sqref="F17">
    <cfRule type="duplicateValues" dxfId="1" priority="6"/>
  </conditionalFormatting>
  <conditionalFormatting sqref="G17">
    <cfRule type="duplicateValues" dxfId="1" priority="5"/>
  </conditionalFormatting>
  <conditionalFormatting sqref="D20">
    <cfRule type="duplicateValues" dxfId="1" priority="16"/>
  </conditionalFormatting>
  <conditionalFormatting sqref="E20">
    <cfRule type="duplicateValues" dxfId="1" priority="15"/>
  </conditionalFormatting>
  <conditionalFormatting sqref="D26">
    <cfRule type="duplicateValues" dxfId="1" priority="4"/>
  </conditionalFormatting>
  <conditionalFormatting sqref="E26">
    <cfRule type="duplicateValues" dxfId="1" priority="3"/>
  </conditionalFormatting>
  <conditionalFormatting sqref="D27">
    <cfRule type="duplicateValues" dxfId="1" priority="2"/>
  </conditionalFormatting>
  <conditionalFormatting sqref="E27">
    <cfRule type="duplicateValues" dxfId="1" priority="1"/>
  </conditionalFormatting>
  <conditionalFormatting sqref="D1:D2 D3:D4 D8 D10 D13:D15 D18:D19 D21 D24:D25 D28:D37 D46:D1048576 F1:F2 H1:H2 J1:J2 L1:L2 N1:N2 P1:P2 R1:R2 T1:T2 V1:V2">
    <cfRule type="duplicateValues" dxfId="1" priority="22"/>
  </conditionalFormatting>
  <conditionalFormatting sqref="E1:E2 E3:E4 E8 E10 E13:E15 E18:E19 E21 E24:E25 E28:E1048576 G1:G2 I1:I2 K1:K2 M1:M2 O1:O2 Q1:Q2 S1:S2 U1:U2 W1:W2">
    <cfRule type="duplicateValues" dxfId="1" priority="21"/>
  </conditionalFormatting>
  <conditionalFormatting sqref="D6:D7 F3:F4 F7:F8 F10 F12:F15 F18:F21 F24:F25 F28:F1048576">
    <cfRule type="duplicateValues" dxfId="1" priority="20"/>
  </conditionalFormatting>
  <conditionalFormatting sqref="E6:E7 G3:G4 G7:G8 G10 G12:G15 G18:G21 G24:G25 G28:G1048576">
    <cfRule type="duplicateValues" dxfId="1" priority="19"/>
  </conditionalFormatting>
  <conditionalFormatting sqref="D9 F9">
    <cfRule type="duplicateValues" dxfId="1" priority="18"/>
  </conditionalFormatting>
  <conditionalFormatting sqref="E9 G9">
    <cfRule type="duplicateValues" dxfId="1" priority="17"/>
  </conditionalFormatting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6"/>
  <sheetViews>
    <sheetView topLeftCell="A10" workbookViewId="0">
      <selection activeCell="A29" sqref="A29"/>
    </sheetView>
  </sheetViews>
  <sheetFormatPr defaultColWidth="8.72222222222222" defaultRowHeight="14.4" outlineLevelCol="7"/>
  <cols>
    <col min="1" max="1" width="14.2222222222222" style="1" customWidth="1"/>
    <col min="7" max="7" width="9.5462962962963" style="1" customWidth="1"/>
    <col min="8" max="8" width="111.722222222222" style="1" customWidth="1"/>
  </cols>
  <sheetData>
    <row r="1" ht="14.25" customHeight="1" spans="1:8">
      <c r="A1" s="2" t="s">
        <v>384</v>
      </c>
      <c r="B1" s="2" t="s">
        <v>13</v>
      </c>
      <c r="C1" s="2" t="s">
        <v>385</v>
      </c>
      <c r="D1" s="2" t="s">
        <v>13</v>
      </c>
    </row>
    <row r="2" ht="14.25" customHeight="1" spans="1:8">
      <c r="A2" t="str" s="3">
        <v>万宝坊市</v>
      </c>
      <c r="B2">
        <v>1</v>
      </c>
      <c r="C2" s="3" t="s">
        <v>269</v>
      </c>
      <c r="D2" s="3">
        <v>0</v>
      </c>
    </row>
    <row r="3" ht="14.25" customHeight="1" spans="1:8">
      <c r="A3" s="3" t="s">
        <v>58</v>
      </c>
      <c r="B3">
        <v>2</v>
      </c>
      <c r="C3" s="3" t="s">
        <v>63</v>
      </c>
      <c r="D3" s="3">
        <v>1</v>
      </c>
    </row>
    <row r="4" ht="14.25" customHeight="1" spans="1:8">
      <c r="A4" s="3" t="s">
        <v>386</v>
      </c>
      <c r="B4">
        <v>3</v>
      </c>
      <c r="C4" s="3" t="s">
        <v>41</v>
      </c>
      <c r="D4" s="3">
        <v>2</v>
      </c>
      <c r="G4" s="4">
        <v>1001205</v>
      </c>
      <c r="H4" s="4"/>
    </row>
    <row r="5" ht="14.25" customHeight="1" spans="1:8">
      <c r="A5" s="3" t="s">
        <v>64</v>
      </c>
      <c r="B5">
        <v>4</v>
      </c>
      <c r="C5" s="3" t="s">
        <v>44</v>
      </c>
      <c r="D5" s="3">
        <v>3</v>
      </c>
      <c r="G5" s="3" t="s">
        <v>387</v>
      </c>
      <c r="H5" s="3"/>
    </row>
    <row r="6" ht="14.25" customHeight="1" spans="1:8">
      <c r="A6" s="3" t="s">
        <v>70</v>
      </c>
      <c r="B6">
        <v>5</v>
      </c>
      <c r="C6" s="3" t="s">
        <v>46</v>
      </c>
      <c r="D6" s="3">
        <v>4</v>
      </c>
      <c r="G6" s="3" t="s">
        <v>388</v>
      </c>
      <c r="H6" s="5" t="s">
        <v>389</v>
      </c>
    </row>
    <row r="7" ht="14.25" customHeight="1" spans="1:8">
      <c r="A7" s="3" t="s">
        <v>75</v>
      </c>
      <c r="B7">
        <v>6</v>
      </c>
      <c r="C7" s="3" t="s">
        <v>48</v>
      </c>
      <c r="D7" s="3">
        <v>5</v>
      </c>
      <c r="G7" s="3" t="s">
        <v>390</v>
      </c>
      <c r="H7" s="6" t="s">
        <v>391</v>
      </c>
    </row>
    <row r="8" ht="14.25" customHeight="1" spans="1:8">
      <c r="A8" t="str" s="3">
        <v>异霭浦</v>
      </c>
      <c r="B8">
        <v>7</v>
      </c>
      <c r="C8" s="3" t="s">
        <v>50</v>
      </c>
      <c r="D8" s="3">
        <v>6</v>
      </c>
      <c r="G8" s="3" t="s">
        <v>392</v>
      </c>
    </row>
    <row r="9" ht="14.25" customHeight="1" spans="1:8">
      <c r="A9" s="3" t="s">
        <v>84</v>
      </c>
      <c r="B9">
        <v>8</v>
      </c>
      <c r="C9" s="3" t="s">
        <v>52</v>
      </c>
      <c r="D9" s="3">
        <v>7</v>
      </c>
      <c r="G9" s="3" t="s">
        <v>393</v>
      </c>
    </row>
    <row r="10" ht="14.25" customHeight="1" spans="1:8">
      <c r="A10" s="3" t="s">
        <v>87</v>
      </c>
      <c r="B10">
        <v>9</v>
      </c>
      <c r="C10" s="3" t="s">
        <v>54</v>
      </c>
      <c r="D10" s="3">
        <v>8</v>
      </c>
      <c r="G10" s="3" t="s">
        <v>394</v>
      </c>
      <c r="H10" s="3" t="s">
        <v>395</v>
      </c>
    </row>
    <row r="11" ht="14.25" customHeight="1" spans="1:8">
      <c r="A11" s="3" t="s">
        <v>92</v>
      </c>
      <c r="B11">
        <v>10</v>
      </c>
      <c r="C11" s="3" t="s">
        <v>56</v>
      </c>
      <c r="D11" s="3">
        <v>9</v>
      </c>
      <c r="G11" s="3" t="s">
        <v>396</v>
      </c>
      <c r="H11" s="7" t="s">
        <v>397</v>
      </c>
    </row>
    <row r="12" ht="14.25" customHeight="1" spans="1:8">
      <c r="A12" s="8" t="s">
        <v>97</v>
      </c>
      <c r="B12">
        <v>11</v>
      </c>
      <c r="C12" s="3"/>
      <c r="D12" s="3"/>
      <c r="G12" s="3" t="s">
        <v>398</v>
      </c>
    </row>
    <row r="13" ht="14.25" customHeight="1" spans="1:8">
      <c r="A13" s="8" t="s">
        <v>101</v>
      </c>
      <c r="B13">
        <v>12</v>
      </c>
      <c r="C13" s="3"/>
      <c r="D13" s="3"/>
      <c r="G13" s="3"/>
      <c r="H13" s="9"/>
    </row>
    <row r="14" ht="14.25" customHeight="1" spans="1:8">
      <c r="A14" s="8" t="s">
        <v>107</v>
      </c>
      <c r="B14">
        <v>13</v>
      </c>
      <c r="D14" s="3"/>
    </row>
    <row r="15" ht="14.25" customHeight="1" spans="1:8">
      <c r="A15" s="8" t="s">
        <v>112</v>
      </c>
      <c r="B15">
        <v>14</v>
      </c>
      <c r="D15" s="3"/>
    </row>
    <row r="16" ht="14.25" customHeight="1" spans="1:8">
      <c r="A16" s="8" t="s">
        <v>117</v>
      </c>
      <c r="B16">
        <v>15</v>
      </c>
      <c r="D16" s="3"/>
    </row>
    <row r="17" ht="14.25" customHeight="1" spans="1:4">
      <c r="A17" s="8" t="s">
        <v>120</v>
      </c>
      <c r="B17">
        <v>16</v>
      </c>
      <c r="D17" s="3"/>
    </row>
    <row r="18" ht="14.25" customHeight="1" spans="1:4">
      <c r="A18" s="8" t="s">
        <v>123</v>
      </c>
      <c r="B18">
        <v>17</v>
      </c>
      <c r="D18" s="3"/>
    </row>
    <row r="19" ht="14.25" customHeight="1" spans="1:4">
      <c r="A19" s="8" t="s">
        <v>128</v>
      </c>
      <c r="B19">
        <v>18</v>
      </c>
      <c r="D19" s="3"/>
    </row>
    <row r="20" ht="14.25" customHeight="1" spans="1:4">
      <c r="A20" s="8" t="s">
        <v>137</v>
      </c>
      <c r="B20">
        <v>19</v>
      </c>
    </row>
    <row r="21" ht="14.25" customHeight="1" spans="1:4">
      <c r="A21" s="8" t="s">
        <v>142</v>
      </c>
      <c r="B21">
        <v>20</v>
      </c>
    </row>
    <row r="22" ht="14.25" customHeight="1" spans="1:4">
      <c r="A22" s="8" t="s">
        <v>147</v>
      </c>
      <c r="B22">
        <v>21</v>
      </c>
    </row>
    <row r="23" ht="14.25" customHeight="1" spans="1:4">
      <c r="A23" s="8" t="s">
        <v>151</v>
      </c>
      <c r="B23">
        <v>22</v>
      </c>
    </row>
    <row r="24" ht="14.25" customHeight="1" spans="1:4">
      <c r="A24" s="8" t="s">
        <v>154</v>
      </c>
      <c r="B24">
        <v>23</v>
      </c>
    </row>
    <row r="25" ht="14.25" customHeight="1" spans="1:4">
      <c r="A25" s="8" t="s">
        <v>157</v>
      </c>
      <c r="B25">
        <v>24</v>
      </c>
    </row>
    <row r="26" ht="14.25" customHeight="1" spans="1:4">
      <c r="A26" s="8" t="s">
        <v>161</v>
      </c>
      <c r="B26">
        <v>25</v>
      </c>
    </row>
    <row r="27" ht="14.25" customHeight="1" spans="1:4">
      <c r="A27" s="8" t="s">
        <v>133</v>
      </c>
      <c r="B27">
        <v>26</v>
      </c>
    </row>
    <row r="28" ht="14.25" customHeight="1" spans="1:4">
      <c r="A28" s="3" t="s">
        <v>369</v>
      </c>
      <c r="B28">
        <v>27</v>
      </c>
    </row>
    <row r="29" ht="14.25" customHeight="1" spans="1:4">
      <c r="A29" s="3" t="s">
        <v>370</v>
      </c>
      <c r="B29">
        <v>28</v>
      </c>
    </row>
    <row r="30" ht="14.25" customHeight="1" spans="1:4">
      <c r="A30" s="3" t="s">
        <v>371</v>
      </c>
      <c r="B30">
        <v>29</v>
      </c>
    </row>
    <row r="31" ht="14.25" customHeight="1" spans="1:4">
      <c r="A31" s="3" t="s">
        <v>372</v>
      </c>
      <c r="B31">
        <v>30</v>
      </c>
    </row>
    <row r="32" ht="14.25" customHeight="1" spans="1:4">
      <c r="A32" s="3" t="s">
        <v>373</v>
      </c>
      <c r="B32">
        <v>31</v>
      </c>
    </row>
    <row r="33" ht="14.25" customHeight="1" spans="1:2">
      <c r="A33" s="3" t="s">
        <v>374</v>
      </c>
      <c r="B33">
        <v>32</v>
      </c>
    </row>
    <row r="34" ht="14.25" customHeight="1" spans="1:2">
      <c r="A34" s="3" t="s">
        <v>375</v>
      </c>
      <c r="B34">
        <v>33</v>
      </c>
    </row>
    <row r="35" ht="14.25" customHeight="1" spans="1:2">
      <c r="A35" s="3" t="s">
        <v>376</v>
      </c>
      <c r="B35">
        <v>34</v>
      </c>
    </row>
    <row r="36" ht="14.25" customHeight="1" spans="1:2">
      <c r="A36" s="3" t="s">
        <v>377</v>
      </c>
      <c r="B36">
        <v>35</v>
      </c>
    </row>
    <row r="37" ht="14.25" customHeight="1" spans="1:2">
      <c r="A37" s="3" t="s">
        <v>378</v>
      </c>
      <c r="B37">
        <v>36</v>
      </c>
    </row>
    <row r="38" ht="14.25" customHeight="1" spans="1:2">
      <c r="A38" s="3" t="s">
        <v>379</v>
      </c>
      <c r="B38">
        <v>37</v>
      </c>
    </row>
    <row r="39" ht="14.25" customHeight="1" spans="1:2">
      <c r="A39" s="3" t="s">
        <v>380</v>
      </c>
      <c r="B39">
        <v>38</v>
      </c>
    </row>
    <row r="40" ht="14.25" customHeight="1" spans="1:2">
      <c r="A40" s="3" t="s">
        <v>381</v>
      </c>
      <c r="B40">
        <v>39</v>
      </c>
    </row>
    <row r="41" ht="14.25" customHeight="1" spans="1:2">
      <c r="A41" s="3" t="s">
        <v>382</v>
      </c>
      <c r="B41">
        <v>40</v>
      </c>
    </row>
    <row r="42" ht="14.25" customHeight="1" spans="1:2">
      <c r="A42" s="3" t="s">
        <v>383</v>
      </c>
      <c r="B42">
        <v>41</v>
      </c>
    </row>
    <row r="43" spans="1:2">
      <c r="A43" t="s">
        <v>165</v>
      </c>
      <c r="B43">
        <v>42</v>
      </c>
    </row>
    <row r="44" spans="1:2">
      <c r="A44" t="s">
        <v>170</v>
      </c>
      <c r="B44">
        <v>43</v>
      </c>
    </row>
    <row r="45" spans="1:2">
      <c r="A45" t="s">
        <v>175</v>
      </c>
      <c r="B45">
        <v>44</v>
      </c>
    </row>
    <row r="46" spans="1:2">
      <c r="A46" t="s">
        <v>180</v>
      </c>
      <c r="B46">
        <v>45</v>
      </c>
    </row>
    <row r="47" spans="1:2">
      <c r="A47" t="s">
        <v>182</v>
      </c>
      <c r="B47">
        <v>46</v>
      </c>
    </row>
    <row r="48" spans="1:2">
      <c r="A48" t="s">
        <v>184</v>
      </c>
      <c r="B48">
        <v>47</v>
      </c>
    </row>
    <row r="49" spans="1:2">
      <c r="A49" t="s">
        <v>188</v>
      </c>
      <c r="B49">
        <v>48</v>
      </c>
    </row>
    <row r="50" spans="1:2">
      <c r="A50" t="s">
        <v>192</v>
      </c>
      <c r="B50">
        <v>49</v>
      </c>
    </row>
    <row r="51" spans="1:2">
      <c r="A51" t="s">
        <v>399</v>
      </c>
      <c r="B51">
        <v>50</v>
      </c>
    </row>
    <row r="52" spans="1:2">
      <c r="A52" t="s">
        <v>196</v>
      </c>
      <c r="B52">
        <v>51</v>
      </c>
    </row>
    <row r="53" spans="1:2">
      <c r="A53" t="s">
        <v>200</v>
      </c>
      <c r="B53">
        <v>52</v>
      </c>
    </row>
    <row r="54" spans="1:2">
      <c r="A54" t="s">
        <v>204</v>
      </c>
      <c r="B54">
        <v>53</v>
      </c>
    </row>
    <row r="55" spans="1:2">
      <c r="A55" t="s">
        <v>209</v>
      </c>
      <c r="B55">
        <v>54</v>
      </c>
    </row>
    <row r="56" spans="1:2">
      <c r="A56" t="s">
        <v>211</v>
      </c>
      <c r="B56">
        <v>55</v>
      </c>
    </row>
    <row r="57" spans="1:2">
      <c r="A57" t="s">
        <v>213</v>
      </c>
      <c r="B57">
        <v>56</v>
      </c>
    </row>
    <row r="58" spans="1:2">
      <c r="A58" t="s">
        <v>218</v>
      </c>
      <c r="B58">
        <v>57</v>
      </c>
    </row>
    <row r="59" spans="1:2">
      <c r="A59" t="s">
        <v>223</v>
      </c>
      <c r="B59">
        <v>58</v>
      </c>
    </row>
    <row r="60" spans="1:2">
      <c r="A60" t="s">
        <v>246</v>
      </c>
      <c r="B60">
        <v>59</v>
      </c>
    </row>
    <row r="61" spans="1:2">
      <c r="A61" t="s">
        <v>250</v>
      </c>
      <c r="B61">
        <v>60</v>
      </c>
    </row>
    <row r="62" spans="1:2">
      <c r="A62" t="s">
        <v>237</v>
      </c>
      <c r="B62">
        <v>61</v>
      </c>
    </row>
    <row r="63" spans="1:2">
      <c r="A63" t="s">
        <v>241</v>
      </c>
      <c r="B63">
        <v>62</v>
      </c>
    </row>
    <row r="64" spans="1:2">
      <c r="A64" t="s">
        <v>254</v>
      </c>
      <c r="B64">
        <v>63</v>
      </c>
    </row>
    <row r="65" spans="1:2">
      <c r="A65" t="s">
        <v>227</v>
      </c>
      <c r="B65">
        <v>64</v>
      </c>
    </row>
    <row r="66" spans="1:2">
      <c r="A66" t="s">
        <v>232</v>
      </c>
      <c r="B66">
        <v>65</v>
      </c>
    </row>
  </sheetData>
  <mergeCells count="2">
    <mergeCell ref="H7:H9"/>
    <mergeCell ref="H11:H12"/>
  </mergeCells>
  <pageMargins left="0.75" right="0.75" top="1" bottom="1" header="0.5" footer="0.5"/>
  <headerFooter/>
</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64" hidden="0" customWidth="1"/>
  </x:cols>
  <x:sheetData>
    <x:row r="1" ht="40" customHeight="1">
      <x:c r="A1" s="28" t="str">
        <x:v>项目</x:v>
      </x:c>
      <x:c r="B1" s="28" t="str">
        <x:v>说明</x:v>
      </x:c>
    </x:row>
    <x:row r="2" ht="28" customHeight="1">
      <x:c r="A2" s="26" t="str">
        <x:v>状态</x:v>
      </x:c>
      <x:c r="B2" s="26" t="str">
        <x:v>完整内容草案，待用户审核；数值可调；非上线验收</x:v>
      </x:c>
    </x:row>
    <x:row r="3" ht="233" customHeight="1">
      <x:c r="A3" s="26" t="str">
        <x:v>本轮工作</x:v>
      </x:c>
      <x:c r="B3" s="26" t="str">
        <x:v>本轮形成257个活跃刷新方案，现有活跃ID保留，新方案使用1900000起连续段。源表中鸡/鹿/羊的错位引用、跨场景怪物、缺失怪物及未被方案覆盖的敌人统一重建关联；每个活跃怪物至少由一条本场景方案引用，每个活跃方案至少挂到一条本场景矩形。
普通遭遇方案通常2只，精英和首领1只；R08全部1只。刷新位置统一使用源支持的区域随机，活动0驻留，避免对未制作路线假造巡逻坐标。普通死亡后30秒、精英180秒、首领900秒为本轮试配；实际每小时击杀还取决于地图走位、索敌和伤害。不能用刷新秒数直接声称每小时固定产出。
R08 refresh_time=0是本轮一次性临时遭遇提案；需要实例状态持久化与重复进入防刷验收，不能仅凭该数字就声称一次性已实现。地编坐标尚缺时也不能验收安全区不刷怪、不可达区不刷怪等空间结论。</x:v>
      </x:c>
    </x:row>
    <x:row r="4" ht="28" customHeight="1">
      <x:c r="A4" s="26" t="str">
        <x:v>交付边界</x:v>
      </x:c>
      <x:c r="B4" s="26" t="str">
        <x:v>源文件未改；坐标/资源/程序挂接按需求清单另验收</x:v>
      </x:c>
    </x:row>
    <x:row r="5" ht="28" customHeight="1">
      <x:c r="A5" s="26" t="str">
        <x:v>详细说明</x:v>
      </x:c>
      <x:c r="B5" s="26" t="str">
        <x:v>世界03_刷新挂接与密度.md</x:v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spawn_config</vt:lpstr>
      <vt:lpstr>更新说明</vt:lpstr>
      <vt:lpstr>Sheet1</vt:lpstr>
      <vt:lpstr>编号表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白鸠-PuFF</cp:lastModifiedBy>
  <dcterms:created xsi:type="dcterms:W3CDTF">2025-12-18T11:49:00Z</dcterms:created>
  <dcterms:modified xsi:type="dcterms:W3CDTF">2026-10-12T19:32:32Z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2F83C229EB5F406093167F7BEA622036_13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  <property fmtid="{D5CDD505-2E9C-101B-9397-08002B2CF9AE}" pid="5" name="KSOReadingLayout">
    <vt:bool>true</vt:bool>
  </property>
</Properties>
</file>