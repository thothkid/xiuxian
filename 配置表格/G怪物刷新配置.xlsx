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spawn_config!$A$2:$Z$1335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<sst xmlns="http://schemas.openxmlformats.org/spreadsheetml/2006/main" count="5617" uniqueCount="338">
  <si>
    <t>##var</t>
  </si>
  <si>
    <t>config_id</t>
  </si>
  <si>
    <t>position</t>
  </si>
  <si>
    <t>spawn_monsters</t>
  </si>
  <si>
    <t>##type</t>
  </si>
  <si>
    <t>int</t>
  </si>
  <si>
    <t>string</t>
  </si>
  <si>
    <t>array,SpawnMonster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</si>
  <si>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</si>
  <si>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</si>
  <si>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</si>
  <si>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</si>
  <si>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</si>
  <si>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</si>
  <si>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</si>
  <si>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</si>
  <si>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</si>
  <si>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</si>
  <si>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</si>
  <si>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</si>
  <si>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</si>
  <si>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</si>
  <si>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</si>
  <si>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</si>
  <si>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</si>
  <si>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</si>
  <si>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</si>
  <si>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</si>
  <si>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</si>
  <si>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</si>
  <si>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</si>
  <si>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</si>
  <si>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</si>
  <si>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</si>
  <si>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</si>
  <si>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</si>
  <si>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</si>
  <si>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</si>
  <si>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</si>
  <si>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</si>
  <si>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</si>
  <si>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</si>
  <si>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</si>
  <si>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</si>
  <si>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</si>
  <si>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</si>
  <si>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</si>
  <si>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</si>
  <si>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</si>
  <si>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</si>
  <si>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</si>
  <si>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</si>
  <si>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</si>
  <si>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</si>
  <si>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比奇城</t>
  </si>
  <si>
    <t>BOSS</t>
  </si>
  <si>
    <t>本图1个BOSS</t>
  </si>
  <si>
    <t>区域中心</t>
  </si>
  <si>
    <t>精英</t>
  </si>
  <si>
    <t>一个精英，数量表示不同精英</t>
  </si>
  <si>
    <t>比奇城内鸡4</t>
  </si>
  <si>
    <t>鹿4只</t>
  </si>
  <si>
    <t>羊4只</t>
  </si>
  <si>
    <t>稻草人4</t>
  </si>
  <si>
    <t>蛤蟆4</t>
  </si>
  <si>
    <t>多钩猫4</t>
  </si>
  <si>
    <t>钉耙猫4</t>
  </si>
  <si>
    <t>半兽人4</t>
  </si>
  <si>
    <t>毒蜘蛛4</t>
  </si>
  <si>
    <t>森林雪人4</t>
  </si>
  <si>
    <t>食人花4</t>
  </si>
  <si>
    <t>红蛇4</t>
  </si>
  <si>
    <t>虎蛇4</t>
  </si>
  <si>
    <t>狼4</t>
  </si>
  <si>
    <t>虎卫4</t>
  </si>
  <si>
    <t>鹰卫4</t>
  </si>
  <si>
    <t>多角虫4</t>
  </si>
  <si>
    <t>盔甲虫4</t>
  </si>
  <si>
    <t>沙虫4</t>
  </si>
  <si>
    <t>蝎子4</t>
  </si>
  <si>
    <t>比奇城内鸡10</t>
  </si>
  <si>
    <t>鹿10只</t>
  </si>
  <si>
    <t>羊10只</t>
  </si>
  <si>
    <t>稻草人10</t>
  </si>
  <si>
    <t>蛤蟆10</t>
  </si>
  <si>
    <t>多钩猫10</t>
  </si>
  <si>
    <t>钉耙猫10</t>
  </si>
  <si>
    <t>半兽人10</t>
  </si>
  <si>
    <t>毒蜘蛛10</t>
  </si>
  <si>
    <t>森林雪人10</t>
  </si>
  <si>
    <t>食人花10</t>
  </si>
  <si>
    <t>红蛇10</t>
  </si>
  <si>
    <t>虎蛇10</t>
  </si>
  <si>
    <t>狼10</t>
  </si>
  <si>
    <t>虎卫10</t>
  </si>
  <si>
    <t>鹰卫10</t>
  </si>
  <si>
    <t>多角虫10</t>
  </si>
  <si>
    <t>盔甲虫10</t>
  </si>
  <si>
    <t>沙虫10</t>
  </si>
  <si>
    <t>蝎子10</t>
  </si>
  <si>
    <t>鹿15只</t>
  </si>
  <si>
    <t>羊15只</t>
  </si>
  <si>
    <t>稻草人15</t>
  </si>
  <si>
    <t>蛤蟆15</t>
  </si>
  <si>
    <t>多钩猫15</t>
  </si>
  <si>
    <t>钉耙猫15</t>
  </si>
  <si>
    <t>半兽人15</t>
  </si>
  <si>
    <t>毒蜘蛛15</t>
  </si>
  <si>
    <t>森林雪人15</t>
  </si>
  <si>
    <t>食人花15</t>
  </si>
  <si>
    <t>红蛇15</t>
  </si>
  <si>
    <t>虎蛇15</t>
  </si>
  <si>
    <t>狼15</t>
  </si>
  <si>
    <t>虎卫15</t>
  </si>
  <si>
    <t>鹰卫15</t>
  </si>
  <si>
    <t>多角虫15</t>
  </si>
  <si>
    <t>盔甲虫15</t>
  </si>
  <si>
    <t>沙虫15</t>
  </si>
  <si>
    <t>蝎子15</t>
  </si>
  <si>
    <t>鹿20只</t>
  </si>
  <si>
    <t>羊20只</t>
  </si>
  <si>
    <t>稻草人20</t>
  </si>
  <si>
    <t>蛤蟆20</t>
  </si>
  <si>
    <t>多钩猫20</t>
  </si>
  <si>
    <t>钉耙猫20</t>
  </si>
  <si>
    <t>半兽人20</t>
  </si>
  <si>
    <t>毒蜘蛛20</t>
  </si>
  <si>
    <t>森林雪人20</t>
  </si>
  <si>
    <t>食人花20</t>
  </si>
  <si>
    <t>红蛇20</t>
  </si>
  <si>
    <t>虎蛇20</t>
  </si>
  <si>
    <t>狼20</t>
  </si>
  <si>
    <t>虎卫20</t>
  </si>
  <si>
    <t>鹰卫20</t>
  </si>
  <si>
    <t>多角虫20</t>
  </si>
  <si>
    <t>盔甲虫20</t>
  </si>
  <si>
    <t>沙虫20</t>
  </si>
  <si>
    <t>蝎子20</t>
  </si>
  <si>
    <t>鹿25只</t>
  </si>
  <si>
    <t>羊25只</t>
  </si>
  <si>
    <t>稻草人25</t>
  </si>
  <si>
    <t>蛤蟆25</t>
  </si>
  <si>
    <t>多钩猫25</t>
  </si>
  <si>
    <t>钉耙猫25</t>
  </si>
  <si>
    <t>半兽人25</t>
  </si>
  <si>
    <t>毒蜘蛛25</t>
  </si>
  <si>
    <t>森林雪人25</t>
  </si>
  <si>
    <t>食人花25</t>
  </si>
  <si>
    <t>红蛇25</t>
  </si>
  <si>
    <t>虎蛇25</t>
  </si>
  <si>
    <t>狼25</t>
  </si>
  <si>
    <t>虎卫25</t>
  </si>
  <si>
    <t>鹰卫25</t>
  </si>
  <si>
    <t>多角虫25</t>
  </si>
  <si>
    <t>盔甲虫25</t>
  </si>
  <si>
    <t>沙虫25</t>
  </si>
  <si>
    <t>蝎子25</t>
  </si>
  <si>
    <t>兽人古墓一层</t>
  </si>
  <si>
    <t>山洞蝙蝠</t>
  </si>
  <si>
    <t>洞蛆</t>
  </si>
  <si>
    <t>骷髅</t>
  </si>
  <si>
    <t>骷髅战士</t>
  </si>
  <si>
    <t>骷髅战将</t>
  </si>
  <si>
    <t>兽人古墓二层</t>
  </si>
  <si>
    <t>掷斧骷髅</t>
  </si>
  <si>
    <t>骷髅精灵</t>
  </si>
  <si>
    <t>国王陵墓</t>
  </si>
  <si>
    <t>一个BOSS，数量表示不同BOSS</t>
  </si>
  <si>
    <t>额外新增怪A</t>
  </si>
  <si>
    <t>额外新增怪B</t>
  </si>
  <si>
    <t>额外新增怪C</t>
  </si>
  <si>
    <t>废矿区东部</t>
  </si>
  <si>
    <t>僵尸A</t>
  </si>
  <si>
    <t>僵尸B</t>
  </si>
  <si>
    <t>僵尸C</t>
  </si>
  <si>
    <t>僵尸D</t>
  </si>
  <si>
    <t>僵尸E</t>
  </si>
  <si>
    <t>电僵尸</t>
  </si>
  <si>
    <t>尸王殿</t>
  </si>
  <si>
    <t>电僵尸A</t>
  </si>
  <si>
    <t>电僵尸B</t>
  </si>
  <si>
    <t>电僵尸C</t>
  </si>
  <si>
    <t>地牢</t>
  </si>
  <si>
    <t>黑色恶蛆</t>
  </si>
  <si>
    <t>跳跳蜂</t>
  </si>
  <si>
    <t>蜈蚣</t>
  </si>
  <si>
    <t>钳虫</t>
  </si>
  <si>
    <t>黑暗地带</t>
  </si>
  <si>
    <t>巨型蠕虫</t>
  </si>
  <si>
    <t>死亡棺材</t>
  </si>
  <si>
    <t>未知暗殿</t>
  </si>
  <si>
    <t>白野猪</t>
  </si>
  <si>
    <t>邪恶钳虫</t>
  </si>
  <si>
    <t>沃玛卫士</t>
  </si>
  <si>
    <t>邪恶毒蛇</t>
  </si>
  <si>
    <t>沃玛教主</t>
  </si>
  <si>
    <t>沃玛寺庙一层</t>
  </si>
  <si>
    <t>粪虫</t>
  </si>
  <si>
    <t>沃玛勇士</t>
  </si>
  <si>
    <t>沃玛战将</t>
  </si>
  <si>
    <t>火焰沃玛</t>
  </si>
  <si>
    <t>沃玛寺庙二层</t>
  </si>
  <si>
    <t>暗黑战士</t>
  </si>
  <si>
    <t>沃玛教主大殿</t>
  </si>
  <si>
    <t>石墓一层</t>
  </si>
  <si>
    <t>楔蛾</t>
  </si>
  <si>
    <t>黑野猪</t>
  </si>
  <si>
    <t>红野猪</t>
  </si>
  <si>
    <t>石墓阵入口</t>
  </si>
  <si>
    <t>蝎蛇</t>
  </si>
  <si>
    <t>角蝇</t>
  </si>
  <si>
    <t>石墓阵出口</t>
  </si>
  <si>
    <t>石墓顶层</t>
  </si>
  <si>
    <t>桃源之门</t>
  </si>
  <si>
    <t>蜜蜂</t>
  </si>
  <si>
    <t>神兽</t>
  </si>
  <si>
    <t>变异骷髅</t>
  </si>
  <si>
    <t>困惑殿堂</t>
  </si>
  <si>
    <t>暗之双头血魔</t>
  </si>
  <si>
    <t>祖玛寺庙一层</t>
  </si>
  <si>
    <t>大老鼠</t>
  </si>
  <si>
    <t>祖玛卫士</t>
  </si>
  <si>
    <t>祖玛弓箭手</t>
  </si>
  <si>
    <t>祖玛寺庙二层</t>
  </si>
  <si>
    <t>祖玛雕像</t>
  </si>
  <si>
    <t>祖玛阁</t>
  </si>
  <si>
    <t>祖玛教主之家</t>
  </si>
  <si>
    <t>封魔矿区</t>
  </si>
  <si>
    <t>僵尸</t>
  </si>
  <si>
    <t>光芒回廊</t>
  </si>
  <si>
    <t>封魔殿</t>
  </si>
  <si>
    <t>尸魔洞一层</t>
  </si>
  <si>
    <t>恶灵僵尸</t>
  </si>
  <si>
    <t>恶灵尸王</t>
  </si>
  <si>
    <t>尸魔洞二层</t>
  </si>
  <si>
    <t>骨魔洞一层</t>
  </si>
  <si>
    <t>骷髅弓箭手</t>
  </si>
  <si>
    <t>骷髅刀斧手</t>
  </si>
  <si>
    <t>骷髅长枪兵</t>
  </si>
  <si>
    <t>骷髅锤兵</t>
  </si>
  <si>
    <t>骨魔洞二层</t>
  </si>
  <si>
    <t>牛魔寺庙入口</t>
  </si>
  <si>
    <t>牛魔斗士</t>
  </si>
  <si>
    <t>牛头魔</t>
  </si>
  <si>
    <t>牛魔战士</t>
  </si>
  <si>
    <t>牛魔法师</t>
  </si>
  <si>
    <t>牛魔将军</t>
  </si>
  <si>
    <t>牛魔寺庙一层</t>
  </si>
  <si>
    <t>牛魔祭祀</t>
  </si>
  <si>
    <t>牛魔侍卫</t>
  </si>
  <si>
    <t>牛魔寺庙大厅</t>
  </si>
  <si>
    <t>丛林迷宫</t>
  </si>
  <si>
    <t>天狼蜘蛛</t>
  </si>
  <si>
    <t>钢牙蜘蛛</t>
  </si>
  <si>
    <t>暴牙蜘蛛</t>
  </si>
  <si>
    <t>黑锷蜘蛛</t>
  </si>
  <si>
    <t>花吻蜘蛛</t>
  </si>
  <si>
    <t>赤月峡谷西走廊</t>
  </si>
  <si>
    <t>月魔蜘蛛</t>
  </si>
  <si>
    <t>赤月峡谷东二层</t>
  </si>
  <si>
    <t>赤月峡谷广场</t>
  </si>
  <si>
    <t>抉择之地</t>
  </si>
  <si>
    <t>血巨人</t>
  </si>
  <si>
    <t>邪恶巨人</t>
  </si>
  <si>
    <t>血僵尸</t>
  </si>
  <si>
    <t>恶魔祭坛</t>
  </si>
  <si>
    <t>赤月魔穴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</si>
  <si>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</si>
  <si>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</si>
  <si>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</si>
  <si>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</si>
  <si>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</si>
  <si>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</si>
  <si>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</si>
  <si>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</si>
  <si>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</si>
  <si>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</si>
  <si>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</si>
  <si>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</si>
  <si>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</si>
  <si>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</si>
  <si>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</si>
  <si>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</si>
  <si>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</si>
  <si>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</si>
  <si>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</si>
  <si>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</si>
  <si>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</si>
  <si>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</si>
  <si>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</si>
  <si>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</si>
  <si>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</si>
  <si>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</si>
  <si>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</si>
  <si>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</si>
  <si>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</si>
  <si>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</si>
  <si>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</si>
  <si>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</si>
  <si>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</si>
  <si>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</si>
  <si>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</si>
  <si>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</si>
  <si>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</si>
  <si>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</si>
  <si>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</si>
  <si>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</si>
  <si>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</si>
  <si>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</si>
  <si>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</si>
  <si>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</si>
  <si>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</si>
  <si>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</si>
  <si>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</si>
  <si>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</si>
  <si>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</si>
  <si>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教主大殿</t>
  </si>
  <si>
    <t>石墓阵顶层</t>
  </si>
  <si>
    <t>怪1</t>
  </si>
  <si>
    <t>怪2</t>
  </si>
  <si>
    <t>怪3</t>
  </si>
  <si>
    <t>怪4</t>
  </si>
  <si>
    <t>怪5</t>
  </si>
  <si>
    <t>怪6</t>
  </si>
  <si>
    <t>场景名</t>
  </si>
  <si>
    <t>类型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</si>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</sst>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35"/>
  <sheetViews>
    <sheetView tabSelected="1" workbookViewId="0">
      <pane ySplit="2" topLeftCell="A3" activePane="bottomLeft" state="frozen"/>
      <selection/>
      <selection pane="bottomLeft" activeCell="B5" sqref="B5"/>
    </sheetView>
  </sheetViews>
  <sheetFormatPr defaultColWidth="8.72222222222222" defaultRowHeight="13.2"/>
  <cols>
    <col min="1" max="1" width="8.81481481481481" style="11" customWidth="1"/>
    <col min="2" max="2" width="8.4537037037037" style="11" customWidth="1"/>
    <col min="3" max="3" width="13" style="11" customWidth="1"/>
    <col min="4" max="4" width="7.81481481481481" style="11" customWidth="1"/>
    <col min="5" max="5" width="23.0925925925926" style="11" customWidth="1"/>
    <col min="6" max="6" width="25.5462962962963" style="11" customWidth="1"/>
    <col min="7" max="7" width="11.2685185185185" style="11" customWidth="1"/>
    <col min="8" max="8" width="10.6296296296296" style="11" customWidth="1"/>
    <col min="9" max="9" width="11.2685185185185" style="12" customWidth="1"/>
    <col min="10" max="10" width="8.72222222222222" style="11" customWidth="1"/>
    <col min="11" max="11" width="11.2685185185185" style="11" customWidth="1"/>
    <col min="12" max="12" width="8.72222222222222" style="11" customWidth="1"/>
    <col min="13" max="13" width="11.2685185185185" style="11" customWidth="1"/>
    <col min="14" max="14" width="8.72222222222222" style="11" customWidth="1"/>
    <col min="15" max="15" width="11.2685185185185" style="11" customWidth="1"/>
    <col min="16" max="16" width="8.72222222222222" style="11" customWidth="1"/>
    <col min="17" max="17" width="11.2685185185185" style="11" customWidth="1"/>
    <col min="18" max="18" width="8.72222222222222" style="11" customWidth="1"/>
    <col min="19" max="19" width="11.2685185185185" style="11" customWidth="1"/>
    <col min="20" max="20" width="8.72222222222222" style="11" customWidth="1"/>
    <col min="21" max="21" width="11.2685185185185" style="11" customWidth="1"/>
    <col min="22" max="22" width="8.72222222222222" style="11" customWidth="1"/>
    <col min="23" max="23" width="11.2685185185185" style="11" customWidth="1"/>
    <col min="24" max="24" width="8.72222222222222" style="11" customWidth="1"/>
    <col min="25" max="25" width="11.2685185185185" style="11" customWidth="1"/>
    <col min="26" max="26" width="8.72222222222222" style="11" customWidth="1"/>
    <col min="27" max="16384" width="8.72222222222222" style="11"/>
  </cols>
  <sheetData>
    <row r="1" spans="1:27">
      <c r="A1" s="13" t="s">
        <v>0</v>
      </c>
      <c r="B1" s="13" t="s">
        <v>1</v>
      </c>
      <c r="C1" s="14"/>
      <c r="D1" s="14"/>
      <c r="E1" s="14"/>
      <c r="F1" s="14"/>
      <c r="G1" s="13" t="s">
        <v>2</v>
      </c>
      <c r="H1" s="13" t="s">
        <v>3</v>
      </c>
      <c r="I1" s="15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>
      <c r="A2" s="13" t="s">
        <v>4</v>
      </c>
      <c r="B2" s="13" t="s">
        <v>5</v>
      </c>
      <c r="C2" s="14"/>
      <c r="D2" s="14"/>
      <c r="E2" s="14"/>
      <c r="F2" s="14"/>
      <c r="G2" s="13" t="s">
        <v>6</v>
      </c>
      <c r="H2" s="13" t="s">
        <v>7</v>
      </c>
      <c r="I2" s="1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>
      <c r="A3" s="13" t="s">
        <v>8</v>
      </c>
      <c r="B3" s="13"/>
      <c r="C3" s="14"/>
      <c r="D3" s="14"/>
      <c r="E3" s="14"/>
      <c r="F3" s="14"/>
      <c r="G3" s="13"/>
      <c r="H3" s="13"/>
      <c r="I3" s="15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>
      <c r="A4" s="13" t="s">
        <v>9</v>
      </c>
      <c r="B4" s="14" t="s">
        <v>10</v>
      </c>
      <c r="C4" s="14" t="s">
        <v>11</v>
      </c>
      <c r="D4" s="14" t="s">
        <v>12</v>
      </c>
      <c r="E4" s="14" t="s">
        <v>13</v>
      </c>
      <c r="F4" s="14" t="s">
        <v>14</v>
      </c>
      <c r="G4" s="13" t="s">
        <v>15</v>
      </c>
      <c r="H4" s="13" t="s">
        <v>16</v>
      </c>
      <c r="I4" s="15" t="s">
        <v>17</v>
      </c>
      <c r="J4" s="13" t="s">
        <v>18</v>
      </c>
      <c r="K4" s="14" t="s">
        <v>19</v>
      </c>
      <c r="L4" s="13" t="s">
        <v>20</v>
      </c>
      <c r="M4" s="14" t="s">
        <v>21</v>
      </c>
      <c r="N4" s="13" t="s">
        <v>22</v>
      </c>
      <c r="O4" s="14" t="s">
        <v>23</v>
      </c>
      <c r="P4" s="13" t="s">
        <v>24</v>
      </c>
      <c r="Q4" s="14" t="s">
        <v>25</v>
      </c>
      <c r="R4" s="13" t="s">
        <v>26</v>
      </c>
      <c r="S4" s="14" t="s">
        <v>27</v>
      </c>
      <c r="T4" s="13" t="s">
        <v>28</v>
      </c>
      <c r="U4" s="14" t="s">
        <v>29</v>
      </c>
      <c r="V4" s="13" t="s">
        <v>30</v>
      </c>
      <c r="W4" s="14" t="s">
        <v>31</v>
      </c>
      <c r="X4" s="13" t="s">
        <v>32</v>
      </c>
      <c r="Y4" s="14" t="s">
        <v>33</v>
      </c>
      <c r="Z4" s="13" t="s">
        <v>34</v>
      </c>
      <c r="AA4" s="14" t="s">
        <v>35</v>
      </c>
    </row>
    <row r="5" spans="1:27">
      <c r="B5" s="11">
        <f>1000000+INDEX(编号表!$B:$B,MATCH(C5,编号表!$A:$A,0))*1000+INDEX(编号表!$D:$D,MATCH(D5,编号表!$C:$C,0))*100+E5</f>
        <v>1001210</v>
      </c>
      <c r="C5" s="3" t="s">
        <v>36</v>
      </c>
      <c r="D5" s="11" t="s">
        <v>37</v>
      </c>
      <c r="E5" s="11">
        <v>10</v>
      </c>
      <c r="F5" s="3" t="s">
        <v>38</v>
      </c>
      <c r="G5" s="16" t="s">
        <v>39</v>
      </c>
      <c r="H5" s="3">
        <v>60011000</v>
      </c>
      <c r="I5" s="12">
        <v>5</v>
      </c>
    </row>
    <row r="6" spans="1:27">
      <c r="B6" s="11">
        <f>1000000+INDEX(编号表!$B:$B,MATCH(C6,编号表!$A:$A,0))*1000+INDEX(编号表!$D:$D,MATCH(D6,编号表!$C:$C,0))*100+E6</f>
        <v>1001310</v>
      </c>
      <c r="C6" s="3" t="s">
        <v>36</v>
      </c>
      <c r="D6" s="11" t="s">
        <v>40</v>
      </c>
      <c r="E6" s="11">
        <v>10</v>
      </c>
      <c r="F6" s="3" t="s">
        <v>41</v>
      </c>
      <c r="G6" s="16" t="s">
        <v>39</v>
      </c>
      <c r="H6" s="3">
        <v>60011001</v>
      </c>
      <c r="I6" s="12">
        <v>5</v>
      </c>
    </row>
    <row r="7" spans="1:27">
      <c r="B7" s="11">
        <f>1000000+INDEX(编号表!$B:$B,MATCH(C7,编号表!$A:$A,0))*1000+INDEX(编号表!$D:$D,MATCH(D7,编号表!$C:$C,0))*100+E7</f>
        <v>1001410</v>
      </c>
      <c r="C7" s="3" t="s">
        <v>36</v>
      </c>
      <c r="D7" s="11" t="s">
        <v>42</v>
      </c>
      <c r="E7" s="11">
        <v>10</v>
      </c>
      <c r="F7" s="3" t="s">
        <v>43</v>
      </c>
      <c r="G7" s="16" t="s">
        <v>39</v>
      </c>
      <c r="H7" s="3">
        <v>60011002</v>
      </c>
      <c r="I7" s="12">
        <v>5</v>
      </c>
    </row>
    <row r="8" spans="1:27">
      <c r="B8" s="11">
        <f>1000000+INDEX(编号表!$B:$B,MATCH(C8,编号表!$A:$A,0))*1000+INDEX(编号表!$D:$D,MATCH(D8,编号表!$C:$C,0))*100+E8</f>
        <v>1001510</v>
      </c>
      <c r="C8" s="3" t="s">
        <v>36</v>
      </c>
      <c r="D8" s="11" t="s">
        <v>44</v>
      </c>
      <c r="E8" s="11">
        <v>10</v>
      </c>
      <c r="F8" s="3" t="s">
        <v>45</v>
      </c>
      <c r="G8" s="16" t="s">
        <v>39</v>
      </c>
      <c r="H8" s="3">
        <v>60011003</v>
      </c>
      <c r="I8" s="12">
        <v>5</v>
      </c>
    </row>
    <row r="9" spans="1:27">
      <c r="B9" s="11">
        <f>1000000+INDEX(编号表!$B:$B,MATCH(C9,编号表!$A:$A,0))*1000+INDEX(编号表!$D:$D,MATCH(D9,编号表!$C:$C,0))*100+E9</f>
        <v>1001610</v>
      </c>
      <c r="C9" s="3" t="s">
        <v>36</v>
      </c>
      <c r="D9" s="11" t="s">
        <v>46</v>
      </c>
      <c r="E9" s="11">
        <v>10</v>
      </c>
      <c r="F9" s="3" t="s">
        <v>47</v>
      </c>
      <c r="G9" s="16" t="s">
        <v>39</v>
      </c>
      <c r="H9" s="3">
        <v>60011004</v>
      </c>
      <c r="I9" s="12">
        <v>5</v>
      </c>
    </row>
    <row r="10" spans="1:27">
      <c r="B10" s="11">
        <f>1000000+INDEX(编号表!$B:$B,MATCH(C10,编号表!$A:$A,0))*1000+INDEX(编号表!$D:$D,MATCH(D10,编号表!$C:$C,0))*100+E10</f>
        <v>1001710</v>
      </c>
      <c r="C10" s="3" t="s">
        <v>36</v>
      </c>
      <c r="D10" s="11" t="s">
        <v>48</v>
      </c>
      <c r="E10" s="11">
        <v>10</v>
      </c>
      <c r="F10" s="3" t="s">
        <v>49</v>
      </c>
      <c r="G10" s="16" t="s">
        <v>39</v>
      </c>
      <c r="H10" s="11">
        <v>60021000</v>
      </c>
      <c r="I10" s="12">
        <v>5</v>
      </c>
    </row>
    <row r="11" spans="1:27">
      <c r="B11" s="11">
        <f>1000000+INDEX(编号表!$B:$B,MATCH(C11,编号表!$A:$A,0))*1000+INDEX(编号表!$D:$D,MATCH(D11,编号表!$C:$C,0))*100+E11</f>
        <v>1001810</v>
      </c>
      <c r="C11" s="3" t="s">
        <v>36</v>
      </c>
      <c r="D11" s="11" t="s">
        <v>50</v>
      </c>
      <c r="E11" s="11">
        <v>10</v>
      </c>
      <c r="F11" s="11" t="s">
        <v>51</v>
      </c>
      <c r="G11" s="16" t="s">
        <v>39</v>
      </c>
      <c r="H11" s="3">
        <v>60011014</v>
      </c>
      <c r="I11" s="12">
        <v>5</v>
      </c>
    </row>
    <row r="12" spans="1:27">
      <c r="B12" s="11">
        <f>1000000+INDEX(编号表!$B:$B,MATCH(C12,编号表!$A:$A,0))*1000+INDEX(编号表!$D:$D,MATCH(D12,编号表!$C:$C,0))*100+E12</f>
        <v>1001910</v>
      </c>
      <c r="C12" s="3" t="s">
        <v>36</v>
      </c>
      <c r="D12" s="11" t="s">
        <v>52</v>
      </c>
      <c r="E12" s="11">
        <v>10</v>
      </c>
      <c r="F12" s="11" t="s">
        <v>53</v>
      </c>
      <c r="G12" s="16" t="s">
        <v>39</v>
      </c>
      <c r="H12" s="3">
        <v>60011015</v>
      </c>
      <c r="I12" s="12">
        <v>5</v>
      </c>
    </row>
    <row r="13" spans="1:27">
      <c r="B13" s="17">
        <f>1000000+INDEX(编号表!$B:$B,MATCH(C13,编号表!$A:$A,0))*1000+INDEX(编号表!$D:$D,MATCH(D13,编号表!$C:$C,0))*100+E13</f>
        <v>1002001</v>
      </c>
      <c r="C13" s="18" t="s">
        <v>54</v>
      </c>
      <c r="D13" s="17" t="s">
        <v>55</v>
      </c>
      <c r="E13" s="17">
        <v>1</v>
      </c>
      <c r="F13" s="17" t="s">
        <v>56</v>
      </c>
      <c r="G13" s="19" t="s">
        <v>57</v>
      </c>
      <c r="H13" s="17">
        <v>60014001</v>
      </c>
      <c r="I13" s="12">
        <v>1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>
      <c r="B14" s="17">
        <f>1000000+INDEX(编号表!$B:$B,MATCH(C14,编号表!$A:$A,0))*1000+INDEX(编号表!$D:$D,MATCH(D14,编号表!$C:$C,0))*100+E14</f>
        <v>1002101</v>
      </c>
      <c r="C14" s="18" t="s">
        <v>54</v>
      </c>
      <c r="D14" s="17" t="s">
        <v>58</v>
      </c>
      <c r="E14" s="17">
        <v>1</v>
      </c>
      <c r="F14" s="17" t="s">
        <v>59</v>
      </c>
      <c r="G14" s="19" t="s">
        <v>57</v>
      </c>
      <c r="H14" s="3">
        <v>60012000</v>
      </c>
      <c r="I14" s="12">
        <v>1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>
      <c r="B15" s="11">
        <f>1000000+INDEX(编号表!$B:$B,MATCH(C15,编号表!$A:$A,0))*1000+INDEX(编号表!$D:$D,MATCH(D15,编号表!$C:$C,0))*100+E15</f>
        <v>1002102</v>
      </c>
      <c r="C15" s="3" t="s">
        <v>54</v>
      </c>
      <c r="D15" s="11" t="s">
        <v>58</v>
      </c>
      <c r="E15" s="11">
        <v>2</v>
      </c>
      <c r="F15" s="17" t="s">
        <v>59</v>
      </c>
      <c r="G15" s="16" t="s">
        <v>57</v>
      </c>
      <c r="H15" s="3">
        <v>60012001</v>
      </c>
      <c r="I15" s="12">
        <v>1</v>
      </c>
    </row>
    <row r="16" spans="1:27">
      <c r="B16" s="11">
        <f>1000000+INDEX(编号表!$B:$B,MATCH(C16,编号表!$A:$A,0))*1000+INDEX(编号表!$D:$D,MATCH(D16,编号表!$C:$C,0))*100+E16</f>
        <v>1002103</v>
      </c>
      <c r="C16" s="3" t="s">
        <v>54</v>
      </c>
      <c r="D16" s="11" t="s">
        <v>58</v>
      </c>
      <c r="E16" s="11">
        <v>3</v>
      </c>
      <c r="F16" s="17" t="s">
        <v>59</v>
      </c>
      <c r="G16" s="16" t="s">
        <v>57</v>
      </c>
      <c r="H16" s="3">
        <v>60012002</v>
      </c>
      <c r="I16" s="12">
        <v>1</v>
      </c>
    </row>
    <row r="17" spans="2:27">
      <c r="B17" s="11">
        <f>1000000+INDEX(编号表!$B:$B,MATCH(C17,编号表!$A:$A,0))*1000+INDEX(编号表!$D:$D,MATCH(D17,编号表!$C:$C,0))*100+E17</f>
        <v>1002104</v>
      </c>
      <c r="C17" s="3" t="s">
        <v>54</v>
      </c>
      <c r="D17" s="11" t="s">
        <v>58</v>
      </c>
      <c r="E17" s="11">
        <v>4</v>
      </c>
      <c r="F17" s="17" t="s">
        <v>59</v>
      </c>
      <c r="G17" s="16" t="s">
        <v>57</v>
      </c>
      <c r="H17" s="3">
        <v>60012003</v>
      </c>
      <c r="I17" s="12">
        <v>1</v>
      </c>
    </row>
    <row r="18" spans="2:27">
      <c r="B18" s="11">
        <f>1000000+INDEX(编号表!$B:$B,MATCH(C18,编号表!$A:$A,0))*1000+INDEX(编号表!$D:$D,MATCH(D18,编号表!$C:$C,0))*100+E18</f>
        <v>1002105</v>
      </c>
      <c r="C18" s="3" t="s">
        <v>54</v>
      </c>
      <c r="D18" s="11" t="s">
        <v>58</v>
      </c>
      <c r="E18" s="11">
        <v>5</v>
      </c>
      <c r="F18" s="17" t="s">
        <v>59</v>
      </c>
      <c r="G18" s="16" t="s">
        <v>57</v>
      </c>
      <c r="H18" s="3">
        <v>60012004</v>
      </c>
      <c r="I18" s="12">
        <v>1</v>
      </c>
    </row>
    <row r="19" spans="2:27">
      <c r="B19" s="11">
        <f>1000000+INDEX(编号表!$B:$B,MATCH(C19,编号表!$A:$A,0))*1000+INDEX(编号表!$D:$D,MATCH(D19,编号表!$C:$C,0))*100+E19</f>
        <v>1002301</v>
      </c>
      <c r="C19" s="3" t="s">
        <v>54</v>
      </c>
      <c r="D19" s="11" t="s">
        <v>40</v>
      </c>
      <c r="E19" s="11">
        <v>1</v>
      </c>
      <c r="F19" s="11" t="s">
        <v>60</v>
      </c>
      <c r="G19" s="16" t="s">
        <v>39</v>
      </c>
      <c r="H19" s="11">
        <v>60011020</v>
      </c>
      <c r="I19" s="12">
        <v>4</v>
      </c>
      <c r="J19" s="16"/>
      <c r="K19" s="16"/>
      <c r="M19" s="16"/>
      <c r="O19" s="16"/>
      <c r="Q19" s="16"/>
      <c r="S19" s="16"/>
      <c r="U19" s="16"/>
      <c r="W19" s="16"/>
      <c r="Y19" s="16"/>
      <c r="AA19" s="16"/>
    </row>
    <row r="20" spans="2:27">
      <c r="B20" s="11">
        <f>1000000+INDEX(编号表!$B:$B,MATCH(C20,编号表!$A:$A,0))*1000+INDEX(编号表!$D:$D,MATCH(D20,编号表!$C:$C,0))*100+E20</f>
        <v>1002302</v>
      </c>
      <c r="C20" s="3" t="s">
        <v>54</v>
      </c>
      <c r="D20" s="11" t="s">
        <v>40</v>
      </c>
      <c r="E20" s="11">
        <v>2</v>
      </c>
      <c r="F20" s="11" t="s">
        <v>61</v>
      </c>
      <c r="G20" s="16" t="s">
        <v>39</v>
      </c>
      <c r="H20" s="11">
        <v>60011001</v>
      </c>
      <c r="I20" s="12">
        <v>1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7">
      <c r="B21" s="11">
        <f>1000000+INDEX(编号表!$B:$B,MATCH(C21,编号表!$A:$A,0))*1000+INDEX(编号表!$D:$D,MATCH(D21,编号表!$C:$C,0))*100+E21</f>
        <v>1002303</v>
      </c>
      <c r="C21" s="3" t="s">
        <v>54</v>
      </c>
      <c r="D21" s="11" t="s">
        <v>40</v>
      </c>
      <c r="E21" s="11">
        <v>3</v>
      </c>
      <c r="F21" s="11" t="s">
        <v>62</v>
      </c>
      <c r="G21" s="16" t="s">
        <v>39</v>
      </c>
      <c r="H21" s="11">
        <v>60011002</v>
      </c>
      <c r="I21" s="12">
        <v>1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2:27">
      <c r="B22" s="11">
        <f>1000000+INDEX(编号表!$B:$B,MATCH(C22,编号表!$A:$A,0))*1000+INDEX(编号表!$D:$D,MATCH(D22,编号表!$C:$C,0))*100+E22</f>
        <v>1002304</v>
      </c>
      <c r="C22" s="3" t="s">
        <v>54</v>
      </c>
      <c r="D22" s="11" t="s">
        <v>40</v>
      </c>
      <c r="E22" s="11">
        <v>4</v>
      </c>
      <c r="F22" s="11" t="s">
        <v>63</v>
      </c>
      <c r="G22" s="16" t="s">
        <v>39</v>
      </c>
      <c r="H22" s="11">
        <v>60011003</v>
      </c>
      <c r="I22" s="12">
        <v>1</v>
      </c>
      <c r="J22" s="16"/>
    </row>
    <row r="23" spans="2:27">
      <c r="B23" s="11">
        <f>1000000+INDEX(编号表!$B:$B,MATCH(C23,编号表!$A:$A,0))*1000+INDEX(编号表!$D:$D,MATCH(D23,编号表!$C:$C,0))*100+E23</f>
        <v>1002305</v>
      </c>
      <c r="C23" s="3" t="s">
        <v>54</v>
      </c>
      <c r="D23" s="11" t="s">
        <v>40</v>
      </c>
      <c r="E23" s="11">
        <v>5</v>
      </c>
      <c r="F23" s="11" t="s">
        <v>64</v>
      </c>
      <c r="G23" s="16" t="s">
        <v>39</v>
      </c>
      <c r="H23" s="11">
        <v>60011004</v>
      </c>
      <c r="I23" s="12">
        <v>1</v>
      </c>
    </row>
    <row r="24" spans="2:27">
      <c r="B24" s="11">
        <f>1000000+INDEX(编号表!$B:$B,MATCH(C24,编号表!$A:$A,0))*1000+INDEX(编号表!$D:$D,MATCH(D24,编号表!$C:$C,0))*100+E24</f>
        <v>1002306</v>
      </c>
      <c r="C24" s="3" t="s">
        <v>54</v>
      </c>
      <c r="D24" s="11" t="s">
        <v>40</v>
      </c>
      <c r="E24" s="11">
        <v>6</v>
      </c>
      <c r="F24" s="11" t="s">
        <v>65</v>
      </c>
      <c r="G24" s="16" t="s">
        <v>39</v>
      </c>
      <c r="H24" s="11">
        <v>60011005</v>
      </c>
      <c r="I24" s="12">
        <v>1</v>
      </c>
    </row>
    <row r="25" spans="2:27">
      <c r="B25" s="11">
        <f>1000000+INDEX(编号表!$B:$B,MATCH(C25,编号表!$A:$A,0))*1000+INDEX(编号表!$D:$D,MATCH(D25,编号表!$C:$C,0))*100+E25</f>
        <v>1002307</v>
      </c>
      <c r="C25" s="3" t="s">
        <v>54</v>
      </c>
      <c r="D25" s="11" t="s">
        <v>40</v>
      </c>
      <c r="E25" s="11">
        <v>7</v>
      </c>
      <c r="F25" s="11" t="s">
        <v>66</v>
      </c>
      <c r="G25" s="16" t="s">
        <v>39</v>
      </c>
      <c r="H25" s="11">
        <v>60011006</v>
      </c>
      <c r="I25" s="12">
        <v>1</v>
      </c>
    </row>
    <row r="26" spans="2:27">
      <c r="B26" s="11">
        <f>1000000+INDEX(编号表!$B:$B,MATCH(C26,编号表!$A:$A,0))*1000+INDEX(编号表!$D:$D,MATCH(D26,编号表!$C:$C,0))*100+E26</f>
        <v>1002308</v>
      </c>
      <c r="C26" s="3" t="s">
        <v>54</v>
      </c>
      <c r="D26" s="11" t="s">
        <v>40</v>
      </c>
      <c r="E26" s="11">
        <v>8</v>
      </c>
      <c r="F26" s="11" t="s">
        <v>67</v>
      </c>
      <c r="G26" s="16" t="s">
        <v>39</v>
      </c>
      <c r="H26" s="11">
        <v>60011007</v>
      </c>
      <c r="I26" s="12">
        <v>1</v>
      </c>
    </row>
    <row r="27" spans="2:27">
      <c r="B27" s="11">
        <f>1000000+INDEX(编号表!$B:$B,MATCH(C27,编号表!$A:$A,0))*1000+INDEX(编号表!$D:$D,MATCH(D27,编号表!$C:$C,0))*100+E27</f>
        <v>1002309</v>
      </c>
      <c r="C27" s="3" t="s">
        <v>54</v>
      </c>
      <c r="D27" s="11" t="s">
        <v>40</v>
      </c>
      <c r="E27" s="11">
        <v>9</v>
      </c>
      <c r="F27" s="11" t="s">
        <v>68</v>
      </c>
      <c r="G27" s="16" t="s">
        <v>39</v>
      </c>
      <c r="H27" s="11">
        <v>60011008</v>
      </c>
      <c r="I27" s="12">
        <v>1</v>
      </c>
    </row>
    <row r="28" spans="2:27">
      <c r="B28" s="11">
        <f>1000000+INDEX(编号表!$B:$B,MATCH(C28,编号表!$A:$A,0))*1000+INDEX(编号表!$D:$D,MATCH(D28,编号表!$C:$C,0))*100+E28</f>
        <v>1002310</v>
      </c>
      <c r="C28" s="3" t="s">
        <v>54</v>
      </c>
      <c r="D28" s="11" t="s">
        <v>40</v>
      </c>
      <c r="E28" s="11">
        <v>10</v>
      </c>
      <c r="F28" s="11" t="s">
        <v>69</v>
      </c>
      <c r="G28" s="16" t="s">
        <v>39</v>
      </c>
      <c r="H28" s="11">
        <v>60011009</v>
      </c>
      <c r="I28" s="12">
        <v>1</v>
      </c>
    </row>
    <row r="29" spans="2:27">
      <c r="B29" s="11">
        <f>1000000+INDEX(编号表!$B:$B,MATCH(C29,编号表!$A:$A,0))*1000+INDEX(编号表!$D:$D,MATCH(D29,编号表!$C:$C,0))*100+E29</f>
        <v>1002311</v>
      </c>
      <c r="C29" s="3" t="s">
        <v>54</v>
      </c>
      <c r="D29" s="11" t="s">
        <v>40</v>
      </c>
      <c r="E29" s="11">
        <v>11</v>
      </c>
      <c r="F29" s="11" t="s">
        <v>70</v>
      </c>
      <c r="G29" s="16" t="s">
        <v>39</v>
      </c>
      <c r="H29" s="11">
        <v>60011010</v>
      </c>
      <c r="I29" s="12">
        <v>1</v>
      </c>
    </row>
    <row r="30" spans="2:27">
      <c r="B30" s="11">
        <f>1000000+INDEX(编号表!$B:$B,MATCH(C30,编号表!$A:$A,0))*1000+INDEX(编号表!$D:$D,MATCH(D30,编号表!$C:$C,0))*100+E30</f>
        <v>1002312</v>
      </c>
      <c r="C30" s="3" t="s">
        <v>54</v>
      </c>
      <c r="D30" s="11" t="s">
        <v>40</v>
      </c>
      <c r="E30" s="11">
        <v>12</v>
      </c>
      <c r="F30" s="11" t="s">
        <v>71</v>
      </c>
      <c r="G30" s="16" t="s">
        <v>39</v>
      </c>
      <c r="H30" s="11">
        <v>60011011</v>
      </c>
      <c r="I30" s="12">
        <v>1</v>
      </c>
    </row>
    <row r="31" spans="2:27">
      <c r="B31" s="11">
        <f>1000000+INDEX(编号表!$B:$B,MATCH(C31,编号表!$A:$A,0))*1000+INDEX(编号表!$D:$D,MATCH(D31,编号表!$C:$C,0))*100+E31</f>
        <v>1002313</v>
      </c>
      <c r="C31" s="3" t="s">
        <v>54</v>
      </c>
      <c r="D31" s="11" t="s">
        <v>40</v>
      </c>
      <c r="E31" s="11">
        <v>13</v>
      </c>
      <c r="F31" s="11" t="s">
        <v>72</v>
      </c>
      <c r="G31" s="16" t="s">
        <v>39</v>
      </c>
      <c r="H31" s="11">
        <v>60011012</v>
      </c>
      <c r="I31" s="12">
        <v>1</v>
      </c>
    </row>
    <row r="32" spans="2:27">
      <c r="B32" s="11">
        <f>1000000+INDEX(编号表!$B:$B,MATCH(C32,编号表!$A:$A,0))*1000+INDEX(编号表!$D:$D,MATCH(D32,编号表!$C:$C,0))*100+E32</f>
        <v>1002314</v>
      </c>
      <c r="C32" s="3" t="s">
        <v>54</v>
      </c>
      <c r="D32" s="11" t="s">
        <v>40</v>
      </c>
      <c r="E32" s="11">
        <v>14</v>
      </c>
      <c r="F32" s="11" t="s">
        <v>73</v>
      </c>
      <c r="G32" s="16" t="s">
        <v>39</v>
      </c>
      <c r="H32" s="11">
        <v>60011013</v>
      </c>
      <c r="I32" s="12">
        <v>1</v>
      </c>
    </row>
    <row r="33" spans="2:27">
      <c r="B33" s="11">
        <f>1000000+INDEX(编号表!$B:$B,MATCH(C33,编号表!$A:$A,0))*1000+INDEX(编号表!$D:$D,MATCH(D33,编号表!$C:$C,0))*100+E33</f>
        <v>1002315</v>
      </c>
      <c r="C33" s="3" t="s">
        <v>54</v>
      </c>
      <c r="D33" s="11" t="s">
        <v>40</v>
      </c>
      <c r="E33" s="11">
        <v>15</v>
      </c>
      <c r="F33" s="11" t="s">
        <v>74</v>
      </c>
      <c r="G33" s="16" t="s">
        <v>39</v>
      </c>
      <c r="H33" s="11">
        <v>60011014</v>
      </c>
      <c r="I33" s="12">
        <v>1</v>
      </c>
    </row>
    <row r="34" spans="2:27">
      <c r="B34" s="11">
        <f>1000000+INDEX(编号表!$B:$B,MATCH(C34,编号表!$A:$A,0))*1000+INDEX(编号表!$D:$D,MATCH(D34,编号表!$C:$C,0))*100+E34</f>
        <v>1002316</v>
      </c>
      <c r="C34" s="3" t="s">
        <v>54</v>
      </c>
      <c r="D34" s="11" t="s">
        <v>40</v>
      </c>
      <c r="E34" s="11">
        <v>16</v>
      </c>
      <c r="F34" s="11" t="s">
        <v>75</v>
      </c>
      <c r="G34" s="16" t="s">
        <v>39</v>
      </c>
      <c r="H34" s="11">
        <v>60011015</v>
      </c>
      <c r="I34" s="12">
        <v>1</v>
      </c>
    </row>
    <row r="35" spans="2:27">
      <c r="B35" s="11">
        <f>1000000+INDEX(编号表!$B:$B,MATCH(C35,编号表!$A:$A,0))*1000+INDEX(编号表!$D:$D,MATCH(D35,编号表!$C:$C,0))*100+E35</f>
        <v>1002317</v>
      </c>
      <c r="C35" s="3" t="s">
        <v>54</v>
      </c>
      <c r="D35" s="11" t="s">
        <v>40</v>
      </c>
      <c r="E35" s="11">
        <v>17</v>
      </c>
      <c r="F35" s="11" t="s">
        <v>76</v>
      </c>
      <c r="G35" s="16" t="s">
        <v>39</v>
      </c>
      <c r="H35" s="11">
        <v>60011016</v>
      </c>
      <c r="I35" s="12">
        <v>1</v>
      </c>
    </row>
    <row r="36" spans="2:27">
      <c r="B36" s="11">
        <f>1000000+INDEX(编号表!$B:$B,MATCH(C36,编号表!$A:$A,0))*1000+INDEX(编号表!$D:$D,MATCH(D36,编号表!$C:$C,0))*100+E36</f>
        <v>1002318</v>
      </c>
      <c r="C36" s="3" t="s">
        <v>54</v>
      </c>
      <c r="D36" s="11" t="s">
        <v>40</v>
      </c>
      <c r="E36" s="11">
        <v>18</v>
      </c>
      <c r="F36" s="11" t="s">
        <v>77</v>
      </c>
      <c r="G36" s="16" t="s">
        <v>39</v>
      </c>
      <c r="H36" s="11">
        <v>60011017</v>
      </c>
      <c r="I36" s="12">
        <v>1</v>
      </c>
    </row>
    <row r="37" spans="2:27">
      <c r="B37" s="11">
        <f>1000000+INDEX(编号表!$B:$B,MATCH(C37,编号表!$A:$A,0))*1000+INDEX(编号表!$D:$D,MATCH(D37,编号表!$C:$C,0))*100+E37</f>
        <v>1002319</v>
      </c>
      <c r="C37" s="3" t="s">
        <v>54</v>
      </c>
      <c r="D37" s="11" t="s">
        <v>40</v>
      </c>
      <c r="E37" s="11">
        <v>19</v>
      </c>
      <c r="F37" s="11" t="s">
        <v>78</v>
      </c>
      <c r="G37" s="16" t="s">
        <v>39</v>
      </c>
      <c r="H37" s="11">
        <v>60011018</v>
      </c>
      <c r="I37" s="12">
        <v>1</v>
      </c>
    </row>
    <row r="38" spans="2:27">
      <c r="B38" s="11">
        <f>1000000+INDEX(编号表!$B:$B,MATCH(C38,编号表!$A:$A,0))*1000+INDEX(编号表!$D:$D,MATCH(D38,编号表!$C:$C,0))*100+E38</f>
        <v>1002320</v>
      </c>
      <c r="C38" s="3" t="s">
        <v>54</v>
      </c>
      <c r="D38" s="11" t="s">
        <v>40</v>
      </c>
      <c r="E38" s="11">
        <v>20</v>
      </c>
      <c r="F38" s="11" t="s">
        <v>79</v>
      </c>
      <c r="G38" s="16" t="s">
        <v>39</v>
      </c>
      <c r="H38" s="11">
        <v>60011019</v>
      </c>
      <c r="I38" s="12">
        <v>1</v>
      </c>
    </row>
    <row r="39" spans="2:27">
      <c r="B39" s="11">
        <f>1000000+INDEX(编号表!$B:$B,MATCH(C39,编号表!$A:$A,0))*1000+INDEX(编号表!$D:$D,MATCH(D39,编号表!$C:$C,0))*100+E39</f>
        <v>1002321</v>
      </c>
      <c r="C39" s="3" t="s">
        <v>54</v>
      </c>
      <c r="D39" s="11" t="s">
        <v>40</v>
      </c>
      <c r="E39" s="11">
        <v>21</v>
      </c>
      <c r="F39" s="11" t="s">
        <v>80</v>
      </c>
      <c r="G39" s="16" t="s">
        <v>39</v>
      </c>
      <c r="H39" s="11">
        <v>60011000</v>
      </c>
      <c r="I39" s="12">
        <v>10</v>
      </c>
      <c r="J39" s="16"/>
      <c r="K39" s="16"/>
      <c r="M39" s="16"/>
      <c r="O39" s="16"/>
      <c r="Q39" s="16"/>
      <c r="S39" s="16"/>
      <c r="U39" s="16"/>
      <c r="W39" s="16"/>
      <c r="Y39" s="16"/>
      <c r="AA39" s="16"/>
    </row>
    <row r="40" spans="2:27">
      <c r="B40" s="11">
        <f>1000000+INDEX(编号表!$B:$B,MATCH(C40,编号表!$A:$A,0))*1000+INDEX(编号表!$D:$D,MATCH(D40,编号表!$C:$C,0))*100+E40</f>
        <v>1002322</v>
      </c>
      <c r="C40" s="3" t="s">
        <v>54</v>
      </c>
      <c r="D40" s="11" t="s">
        <v>40</v>
      </c>
      <c r="E40" s="11">
        <v>22</v>
      </c>
      <c r="F40" s="11" t="s">
        <v>81</v>
      </c>
      <c r="G40" s="16" t="s">
        <v>39</v>
      </c>
      <c r="H40" s="11">
        <v>60011001</v>
      </c>
      <c r="I40" s="12">
        <v>10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2:27">
      <c r="B41" s="11">
        <f>1000000+INDEX(编号表!$B:$B,MATCH(C41,编号表!$A:$A,0))*1000+INDEX(编号表!$D:$D,MATCH(D41,编号表!$C:$C,0))*100+E41</f>
        <v>1002323</v>
      </c>
      <c r="C41" s="3" t="s">
        <v>54</v>
      </c>
      <c r="D41" s="11" t="s">
        <v>40</v>
      </c>
      <c r="E41" s="11">
        <v>23</v>
      </c>
      <c r="F41" s="11" t="s">
        <v>82</v>
      </c>
      <c r="G41" s="16" t="s">
        <v>39</v>
      </c>
      <c r="H41" s="16">
        <v>60011002</v>
      </c>
      <c r="I41" s="12">
        <v>10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2:27">
      <c r="B42" s="11">
        <f>1000000+INDEX(编号表!$B:$B,MATCH(C42,编号表!$A:$A,0))*1000+INDEX(编号表!$D:$D,MATCH(D42,编号表!$C:$C,0))*100+E42</f>
        <v>1002324</v>
      </c>
      <c r="C42" s="3" t="s">
        <v>54</v>
      </c>
      <c r="D42" s="11" t="s">
        <v>40</v>
      </c>
      <c r="E42" s="11">
        <v>24</v>
      </c>
      <c r="F42" s="11" t="s">
        <v>83</v>
      </c>
      <c r="G42" s="16" t="s">
        <v>39</v>
      </c>
      <c r="H42" s="11">
        <v>60011003</v>
      </c>
      <c r="I42" s="12">
        <v>10</v>
      </c>
      <c r="J42" s="16"/>
    </row>
    <row r="43" spans="2:27">
      <c r="B43" s="11">
        <f>1000000+INDEX(编号表!$B:$B,MATCH(C43,编号表!$A:$A,0))*1000+INDEX(编号表!$D:$D,MATCH(D43,编号表!$C:$C,0))*100+E43</f>
        <v>1002325</v>
      </c>
      <c r="C43" s="3" t="s">
        <v>54</v>
      </c>
      <c r="D43" s="11" t="s">
        <v>40</v>
      </c>
      <c r="E43" s="11">
        <v>25</v>
      </c>
      <c r="F43" s="11" t="s">
        <v>84</v>
      </c>
      <c r="G43" s="16" t="s">
        <v>39</v>
      </c>
      <c r="H43" s="11">
        <v>60011004</v>
      </c>
      <c r="I43" s="12">
        <v>10</v>
      </c>
    </row>
    <row r="44" spans="2:27">
      <c r="B44" s="11">
        <f>1000000+INDEX(编号表!$B:$B,MATCH(C44,编号表!$A:$A,0))*1000+INDEX(编号表!$D:$D,MATCH(D44,编号表!$C:$C,0))*100+E44</f>
        <v>1002326</v>
      </c>
      <c r="C44" s="3" t="s">
        <v>54</v>
      </c>
      <c r="D44" s="11" t="s">
        <v>40</v>
      </c>
      <c r="E44" s="11">
        <v>26</v>
      </c>
      <c r="F44" s="11" t="s">
        <v>85</v>
      </c>
      <c r="G44" s="16" t="s">
        <v>39</v>
      </c>
      <c r="H44" s="11">
        <v>60011005</v>
      </c>
      <c r="I44" s="12">
        <v>10</v>
      </c>
    </row>
    <row r="45" spans="2:27">
      <c r="B45" s="11">
        <f>1000000+INDEX(编号表!$B:$B,MATCH(C45,编号表!$A:$A,0))*1000+INDEX(编号表!$D:$D,MATCH(D45,编号表!$C:$C,0))*100+E45</f>
        <v>1002327</v>
      </c>
      <c r="C45" s="3" t="s">
        <v>54</v>
      </c>
      <c r="D45" s="11" t="s">
        <v>40</v>
      </c>
      <c r="E45" s="11">
        <v>27</v>
      </c>
      <c r="F45" s="11" t="s">
        <v>86</v>
      </c>
      <c r="G45" s="16" t="s">
        <v>39</v>
      </c>
      <c r="H45" s="11">
        <v>60011006</v>
      </c>
      <c r="I45" s="12">
        <v>10</v>
      </c>
    </row>
    <row r="46" spans="2:27">
      <c r="B46" s="11">
        <f>1000000+INDEX(编号表!$B:$B,MATCH(C46,编号表!$A:$A,0))*1000+INDEX(编号表!$D:$D,MATCH(D46,编号表!$C:$C,0))*100+E46</f>
        <v>1002328</v>
      </c>
      <c r="C46" s="3" t="s">
        <v>54</v>
      </c>
      <c r="D46" s="11" t="s">
        <v>40</v>
      </c>
      <c r="E46" s="11">
        <v>28</v>
      </c>
      <c r="F46" s="11" t="s">
        <v>87</v>
      </c>
      <c r="G46" s="16" t="s">
        <v>39</v>
      </c>
      <c r="H46" s="11">
        <v>60011007</v>
      </c>
      <c r="I46" s="12">
        <v>10</v>
      </c>
    </row>
    <row r="47" spans="2:27">
      <c r="B47" s="11">
        <f>1000000+INDEX(编号表!$B:$B,MATCH(C47,编号表!$A:$A,0))*1000+INDEX(编号表!$D:$D,MATCH(D47,编号表!$C:$C,0))*100+E47</f>
        <v>1002329</v>
      </c>
      <c r="C47" s="3" t="s">
        <v>54</v>
      </c>
      <c r="D47" s="11" t="s">
        <v>40</v>
      </c>
      <c r="E47" s="11">
        <v>29</v>
      </c>
      <c r="F47" s="11" t="s">
        <v>88</v>
      </c>
      <c r="G47" s="16" t="s">
        <v>39</v>
      </c>
      <c r="H47" s="11">
        <v>60011008</v>
      </c>
      <c r="I47" s="12">
        <v>10</v>
      </c>
    </row>
    <row r="48" spans="2:27">
      <c r="B48" s="11">
        <f>1000000+INDEX(编号表!$B:$B,MATCH(C48,编号表!$A:$A,0))*1000+INDEX(编号表!$D:$D,MATCH(D48,编号表!$C:$C,0))*100+E48</f>
        <v>1002330</v>
      </c>
      <c r="C48" s="3" t="s">
        <v>54</v>
      </c>
      <c r="D48" s="11" t="s">
        <v>40</v>
      </c>
      <c r="E48" s="11">
        <v>30</v>
      </c>
      <c r="F48" s="11" t="s">
        <v>89</v>
      </c>
      <c r="G48" s="16" t="s">
        <v>39</v>
      </c>
      <c r="H48" s="11">
        <v>60011009</v>
      </c>
      <c r="I48" s="12">
        <v>10</v>
      </c>
    </row>
    <row r="49" spans="2:9">
      <c r="B49" s="11">
        <f>1000000+INDEX(编号表!$B:$B,MATCH(C49,编号表!$A:$A,0))*1000+INDEX(编号表!$D:$D,MATCH(D49,编号表!$C:$C,0))*100+E49</f>
        <v>1002331</v>
      </c>
      <c r="C49" s="3" t="s">
        <v>54</v>
      </c>
      <c r="D49" s="11" t="s">
        <v>40</v>
      </c>
      <c r="E49" s="11">
        <v>31</v>
      </c>
      <c r="F49" s="11" t="s">
        <v>90</v>
      </c>
      <c r="G49" s="16" t="s">
        <v>39</v>
      </c>
      <c r="H49" s="11">
        <v>60011010</v>
      </c>
      <c r="I49" s="12">
        <v>10</v>
      </c>
    </row>
    <row r="50" spans="2:9">
      <c r="B50" s="11">
        <f>1000000+INDEX(编号表!$B:$B,MATCH(C50,编号表!$A:$A,0))*1000+INDEX(编号表!$D:$D,MATCH(D50,编号表!$C:$C,0))*100+E50</f>
        <v>1002332</v>
      </c>
      <c r="C50" s="3" t="s">
        <v>54</v>
      </c>
      <c r="D50" s="11" t="s">
        <v>40</v>
      </c>
      <c r="E50" s="11">
        <v>32</v>
      </c>
      <c r="F50" s="11" t="s">
        <v>91</v>
      </c>
      <c r="G50" s="16" t="s">
        <v>39</v>
      </c>
      <c r="H50" s="11">
        <v>60011011</v>
      </c>
      <c r="I50" s="12">
        <v>10</v>
      </c>
    </row>
    <row r="51" spans="2:9">
      <c r="B51" s="11">
        <f>1000000+INDEX(编号表!$B:$B,MATCH(C51,编号表!$A:$A,0))*1000+INDEX(编号表!$D:$D,MATCH(D51,编号表!$C:$C,0))*100+E51</f>
        <v>1002333</v>
      </c>
      <c r="C51" s="3" t="s">
        <v>54</v>
      </c>
      <c r="D51" s="11" t="s">
        <v>40</v>
      </c>
      <c r="E51" s="11">
        <v>33</v>
      </c>
      <c r="F51" s="11" t="s">
        <v>92</v>
      </c>
      <c r="G51" s="16" t="s">
        <v>39</v>
      </c>
      <c r="H51" s="11">
        <v>60011012</v>
      </c>
      <c r="I51" s="12">
        <v>10</v>
      </c>
    </row>
    <row r="52" spans="2:9">
      <c r="B52" s="11">
        <f>1000000+INDEX(编号表!$B:$B,MATCH(C52,编号表!$A:$A,0))*1000+INDEX(编号表!$D:$D,MATCH(D52,编号表!$C:$C,0))*100+E52</f>
        <v>1002334</v>
      </c>
      <c r="C52" s="3" t="s">
        <v>54</v>
      </c>
      <c r="D52" s="11" t="s">
        <v>40</v>
      </c>
      <c r="E52" s="11">
        <v>34</v>
      </c>
      <c r="F52" s="11" t="s">
        <v>93</v>
      </c>
      <c r="G52" s="16" t="s">
        <v>39</v>
      </c>
      <c r="H52" s="11">
        <v>60011013</v>
      </c>
      <c r="I52" s="12">
        <v>10</v>
      </c>
    </row>
    <row r="53" spans="2:9">
      <c r="B53" s="11">
        <f>1000000+INDEX(编号表!$B:$B,MATCH(C53,编号表!$A:$A,0))*1000+INDEX(编号表!$D:$D,MATCH(D53,编号表!$C:$C,0))*100+E53</f>
        <v>1002335</v>
      </c>
      <c r="C53" s="3" t="s">
        <v>54</v>
      </c>
      <c r="D53" s="11" t="s">
        <v>40</v>
      </c>
      <c r="E53" s="11">
        <v>35</v>
      </c>
      <c r="F53" s="11" t="s">
        <v>94</v>
      </c>
      <c r="G53" s="16" t="s">
        <v>39</v>
      </c>
      <c r="H53" s="11">
        <v>60011014</v>
      </c>
      <c r="I53" s="12">
        <v>10</v>
      </c>
    </row>
    <row r="54" spans="2:9">
      <c r="B54" s="11">
        <f>1000000+INDEX(编号表!$B:$B,MATCH(C54,编号表!$A:$A,0))*1000+INDEX(编号表!$D:$D,MATCH(D54,编号表!$C:$C,0))*100+E54</f>
        <v>1002336</v>
      </c>
      <c r="C54" s="3" t="s">
        <v>54</v>
      </c>
      <c r="D54" s="11" t="s">
        <v>40</v>
      </c>
      <c r="E54" s="11">
        <v>36</v>
      </c>
      <c r="F54" s="11" t="s">
        <v>95</v>
      </c>
      <c r="G54" s="16" t="s">
        <v>39</v>
      </c>
      <c r="H54" s="11">
        <v>60011015</v>
      </c>
      <c r="I54" s="12">
        <v>10</v>
      </c>
    </row>
    <row r="55" spans="2:9">
      <c r="B55" s="11">
        <f>1000000+INDEX(编号表!$B:$B,MATCH(C55,编号表!$A:$A,0))*1000+INDEX(编号表!$D:$D,MATCH(D55,编号表!$C:$C,0))*100+E55</f>
        <v>1002337</v>
      </c>
      <c r="C55" s="3" t="s">
        <v>54</v>
      </c>
      <c r="D55" s="11" t="s">
        <v>40</v>
      </c>
      <c r="E55" s="11">
        <v>37</v>
      </c>
      <c r="F55" s="11" t="s">
        <v>96</v>
      </c>
      <c r="G55" s="16" t="s">
        <v>39</v>
      </c>
      <c r="H55" s="11">
        <v>60011016</v>
      </c>
      <c r="I55" s="12">
        <v>10</v>
      </c>
    </row>
    <row r="56" spans="2:9">
      <c r="B56" s="11">
        <f>1000000+INDEX(编号表!$B:$B,MATCH(C56,编号表!$A:$A,0))*1000+INDEX(编号表!$D:$D,MATCH(D56,编号表!$C:$C,0))*100+E56</f>
        <v>1002338</v>
      </c>
      <c r="C56" s="3" t="s">
        <v>54</v>
      </c>
      <c r="D56" s="11" t="s">
        <v>40</v>
      </c>
      <c r="E56" s="11">
        <v>38</v>
      </c>
      <c r="F56" s="11" t="s">
        <v>97</v>
      </c>
      <c r="G56" s="16" t="s">
        <v>39</v>
      </c>
      <c r="H56" s="11">
        <v>60011017</v>
      </c>
      <c r="I56" s="12">
        <v>10</v>
      </c>
    </row>
    <row r="57" spans="2:9">
      <c r="B57" s="11">
        <f>1000000+INDEX(编号表!$B:$B,MATCH(C57,编号表!$A:$A,0))*1000+INDEX(编号表!$D:$D,MATCH(D57,编号表!$C:$C,0))*100+E57</f>
        <v>1002339</v>
      </c>
      <c r="C57" s="3" t="s">
        <v>54</v>
      </c>
      <c r="D57" s="11" t="s">
        <v>40</v>
      </c>
      <c r="E57" s="11">
        <v>39</v>
      </c>
      <c r="F57" s="11" t="s">
        <v>98</v>
      </c>
      <c r="G57" s="16" t="s">
        <v>39</v>
      </c>
      <c r="H57" s="11">
        <v>60011018</v>
      </c>
      <c r="I57" s="12">
        <v>10</v>
      </c>
    </row>
    <row r="58" spans="2:9">
      <c r="B58" s="11">
        <f>1000000+INDEX(编号表!$B:$B,MATCH(C58,编号表!$A:$A,0))*1000+INDEX(编号表!$D:$D,MATCH(D58,编号表!$C:$C,0))*100+E58</f>
        <v>1002340</v>
      </c>
      <c r="C58" s="3" t="s">
        <v>54</v>
      </c>
      <c r="D58" s="11" t="s">
        <v>40</v>
      </c>
      <c r="E58" s="11">
        <v>40</v>
      </c>
      <c r="F58" s="11" t="s">
        <v>99</v>
      </c>
      <c r="G58" s="16" t="s">
        <v>39</v>
      </c>
      <c r="H58" s="11">
        <v>60011019</v>
      </c>
      <c r="I58" s="12">
        <v>10</v>
      </c>
    </row>
    <row r="59" spans="2:9">
      <c r="B59" s="11">
        <f>1000000+INDEX(编号表!$B:$B,MATCH(C59,编号表!$A:$A,0))*1000+INDEX(编号表!$D:$D,MATCH(D59,编号表!$C:$C,0))*100+E59</f>
        <v>1002341</v>
      </c>
      <c r="C59" s="3" t="s">
        <v>54</v>
      </c>
      <c r="D59" s="11" t="s">
        <v>40</v>
      </c>
      <c r="E59" s="11">
        <v>41</v>
      </c>
      <c r="F59" s="11" t="s">
        <v>100</v>
      </c>
      <c r="G59" s="16" t="s">
        <v>39</v>
      </c>
      <c r="H59" s="11">
        <v>60011001</v>
      </c>
      <c r="I59" s="12">
        <v>15</v>
      </c>
    </row>
    <row r="60" spans="2:9">
      <c r="B60" s="11">
        <f>1000000+INDEX(编号表!$B:$B,MATCH(C60,编号表!$A:$A,0))*1000+INDEX(编号表!$D:$D,MATCH(D60,编号表!$C:$C,0))*100+E60</f>
        <v>1002342</v>
      </c>
      <c r="C60" s="3" t="s">
        <v>54</v>
      </c>
      <c r="D60" s="11" t="s">
        <v>40</v>
      </c>
      <c r="E60" s="11">
        <v>42</v>
      </c>
      <c r="F60" s="11" t="s">
        <v>101</v>
      </c>
      <c r="G60" s="16" t="s">
        <v>39</v>
      </c>
      <c r="H60" s="16">
        <v>60011002</v>
      </c>
      <c r="I60" s="12">
        <v>15</v>
      </c>
    </row>
    <row r="61" spans="2:9">
      <c r="B61" s="11">
        <f>1000000+INDEX(编号表!$B:$B,MATCH(C61,编号表!$A:$A,0))*1000+INDEX(编号表!$D:$D,MATCH(D61,编号表!$C:$C,0))*100+E61</f>
        <v>1002343</v>
      </c>
      <c r="C61" s="3" t="s">
        <v>54</v>
      </c>
      <c r="D61" s="11" t="s">
        <v>40</v>
      </c>
      <c r="E61" s="11">
        <v>43</v>
      </c>
      <c r="F61" s="11" t="s">
        <v>102</v>
      </c>
      <c r="G61" s="16" t="s">
        <v>39</v>
      </c>
      <c r="H61" s="11">
        <v>60011003</v>
      </c>
      <c r="I61" s="12">
        <v>15</v>
      </c>
    </row>
    <row r="62" spans="2:9">
      <c r="B62" s="11">
        <f>1000000+INDEX(编号表!$B:$B,MATCH(C62,编号表!$A:$A,0))*1000+INDEX(编号表!$D:$D,MATCH(D62,编号表!$C:$C,0))*100+E62</f>
        <v>1002344</v>
      </c>
      <c r="C62" s="3" t="s">
        <v>54</v>
      </c>
      <c r="D62" s="11" t="s">
        <v>40</v>
      </c>
      <c r="E62" s="11">
        <v>44</v>
      </c>
      <c r="F62" s="11" t="s">
        <v>103</v>
      </c>
      <c r="G62" s="16" t="s">
        <v>39</v>
      </c>
      <c r="H62" s="11">
        <v>60011004</v>
      </c>
      <c r="I62" s="12">
        <v>15</v>
      </c>
    </row>
    <row r="63" spans="2:9">
      <c r="B63" s="11">
        <f>1000000+INDEX(编号表!$B:$B,MATCH(C63,编号表!$A:$A,0))*1000+INDEX(编号表!$D:$D,MATCH(D63,编号表!$C:$C,0))*100+E63</f>
        <v>1002345</v>
      </c>
      <c r="C63" s="3" t="s">
        <v>54</v>
      </c>
      <c r="D63" s="11" t="s">
        <v>40</v>
      </c>
      <c r="E63" s="11">
        <v>45</v>
      </c>
      <c r="F63" s="11" t="s">
        <v>104</v>
      </c>
      <c r="G63" s="16" t="s">
        <v>39</v>
      </c>
      <c r="H63" s="11">
        <v>60011005</v>
      </c>
      <c r="I63" s="12">
        <v>15</v>
      </c>
    </row>
    <row r="64" spans="2:9">
      <c r="B64" s="11">
        <f>1000000+INDEX(编号表!$B:$B,MATCH(C64,编号表!$A:$A,0))*1000+INDEX(编号表!$D:$D,MATCH(D64,编号表!$C:$C,0))*100+E64</f>
        <v>1002346</v>
      </c>
      <c r="C64" s="3" t="s">
        <v>54</v>
      </c>
      <c r="D64" s="11" t="s">
        <v>40</v>
      </c>
      <c r="E64" s="11">
        <v>46</v>
      </c>
      <c r="F64" s="11" t="s">
        <v>105</v>
      </c>
      <c r="G64" s="16" t="s">
        <v>39</v>
      </c>
      <c r="H64" s="11">
        <v>60011006</v>
      </c>
      <c r="I64" s="12">
        <v>15</v>
      </c>
    </row>
    <row r="65" spans="2:9">
      <c r="B65" s="11">
        <f>1000000+INDEX(编号表!$B:$B,MATCH(C65,编号表!$A:$A,0))*1000+INDEX(编号表!$D:$D,MATCH(D65,编号表!$C:$C,0))*100+E65</f>
        <v>1002347</v>
      </c>
      <c r="C65" s="3" t="s">
        <v>54</v>
      </c>
      <c r="D65" s="11" t="s">
        <v>40</v>
      </c>
      <c r="E65" s="11">
        <v>47</v>
      </c>
      <c r="F65" s="11" t="s">
        <v>106</v>
      </c>
      <c r="G65" s="16" t="s">
        <v>39</v>
      </c>
      <c r="H65" s="11">
        <v>60011007</v>
      </c>
      <c r="I65" s="12">
        <v>15</v>
      </c>
    </row>
    <row r="66" spans="2:9">
      <c r="B66" s="11">
        <f>1000000+INDEX(编号表!$B:$B,MATCH(C66,编号表!$A:$A,0))*1000+INDEX(编号表!$D:$D,MATCH(D66,编号表!$C:$C,0))*100+E66</f>
        <v>1002348</v>
      </c>
      <c r="C66" s="3" t="s">
        <v>54</v>
      </c>
      <c r="D66" s="11" t="s">
        <v>40</v>
      </c>
      <c r="E66" s="11">
        <v>48</v>
      </c>
      <c r="F66" s="11" t="s">
        <v>107</v>
      </c>
      <c r="G66" s="16" t="s">
        <v>39</v>
      </c>
      <c r="H66" s="11">
        <v>60011008</v>
      </c>
      <c r="I66" s="12">
        <v>15</v>
      </c>
    </row>
    <row r="67" spans="2:9">
      <c r="B67" s="11">
        <f>1000000+INDEX(编号表!$B:$B,MATCH(C67,编号表!$A:$A,0))*1000+INDEX(编号表!$D:$D,MATCH(D67,编号表!$C:$C,0))*100+E67</f>
        <v>1002349</v>
      </c>
      <c r="C67" s="3" t="s">
        <v>54</v>
      </c>
      <c r="D67" s="11" t="s">
        <v>40</v>
      </c>
      <c r="E67" s="11">
        <v>49</v>
      </c>
      <c r="F67" s="11" t="s">
        <v>108</v>
      </c>
      <c r="G67" s="16" t="s">
        <v>39</v>
      </c>
      <c r="H67" s="11">
        <v>60011009</v>
      </c>
      <c r="I67" s="12">
        <v>15</v>
      </c>
    </row>
    <row r="68" spans="2:9">
      <c r="B68" s="11">
        <f>1000000+INDEX(编号表!$B:$B,MATCH(C68,编号表!$A:$A,0))*1000+INDEX(编号表!$D:$D,MATCH(D68,编号表!$C:$C,0))*100+E68</f>
        <v>1002350</v>
      </c>
      <c r="C68" s="3" t="s">
        <v>54</v>
      </c>
      <c r="D68" s="11" t="s">
        <v>40</v>
      </c>
      <c r="E68" s="11">
        <v>50</v>
      </c>
      <c r="F68" s="11" t="s">
        <v>109</v>
      </c>
      <c r="G68" s="16" t="s">
        <v>39</v>
      </c>
      <c r="H68" s="11">
        <v>60011010</v>
      </c>
      <c r="I68" s="12">
        <v>15</v>
      </c>
    </row>
    <row r="69" spans="2:9">
      <c r="B69" s="11">
        <f>1000000+INDEX(编号表!$B:$B,MATCH(C69,编号表!$A:$A,0))*1000+INDEX(编号表!$D:$D,MATCH(D69,编号表!$C:$C,0))*100+E69</f>
        <v>1002351</v>
      </c>
      <c r="C69" s="3" t="s">
        <v>54</v>
      </c>
      <c r="D69" s="11" t="s">
        <v>40</v>
      </c>
      <c r="E69" s="11">
        <v>51</v>
      </c>
      <c r="F69" s="11" t="s">
        <v>110</v>
      </c>
      <c r="G69" s="16" t="s">
        <v>39</v>
      </c>
      <c r="H69" s="11">
        <v>60011011</v>
      </c>
      <c r="I69" s="12">
        <v>15</v>
      </c>
    </row>
    <row r="70" spans="2:9">
      <c r="B70" s="11">
        <f>1000000+INDEX(编号表!$B:$B,MATCH(C70,编号表!$A:$A,0))*1000+INDEX(编号表!$D:$D,MATCH(D70,编号表!$C:$C,0))*100+E70</f>
        <v>1002352</v>
      </c>
      <c r="C70" s="3" t="s">
        <v>54</v>
      </c>
      <c r="D70" s="11" t="s">
        <v>40</v>
      </c>
      <c r="E70" s="11">
        <v>52</v>
      </c>
      <c r="F70" s="11" t="s">
        <v>111</v>
      </c>
      <c r="G70" s="16" t="s">
        <v>39</v>
      </c>
      <c r="H70" s="11">
        <v>60011012</v>
      </c>
      <c r="I70" s="12">
        <v>15</v>
      </c>
    </row>
    <row r="71" spans="2:9">
      <c r="B71" s="11">
        <f>1000000+INDEX(编号表!$B:$B,MATCH(C71,编号表!$A:$A,0))*1000+INDEX(编号表!$D:$D,MATCH(D71,编号表!$C:$C,0))*100+E71</f>
        <v>1002353</v>
      </c>
      <c r="C71" s="3" t="s">
        <v>54</v>
      </c>
      <c r="D71" s="11" t="s">
        <v>40</v>
      </c>
      <c r="E71" s="11">
        <v>53</v>
      </c>
      <c r="F71" s="11" t="s">
        <v>112</v>
      </c>
      <c r="G71" s="16" t="s">
        <v>39</v>
      </c>
      <c r="H71" s="11">
        <v>60011013</v>
      </c>
      <c r="I71" s="12">
        <v>15</v>
      </c>
    </row>
    <row r="72" spans="2:9">
      <c r="B72" s="11">
        <f>1000000+INDEX(编号表!$B:$B,MATCH(C72,编号表!$A:$A,0))*1000+INDEX(编号表!$D:$D,MATCH(D72,编号表!$C:$C,0))*100+E72</f>
        <v>1002354</v>
      </c>
      <c r="C72" s="3" t="s">
        <v>54</v>
      </c>
      <c r="D72" s="11" t="s">
        <v>40</v>
      </c>
      <c r="E72" s="11">
        <v>54</v>
      </c>
      <c r="F72" s="11" t="s">
        <v>113</v>
      </c>
      <c r="G72" s="16" t="s">
        <v>39</v>
      </c>
      <c r="H72" s="11">
        <v>60011014</v>
      </c>
      <c r="I72" s="12">
        <v>15</v>
      </c>
    </row>
    <row r="73" spans="2:9">
      <c r="B73" s="11">
        <f>1000000+INDEX(编号表!$B:$B,MATCH(C73,编号表!$A:$A,0))*1000+INDEX(编号表!$D:$D,MATCH(D73,编号表!$C:$C,0))*100+E73</f>
        <v>1002355</v>
      </c>
      <c r="C73" s="3" t="s">
        <v>54</v>
      </c>
      <c r="D73" s="11" t="s">
        <v>40</v>
      </c>
      <c r="E73" s="11">
        <v>55</v>
      </c>
      <c r="F73" s="11" t="s">
        <v>114</v>
      </c>
      <c r="G73" s="16" t="s">
        <v>39</v>
      </c>
      <c r="H73" s="11">
        <v>60011015</v>
      </c>
      <c r="I73" s="12">
        <v>15</v>
      </c>
    </row>
    <row r="74" spans="2:9">
      <c r="B74" s="11">
        <f>1000000+INDEX(编号表!$B:$B,MATCH(C74,编号表!$A:$A,0))*1000+INDEX(编号表!$D:$D,MATCH(D74,编号表!$C:$C,0))*100+E74</f>
        <v>1002356</v>
      </c>
      <c r="C74" s="3" t="s">
        <v>54</v>
      </c>
      <c r="D74" s="11" t="s">
        <v>40</v>
      </c>
      <c r="E74" s="11">
        <v>56</v>
      </c>
      <c r="F74" s="11" t="s">
        <v>115</v>
      </c>
      <c r="G74" s="16" t="s">
        <v>39</v>
      </c>
      <c r="H74" s="11">
        <v>60011016</v>
      </c>
      <c r="I74" s="12">
        <v>15</v>
      </c>
    </row>
    <row r="75" spans="2:9">
      <c r="B75" s="11">
        <f>1000000+INDEX(编号表!$B:$B,MATCH(C75,编号表!$A:$A,0))*1000+INDEX(编号表!$D:$D,MATCH(D75,编号表!$C:$C,0))*100+E75</f>
        <v>1002357</v>
      </c>
      <c r="C75" s="3" t="s">
        <v>54</v>
      </c>
      <c r="D75" s="11" t="s">
        <v>40</v>
      </c>
      <c r="E75" s="11">
        <v>57</v>
      </c>
      <c r="F75" s="11" t="s">
        <v>116</v>
      </c>
      <c r="G75" s="16" t="s">
        <v>39</v>
      </c>
      <c r="H75" s="11">
        <v>60011017</v>
      </c>
      <c r="I75" s="12">
        <v>15</v>
      </c>
    </row>
    <row r="76" spans="2:9">
      <c r="B76" s="11">
        <f>1000000+INDEX(编号表!$B:$B,MATCH(C76,编号表!$A:$A,0))*1000+INDEX(编号表!$D:$D,MATCH(D76,编号表!$C:$C,0))*100+E76</f>
        <v>1002358</v>
      </c>
      <c r="C76" s="3" t="s">
        <v>54</v>
      </c>
      <c r="D76" s="11" t="s">
        <v>40</v>
      </c>
      <c r="E76" s="11">
        <v>58</v>
      </c>
      <c r="F76" s="11" t="s">
        <v>117</v>
      </c>
      <c r="G76" s="16" t="s">
        <v>39</v>
      </c>
      <c r="H76" s="11">
        <v>60011018</v>
      </c>
      <c r="I76" s="12">
        <v>15</v>
      </c>
    </row>
    <row r="77" spans="2:9">
      <c r="B77" s="11">
        <f>1000000+INDEX(编号表!$B:$B,MATCH(C77,编号表!$A:$A,0))*1000+INDEX(编号表!$D:$D,MATCH(D77,编号表!$C:$C,0))*100+E77</f>
        <v>1002359</v>
      </c>
      <c r="C77" s="3" t="s">
        <v>54</v>
      </c>
      <c r="D77" s="11" t="s">
        <v>40</v>
      </c>
      <c r="E77" s="11">
        <v>59</v>
      </c>
      <c r="F77" s="11" t="s">
        <v>118</v>
      </c>
      <c r="G77" s="16" t="s">
        <v>39</v>
      </c>
      <c r="H77" s="11">
        <v>60011019</v>
      </c>
      <c r="I77" s="12">
        <v>15</v>
      </c>
    </row>
    <row r="78" spans="2:9">
      <c r="B78" s="11">
        <f>1000000+INDEX(编号表!$B:$B,MATCH(C78,编号表!$A:$A,0))*1000+INDEX(编号表!$D:$D,MATCH(D78,编号表!$C:$C,0))*100+E78</f>
        <v>1002360</v>
      </c>
      <c r="C78" s="3" t="s">
        <v>54</v>
      </c>
      <c r="D78" s="11" t="s">
        <v>40</v>
      </c>
      <c r="E78" s="11">
        <v>60</v>
      </c>
      <c r="F78" s="11" t="s">
        <v>119</v>
      </c>
      <c r="G78" s="16" t="s">
        <v>39</v>
      </c>
      <c r="H78" s="11">
        <v>60011001</v>
      </c>
      <c r="I78" s="12">
        <v>20</v>
      </c>
    </row>
    <row r="79" spans="2:9">
      <c r="B79" s="11">
        <f>1000000+INDEX(编号表!$B:$B,MATCH(C79,编号表!$A:$A,0))*1000+INDEX(编号表!$D:$D,MATCH(D79,编号表!$C:$C,0))*100+E79</f>
        <v>1002361</v>
      </c>
      <c r="C79" s="3" t="s">
        <v>54</v>
      </c>
      <c r="D79" s="11" t="s">
        <v>40</v>
      </c>
      <c r="E79" s="11">
        <v>61</v>
      </c>
      <c r="F79" s="11" t="s">
        <v>120</v>
      </c>
      <c r="G79" s="16" t="s">
        <v>39</v>
      </c>
      <c r="H79" s="16">
        <v>60011002</v>
      </c>
      <c r="I79" s="12">
        <v>20</v>
      </c>
    </row>
    <row r="80" spans="2:9">
      <c r="B80" s="11">
        <f>1000000+INDEX(编号表!$B:$B,MATCH(C80,编号表!$A:$A,0))*1000+INDEX(编号表!$D:$D,MATCH(D80,编号表!$C:$C,0))*100+E80</f>
        <v>1002362</v>
      </c>
      <c r="C80" s="3" t="s">
        <v>54</v>
      </c>
      <c r="D80" s="11" t="s">
        <v>40</v>
      </c>
      <c r="E80" s="11">
        <v>62</v>
      </c>
      <c r="F80" s="11" t="s">
        <v>121</v>
      </c>
      <c r="G80" s="16" t="s">
        <v>39</v>
      </c>
      <c r="H80" s="11">
        <v>60011003</v>
      </c>
      <c r="I80" s="12">
        <v>20</v>
      </c>
    </row>
    <row r="81" spans="2:9">
      <c r="B81" s="11">
        <f>1000000+INDEX(编号表!$B:$B,MATCH(C81,编号表!$A:$A,0))*1000+INDEX(编号表!$D:$D,MATCH(D81,编号表!$C:$C,0))*100+E81</f>
        <v>1002363</v>
      </c>
      <c r="C81" s="3" t="s">
        <v>54</v>
      </c>
      <c r="D81" s="11" t="s">
        <v>40</v>
      </c>
      <c r="E81" s="11">
        <v>63</v>
      </c>
      <c r="F81" s="11" t="s">
        <v>122</v>
      </c>
      <c r="G81" s="16" t="s">
        <v>39</v>
      </c>
      <c r="H81" s="11">
        <v>60011004</v>
      </c>
      <c r="I81" s="12">
        <v>20</v>
      </c>
    </row>
    <row r="82" spans="2:9">
      <c r="B82" s="11">
        <f>1000000+INDEX(编号表!$B:$B,MATCH(C82,编号表!$A:$A,0))*1000+INDEX(编号表!$D:$D,MATCH(D82,编号表!$C:$C,0))*100+E82</f>
        <v>1002364</v>
      </c>
      <c r="C82" s="3" t="s">
        <v>54</v>
      </c>
      <c r="D82" s="11" t="s">
        <v>40</v>
      </c>
      <c r="E82" s="11">
        <v>64</v>
      </c>
      <c r="F82" s="11" t="s">
        <v>123</v>
      </c>
      <c r="G82" s="16" t="s">
        <v>39</v>
      </c>
      <c r="H82" s="11">
        <v>60011005</v>
      </c>
      <c r="I82" s="12">
        <v>20</v>
      </c>
    </row>
    <row r="83" spans="2:9">
      <c r="B83" s="11">
        <f>1000000+INDEX(编号表!$B:$B,MATCH(C83,编号表!$A:$A,0))*1000+INDEX(编号表!$D:$D,MATCH(D83,编号表!$C:$C,0))*100+E83</f>
        <v>1002365</v>
      </c>
      <c r="C83" s="3" t="s">
        <v>54</v>
      </c>
      <c r="D83" s="11" t="s">
        <v>40</v>
      </c>
      <c r="E83" s="11">
        <v>65</v>
      </c>
      <c r="F83" s="11" t="s">
        <v>124</v>
      </c>
      <c r="G83" s="16" t="s">
        <v>39</v>
      </c>
      <c r="H83" s="11">
        <v>60011006</v>
      </c>
      <c r="I83" s="12">
        <v>20</v>
      </c>
    </row>
    <row r="84" spans="2:9">
      <c r="B84" s="11">
        <f>1000000+INDEX(编号表!$B:$B,MATCH(C84,编号表!$A:$A,0))*1000+INDEX(编号表!$D:$D,MATCH(D84,编号表!$C:$C,0))*100+E84</f>
        <v>1002366</v>
      </c>
      <c r="C84" s="3" t="s">
        <v>54</v>
      </c>
      <c r="D84" s="11" t="s">
        <v>40</v>
      </c>
      <c r="E84" s="11">
        <v>66</v>
      </c>
      <c r="F84" s="11" t="s">
        <v>125</v>
      </c>
      <c r="G84" s="16" t="s">
        <v>39</v>
      </c>
      <c r="H84" s="11">
        <v>60011007</v>
      </c>
      <c r="I84" s="12">
        <v>20</v>
      </c>
    </row>
    <row r="85" spans="2:9">
      <c r="B85" s="11">
        <f>1000000+INDEX(编号表!$B:$B,MATCH(C85,编号表!$A:$A,0))*1000+INDEX(编号表!$D:$D,MATCH(D85,编号表!$C:$C,0))*100+E85</f>
        <v>1002367</v>
      </c>
      <c r="C85" s="3" t="s">
        <v>54</v>
      </c>
      <c r="D85" s="11" t="s">
        <v>40</v>
      </c>
      <c r="E85" s="11">
        <v>67</v>
      </c>
      <c r="F85" s="11" t="s">
        <v>126</v>
      </c>
      <c r="G85" s="16" t="s">
        <v>39</v>
      </c>
      <c r="H85" s="11">
        <v>60011008</v>
      </c>
      <c r="I85" s="12">
        <v>20</v>
      </c>
    </row>
    <row r="86" spans="2:9">
      <c r="B86" s="11">
        <f>1000000+INDEX(编号表!$B:$B,MATCH(C86,编号表!$A:$A,0))*1000+INDEX(编号表!$D:$D,MATCH(D86,编号表!$C:$C,0))*100+E86</f>
        <v>1002368</v>
      </c>
      <c r="C86" s="3" t="s">
        <v>54</v>
      </c>
      <c r="D86" s="11" t="s">
        <v>40</v>
      </c>
      <c r="E86" s="11">
        <v>68</v>
      </c>
      <c r="F86" s="11" t="s">
        <v>127</v>
      </c>
      <c r="G86" s="16" t="s">
        <v>39</v>
      </c>
      <c r="H86" s="11">
        <v>60011009</v>
      </c>
      <c r="I86" s="12">
        <v>20</v>
      </c>
    </row>
    <row r="87" spans="2:9">
      <c r="B87" s="11">
        <f>1000000+INDEX(编号表!$B:$B,MATCH(C87,编号表!$A:$A,0))*1000+INDEX(编号表!$D:$D,MATCH(D87,编号表!$C:$C,0))*100+E87</f>
        <v>1002369</v>
      </c>
      <c r="C87" s="3" t="s">
        <v>54</v>
      </c>
      <c r="D87" s="11" t="s">
        <v>40</v>
      </c>
      <c r="E87" s="11">
        <v>69</v>
      </c>
      <c r="F87" s="11" t="s">
        <v>128</v>
      </c>
      <c r="G87" s="16" t="s">
        <v>39</v>
      </c>
      <c r="H87" s="11">
        <v>60011010</v>
      </c>
      <c r="I87" s="12">
        <v>20</v>
      </c>
    </row>
    <row r="88" spans="2:9">
      <c r="B88" s="11">
        <f>1000000+INDEX(编号表!$B:$B,MATCH(C88,编号表!$A:$A,0))*1000+INDEX(编号表!$D:$D,MATCH(D88,编号表!$C:$C,0))*100+E88</f>
        <v>1002370</v>
      </c>
      <c r="C88" s="3" t="s">
        <v>54</v>
      </c>
      <c r="D88" s="11" t="s">
        <v>40</v>
      </c>
      <c r="E88" s="11">
        <v>70</v>
      </c>
      <c r="F88" s="11" t="s">
        <v>129</v>
      </c>
      <c r="G88" s="16" t="s">
        <v>39</v>
      </c>
      <c r="H88" s="11">
        <v>60011011</v>
      </c>
      <c r="I88" s="12">
        <v>20</v>
      </c>
    </row>
    <row r="89" spans="2:9">
      <c r="B89" s="11">
        <f>1000000+INDEX(编号表!$B:$B,MATCH(C89,编号表!$A:$A,0))*1000+INDEX(编号表!$D:$D,MATCH(D89,编号表!$C:$C,0))*100+E89</f>
        <v>1002371</v>
      </c>
      <c r="C89" s="3" t="s">
        <v>54</v>
      </c>
      <c r="D89" s="11" t="s">
        <v>40</v>
      </c>
      <c r="E89" s="11">
        <v>71</v>
      </c>
      <c r="F89" s="11" t="s">
        <v>130</v>
      </c>
      <c r="G89" s="16" t="s">
        <v>39</v>
      </c>
      <c r="H89" s="11">
        <v>60011012</v>
      </c>
      <c r="I89" s="12">
        <v>20</v>
      </c>
    </row>
    <row r="90" spans="2:9">
      <c r="B90" s="11">
        <f>1000000+INDEX(编号表!$B:$B,MATCH(C90,编号表!$A:$A,0))*1000+INDEX(编号表!$D:$D,MATCH(D90,编号表!$C:$C,0))*100+E90</f>
        <v>1002372</v>
      </c>
      <c r="C90" s="3" t="s">
        <v>54</v>
      </c>
      <c r="D90" s="11" t="s">
        <v>40</v>
      </c>
      <c r="E90" s="11">
        <v>72</v>
      </c>
      <c r="F90" s="11" t="s">
        <v>131</v>
      </c>
      <c r="G90" s="16" t="s">
        <v>39</v>
      </c>
      <c r="H90" s="11">
        <v>60011013</v>
      </c>
      <c r="I90" s="12">
        <v>20</v>
      </c>
    </row>
    <row r="91" spans="2:9">
      <c r="B91" s="11">
        <f>1000000+INDEX(编号表!$B:$B,MATCH(C91,编号表!$A:$A,0))*1000+INDEX(编号表!$D:$D,MATCH(D91,编号表!$C:$C,0))*100+E91</f>
        <v>1002373</v>
      </c>
      <c r="C91" s="3" t="s">
        <v>54</v>
      </c>
      <c r="D91" s="11" t="s">
        <v>40</v>
      </c>
      <c r="E91" s="11">
        <v>73</v>
      </c>
      <c r="F91" s="11" t="s">
        <v>132</v>
      </c>
      <c r="G91" s="16" t="s">
        <v>39</v>
      </c>
      <c r="H91" s="11">
        <v>60011014</v>
      </c>
      <c r="I91" s="12">
        <v>20</v>
      </c>
    </row>
    <row r="92" spans="2:9">
      <c r="B92" s="11">
        <f>1000000+INDEX(编号表!$B:$B,MATCH(C92,编号表!$A:$A,0))*1000+INDEX(编号表!$D:$D,MATCH(D92,编号表!$C:$C,0))*100+E92</f>
        <v>1002374</v>
      </c>
      <c r="C92" s="3" t="s">
        <v>54</v>
      </c>
      <c r="D92" s="11" t="s">
        <v>40</v>
      </c>
      <c r="E92" s="11">
        <v>74</v>
      </c>
      <c r="F92" s="11" t="s">
        <v>133</v>
      </c>
      <c r="G92" s="16" t="s">
        <v>39</v>
      </c>
      <c r="H92" s="11">
        <v>60011015</v>
      </c>
      <c r="I92" s="12">
        <v>20</v>
      </c>
    </row>
    <row r="93" spans="2:9">
      <c r="B93" s="11">
        <f>1000000+INDEX(编号表!$B:$B,MATCH(C93,编号表!$A:$A,0))*1000+INDEX(编号表!$D:$D,MATCH(D93,编号表!$C:$C,0))*100+E93</f>
        <v>1002375</v>
      </c>
      <c r="C93" s="3" t="s">
        <v>54</v>
      </c>
      <c r="D93" s="11" t="s">
        <v>40</v>
      </c>
      <c r="E93" s="11">
        <v>75</v>
      </c>
      <c r="F93" s="11" t="s">
        <v>134</v>
      </c>
      <c r="G93" s="16" t="s">
        <v>39</v>
      </c>
      <c r="H93" s="11">
        <v>60011016</v>
      </c>
      <c r="I93" s="12">
        <v>20</v>
      </c>
    </row>
    <row r="94" spans="2:9">
      <c r="B94" s="11">
        <f>1000000+INDEX(编号表!$B:$B,MATCH(C94,编号表!$A:$A,0))*1000+INDEX(编号表!$D:$D,MATCH(D94,编号表!$C:$C,0))*100+E94</f>
        <v>1002376</v>
      </c>
      <c r="C94" s="3" t="s">
        <v>54</v>
      </c>
      <c r="D94" s="11" t="s">
        <v>40</v>
      </c>
      <c r="E94" s="11">
        <v>76</v>
      </c>
      <c r="F94" s="11" t="s">
        <v>135</v>
      </c>
      <c r="G94" s="16" t="s">
        <v>39</v>
      </c>
      <c r="H94" s="11">
        <v>60011017</v>
      </c>
      <c r="I94" s="12">
        <v>20</v>
      </c>
    </row>
    <row r="95" spans="2:9">
      <c r="B95" s="11">
        <f>1000000+INDEX(编号表!$B:$B,MATCH(C95,编号表!$A:$A,0))*1000+INDEX(编号表!$D:$D,MATCH(D95,编号表!$C:$C,0))*100+E95</f>
        <v>1002377</v>
      </c>
      <c r="C95" s="3" t="s">
        <v>54</v>
      </c>
      <c r="D95" s="11" t="s">
        <v>40</v>
      </c>
      <c r="E95" s="11">
        <v>77</v>
      </c>
      <c r="F95" s="11" t="s">
        <v>136</v>
      </c>
      <c r="G95" s="16" t="s">
        <v>39</v>
      </c>
      <c r="H95" s="11">
        <v>60011018</v>
      </c>
      <c r="I95" s="12">
        <v>20</v>
      </c>
    </row>
    <row r="96" spans="2:9">
      <c r="B96" s="11">
        <f>1000000+INDEX(编号表!$B:$B,MATCH(C96,编号表!$A:$A,0))*1000+INDEX(编号表!$D:$D,MATCH(D96,编号表!$C:$C,0))*100+E96</f>
        <v>1002378</v>
      </c>
      <c r="C96" s="3" t="s">
        <v>54</v>
      </c>
      <c r="D96" s="11" t="s">
        <v>40</v>
      </c>
      <c r="E96" s="11">
        <v>78</v>
      </c>
      <c r="F96" s="11" t="s">
        <v>137</v>
      </c>
      <c r="G96" s="16" t="s">
        <v>39</v>
      </c>
      <c r="H96" s="11">
        <v>60011019</v>
      </c>
      <c r="I96" s="12">
        <v>20</v>
      </c>
    </row>
    <row r="97" spans="2:9">
      <c r="B97" s="11">
        <f>1000000+INDEX(编号表!$B:$B,MATCH(C97,编号表!$A:$A,0))*1000+INDEX(编号表!$D:$D,MATCH(D97,编号表!$C:$C,0))*100+E97</f>
        <v>1002379</v>
      </c>
      <c r="C97" s="3" t="s">
        <v>54</v>
      </c>
      <c r="D97" s="11" t="s">
        <v>40</v>
      </c>
      <c r="E97" s="11">
        <v>79</v>
      </c>
      <c r="F97" s="11" t="s">
        <v>138</v>
      </c>
      <c r="G97" s="16" t="s">
        <v>39</v>
      </c>
      <c r="H97" s="11">
        <v>60011001</v>
      </c>
      <c r="I97" s="12">
        <v>25</v>
      </c>
    </row>
    <row r="98" spans="2:9">
      <c r="B98" s="11">
        <f>1000000+INDEX(编号表!$B:$B,MATCH(C98,编号表!$A:$A,0))*1000+INDEX(编号表!$D:$D,MATCH(D98,编号表!$C:$C,0))*100+E98</f>
        <v>1002380</v>
      </c>
      <c r="C98" s="3" t="s">
        <v>54</v>
      </c>
      <c r="D98" s="11" t="s">
        <v>40</v>
      </c>
      <c r="E98" s="11">
        <v>80</v>
      </c>
      <c r="F98" s="11" t="s">
        <v>139</v>
      </c>
      <c r="G98" s="16" t="s">
        <v>39</v>
      </c>
      <c r="H98" s="16">
        <v>60011002</v>
      </c>
      <c r="I98" s="12">
        <v>25</v>
      </c>
    </row>
    <row r="99" spans="2:9">
      <c r="B99" s="11">
        <f>1000000+INDEX(编号表!$B:$B,MATCH(C99,编号表!$A:$A,0))*1000+INDEX(编号表!$D:$D,MATCH(D99,编号表!$C:$C,0))*100+E99</f>
        <v>1002381</v>
      </c>
      <c r="C99" s="3" t="s">
        <v>54</v>
      </c>
      <c r="D99" s="11" t="s">
        <v>40</v>
      </c>
      <c r="E99" s="11">
        <v>81</v>
      </c>
      <c r="F99" s="11" t="s">
        <v>140</v>
      </c>
      <c r="G99" s="16" t="s">
        <v>39</v>
      </c>
      <c r="H99" s="11">
        <v>60011003</v>
      </c>
      <c r="I99" s="12">
        <v>25</v>
      </c>
    </row>
    <row r="100" spans="2:9">
      <c r="B100" s="11">
        <f>1000000+INDEX(编号表!$B:$B,MATCH(C100,编号表!$A:$A,0))*1000+INDEX(编号表!$D:$D,MATCH(D100,编号表!$C:$C,0))*100+E100</f>
        <v>1002382</v>
      </c>
      <c r="C100" s="3" t="s">
        <v>54</v>
      </c>
      <c r="D100" s="11" t="s">
        <v>40</v>
      </c>
      <c r="E100" s="11">
        <v>82</v>
      </c>
      <c r="F100" s="11" t="s">
        <v>141</v>
      </c>
      <c r="G100" s="16" t="s">
        <v>39</v>
      </c>
      <c r="H100" s="11">
        <v>60011004</v>
      </c>
      <c r="I100" s="12">
        <v>25</v>
      </c>
    </row>
    <row r="101" spans="2:9">
      <c r="B101" s="11">
        <f>1000000+INDEX(编号表!$B:$B,MATCH(C101,编号表!$A:$A,0))*1000+INDEX(编号表!$D:$D,MATCH(D101,编号表!$C:$C,0))*100+E101</f>
        <v>1002383</v>
      </c>
      <c r="C101" s="3" t="s">
        <v>54</v>
      </c>
      <c r="D101" s="11" t="s">
        <v>40</v>
      </c>
      <c r="E101" s="11">
        <v>83</v>
      </c>
      <c r="F101" s="11" t="s">
        <v>142</v>
      </c>
      <c r="G101" s="16" t="s">
        <v>39</v>
      </c>
      <c r="H101" s="11">
        <v>60011005</v>
      </c>
      <c r="I101" s="12">
        <v>25</v>
      </c>
    </row>
    <row r="102" spans="2:9">
      <c r="B102" s="11">
        <f>1000000+INDEX(编号表!$B:$B,MATCH(C102,编号表!$A:$A,0))*1000+INDEX(编号表!$D:$D,MATCH(D102,编号表!$C:$C,0))*100+E102</f>
        <v>1002384</v>
      </c>
      <c r="C102" s="3" t="s">
        <v>54</v>
      </c>
      <c r="D102" s="11" t="s">
        <v>40</v>
      </c>
      <c r="E102" s="11">
        <v>84</v>
      </c>
      <c r="F102" s="11" t="s">
        <v>143</v>
      </c>
      <c r="G102" s="16" t="s">
        <v>39</v>
      </c>
      <c r="H102" s="11">
        <v>60011006</v>
      </c>
      <c r="I102" s="12">
        <v>25</v>
      </c>
    </row>
    <row r="103" spans="2:9">
      <c r="B103" s="11">
        <f>1000000+INDEX(编号表!$B:$B,MATCH(C103,编号表!$A:$A,0))*1000+INDEX(编号表!$D:$D,MATCH(D103,编号表!$C:$C,0))*100+E103</f>
        <v>1002385</v>
      </c>
      <c r="C103" s="3" t="s">
        <v>54</v>
      </c>
      <c r="D103" s="11" t="s">
        <v>40</v>
      </c>
      <c r="E103" s="11">
        <v>85</v>
      </c>
      <c r="F103" s="11" t="s">
        <v>144</v>
      </c>
      <c r="G103" s="16" t="s">
        <v>39</v>
      </c>
      <c r="H103" s="11">
        <v>60011007</v>
      </c>
      <c r="I103" s="12">
        <v>25</v>
      </c>
    </row>
    <row r="104" spans="2:9">
      <c r="B104" s="11">
        <f>1000000+INDEX(编号表!$B:$B,MATCH(C104,编号表!$A:$A,0))*1000+INDEX(编号表!$D:$D,MATCH(D104,编号表!$C:$C,0))*100+E104</f>
        <v>1002386</v>
      </c>
      <c r="C104" s="3" t="s">
        <v>54</v>
      </c>
      <c r="D104" s="11" t="s">
        <v>40</v>
      </c>
      <c r="E104" s="11">
        <v>86</v>
      </c>
      <c r="F104" s="11" t="s">
        <v>145</v>
      </c>
      <c r="G104" s="16" t="s">
        <v>39</v>
      </c>
      <c r="H104" s="11">
        <v>60011008</v>
      </c>
      <c r="I104" s="12">
        <v>25</v>
      </c>
    </row>
    <row r="105" spans="2:9">
      <c r="B105" s="11">
        <f>1000000+INDEX(编号表!$B:$B,MATCH(C105,编号表!$A:$A,0))*1000+INDEX(编号表!$D:$D,MATCH(D105,编号表!$C:$C,0))*100+E105</f>
        <v>1002387</v>
      </c>
      <c r="C105" s="3" t="s">
        <v>54</v>
      </c>
      <c r="D105" s="11" t="s">
        <v>40</v>
      </c>
      <c r="E105" s="11">
        <v>87</v>
      </c>
      <c r="F105" s="11" t="s">
        <v>146</v>
      </c>
      <c r="G105" s="16" t="s">
        <v>39</v>
      </c>
      <c r="H105" s="11">
        <v>60011009</v>
      </c>
      <c r="I105" s="12">
        <v>25</v>
      </c>
    </row>
    <row r="106" spans="2:9">
      <c r="B106" s="11">
        <f>1000000+INDEX(编号表!$B:$B,MATCH(C106,编号表!$A:$A,0))*1000+INDEX(编号表!$D:$D,MATCH(D106,编号表!$C:$C,0))*100+E106</f>
        <v>1002388</v>
      </c>
      <c r="C106" s="3" t="s">
        <v>54</v>
      </c>
      <c r="D106" s="11" t="s">
        <v>40</v>
      </c>
      <c r="E106" s="11">
        <v>88</v>
      </c>
      <c r="F106" s="11" t="s">
        <v>147</v>
      </c>
      <c r="G106" s="16" t="s">
        <v>39</v>
      </c>
      <c r="H106" s="11">
        <v>60011010</v>
      </c>
      <c r="I106" s="12">
        <v>25</v>
      </c>
    </row>
    <row r="107" spans="2:9">
      <c r="B107" s="11">
        <f>1000000+INDEX(编号表!$B:$B,MATCH(C107,编号表!$A:$A,0))*1000+INDEX(编号表!$D:$D,MATCH(D107,编号表!$C:$C,0))*100+E107</f>
        <v>1002389</v>
      </c>
      <c r="C107" s="3" t="s">
        <v>54</v>
      </c>
      <c r="D107" s="11" t="s">
        <v>40</v>
      </c>
      <c r="E107" s="11">
        <v>89</v>
      </c>
      <c r="F107" s="11" t="s">
        <v>148</v>
      </c>
      <c r="G107" s="16" t="s">
        <v>39</v>
      </c>
      <c r="H107" s="11">
        <v>60011011</v>
      </c>
      <c r="I107" s="12">
        <v>25</v>
      </c>
    </row>
    <row r="108" spans="2:9">
      <c r="B108" s="11">
        <f>1000000+INDEX(编号表!$B:$B,MATCH(C108,编号表!$A:$A,0))*1000+INDEX(编号表!$D:$D,MATCH(D108,编号表!$C:$C,0))*100+E108</f>
        <v>1002390</v>
      </c>
      <c r="C108" s="3" t="s">
        <v>54</v>
      </c>
      <c r="D108" s="11" t="s">
        <v>40</v>
      </c>
      <c r="E108" s="11">
        <v>90</v>
      </c>
      <c r="F108" s="11" t="s">
        <v>149</v>
      </c>
      <c r="G108" s="16" t="s">
        <v>39</v>
      </c>
      <c r="H108" s="11">
        <v>60011012</v>
      </c>
      <c r="I108" s="12">
        <v>25</v>
      </c>
    </row>
    <row r="109" spans="2:9">
      <c r="B109" s="11">
        <f>1000000+INDEX(编号表!$B:$B,MATCH(C109,编号表!$A:$A,0))*1000+INDEX(编号表!$D:$D,MATCH(D109,编号表!$C:$C,0))*100+E109</f>
        <v>1002391</v>
      </c>
      <c r="C109" s="3" t="s">
        <v>54</v>
      </c>
      <c r="D109" s="11" t="s">
        <v>40</v>
      </c>
      <c r="E109" s="11">
        <v>91</v>
      </c>
      <c r="F109" s="11" t="s">
        <v>150</v>
      </c>
      <c r="G109" s="16" t="s">
        <v>39</v>
      </c>
      <c r="H109" s="11">
        <v>60011013</v>
      </c>
      <c r="I109" s="12">
        <v>25</v>
      </c>
    </row>
    <row r="110" spans="2:9">
      <c r="B110" s="11">
        <f>1000000+INDEX(编号表!$B:$B,MATCH(C110,编号表!$A:$A,0))*1000+INDEX(编号表!$D:$D,MATCH(D110,编号表!$C:$C,0))*100+E110</f>
        <v>1002392</v>
      </c>
      <c r="C110" s="3" t="s">
        <v>54</v>
      </c>
      <c r="D110" s="11" t="s">
        <v>40</v>
      </c>
      <c r="E110" s="11">
        <v>92</v>
      </c>
      <c r="F110" s="11" t="s">
        <v>151</v>
      </c>
      <c r="G110" s="16" t="s">
        <v>39</v>
      </c>
      <c r="H110" s="11">
        <v>60011014</v>
      </c>
      <c r="I110" s="12">
        <v>25</v>
      </c>
    </row>
    <row r="111" spans="2:9">
      <c r="B111" s="11">
        <f>1000000+INDEX(编号表!$B:$B,MATCH(C111,编号表!$A:$A,0))*1000+INDEX(编号表!$D:$D,MATCH(D111,编号表!$C:$C,0))*100+E111</f>
        <v>1002393</v>
      </c>
      <c r="C111" s="3" t="s">
        <v>54</v>
      </c>
      <c r="D111" s="11" t="s">
        <v>40</v>
      </c>
      <c r="E111" s="11">
        <v>93</v>
      </c>
      <c r="F111" s="11" t="s">
        <v>152</v>
      </c>
      <c r="G111" s="16" t="s">
        <v>39</v>
      </c>
      <c r="H111" s="11">
        <v>60011015</v>
      </c>
      <c r="I111" s="12">
        <v>25</v>
      </c>
    </row>
    <row r="112" spans="2:9">
      <c r="B112" s="11">
        <f>1000000+INDEX(编号表!$B:$B,MATCH(C112,编号表!$A:$A,0))*1000+INDEX(编号表!$D:$D,MATCH(D112,编号表!$C:$C,0))*100+E112</f>
        <v>1002394</v>
      </c>
      <c r="C112" s="3" t="s">
        <v>54</v>
      </c>
      <c r="D112" s="11" t="s">
        <v>40</v>
      </c>
      <c r="E112" s="11">
        <v>94</v>
      </c>
      <c r="F112" s="11" t="s">
        <v>153</v>
      </c>
      <c r="G112" s="16" t="s">
        <v>39</v>
      </c>
      <c r="H112" s="11">
        <v>60011016</v>
      </c>
      <c r="I112" s="12">
        <v>25</v>
      </c>
    </row>
    <row r="113" spans="2:9">
      <c r="B113" s="11">
        <f>1000000+INDEX(编号表!$B:$B,MATCH(C113,编号表!$A:$A,0))*1000+INDEX(编号表!$D:$D,MATCH(D113,编号表!$C:$C,0))*100+E113</f>
        <v>1002395</v>
      </c>
      <c r="C113" s="3" t="s">
        <v>54</v>
      </c>
      <c r="D113" s="11" t="s">
        <v>40</v>
      </c>
      <c r="E113" s="11">
        <v>95</v>
      </c>
      <c r="F113" s="11" t="s">
        <v>154</v>
      </c>
      <c r="G113" s="16" t="s">
        <v>39</v>
      </c>
      <c r="H113" s="11">
        <v>60011017</v>
      </c>
      <c r="I113" s="12">
        <v>25</v>
      </c>
    </row>
    <row r="114" spans="2:9">
      <c r="B114" s="11">
        <f>1000000+INDEX(编号表!$B:$B,MATCH(C114,编号表!$A:$A,0))*1000+INDEX(编号表!$D:$D,MATCH(D114,编号表!$C:$C,0))*100+E114</f>
        <v>1002396</v>
      </c>
      <c r="C114" s="3" t="s">
        <v>54</v>
      </c>
      <c r="D114" s="11" t="s">
        <v>40</v>
      </c>
      <c r="E114" s="11">
        <v>96</v>
      </c>
      <c r="F114" s="11" t="s">
        <v>155</v>
      </c>
      <c r="G114" s="16" t="s">
        <v>39</v>
      </c>
      <c r="H114" s="11">
        <v>60011018</v>
      </c>
      <c r="I114" s="12">
        <v>25</v>
      </c>
    </row>
    <row r="115" spans="2:9">
      <c r="B115" s="11">
        <f>1000000+INDEX(编号表!$B:$B,MATCH(C115,编号表!$A:$A,0))*1000+INDEX(编号表!$D:$D,MATCH(D115,编号表!$C:$C,0))*100+E115</f>
        <v>1002397</v>
      </c>
      <c r="C115" s="3" t="s">
        <v>54</v>
      </c>
      <c r="D115" s="11" t="s">
        <v>40</v>
      </c>
      <c r="E115" s="11">
        <v>97</v>
      </c>
      <c r="F115" s="11" t="s">
        <v>156</v>
      </c>
      <c r="G115" s="16" t="s">
        <v>39</v>
      </c>
      <c r="H115" s="11">
        <v>60011019</v>
      </c>
      <c r="I115" s="12">
        <v>25</v>
      </c>
    </row>
    <row r="116" spans="2:9">
      <c r="B116" s="11">
        <f>1000000+INDEX(编号表!$B:$B,MATCH(C116,编号表!$A:$A,0))*1000+INDEX(编号表!$D:$D,MATCH(D116,编号表!$C:$C,0))*100+E116</f>
        <v>1003001</v>
      </c>
      <c r="C116" s="3" t="s">
        <v>157</v>
      </c>
      <c r="D116" s="11" t="s">
        <v>55</v>
      </c>
      <c r="E116" s="11">
        <v>1</v>
      </c>
      <c r="F116" s="17" t="s">
        <v>56</v>
      </c>
      <c r="G116" s="16" t="s">
        <v>57</v>
      </c>
      <c r="H116" s="11">
        <v>60024000</v>
      </c>
      <c r="I116" s="12">
        <v>1</v>
      </c>
    </row>
    <row r="117" spans="2:9">
      <c r="B117" s="11">
        <f>1000000+INDEX(编号表!$B:$B,MATCH(C117,编号表!$A:$A,0))*1000+INDEX(编号表!$D:$D,MATCH(D117,编号表!$C:$C,0))*100+E117</f>
        <v>1003101</v>
      </c>
      <c r="C117" s="3" t="s">
        <v>157</v>
      </c>
      <c r="D117" s="11" t="s">
        <v>58</v>
      </c>
      <c r="E117" s="11">
        <v>1</v>
      </c>
      <c r="F117" s="17" t="s">
        <v>59</v>
      </c>
      <c r="G117" s="16" t="s">
        <v>57</v>
      </c>
      <c r="H117" s="3">
        <v>60022000</v>
      </c>
      <c r="I117" s="12">
        <v>1</v>
      </c>
    </row>
    <row r="118" spans="2:9">
      <c r="B118" s="11">
        <f>1000000+INDEX(编号表!$B:$B,MATCH(C118,编号表!$A:$A,0))*1000+INDEX(编号表!$D:$D,MATCH(D118,编号表!$C:$C,0))*100+E118</f>
        <v>1003201</v>
      </c>
      <c r="C118" s="3" t="s">
        <v>157</v>
      </c>
      <c r="D118" s="11" t="s">
        <v>37</v>
      </c>
      <c r="E118" s="11">
        <f t="shared" ref="E118:E147" si="0">I118+K118+M118+O118+Q118+S118+U118+W118+Y118+AA118</f>
        <v>1</v>
      </c>
      <c r="F118" s="11" t="s">
        <v>158</v>
      </c>
      <c r="G118" s="16" t="s">
        <v>39</v>
      </c>
      <c r="H118" s="11">
        <v>60021000</v>
      </c>
      <c r="I118" s="12">
        <v>1</v>
      </c>
    </row>
    <row r="119" spans="2:9">
      <c r="B119" s="11">
        <f>1000000+INDEX(编号表!$B:$B,MATCH(C119,编号表!$A:$A,0))*1000+INDEX(编号表!$D:$D,MATCH(D119,编号表!$C:$C,0))*100+E119</f>
        <v>1003301</v>
      </c>
      <c r="C119" s="3" t="s">
        <v>157</v>
      </c>
      <c r="D119" s="11" t="s">
        <v>40</v>
      </c>
      <c r="E119" s="11">
        <f t="shared" si="0"/>
        <v>1</v>
      </c>
      <c r="F119" s="11" t="s">
        <v>159</v>
      </c>
      <c r="G119" s="16" t="s">
        <v>39</v>
      </c>
      <c r="H119" s="11">
        <v>60021001</v>
      </c>
      <c r="I119" s="12">
        <v>1</v>
      </c>
    </row>
    <row r="120" spans="2:9">
      <c r="B120" s="11">
        <f>1000000+INDEX(编号表!$B:$B,MATCH(C120,编号表!$A:$A,0))*1000+INDEX(编号表!$D:$D,MATCH(D120,编号表!$C:$C,0))*100+E120</f>
        <v>1003401</v>
      </c>
      <c r="C120" s="3" t="s">
        <v>157</v>
      </c>
      <c r="D120" s="11" t="s">
        <v>42</v>
      </c>
      <c r="E120" s="11">
        <f t="shared" si="0"/>
        <v>1</v>
      </c>
      <c r="F120" s="11" t="s">
        <v>160</v>
      </c>
      <c r="G120" s="16" t="s">
        <v>39</v>
      </c>
      <c r="H120" s="11">
        <v>60021002</v>
      </c>
      <c r="I120" s="12">
        <v>1</v>
      </c>
    </row>
    <row r="121" spans="2:9">
      <c r="B121" s="11">
        <f>1000000+INDEX(编号表!$B:$B,MATCH(C121,编号表!$A:$A,0))*1000+INDEX(编号表!$D:$D,MATCH(D121,编号表!$C:$C,0))*100+E121</f>
        <v>1003501</v>
      </c>
      <c r="C121" s="3" t="s">
        <v>157</v>
      </c>
      <c r="D121" s="11" t="s">
        <v>44</v>
      </c>
      <c r="E121" s="11">
        <f t="shared" si="0"/>
        <v>1</v>
      </c>
      <c r="F121" s="11" t="s">
        <v>161</v>
      </c>
      <c r="G121" s="16" t="s">
        <v>39</v>
      </c>
      <c r="H121" s="11">
        <v>60021003</v>
      </c>
      <c r="I121" s="12">
        <v>1</v>
      </c>
    </row>
    <row r="122" spans="2:9">
      <c r="B122" s="11">
        <f>1000000+INDEX(编号表!$B:$B,MATCH(C122,编号表!$A:$A,0))*1000+INDEX(编号表!$D:$D,MATCH(D122,编号表!$C:$C,0))*100+E122</f>
        <v>1003601</v>
      </c>
      <c r="C122" s="3" t="s">
        <v>157</v>
      </c>
      <c r="D122" s="11" t="s">
        <v>46</v>
      </c>
      <c r="E122" s="11">
        <f t="shared" si="0"/>
        <v>1</v>
      </c>
      <c r="F122" s="11" t="s">
        <v>162</v>
      </c>
      <c r="G122" s="16" t="s">
        <v>39</v>
      </c>
      <c r="H122" s="11">
        <v>60021004</v>
      </c>
      <c r="I122" s="12">
        <v>1</v>
      </c>
    </row>
    <row r="123" spans="2:9">
      <c r="B123" s="11">
        <f>1000000+INDEX(编号表!$B:$B,MATCH(C123,编号表!$A:$A,0))*1000+INDEX(编号表!$D:$D,MATCH(D123,编号表!$C:$C,0))*100+E123</f>
        <v>1003202</v>
      </c>
      <c r="C123" s="3" t="s">
        <v>157</v>
      </c>
      <c r="D123" s="11" t="s">
        <v>37</v>
      </c>
      <c r="E123" s="11">
        <f t="shared" si="0"/>
        <v>2</v>
      </c>
      <c r="F123" s="11" t="s">
        <v>158</v>
      </c>
      <c r="G123" s="16" t="s">
        <v>39</v>
      </c>
      <c r="H123" s="11">
        <v>60021000</v>
      </c>
      <c r="I123" s="12">
        <v>2</v>
      </c>
    </row>
    <row r="124" spans="2:9">
      <c r="B124" s="11">
        <f>1000000+INDEX(编号表!$B:$B,MATCH(C124,编号表!$A:$A,0))*1000+INDEX(编号表!$D:$D,MATCH(D124,编号表!$C:$C,0))*100+E124</f>
        <v>1003302</v>
      </c>
      <c r="C124" s="3" t="s">
        <v>157</v>
      </c>
      <c r="D124" s="11" t="s">
        <v>40</v>
      </c>
      <c r="E124" s="11">
        <f t="shared" si="0"/>
        <v>2</v>
      </c>
      <c r="F124" s="11" t="s">
        <v>159</v>
      </c>
      <c r="G124" s="16" t="s">
        <v>39</v>
      </c>
      <c r="H124" s="11">
        <v>60021001</v>
      </c>
      <c r="I124" s="12">
        <v>2</v>
      </c>
    </row>
    <row r="125" spans="2:9">
      <c r="B125" s="11">
        <f>1000000+INDEX(编号表!$B:$B,MATCH(C125,编号表!$A:$A,0))*1000+INDEX(编号表!$D:$D,MATCH(D125,编号表!$C:$C,0))*100+E125</f>
        <v>1003402</v>
      </c>
      <c r="C125" s="3" t="s">
        <v>157</v>
      </c>
      <c r="D125" s="11" t="s">
        <v>42</v>
      </c>
      <c r="E125" s="11">
        <f t="shared" si="0"/>
        <v>2</v>
      </c>
      <c r="F125" s="11" t="s">
        <v>160</v>
      </c>
      <c r="G125" s="16" t="s">
        <v>39</v>
      </c>
      <c r="H125" s="11">
        <v>60021002</v>
      </c>
      <c r="I125" s="12">
        <v>2</v>
      </c>
    </row>
    <row r="126" spans="2:9">
      <c r="B126" s="11">
        <f>1000000+INDEX(编号表!$B:$B,MATCH(C126,编号表!$A:$A,0))*1000+INDEX(编号表!$D:$D,MATCH(D126,编号表!$C:$C,0))*100+E126</f>
        <v>1003502</v>
      </c>
      <c r="C126" s="3" t="s">
        <v>157</v>
      </c>
      <c r="D126" s="11" t="s">
        <v>44</v>
      </c>
      <c r="E126" s="11">
        <f t="shared" si="0"/>
        <v>2</v>
      </c>
      <c r="F126" s="11" t="s">
        <v>161</v>
      </c>
      <c r="G126" s="16" t="s">
        <v>39</v>
      </c>
      <c r="H126" s="11">
        <v>60021003</v>
      </c>
      <c r="I126" s="12">
        <v>2</v>
      </c>
    </row>
    <row r="127" spans="2:9">
      <c r="B127" s="11">
        <f>1000000+INDEX(编号表!$B:$B,MATCH(C127,编号表!$A:$A,0))*1000+INDEX(编号表!$D:$D,MATCH(D127,编号表!$C:$C,0))*100+E127</f>
        <v>1003602</v>
      </c>
      <c r="C127" s="3" t="s">
        <v>157</v>
      </c>
      <c r="D127" s="11" t="s">
        <v>46</v>
      </c>
      <c r="E127" s="11">
        <f t="shared" si="0"/>
        <v>2</v>
      </c>
      <c r="F127" s="11" t="s">
        <v>162</v>
      </c>
      <c r="G127" s="16" t="s">
        <v>39</v>
      </c>
      <c r="H127" s="11">
        <v>60021004</v>
      </c>
      <c r="I127" s="12">
        <v>2</v>
      </c>
    </row>
    <row r="128" spans="2:9">
      <c r="B128" s="11">
        <f>1000000+INDEX(编号表!$B:$B,MATCH(C128,编号表!$A:$A,0))*1000+INDEX(编号表!$D:$D,MATCH(D128,编号表!$C:$C,0))*100+E128</f>
        <v>1003203</v>
      </c>
      <c r="C128" s="3" t="s">
        <v>157</v>
      </c>
      <c r="D128" s="11" t="s">
        <v>37</v>
      </c>
      <c r="E128" s="11">
        <f t="shared" si="0"/>
        <v>3</v>
      </c>
      <c r="F128" s="11" t="s">
        <v>158</v>
      </c>
      <c r="G128" s="16" t="s">
        <v>39</v>
      </c>
      <c r="H128" s="11">
        <v>60021000</v>
      </c>
      <c r="I128" s="12">
        <v>3</v>
      </c>
    </row>
    <row r="129" spans="2:9">
      <c r="B129" s="11">
        <f>1000000+INDEX(编号表!$B:$B,MATCH(C129,编号表!$A:$A,0))*1000+INDEX(编号表!$D:$D,MATCH(D129,编号表!$C:$C,0))*100+E129</f>
        <v>1003303</v>
      </c>
      <c r="C129" s="3" t="s">
        <v>157</v>
      </c>
      <c r="D129" s="11" t="s">
        <v>40</v>
      </c>
      <c r="E129" s="11">
        <f t="shared" si="0"/>
        <v>3</v>
      </c>
      <c r="F129" s="11" t="s">
        <v>159</v>
      </c>
      <c r="G129" s="16" t="s">
        <v>39</v>
      </c>
      <c r="H129" s="11">
        <v>60021001</v>
      </c>
      <c r="I129" s="12">
        <v>3</v>
      </c>
    </row>
    <row r="130" spans="2:9">
      <c r="B130" s="11">
        <f>1000000+INDEX(编号表!$B:$B,MATCH(C130,编号表!$A:$A,0))*1000+INDEX(编号表!$D:$D,MATCH(D130,编号表!$C:$C,0))*100+E130</f>
        <v>1003403</v>
      </c>
      <c r="C130" s="3" t="s">
        <v>157</v>
      </c>
      <c r="D130" s="11" t="s">
        <v>42</v>
      </c>
      <c r="E130" s="11">
        <f t="shared" si="0"/>
        <v>3</v>
      </c>
      <c r="F130" s="11" t="s">
        <v>160</v>
      </c>
      <c r="G130" s="16" t="s">
        <v>39</v>
      </c>
      <c r="H130" s="11">
        <v>60021002</v>
      </c>
      <c r="I130" s="12">
        <v>3</v>
      </c>
    </row>
    <row r="131" spans="2:9">
      <c r="B131" s="11">
        <f>1000000+INDEX(编号表!$B:$B,MATCH(C131,编号表!$A:$A,0))*1000+INDEX(编号表!$D:$D,MATCH(D131,编号表!$C:$C,0))*100+E131</f>
        <v>1003503</v>
      </c>
      <c r="C131" s="3" t="s">
        <v>157</v>
      </c>
      <c r="D131" s="11" t="s">
        <v>44</v>
      </c>
      <c r="E131" s="11">
        <f t="shared" si="0"/>
        <v>3</v>
      </c>
      <c r="F131" s="11" t="s">
        <v>161</v>
      </c>
      <c r="G131" s="16" t="s">
        <v>39</v>
      </c>
      <c r="H131" s="11">
        <v>60021003</v>
      </c>
      <c r="I131" s="12">
        <v>3</v>
      </c>
    </row>
    <row r="132" spans="2:9">
      <c r="B132" s="11">
        <f>1000000+INDEX(编号表!$B:$B,MATCH(C132,编号表!$A:$A,0))*1000+INDEX(编号表!$D:$D,MATCH(D132,编号表!$C:$C,0))*100+E132</f>
        <v>1003603</v>
      </c>
      <c r="C132" s="3" t="s">
        <v>157</v>
      </c>
      <c r="D132" s="11" t="s">
        <v>46</v>
      </c>
      <c r="E132" s="11">
        <f t="shared" si="0"/>
        <v>3</v>
      </c>
      <c r="F132" s="11" t="s">
        <v>162</v>
      </c>
      <c r="G132" s="16" t="s">
        <v>39</v>
      </c>
      <c r="H132" s="11">
        <v>60021004</v>
      </c>
      <c r="I132" s="12">
        <v>3</v>
      </c>
    </row>
    <row r="133" spans="2:9">
      <c r="B133" s="11">
        <f>1000000+INDEX(编号表!$B:$B,MATCH(C133,编号表!$A:$A,0))*1000+INDEX(编号表!$D:$D,MATCH(D133,编号表!$C:$C,0))*100+E133</f>
        <v>1003205</v>
      </c>
      <c r="C133" s="3" t="s">
        <v>157</v>
      </c>
      <c r="D133" s="11" t="s">
        <v>37</v>
      </c>
      <c r="E133" s="11">
        <f t="shared" si="0"/>
        <v>5</v>
      </c>
      <c r="F133" s="11" t="s">
        <v>158</v>
      </c>
      <c r="G133" s="16" t="s">
        <v>39</v>
      </c>
      <c r="H133" s="11">
        <v>60021000</v>
      </c>
      <c r="I133" s="12">
        <v>5</v>
      </c>
    </row>
    <row r="134" spans="2:9">
      <c r="B134" s="11">
        <f>1000000+INDEX(编号表!$B:$B,MATCH(C134,编号表!$A:$A,0))*1000+INDEX(编号表!$D:$D,MATCH(D134,编号表!$C:$C,0))*100+E134</f>
        <v>1003305</v>
      </c>
      <c r="C134" s="3" t="s">
        <v>157</v>
      </c>
      <c r="D134" s="11" t="s">
        <v>40</v>
      </c>
      <c r="E134" s="11">
        <f t="shared" si="0"/>
        <v>5</v>
      </c>
      <c r="F134" s="11" t="s">
        <v>159</v>
      </c>
      <c r="G134" s="16" t="s">
        <v>39</v>
      </c>
      <c r="H134" s="11">
        <v>60021001</v>
      </c>
      <c r="I134" s="12">
        <v>5</v>
      </c>
    </row>
    <row r="135" spans="2:9">
      <c r="B135" s="11">
        <f>1000000+INDEX(编号表!$B:$B,MATCH(C135,编号表!$A:$A,0))*1000+INDEX(编号表!$D:$D,MATCH(D135,编号表!$C:$C,0))*100+E135</f>
        <v>1003405</v>
      </c>
      <c r="C135" s="3" t="s">
        <v>157</v>
      </c>
      <c r="D135" s="11" t="s">
        <v>42</v>
      </c>
      <c r="E135" s="11">
        <f t="shared" si="0"/>
        <v>5</v>
      </c>
      <c r="F135" s="11" t="s">
        <v>160</v>
      </c>
      <c r="G135" s="16" t="s">
        <v>39</v>
      </c>
      <c r="H135" s="11">
        <v>60021002</v>
      </c>
      <c r="I135" s="12">
        <v>5</v>
      </c>
    </row>
    <row r="136" spans="2:9">
      <c r="B136" s="11">
        <f>1000000+INDEX(编号表!$B:$B,MATCH(C136,编号表!$A:$A,0))*1000+INDEX(编号表!$D:$D,MATCH(D136,编号表!$C:$C,0))*100+E136</f>
        <v>1003505</v>
      </c>
      <c r="C136" s="3" t="s">
        <v>157</v>
      </c>
      <c r="D136" s="11" t="s">
        <v>44</v>
      </c>
      <c r="E136" s="11">
        <f t="shared" si="0"/>
        <v>5</v>
      </c>
      <c r="F136" s="11" t="s">
        <v>161</v>
      </c>
      <c r="G136" s="16" t="s">
        <v>39</v>
      </c>
      <c r="H136" s="11">
        <v>60021003</v>
      </c>
      <c r="I136" s="12">
        <v>5</v>
      </c>
    </row>
    <row r="137" spans="2:9">
      <c r="B137" s="11">
        <f>1000000+INDEX(编号表!$B:$B,MATCH(C137,编号表!$A:$A,0))*1000+INDEX(编号表!$D:$D,MATCH(D137,编号表!$C:$C,0))*100+E137</f>
        <v>1003605</v>
      </c>
      <c r="C137" s="3" t="s">
        <v>157</v>
      </c>
      <c r="D137" s="11" t="s">
        <v>46</v>
      </c>
      <c r="E137" s="11">
        <f t="shared" si="0"/>
        <v>5</v>
      </c>
      <c r="F137" s="11" t="s">
        <v>162</v>
      </c>
      <c r="G137" s="16" t="s">
        <v>39</v>
      </c>
      <c r="H137" s="11">
        <v>60021004</v>
      </c>
      <c r="I137" s="12">
        <v>5</v>
      </c>
    </row>
    <row r="138" spans="2:9">
      <c r="B138" s="11">
        <f>1000000+INDEX(编号表!$B:$B,MATCH(C138,编号表!$A:$A,0))*1000+INDEX(编号表!$D:$D,MATCH(D138,编号表!$C:$C,0))*100+E138</f>
        <v>1003210</v>
      </c>
      <c r="C138" s="3" t="s">
        <v>157</v>
      </c>
      <c r="D138" s="11" t="s">
        <v>37</v>
      </c>
      <c r="E138" s="11">
        <f t="shared" si="0"/>
        <v>10</v>
      </c>
      <c r="F138" s="11" t="s">
        <v>158</v>
      </c>
      <c r="G138" s="16" t="s">
        <v>39</v>
      </c>
      <c r="H138" s="11">
        <v>60021000</v>
      </c>
      <c r="I138" s="12">
        <v>10</v>
      </c>
    </row>
    <row r="139" spans="2:9">
      <c r="B139" s="11">
        <f>1000000+INDEX(编号表!$B:$B,MATCH(C139,编号表!$A:$A,0))*1000+INDEX(编号表!$D:$D,MATCH(D139,编号表!$C:$C,0))*100+E139</f>
        <v>1003310</v>
      </c>
      <c r="C139" s="3" t="s">
        <v>157</v>
      </c>
      <c r="D139" s="11" t="s">
        <v>40</v>
      </c>
      <c r="E139" s="11">
        <f t="shared" si="0"/>
        <v>10</v>
      </c>
      <c r="F139" s="11" t="s">
        <v>159</v>
      </c>
      <c r="G139" s="16" t="s">
        <v>39</v>
      </c>
      <c r="H139" s="11">
        <v>60021001</v>
      </c>
      <c r="I139" s="12">
        <v>10</v>
      </c>
    </row>
    <row r="140" spans="2:9">
      <c r="B140" s="11">
        <f>1000000+INDEX(编号表!$B:$B,MATCH(C140,编号表!$A:$A,0))*1000+INDEX(编号表!$D:$D,MATCH(D140,编号表!$C:$C,0))*100+E140</f>
        <v>1003410</v>
      </c>
      <c r="C140" s="3" t="s">
        <v>157</v>
      </c>
      <c r="D140" s="11" t="s">
        <v>42</v>
      </c>
      <c r="E140" s="11">
        <f t="shared" si="0"/>
        <v>10</v>
      </c>
      <c r="F140" s="11" t="s">
        <v>160</v>
      </c>
      <c r="G140" s="16" t="s">
        <v>39</v>
      </c>
      <c r="H140" s="11">
        <v>60021002</v>
      </c>
      <c r="I140" s="12">
        <v>10</v>
      </c>
    </row>
    <row r="141" spans="2:9">
      <c r="B141" s="11">
        <f>1000000+INDEX(编号表!$B:$B,MATCH(C141,编号表!$A:$A,0))*1000+INDEX(编号表!$D:$D,MATCH(D141,编号表!$C:$C,0))*100+E141</f>
        <v>1003510</v>
      </c>
      <c r="C141" s="3" t="s">
        <v>157</v>
      </c>
      <c r="D141" s="11" t="s">
        <v>44</v>
      </c>
      <c r="E141" s="11">
        <f t="shared" si="0"/>
        <v>10</v>
      </c>
      <c r="F141" s="11" t="s">
        <v>161</v>
      </c>
      <c r="G141" s="16" t="s">
        <v>39</v>
      </c>
      <c r="H141" s="11">
        <v>60021003</v>
      </c>
      <c r="I141" s="12">
        <v>10</v>
      </c>
    </row>
    <row r="142" spans="2:9">
      <c r="B142" s="11">
        <f>1000000+INDEX(编号表!$B:$B,MATCH(C142,编号表!$A:$A,0))*1000+INDEX(编号表!$D:$D,MATCH(D142,编号表!$C:$C,0))*100+E142</f>
        <v>1003610</v>
      </c>
      <c r="C142" s="3" t="s">
        <v>157</v>
      </c>
      <c r="D142" s="11" t="s">
        <v>46</v>
      </c>
      <c r="E142" s="11">
        <f t="shared" si="0"/>
        <v>10</v>
      </c>
      <c r="F142" s="11" t="s">
        <v>162</v>
      </c>
      <c r="G142" s="16" t="s">
        <v>39</v>
      </c>
      <c r="H142" s="11">
        <v>60021004</v>
      </c>
      <c r="I142" s="12">
        <v>10</v>
      </c>
    </row>
    <row r="143" spans="2:9">
      <c r="B143" s="11">
        <f>1000000+INDEX(编号表!$B:$B,MATCH(C143,编号表!$A:$A,0))*1000+INDEX(编号表!$D:$D,MATCH(D143,编号表!$C:$C,0))*100+E143</f>
        <v>1003215</v>
      </c>
      <c r="C143" s="3" t="s">
        <v>157</v>
      </c>
      <c r="D143" s="11" t="s">
        <v>37</v>
      </c>
      <c r="E143" s="11">
        <f t="shared" si="0"/>
        <v>15</v>
      </c>
      <c r="F143" s="11" t="s">
        <v>158</v>
      </c>
      <c r="G143" s="16" t="s">
        <v>39</v>
      </c>
      <c r="H143" s="11">
        <v>60021000</v>
      </c>
      <c r="I143" s="12">
        <v>15</v>
      </c>
    </row>
    <row r="144" spans="2:9">
      <c r="B144" s="11">
        <f>1000000+INDEX(编号表!$B:$B,MATCH(C144,编号表!$A:$A,0))*1000+INDEX(编号表!$D:$D,MATCH(D144,编号表!$C:$C,0))*100+E144</f>
        <v>1003315</v>
      </c>
      <c r="C144" s="3" t="s">
        <v>157</v>
      </c>
      <c r="D144" s="11" t="s">
        <v>40</v>
      </c>
      <c r="E144" s="11">
        <f t="shared" si="0"/>
        <v>15</v>
      </c>
      <c r="F144" s="11" t="s">
        <v>159</v>
      </c>
      <c r="G144" s="16" t="s">
        <v>39</v>
      </c>
      <c r="H144" s="11">
        <v>60021001</v>
      </c>
      <c r="I144" s="12">
        <v>15</v>
      </c>
    </row>
    <row r="145" spans="2:9">
      <c r="B145" s="11">
        <f>1000000+INDEX(编号表!$B:$B,MATCH(C145,编号表!$A:$A,0))*1000+INDEX(编号表!$D:$D,MATCH(D145,编号表!$C:$C,0))*100+E145</f>
        <v>1003415</v>
      </c>
      <c r="C145" s="3" t="s">
        <v>157</v>
      </c>
      <c r="D145" s="11" t="s">
        <v>42</v>
      </c>
      <c r="E145" s="11">
        <f t="shared" si="0"/>
        <v>15</v>
      </c>
      <c r="F145" s="11" t="s">
        <v>160</v>
      </c>
      <c r="G145" s="16" t="s">
        <v>39</v>
      </c>
      <c r="H145" s="11">
        <v>60021002</v>
      </c>
      <c r="I145" s="12">
        <v>15</v>
      </c>
    </row>
    <row r="146" spans="2:9">
      <c r="B146" s="11">
        <f>1000000+INDEX(编号表!$B:$B,MATCH(C146,编号表!$A:$A,0))*1000+INDEX(编号表!$D:$D,MATCH(D146,编号表!$C:$C,0))*100+E146</f>
        <v>1003515</v>
      </c>
      <c r="C146" s="3" t="s">
        <v>157</v>
      </c>
      <c r="D146" s="11" t="s">
        <v>44</v>
      </c>
      <c r="E146" s="11">
        <f t="shared" si="0"/>
        <v>15</v>
      </c>
      <c r="F146" s="11" t="s">
        <v>161</v>
      </c>
      <c r="G146" s="16" t="s">
        <v>39</v>
      </c>
      <c r="H146" s="11">
        <v>60021003</v>
      </c>
      <c r="I146" s="12">
        <v>15</v>
      </c>
    </row>
    <row r="147" spans="2:9">
      <c r="B147" s="11">
        <f>1000000+INDEX(编号表!$B:$B,MATCH(C147,编号表!$A:$A,0))*1000+INDEX(编号表!$D:$D,MATCH(D147,编号表!$C:$C,0))*100+E147</f>
        <v>1003615</v>
      </c>
      <c r="C147" s="3" t="s">
        <v>157</v>
      </c>
      <c r="D147" s="11" t="s">
        <v>46</v>
      </c>
      <c r="E147" s="11">
        <f t="shared" si="0"/>
        <v>15</v>
      </c>
      <c r="F147" s="11" t="s">
        <v>162</v>
      </c>
      <c r="G147" s="16" t="s">
        <v>39</v>
      </c>
      <c r="H147" s="11">
        <v>60021004</v>
      </c>
      <c r="I147" s="12">
        <v>15</v>
      </c>
    </row>
    <row r="148" spans="2:9">
      <c r="B148" s="11">
        <f>1000000+INDEX(编号表!$B:$B,MATCH(C148,编号表!$A:$A,0))*1000+INDEX(编号表!$D:$D,MATCH(D148,编号表!$C:$C,0))*100+E148</f>
        <v>1004001</v>
      </c>
      <c r="C148" s="3" t="s">
        <v>163</v>
      </c>
      <c r="D148" s="11" t="s">
        <v>55</v>
      </c>
      <c r="E148" s="11">
        <v>1</v>
      </c>
      <c r="F148" s="17" t="s">
        <v>56</v>
      </c>
      <c r="G148" s="16" t="s">
        <v>57</v>
      </c>
      <c r="H148" s="11">
        <v>60034000</v>
      </c>
      <c r="I148" s="12">
        <v>1</v>
      </c>
    </row>
    <row r="149" spans="2:9">
      <c r="B149" s="11">
        <f>1000000+INDEX(编号表!$B:$B,MATCH(C149,编号表!$A:$A,0))*1000+INDEX(编号表!$D:$D,MATCH(D149,编号表!$C:$C,0))*100+E149</f>
        <v>1004101</v>
      </c>
      <c r="C149" s="3" t="s">
        <v>163</v>
      </c>
      <c r="D149" s="11" t="s">
        <v>58</v>
      </c>
      <c r="E149" s="11">
        <v>1</v>
      </c>
      <c r="F149" s="17" t="s">
        <v>59</v>
      </c>
      <c r="G149" s="16" t="s">
        <v>57</v>
      </c>
      <c r="H149" s="3">
        <v>60032000</v>
      </c>
      <c r="I149" s="12">
        <v>1</v>
      </c>
    </row>
    <row r="150" spans="2:9">
      <c r="B150" s="11">
        <f>1000000+INDEX(编号表!$B:$B,MATCH(C150,编号表!$A:$A,0))*1000+INDEX(编号表!$D:$D,MATCH(D150,编号表!$C:$C,0))*100+E150</f>
        <v>1004102</v>
      </c>
      <c r="C150" s="3" t="s">
        <v>163</v>
      </c>
      <c r="D150" s="11" t="s">
        <v>58</v>
      </c>
      <c r="E150" s="11">
        <v>2</v>
      </c>
      <c r="F150" s="17" t="s">
        <v>59</v>
      </c>
      <c r="G150" s="16" t="s">
        <v>57</v>
      </c>
      <c r="H150" s="3">
        <v>60032001</v>
      </c>
      <c r="I150" s="12">
        <v>1</v>
      </c>
    </row>
    <row r="151" spans="2:9">
      <c r="B151" s="11">
        <f>1000000+INDEX(编号表!$B:$B,MATCH(C151,编号表!$A:$A,0))*1000+INDEX(编号表!$D:$D,MATCH(D151,编号表!$C:$C,0))*100+E151</f>
        <v>1004201</v>
      </c>
      <c r="C151" s="3" t="s">
        <v>163</v>
      </c>
      <c r="D151" s="11" t="s">
        <v>37</v>
      </c>
      <c r="E151" s="11">
        <f t="shared" ref="E151:E186" si="1">I151+K151+M151+O151+Q151+S151+U151+W151+Y151+AA151</f>
        <v>1</v>
      </c>
      <c r="F151" s="3" t="s">
        <v>158</v>
      </c>
      <c r="G151" s="16" t="s">
        <v>39</v>
      </c>
      <c r="H151" s="3">
        <v>60031000</v>
      </c>
      <c r="I151" s="12">
        <v>1</v>
      </c>
    </row>
    <row r="152" spans="2:9">
      <c r="B152" s="11">
        <f>1000000+INDEX(编号表!$B:$B,MATCH(C152,编号表!$A:$A,0))*1000+INDEX(编号表!$D:$D,MATCH(D152,编号表!$C:$C,0))*100+E152</f>
        <v>1004301</v>
      </c>
      <c r="C152" s="3" t="s">
        <v>163</v>
      </c>
      <c r="D152" s="11" t="s">
        <v>40</v>
      </c>
      <c r="E152" s="11">
        <f t="shared" si="1"/>
        <v>1</v>
      </c>
      <c r="F152" s="3" t="s">
        <v>160</v>
      </c>
      <c r="G152" s="16" t="s">
        <v>39</v>
      </c>
      <c r="H152" s="3">
        <v>60031001</v>
      </c>
      <c r="I152" s="12">
        <v>1</v>
      </c>
    </row>
    <row r="153" spans="2:9">
      <c r="B153" s="11">
        <f>1000000+INDEX(编号表!$B:$B,MATCH(C153,编号表!$A:$A,0))*1000+INDEX(编号表!$D:$D,MATCH(D153,编号表!$C:$C,0))*100+E153</f>
        <v>1004401</v>
      </c>
      <c r="C153" s="3" t="s">
        <v>163</v>
      </c>
      <c r="D153" s="11" t="s">
        <v>42</v>
      </c>
      <c r="E153" s="11">
        <f t="shared" si="1"/>
        <v>1</v>
      </c>
      <c r="F153" s="3" t="s">
        <v>161</v>
      </c>
      <c r="G153" s="16" t="s">
        <v>39</v>
      </c>
      <c r="H153" s="3">
        <v>60031002</v>
      </c>
      <c r="I153" s="12">
        <v>1</v>
      </c>
    </row>
    <row r="154" spans="2:9">
      <c r="B154" s="11">
        <f>1000000+INDEX(编号表!$B:$B,MATCH(C154,编号表!$A:$A,0))*1000+INDEX(编号表!$D:$D,MATCH(D154,编号表!$C:$C,0))*100+E154</f>
        <v>1004501</v>
      </c>
      <c r="C154" s="3" t="s">
        <v>163</v>
      </c>
      <c r="D154" s="11" t="s">
        <v>44</v>
      </c>
      <c r="E154" s="11">
        <f t="shared" si="1"/>
        <v>1</v>
      </c>
      <c r="F154" s="3" t="s">
        <v>162</v>
      </c>
      <c r="G154" s="16" t="s">
        <v>39</v>
      </c>
      <c r="H154" s="3">
        <v>60031003</v>
      </c>
      <c r="I154" s="12">
        <v>1</v>
      </c>
    </row>
    <row r="155" spans="2:9">
      <c r="B155" s="11">
        <f>1000000+INDEX(编号表!$B:$B,MATCH(C155,编号表!$A:$A,0))*1000+INDEX(编号表!$D:$D,MATCH(D155,编号表!$C:$C,0))*100+E155</f>
        <v>1004601</v>
      </c>
      <c r="C155" s="3" t="s">
        <v>163</v>
      </c>
      <c r="D155" s="11" t="s">
        <v>46</v>
      </c>
      <c r="E155" s="11">
        <f t="shared" si="1"/>
        <v>1</v>
      </c>
      <c r="F155" s="3" t="s">
        <v>164</v>
      </c>
      <c r="G155" s="16" t="s">
        <v>39</v>
      </c>
      <c r="H155" s="3">
        <v>60031004</v>
      </c>
      <c r="I155" s="12">
        <v>1</v>
      </c>
    </row>
    <row r="156" spans="2:9">
      <c r="B156" s="11">
        <f>1000000+INDEX(编号表!$B:$B,MATCH(C156,编号表!$A:$A,0))*1000+INDEX(编号表!$D:$D,MATCH(D156,编号表!$C:$C,0))*100+E156</f>
        <v>1004701</v>
      </c>
      <c r="C156" s="3" t="s">
        <v>163</v>
      </c>
      <c r="D156" s="11" t="s">
        <v>48</v>
      </c>
      <c r="E156" s="11">
        <f t="shared" si="1"/>
        <v>1</v>
      </c>
      <c r="F156" s="3" t="s">
        <v>165</v>
      </c>
      <c r="G156" s="16" t="s">
        <v>39</v>
      </c>
      <c r="H156" s="3">
        <v>60031005</v>
      </c>
      <c r="I156" s="12">
        <v>1</v>
      </c>
    </row>
    <row r="157" spans="2:9">
      <c r="B157" s="11">
        <f>1000000+INDEX(编号表!$B:$B,MATCH(C157,编号表!$A:$A,0))*1000+INDEX(编号表!$D:$D,MATCH(D157,编号表!$C:$C,0))*100+E157</f>
        <v>1004202</v>
      </c>
      <c r="C157" s="3" t="s">
        <v>163</v>
      </c>
      <c r="D157" s="11" t="s">
        <v>37</v>
      </c>
      <c r="E157" s="11">
        <f t="shared" si="1"/>
        <v>2</v>
      </c>
      <c r="F157" s="3" t="s">
        <v>158</v>
      </c>
      <c r="G157" s="16" t="s">
        <v>39</v>
      </c>
      <c r="H157" s="3">
        <v>60031000</v>
      </c>
      <c r="I157" s="12">
        <v>2</v>
      </c>
    </row>
    <row r="158" spans="2:9">
      <c r="B158" s="11">
        <f>1000000+INDEX(编号表!$B:$B,MATCH(C158,编号表!$A:$A,0))*1000+INDEX(编号表!$D:$D,MATCH(D158,编号表!$C:$C,0))*100+E158</f>
        <v>1004302</v>
      </c>
      <c r="C158" s="3" t="s">
        <v>163</v>
      </c>
      <c r="D158" s="11" t="s">
        <v>40</v>
      </c>
      <c r="E158" s="11">
        <f t="shared" si="1"/>
        <v>2</v>
      </c>
      <c r="F158" s="3" t="s">
        <v>160</v>
      </c>
      <c r="G158" s="16" t="s">
        <v>39</v>
      </c>
      <c r="H158" s="3">
        <v>60031001</v>
      </c>
      <c r="I158" s="12">
        <v>2</v>
      </c>
    </row>
    <row r="159" spans="2:9">
      <c r="B159" s="11">
        <f>1000000+INDEX(编号表!$B:$B,MATCH(C159,编号表!$A:$A,0))*1000+INDEX(编号表!$D:$D,MATCH(D159,编号表!$C:$C,0))*100+E159</f>
        <v>1004402</v>
      </c>
      <c r="C159" s="3" t="s">
        <v>163</v>
      </c>
      <c r="D159" s="11" t="s">
        <v>42</v>
      </c>
      <c r="E159" s="11">
        <f t="shared" si="1"/>
        <v>2</v>
      </c>
      <c r="F159" s="3" t="s">
        <v>161</v>
      </c>
      <c r="G159" s="16" t="s">
        <v>39</v>
      </c>
      <c r="H159" s="3">
        <v>60031002</v>
      </c>
      <c r="I159" s="12">
        <v>2</v>
      </c>
    </row>
    <row r="160" spans="2:9">
      <c r="B160" s="11">
        <f>1000000+INDEX(编号表!$B:$B,MATCH(C160,编号表!$A:$A,0))*1000+INDEX(编号表!$D:$D,MATCH(D160,编号表!$C:$C,0))*100+E160</f>
        <v>1004502</v>
      </c>
      <c r="C160" s="3" t="s">
        <v>163</v>
      </c>
      <c r="D160" s="11" t="s">
        <v>44</v>
      </c>
      <c r="E160" s="11">
        <f t="shared" si="1"/>
        <v>2</v>
      </c>
      <c r="F160" s="3" t="s">
        <v>162</v>
      </c>
      <c r="G160" s="16" t="s">
        <v>39</v>
      </c>
      <c r="H160" s="3">
        <v>60031003</v>
      </c>
      <c r="I160" s="12">
        <v>2</v>
      </c>
    </row>
    <row r="161" spans="1:9">
      <c r="B161" s="11">
        <f>1000000+INDEX(编号表!$B:$B,MATCH(C161,编号表!$A:$A,0))*1000+INDEX(编号表!$D:$D,MATCH(D161,编号表!$C:$C,0))*100+E161</f>
        <v>1004602</v>
      </c>
      <c r="C161" s="3" t="s">
        <v>163</v>
      </c>
      <c r="D161" s="11" t="s">
        <v>46</v>
      </c>
      <c r="E161" s="11">
        <f t="shared" si="1"/>
        <v>2</v>
      </c>
      <c r="F161" s="3" t="s">
        <v>164</v>
      </c>
      <c r="G161" s="16" t="s">
        <v>39</v>
      </c>
      <c r="H161" s="3">
        <v>60031004</v>
      </c>
      <c r="I161" s="12">
        <v>2</v>
      </c>
    </row>
    <row r="162" spans="1:9">
      <c r="B162" s="11">
        <f>1000000+INDEX(编号表!$B:$B,MATCH(C162,编号表!$A:$A,0))*1000+INDEX(编号表!$D:$D,MATCH(D162,编号表!$C:$C,0))*100+E162</f>
        <v>1004702</v>
      </c>
      <c r="C162" s="3" t="s">
        <v>163</v>
      </c>
      <c r="D162" s="11" t="s">
        <v>48</v>
      </c>
      <c r="E162" s="11">
        <f t="shared" si="1"/>
        <v>2</v>
      </c>
      <c r="F162" s="3" t="s">
        <v>165</v>
      </c>
      <c r="G162" s="16" t="s">
        <v>39</v>
      </c>
      <c r="H162" s="3">
        <v>60031005</v>
      </c>
      <c r="I162" s="12">
        <v>2</v>
      </c>
    </row>
    <row r="163" spans="1:9">
      <c r="B163" s="11">
        <f>1000000+INDEX(编号表!$B:$B,MATCH(C163,编号表!$A:$A,0))*1000+INDEX(编号表!$D:$D,MATCH(D163,编号表!$C:$C,0))*100+E163</f>
        <v>1004203</v>
      </c>
      <c r="C163" s="3" t="s">
        <v>163</v>
      </c>
      <c r="D163" s="11" t="s">
        <v>37</v>
      </c>
      <c r="E163" s="11">
        <f t="shared" si="1"/>
        <v>3</v>
      </c>
      <c r="F163" s="3" t="s">
        <v>158</v>
      </c>
      <c r="G163" s="16" t="s">
        <v>39</v>
      </c>
      <c r="H163" s="3">
        <v>60031000</v>
      </c>
      <c r="I163" s="12">
        <v>3</v>
      </c>
    </row>
    <row r="164" spans="1:9">
      <c r="B164" s="11">
        <f>1000000+INDEX(编号表!$B:$B,MATCH(C164,编号表!$A:$A,0))*1000+INDEX(编号表!$D:$D,MATCH(D164,编号表!$C:$C,0))*100+E164</f>
        <v>1004303</v>
      </c>
      <c r="C164" s="3" t="s">
        <v>163</v>
      </c>
      <c r="D164" s="11" t="s">
        <v>40</v>
      </c>
      <c r="E164" s="11">
        <f t="shared" si="1"/>
        <v>3</v>
      </c>
      <c r="F164" s="3" t="s">
        <v>160</v>
      </c>
      <c r="G164" s="16" t="s">
        <v>39</v>
      </c>
      <c r="H164" s="3">
        <v>60031001</v>
      </c>
      <c r="I164" s="12">
        <v>3</v>
      </c>
    </row>
    <row r="165" spans="1:9">
      <c r="B165" s="11">
        <f>1000000+INDEX(编号表!$B:$B,MATCH(C165,编号表!$A:$A,0))*1000+INDEX(编号表!$D:$D,MATCH(D165,编号表!$C:$C,0))*100+E165</f>
        <v>1004403</v>
      </c>
      <c r="C165" s="3" t="s">
        <v>163</v>
      </c>
      <c r="D165" s="11" t="s">
        <v>42</v>
      </c>
      <c r="E165" s="11">
        <f t="shared" si="1"/>
        <v>3</v>
      </c>
      <c r="F165" s="3" t="s">
        <v>161</v>
      </c>
      <c r="G165" s="16" t="s">
        <v>39</v>
      </c>
      <c r="H165" s="3">
        <v>60031002</v>
      </c>
      <c r="I165" s="12">
        <v>3</v>
      </c>
    </row>
    <row r="166" spans="1:9">
      <c r="B166" s="11">
        <f>1000000+INDEX(编号表!$B:$B,MATCH(C166,编号表!$A:$A,0))*1000+INDEX(编号表!$D:$D,MATCH(D166,编号表!$C:$C,0))*100+E166</f>
        <v>1004503</v>
      </c>
      <c r="C166" s="3" t="s">
        <v>163</v>
      </c>
      <c r="D166" s="11" t="s">
        <v>44</v>
      </c>
      <c r="E166" s="11">
        <f t="shared" si="1"/>
        <v>3</v>
      </c>
      <c r="F166" s="3" t="s">
        <v>162</v>
      </c>
      <c r="G166" s="16" t="s">
        <v>39</v>
      </c>
      <c r="H166" s="3">
        <v>60031003</v>
      </c>
      <c r="I166" s="12">
        <v>3</v>
      </c>
    </row>
    <row r="167" spans="1:9">
      <c r="B167" s="11">
        <f>1000000+INDEX(编号表!$B:$B,MATCH(C167,编号表!$A:$A,0))*1000+INDEX(编号表!$D:$D,MATCH(D167,编号表!$C:$C,0))*100+E167</f>
        <v>1004603</v>
      </c>
      <c r="C167" s="3" t="s">
        <v>163</v>
      </c>
      <c r="D167" s="11" t="s">
        <v>46</v>
      </c>
      <c r="E167" s="11">
        <f t="shared" si="1"/>
        <v>3</v>
      </c>
      <c r="F167" s="3" t="s">
        <v>164</v>
      </c>
      <c r="G167" s="16" t="s">
        <v>39</v>
      </c>
      <c r="H167" s="3">
        <v>60031004</v>
      </c>
      <c r="I167" s="12">
        <v>3</v>
      </c>
    </row>
    <row r="168" spans="1:9">
      <c r="B168" s="11">
        <f>1000000+INDEX(编号表!$B:$B,MATCH(C168,编号表!$A:$A,0))*1000+INDEX(编号表!$D:$D,MATCH(D168,编号表!$C:$C,0))*100+E168</f>
        <v>1004703</v>
      </c>
      <c r="C168" s="3" t="s">
        <v>163</v>
      </c>
      <c r="D168" s="11" t="s">
        <v>48</v>
      </c>
      <c r="E168" s="11">
        <f t="shared" si="1"/>
        <v>3</v>
      </c>
      <c r="F168" s="3" t="s">
        <v>165</v>
      </c>
      <c r="G168" s="16" t="s">
        <v>39</v>
      </c>
      <c r="H168" s="3">
        <v>60031005</v>
      </c>
      <c r="I168" s="12">
        <v>3</v>
      </c>
    </row>
    <row r="169" spans="1:9">
      <c r="B169" s="11">
        <f>1000000+INDEX(编号表!$B:$B,MATCH(C169,编号表!$A:$A,0))*1000+INDEX(编号表!$D:$D,MATCH(D169,编号表!$C:$C,0))*100+E169</f>
        <v>1004205</v>
      </c>
      <c r="C169" s="3" t="s">
        <v>163</v>
      </c>
      <c r="D169" s="11" t="s">
        <v>37</v>
      </c>
      <c r="E169" s="11">
        <f t="shared" si="1"/>
        <v>5</v>
      </c>
      <c r="F169" s="3" t="s">
        <v>158</v>
      </c>
      <c r="G169" s="16" t="s">
        <v>39</v>
      </c>
      <c r="H169" s="3">
        <v>60031000</v>
      </c>
      <c r="I169" s="12">
        <v>5</v>
      </c>
    </row>
    <row r="170" spans="1:9">
      <c r="B170" s="11">
        <f>1000000+INDEX(编号表!$B:$B,MATCH(C170,编号表!$A:$A,0))*1000+INDEX(编号表!$D:$D,MATCH(D170,编号表!$C:$C,0))*100+E170</f>
        <v>1004305</v>
      </c>
      <c r="C170" s="3" t="s">
        <v>163</v>
      </c>
      <c r="D170" s="11" t="s">
        <v>40</v>
      </c>
      <c r="E170" s="11">
        <f t="shared" si="1"/>
        <v>5</v>
      </c>
      <c r="F170" s="3" t="s">
        <v>160</v>
      </c>
      <c r="G170" s="16" t="s">
        <v>39</v>
      </c>
      <c r="H170" s="3">
        <v>60031001</v>
      </c>
      <c r="I170" s="12">
        <v>5</v>
      </c>
    </row>
    <row r="171" spans="1:9">
      <c r="B171" s="11">
        <f>1000000+INDEX(编号表!$B:$B,MATCH(C171,编号表!$A:$A,0))*1000+INDEX(编号表!$D:$D,MATCH(D171,编号表!$C:$C,0))*100+E171</f>
        <v>1004405</v>
      </c>
      <c r="C171" s="3" t="s">
        <v>163</v>
      </c>
      <c r="D171" s="11" t="s">
        <v>42</v>
      </c>
      <c r="E171" s="11">
        <f t="shared" si="1"/>
        <v>5</v>
      </c>
      <c r="F171" s="3" t="s">
        <v>161</v>
      </c>
      <c r="G171" s="16" t="s">
        <v>39</v>
      </c>
      <c r="H171" s="3">
        <v>60031002</v>
      </c>
      <c r="I171" s="12">
        <v>5</v>
      </c>
    </row>
    <row r="172" spans="1:9">
      <c r="B172" s="11">
        <f>1000000+INDEX(编号表!$B:$B,MATCH(C172,编号表!$A:$A,0))*1000+INDEX(编号表!$D:$D,MATCH(D172,编号表!$C:$C,0))*100+E172</f>
        <v>1004505</v>
      </c>
      <c r="C172" s="3" t="s">
        <v>163</v>
      </c>
      <c r="D172" s="11" t="s">
        <v>44</v>
      </c>
      <c r="E172" s="11">
        <f t="shared" si="1"/>
        <v>5</v>
      </c>
      <c r="F172" s="3" t="s">
        <v>162</v>
      </c>
      <c r="G172" s="16" t="s">
        <v>39</v>
      </c>
      <c r="H172" s="3">
        <v>60031003</v>
      </c>
      <c r="I172" s="12">
        <v>5</v>
      </c>
    </row>
    <row r="173" spans="1:9">
      <c r="B173" s="11">
        <f>1000000+INDEX(编号表!$B:$B,MATCH(C173,编号表!$A:$A,0))*1000+INDEX(编号表!$D:$D,MATCH(D173,编号表!$C:$C,0))*100+E173</f>
        <v>1004605</v>
      </c>
      <c r="C173" s="3" t="s">
        <v>163</v>
      </c>
      <c r="D173" s="11" t="s">
        <v>46</v>
      </c>
      <c r="E173" s="11">
        <f t="shared" si="1"/>
        <v>5</v>
      </c>
      <c r="F173" s="3" t="s">
        <v>164</v>
      </c>
      <c r="G173" s="16" t="s">
        <v>39</v>
      </c>
      <c r="H173" s="3">
        <v>60031004</v>
      </c>
      <c r="I173" s="12">
        <v>5</v>
      </c>
    </row>
    <row r="174" spans="1:9">
      <c r="B174" s="11">
        <f>1000000+INDEX(编号表!$B:$B,MATCH(C174,编号表!$A:$A,0))*1000+INDEX(编号表!$D:$D,MATCH(D174,编号表!$C:$C,0))*100+E174</f>
        <v>1004705</v>
      </c>
      <c r="C174" s="3" t="s">
        <v>163</v>
      </c>
      <c r="D174" s="11" t="s">
        <v>48</v>
      </c>
      <c r="E174" s="11">
        <f t="shared" si="1"/>
        <v>5</v>
      </c>
      <c r="F174" s="3" t="s">
        <v>165</v>
      </c>
      <c r="G174" s="16" t="s">
        <v>39</v>
      </c>
      <c r="H174" s="3">
        <v>60031005</v>
      </c>
      <c r="I174" s="12">
        <v>5</v>
      </c>
    </row>
    <row r="175" spans="1:9">
      <c r="A175" s="11" t="s">
        <v>9</v>
      </c>
      <c r="B175" s="11">
        <f>1000000+INDEX(编号表!$B:$B,MATCH(C175,编号表!$A:$A,0))*1000+INDEX(编号表!$D:$D,MATCH(D175,编号表!$C:$C,0))*100+E175</f>
        <v>1004205</v>
      </c>
      <c r="C175" s="3" t="s">
        <v>163</v>
      </c>
      <c r="D175" s="11" t="s">
        <v>37</v>
      </c>
      <c r="E175" s="11">
        <f t="shared" si="1"/>
        <v>5</v>
      </c>
      <c r="F175" s="3" t="s">
        <v>158</v>
      </c>
      <c r="G175" s="16" t="s">
        <v>39</v>
      </c>
      <c r="H175" s="3">
        <v>60031000</v>
      </c>
      <c r="I175" s="12">
        <v>5</v>
      </c>
    </row>
    <row r="176" spans="1:9">
      <c r="B176" s="11">
        <f>1000000+INDEX(编号表!$B:$B,MATCH(C176,编号表!$A:$A,0))*1000+INDEX(编号表!$D:$D,MATCH(D176,编号表!$C:$C,0))*100+E176</f>
        <v>1004310</v>
      </c>
      <c r="C176" s="3" t="s">
        <v>163</v>
      </c>
      <c r="D176" s="11" t="s">
        <v>40</v>
      </c>
      <c r="E176" s="11">
        <f t="shared" si="1"/>
        <v>10</v>
      </c>
      <c r="F176" s="3" t="s">
        <v>160</v>
      </c>
      <c r="G176" s="16" t="s">
        <v>39</v>
      </c>
      <c r="H176" s="3">
        <v>60031001</v>
      </c>
      <c r="I176" s="12">
        <v>10</v>
      </c>
    </row>
    <row r="177" spans="2:9">
      <c r="B177" s="11">
        <f>1000000+INDEX(编号表!$B:$B,MATCH(C177,编号表!$A:$A,0))*1000+INDEX(编号表!$D:$D,MATCH(D177,编号表!$C:$C,0))*100+E177</f>
        <v>1004410</v>
      </c>
      <c r="C177" s="3" t="s">
        <v>163</v>
      </c>
      <c r="D177" s="11" t="s">
        <v>42</v>
      </c>
      <c r="E177" s="11">
        <f t="shared" si="1"/>
        <v>10</v>
      </c>
      <c r="F177" s="3" t="s">
        <v>161</v>
      </c>
      <c r="G177" s="16" t="s">
        <v>39</v>
      </c>
      <c r="H177" s="3">
        <v>60031002</v>
      </c>
      <c r="I177" s="12">
        <v>10</v>
      </c>
    </row>
    <row r="178" spans="2:9">
      <c r="B178" s="11">
        <f>1000000+INDEX(编号表!$B:$B,MATCH(C178,编号表!$A:$A,0))*1000+INDEX(编号表!$D:$D,MATCH(D178,编号表!$C:$C,0))*100+E178</f>
        <v>1004510</v>
      </c>
      <c r="C178" s="3" t="s">
        <v>163</v>
      </c>
      <c r="D178" s="11" t="s">
        <v>44</v>
      </c>
      <c r="E178" s="11">
        <f t="shared" si="1"/>
        <v>10</v>
      </c>
      <c r="F178" s="3" t="s">
        <v>162</v>
      </c>
      <c r="G178" s="16" t="s">
        <v>39</v>
      </c>
      <c r="H178" s="3">
        <v>60031003</v>
      </c>
      <c r="I178" s="12">
        <v>10</v>
      </c>
    </row>
    <row r="179" spans="2:9">
      <c r="B179" s="11">
        <f>1000000+INDEX(编号表!$B:$B,MATCH(C179,编号表!$A:$A,0))*1000+INDEX(编号表!$D:$D,MATCH(D179,编号表!$C:$C,0))*100+E179</f>
        <v>1004610</v>
      </c>
      <c r="C179" s="3" t="s">
        <v>163</v>
      </c>
      <c r="D179" s="11" t="s">
        <v>46</v>
      </c>
      <c r="E179" s="11">
        <f t="shared" si="1"/>
        <v>10</v>
      </c>
      <c r="F179" s="3" t="s">
        <v>164</v>
      </c>
      <c r="G179" s="16" t="s">
        <v>39</v>
      </c>
      <c r="H179" s="3">
        <v>60031004</v>
      </c>
      <c r="I179" s="12">
        <v>10</v>
      </c>
    </row>
    <row r="180" spans="2:9">
      <c r="B180" s="11">
        <f>1000000+INDEX(编号表!$B:$B,MATCH(C180,编号表!$A:$A,0))*1000+INDEX(编号表!$D:$D,MATCH(D180,编号表!$C:$C,0))*100+E180</f>
        <v>1004710</v>
      </c>
      <c r="C180" s="3" t="s">
        <v>163</v>
      </c>
      <c r="D180" s="11" t="s">
        <v>48</v>
      </c>
      <c r="E180" s="11">
        <f t="shared" si="1"/>
        <v>10</v>
      </c>
      <c r="F180" s="3" t="s">
        <v>165</v>
      </c>
      <c r="G180" s="16" t="s">
        <v>39</v>
      </c>
      <c r="H180" s="3">
        <v>60031005</v>
      </c>
      <c r="I180" s="12">
        <v>10</v>
      </c>
    </row>
    <row r="181" spans="2:9">
      <c r="B181" s="11">
        <f>1000000+INDEX(编号表!$B:$B,MATCH(C181,编号表!$A:$A,0))*1000+INDEX(编号表!$D:$D,MATCH(D181,编号表!$C:$C,0))*100+E181</f>
        <v>1004210</v>
      </c>
      <c r="C181" s="3" t="s">
        <v>163</v>
      </c>
      <c r="D181" s="11" t="s">
        <v>37</v>
      </c>
      <c r="E181" s="11">
        <f t="shared" si="1"/>
        <v>10</v>
      </c>
      <c r="F181" s="3" t="s">
        <v>158</v>
      </c>
      <c r="G181" s="16" t="s">
        <v>39</v>
      </c>
      <c r="H181" s="3">
        <v>60031000</v>
      </c>
      <c r="I181" s="12">
        <v>10</v>
      </c>
    </row>
    <row r="182" spans="2:9">
      <c r="B182" s="11">
        <f>1000000+INDEX(编号表!$B:$B,MATCH(C182,编号表!$A:$A,0))*1000+INDEX(编号表!$D:$D,MATCH(D182,编号表!$C:$C,0))*100+E182</f>
        <v>1004315</v>
      </c>
      <c r="C182" s="3" t="s">
        <v>163</v>
      </c>
      <c r="D182" s="11" t="s">
        <v>40</v>
      </c>
      <c r="E182" s="11">
        <f t="shared" si="1"/>
        <v>15</v>
      </c>
      <c r="F182" s="3" t="s">
        <v>160</v>
      </c>
      <c r="G182" s="16" t="s">
        <v>39</v>
      </c>
      <c r="H182" s="3">
        <v>60031001</v>
      </c>
      <c r="I182" s="12">
        <v>15</v>
      </c>
    </row>
    <row r="183" spans="2:9">
      <c r="B183" s="11">
        <f>1000000+INDEX(编号表!$B:$B,MATCH(C183,编号表!$A:$A,0))*1000+INDEX(编号表!$D:$D,MATCH(D183,编号表!$C:$C,0))*100+E183</f>
        <v>1004415</v>
      </c>
      <c r="C183" s="3" t="s">
        <v>163</v>
      </c>
      <c r="D183" s="11" t="s">
        <v>42</v>
      </c>
      <c r="E183" s="11">
        <f t="shared" si="1"/>
        <v>15</v>
      </c>
      <c r="F183" s="3" t="s">
        <v>161</v>
      </c>
      <c r="G183" s="16" t="s">
        <v>39</v>
      </c>
      <c r="H183" s="3">
        <v>60031002</v>
      </c>
      <c r="I183" s="12">
        <v>15</v>
      </c>
    </row>
    <row r="184" spans="2:9">
      <c r="B184" s="11">
        <f>1000000+INDEX(编号表!$B:$B,MATCH(C184,编号表!$A:$A,0))*1000+INDEX(编号表!$D:$D,MATCH(D184,编号表!$C:$C,0))*100+E184</f>
        <v>1004515</v>
      </c>
      <c r="C184" s="3" t="s">
        <v>163</v>
      </c>
      <c r="D184" s="11" t="s">
        <v>44</v>
      </c>
      <c r="E184" s="11">
        <f t="shared" si="1"/>
        <v>15</v>
      </c>
      <c r="F184" s="3" t="s">
        <v>162</v>
      </c>
      <c r="G184" s="16" t="s">
        <v>39</v>
      </c>
      <c r="H184" s="3">
        <v>60031003</v>
      </c>
      <c r="I184" s="12">
        <v>15</v>
      </c>
    </row>
    <row r="185" spans="2:9">
      <c r="B185" s="11">
        <f>1000000+INDEX(编号表!$B:$B,MATCH(C185,编号表!$A:$A,0))*1000+INDEX(编号表!$D:$D,MATCH(D185,编号表!$C:$C,0))*100+E185</f>
        <v>1004615</v>
      </c>
      <c r="C185" s="3" t="s">
        <v>163</v>
      </c>
      <c r="D185" s="11" t="s">
        <v>46</v>
      </c>
      <c r="E185" s="11">
        <f t="shared" si="1"/>
        <v>15</v>
      </c>
      <c r="F185" s="3" t="s">
        <v>164</v>
      </c>
      <c r="G185" s="16" t="s">
        <v>39</v>
      </c>
      <c r="H185" s="3">
        <v>60031004</v>
      </c>
      <c r="I185" s="12">
        <v>15</v>
      </c>
    </row>
    <row r="186" spans="2:9">
      <c r="B186" s="11">
        <f>1000000+INDEX(编号表!$B:$B,MATCH(C186,编号表!$A:$A,0))*1000+INDEX(编号表!$D:$D,MATCH(D186,编号表!$C:$C,0))*100+E186</f>
        <v>1004715</v>
      </c>
      <c r="C186" s="3" t="s">
        <v>163</v>
      </c>
      <c r="D186" s="11" t="s">
        <v>48</v>
      </c>
      <c r="E186" s="11">
        <f t="shared" si="1"/>
        <v>15</v>
      </c>
      <c r="F186" s="3" t="s">
        <v>165</v>
      </c>
      <c r="G186" s="16" t="s">
        <v>39</v>
      </c>
      <c r="H186" s="3">
        <v>60031005</v>
      </c>
      <c r="I186" s="12">
        <v>15</v>
      </c>
    </row>
    <row r="187" spans="2:9">
      <c r="B187" s="11">
        <f>1000000+INDEX(编号表!$B:$B,MATCH(C187,编号表!$A:$A,0))*1000+INDEX(编号表!$D:$D,MATCH(D187,编号表!$C:$C,0))*100+E187</f>
        <v>1005001</v>
      </c>
      <c r="C187" s="3" t="s">
        <v>166</v>
      </c>
      <c r="D187" s="11" t="s">
        <v>55</v>
      </c>
      <c r="E187" s="11">
        <v>1</v>
      </c>
      <c r="F187" s="17" t="s">
        <v>167</v>
      </c>
      <c r="G187" s="16" t="s">
        <v>57</v>
      </c>
      <c r="H187" s="11">
        <v>60044000</v>
      </c>
      <c r="I187" s="12">
        <v>1</v>
      </c>
    </row>
    <row r="188" spans="2:9">
      <c r="B188" s="11">
        <f>1000000+INDEX(编号表!$B:$B,MATCH(C188,编号表!$A:$A,0))*1000+INDEX(编号表!$D:$D,MATCH(D188,编号表!$C:$C,0))*100+E188</f>
        <v>1005002</v>
      </c>
      <c r="C188" s="3" t="s">
        <v>166</v>
      </c>
      <c r="D188" s="11" t="s">
        <v>55</v>
      </c>
      <c r="E188" s="11">
        <v>2</v>
      </c>
      <c r="F188" s="17" t="s">
        <v>167</v>
      </c>
      <c r="G188" s="16" t="s">
        <v>57</v>
      </c>
      <c r="H188" s="11">
        <v>60044001</v>
      </c>
      <c r="I188" s="12">
        <v>1</v>
      </c>
    </row>
    <row r="189" spans="2:9">
      <c r="B189" s="11">
        <f>1000000+INDEX(编号表!$B:$B,MATCH(C189,编号表!$A:$A,0))*1000+INDEX(编号表!$D:$D,MATCH(D189,编号表!$C:$C,0))*100+E189</f>
        <v>1005101</v>
      </c>
      <c r="C189" s="3" t="s">
        <v>166</v>
      </c>
      <c r="D189" s="11" t="s">
        <v>58</v>
      </c>
      <c r="E189" s="11">
        <v>1</v>
      </c>
      <c r="F189" s="17" t="s">
        <v>59</v>
      </c>
      <c r="G189" s="16" t="s">
        <v>57</v>
      </c>
      <c r="H189" s="3">
        <v>60042000</v>
      </c>
      <c r="I189" s="12">
        <v>1</v>
      </c>
    </row>
    <row r="190" spans="2:9">
      <c r="B190" s="11">
        <f>1000000+INDEX(编号表!$B:$B,MATCH(C190,编号表!$A:$A,0))*1000+INDEX(编号表!$D:$D,MATCH(D190,编号表!$C:$C,0))*100+E190</f>
        <v>1005201</v>
      </c>
      <c r="C190" s="3" t="s">
        <v>166</v>
      </c>
      <c r="D190" s="11" t="s">
        <v>37</v>
      </c>
      <c r="E190" s="11">
        <f t="shared" ref="E190:E204" si="2">I190+K190+M190+O190+Q190+S190+U190+W190+Y190+AA190</f>
        <v>1</v>
      </c>
      <c r="F190" s="17" t="s">
        <v>168</v>
      </c>
      <c r="G190" s="16" t="s">
        <v>39</v>
      </c>
      <c r="H190" s="11">
        <v>60041000</v>
      </c>
      <c r="I190" s="12">
        <v>1</v>
      </c>
    </row>
    <row r="191" spans="2:9">
      <c r="B191" s="11">
        <f>1000000+INDEX(编号表!$B:$B,MATCH(C191,编号表!$A:$A,0))*1000+INDEX(编号表!$D:$D,MATCH(D191,编号表!$C:$C,0))*100+E191</f>
        <v>1005301</v>
      </c>
      <c r="C191" s="3" t="s">
        <v>166</v>
      </c>
      <c r="D191" s="11" t="s">
        <v>40</v>
      </c>
      <c r="E191" s="11">
        <f t="shared" si="2"/>
        <v>1</v>
      </c>
      <c r="F191" s="17" t="s">
        <v>169</v>
      </c>
      <c r="G191" s="16" t="s">
        <v>39</v>
      </c>
      <c r="H191" s="11">
        <v>60041001</v>
      </c>
      <c r="I191" s="12">
        <v>1</v>
      </c>
    </row>
    <row r="192" spans="2:9">
      <c r="B192" s="11">
        <f>1000000+INDEX(编号表!$B:$B,MATCH(C192,编号表!$A:$A,0))*1000+INDEX(编号表!$D:$D,MATCH(D192,编号表!$C:$C,0))*100+E192</f>
        <v>1005401</v>
      </c>
      <c r="C192" s="3" t="s">
        <v>166</v>
      </c>
      <c r="D192" s="11" t="s">
        <v>42</v>
      </c>
      <c r="E192" s="11">
        <f t="shared" si="2"/>
        <v>1</v>
      </c>
      <c r="F192" s="17" t="s">
        <v>170</v>
      </c>
      <c r="G192" s="16" t="s">
        <v>39</v>
      </c>
      <c r="H192" s="11">
        <v>60041002</v>
      </c>
      <c r="I192" s="12">
        <v>1</v>
      </c>
    </row>
    <row r="193" spans="2:9">
      <c r="B193" s="11">
        <f>1000000+INDEX(编号表!$B:$B,MATCH(C193,编号表!$A:$A,0))*1000+INDEX(编号表!$D:$D,MATCH(D193,编号表!$C:$C,0))*100+E193</f>
        <v>1005202</v>
      </c>
      <c r="C193" s="3" t="s">
        <v>166</v>
      </c>
      <c r="D193" s="11" t="s">
        <v>37</v>
      </c>
      <c r="E193" s="11">
        <f t="shared" si="2"/>
        <v>2</v>
      </c>
      <c r="F193" s="17" t="s">
        <v>168</v>
      </c>
      <c r="G193" s="16" t="s">
        <v>39</v>
      </c>
      <c r="H193" s="11">
        <v>60041000</v>
      </c>
      <c r="I193" s="12">
        <v>2</v>
      </c>
    </row>
    <row r="194" spans="2:9">
      <c r="B194" s="11">
        <f>1000000+INDEX(编号表!$B:$B,MATCH(C194,编号表!$A:$A,0))*1000+INDEX(编号表!$D:$D,MATCH(D194,编号表!$C:$C,0))*100+E194</f>
        <v>1005302</v>
      </c>
      <c r="C194" s="3" t="s">
        <v>166</v>
      </c>
      <c r="D194" s="11" t="s">
        <v>40</v>
      </c>
      <c r="E194" s="11">
        <f t="shared" si="2"/>
        <v>2</v>
      </c>
      <c r="F194" s="17" t="s">
        <v>169</v>
      </c>
      <c r="G194" s="16" t="s">
        <v>39</v>
      </c>
      <c r="H194" s="11">
        <v>60041001</v>
      </c>
      <c r="I194" s="12">
        <v>2</v>
      </c>
    </row>
    <row r="195" spans="2:9">
      <c r="B195" s="11">
        <f>1000000+INDEX(编号表!$B:$B,MATCH(C195,编号表!$A:$A,0))*1000+INDEX(编号表!$D:$D,MATCH(D195,编号表!$C:$C,0))*100+E195</f>
        <v>1005402</v>
      </c>
      <c r="C195" s="3" t="s">
        <v>166</v>
      </c>
      <c r="D195" s="11" t="s">
        <v>42</v>
      </c>
      <c r="E195" s="11">
        <f t="shared" si="2"/>
        <v>2</v>
      </c>
      <c r="F195" s="17" t="s">
        <v>170</v>
      </c>
      <c r="G195" s="16" t="s">
        <v>39</v>
      </c>
      <c r="H195" s="11">
        <v>60041002</v>
      </c>
      <c r="I195" s="12">
        <v>2</v>
      </c>
    </row>
    <row r="196" spans="2:9">
      <c r="B196" s="11">
        <f>1000000+INDEX(编号表!$B:$B,MATCH(C196,编号表!$A:$A,0))*1000+INDEX(编号表!$D:$D,MATCH(D196,编号表!$C:$C,0))*100+E196</f>
        <v>1005203</v>
      </c>
      <c r="C196" s="3" t="s">
        <v>166</v>
      </c>
      <c r="D196" s="11" t="s">
        <v>37</v>
      </c>
      <c r="E196" s="11">
        <f t="shared" si="2"/>
        <v>3</v>
      </c>
      <c r="F196" s="17" t="s">
        <v>168</v>
      </c>
      <c r="G196" s="16" t="s">
        <v>39</v>
      </c>
      <c r="H196" s="11">
        <v>60041000</v>
      </c>
      <c r="I196" s="12">
        <v>3</v>
      </c>
    </row>
    <row r="197" spans="2:9">
      <c r="B197" s="11">
        <f>1000000+INDEX(编号表!$B:$B,MATCH(C197,编号表!$A:$A,0))*1000+INDEX(编号表!$D:$D,MATCH(D197,编号表!$C:$C,0))*100+E197</f>
        <v>1005303</v>
      </c>
      <c r="C197" s="3" t="s">
        <v>166</v>
      </c>
      <c r="D197" s="11" t="s">
        <v>40</v>
      </c>
      <c r="E197" s="11">
        <f t="shared" si="2"/>
        <v>3</v>
      </c>
      <c r="F197" s="17" t="s">
        <v>169</v>
      </c>
      <c r="G197" s="16" t="s">
        <v>39</v>
      </c>
      <c r="H197" s="11">
        <v>60041001</v>
      </c>
      <c r="I197" s="12">
        <v>3</v>
      </c>
    </row>
    <row r="198" spans="2:9">
      <c r="B198" s="11">
        <f>1000000+INDEX(编号表!$B:$B,MATCH(C198,编号表!$A:$A,0))*1000+INDEX(编号表!$D:$D,MATCH(D198,编号表!$C:$C,0))*100+E198</f>
        <v>1005403</v>
      </c>
      <c r="C198" s="3" t="s">
        <v>166</v>
      </c>
      <c r="D198" s="11" t="s">
        <v>42</v>
      </c>
      <c r="E198" s="11">
        <f t="shared" si="2"/>
        <v>3</v>
      </c>
      <c r="F198" s="17" t="s">
        <v>170</v>
      </c>
      <c r="G198" s="16" t="s">
        <v>39</v>
      </c>
      <c r="H198" s="11">
        <v>60041002</v>
      </c>
      <c r="I198" s="12">
        <v>3</v>
      </c>
    </row>
    <row r="199" spans="2:9">
      <c r="B199" s="11">
        <f>1000000+INDEX(编号表!$B:$B,MATCH(C199,编号表!$A:$A,0))*1000+INDEX(编号表!$D:$D,MATCH(D199,编号表!$C:$C,0))*100+E199</f>
        <v>1005205</v>
      </c>
      <c r="C199" s="3" t="s">
        <v>166</v>
      </c>
      <c r="D199" s="11" t="s">
        <v>37</v>
      </c>
      <c r="E199" s="11">
        <f t="shared" si="2"/>
        <v>5</v>
      </c>
      <c r="F199" s="17" t="s">
        <v>168</v>
      </c>
      <c r="G199" s="16" t="s">
        <v>39</v>
      </c>
      <c r="H199" s="11">
        <v>60041000</v>
      </c>
      <c r="I199" s="12">
        <v>5</v>
      </c>
    </row>
    <row r="200" spans="2:9">
      <c r="B200" s="11">
        <f>1000000+INDEX(编号表!$B:$B,MATCH(C200,编号表!$A:$A,0))*1000+INDEX(编号表!$D:$D,MATCH(D200,编号表!$C:$C,0))*100+E200</f>
        <v>1005305</v>
      </c>
      <c r="C200" s="3" t="s">
        <v>166</v>
      </c>
      <c r="D200" s="11" t="s">
        <v>40</v>
      </c>
      <c r="E200" s="11">
        <f t="shared" si="2"/>
        <v>5</v>
      </c>
      <c r="F200" s="17" t="s">
        <v>169</v>
      </c>
      <c r="G200" s="16" t="s">
        <v>39</v>
      </c>
      <c r="H200" s="11">
        <v>60041001</v>
      </c>
      <c r="I200" s="12">
        <v>5</v>
      </c>
    </row>
    <row r="201" spans="2:9">
      <c r="B201" s="11">
        <f>1000000+INDEX(编号表!$B:$B,MATCH(C201,编号表!$A:$A,0))*1000+INDEX(编号表!$D:$D,MATCH(D201,编号表!$C:$C,0))*100+E201</f>
        <v>1005405</v>
      </c>
      <c r="C201" s="3" t="s">
        <v>166</v>
      </c>
      <c r="D201" s="11" t="s">
        <v>42</v>
      </c>
      <c r="E201" s="11">
        <f t="shared" si="2"/>
        <v>5</v>
      </c>
      <c r="F201" s="17" t="s">
        <v>170</v>
      </c>
      <c r="G201" s="16" t="s">
        <v>39</v>
      </c>
      <c r="H201" s="11">
        <v>60041002</v>
      </c>
      <c r="I201" s="12">
        <v>5</v>
      </c>
    </row>
    <row r="202" spans="2:9">
      <c r="B202" s="11">
        <f>1000000+INDEX(编号表!$B:$B,MATCH(C202,编号表!$A:$A,0))*1000+INDEX(编号表!$D:$D,MATCH(D202,编号表!$C:$C,0))*100+E202</f>
        <v>1005210</v>
      </c>
      <c r="C202" s="3" t="s">
        <v>166</v>
      </c>
      <c r="D202" s="11" t="s">
        <v>37</v>
      </c>
      <c r="E202" s="11">
        <f t="shared" si="2"/>
        <v>10</v>
      </c>
      <c r="F202" s="17" t="s">
        <v>168</v>
      </c>
      <c r="G202" s="16" t="s">
        <v>39</v>
      </c>
      <c r="H202" s="11">
        <v>60041000</v>
      </c>
      <c r="I202" s="12">
        <v>10</v>
      </c>
    </row>
    <row r="203" spans="2:9">
      <c r="B203" s="11">
        <f>1000000+INDEX(编号表!$B:$B,MATCH(C203,编号表!$A:$A,0))*1000+INDEX(编号表!$D:$D,MATCH(D203,编号表!$C:$C,0))*100+E203</f>
        <v>1005310</v>
      </c>
      <c r="C203" s="3" t="s">
        <v>166</v>
      </c>
      <c r="D203" s="11" t="s">
        <v>40</v>
      </c>
      <c r="E203" s="11">
        <f t="shared" si="2"/>
        <v>10</v>
      </c>
      <c r="F203" s="17" t="s">
        <v>169</v>
      </c>
      <c r="G203" s="16" t="s">
        <v>39</v>
      </c>
      <c r="H203" s="11">
        <v>60041001</v>
      </c>
      <c r="I203" s="12">
        <v>10</v>
      </c>
    </row>
    <row r="204" spans="2:9">
      <c r="B204" s="11">
        <f>1000000+INDEX(编号表!$B:$B,MATCH(C204,编号表!$A:$A,0))*1000+INDEX(编号表!$D:$D,MATCH(D204,编号表!$C:$C,0))*100+E204</f>
        <v>1005410</v>
      </c>
      <c r="C204" s="3" t="s">
        <v>166</v>
      </c>
      <c r="D204" s="11" t="s">
        <v>42</v>
      </c>
      <c r="E204" s="11">
        <f t="shared" si="2"/>
        <v>10</v>
      </c>
      <c r="F204" s="17" t="s">
        <v>170</v>
      </c>
      <c r="G204" s="16" t="s">
        <v>39</v>
      </c>
      <c r="H204" s="11">
        <v>60041002</v>
      </c>
      <c r="I204" s="12">
        <v>10</v>
      </c>
    </row>
    <row r="205" spans="2:9">
      <c r="B205" s="11">
        <f>1000000+INDEX(编号表!$B:$B,MATCH(C205,编号表!$A:$A,0))*1000+INDEX(编号表!$D:$D,MATCH(D205,编号表!$C:$C,0))*100+E205</f>
        <v>1006001</v>
      </c>
      <c r="C205" s="3" t="s">
        <v>171</v>
      </c>
      <c r="D205" s="11" t="s">
        <v>55</v>
      </c>
      <c r="E205" s="11">
        <v>1</v>
      </c>
      <c r="F205" s="17" t="s">
        <v>167</v>
      </c>
      <c r="G205" s="16" t="s">
        <v>57</v>
      </c>
      <c r="H205" s="11">
        <v>60054000</v>
      </c>
      <c r="I205" s="12">
        <v>1</v>
      </c>
    </row>
    <row r="206" spans="2:9">
      <c r="B206" s="11">
        <f>1000000+INDEX(编号表!$B:$B,MATCH(C206,编号表!$A:$A,0))*1000+INDEX(编号表!$D:$D,MATCH(D206,编号表!$C:$C,0))*100+E206</f>
        <v>1006002</v>
      </c>
      <c r="C206" s="3" t="s">
        <v>171</v>
      </c>
      <c r="D206" s="11" t="s">
        <v>55</v>
      </c>
      <c r="E206" s="11">
        <v>2</v>
      </c>
      <c r="F206" s="17" t="s">
        <v>167</v>
      </c>
      <c r="G206" s="16" t="s">
        <v>57</v>
      </c>
      <c r="H206" s="11">
        <v>60054001</v>
      </c>
      <c r="I206" s="12">
        <v>1</v>
      </c>
    </row>
    <row r="207" spans="2:9">
      <c r="B207" s="11">
        <f>1000000+INDEX(编号表!$B:$B,MATCH(C207,编号表!$A:$A,0))*1000+INDEX(编号表!$D:$D,MATCH(D207,编号表!$C:$C,0))*100+E207</f>
        <v>1006003</v>
      </c>
      <c r="C207" s="3" t="s">
        <v>171</v>
      </c>
      <c r="D207" s="11" t="s">
        <v>55</v>
      </c>
      <c r="E207" s="11">
        <v>3</v>
      </c>
      <c r="F207" s="17" t="s">
        <v>167</v>
      </c>
      <c r="G207" s="16" t="s">
        <v>57</v>
      </c>
      <c r="H207" s="11">
        <v>60054002</v>
      </c>
      <c r="I207" s="12">
        <v>1</v>
      </c>
    </row>
    <row r="208" spans="2:9">
      <c r="B208" s="11">
        <f>1000000+INDEX(编号表!$B:$B,MATCH(C208,编号表!$A:$A,0))*1000+INDEX(编号表!$D:$D,MATCH(D208,编号表!$C:$C,0))*100+E208</f>
        <v>1006101</v>
      </c>
      <c r="C208" s="3" t="s">
        <v>171</v>
      </c>
      <c r="D208" s="11" t="s">
        <v>58</v>
      </c>
      <c r="E208" s="11">
        <v>1</v>
      </c>
      <c r="F208" s="17" t="s">
        <v>59</v>
      </c>
      <c r="G208" s="16" t="s">
        <v>57</v>
      </c>
      <c r="H208" s="3">
        <v>60052000</v>
      </c>
      <c r="I208" s="12">
        <v>1</v>
      </c>
    </row>
    <row r="209" spans="2:9">
      <c r="B209" s="11">
        <f>1000000+INDEX(编号表!$B:$B,MATCH(C209,编号表!$A:$A,0))*1000+INDEX(编号表!$D:$D,MATCH(D209,编号表!$C:$C,0))*100+E209</f>
        <v>1006201</v>
      </c>
      <c r="C209" s="3" t="s">
        <v>171</v>
      </c>
      <c r="D209" s="11" t="s">
        <v>37</v>
      </c>
      <c r="E209" s="11">
        <f t="shared" ref="E209:E250" si="3">I209+K209+M209+O209+Q209+S209+U209+W209+Y209+AA209</f>
        <v>1</v>
      </c>
      <c r="F209" s="3" t="s">
        <v>172</v>
      </c>
      <c r="G209" s="16" t="s">
        <v>39</v>
      </c>
      <c r="H209" s="3">
        <v>60051000</v>
      </c>
      <c r="I209" s="12">
        <v>1</v>
      </c>
    </row>
    <row r="210" spans="2:9">
      <c r="B210" s="11">
        <f>1000000+INDEX(编号表!$B:$B,MATCH(C210,编号表!$A:$A,0))*1000+INDEX(编号表!$D:$D,MATCH(D210,编号表!$C:$C,0))*100+E210</f>
        <v>1006301</v>
      </c>
      <c r="C210" s="3" t="s">
        <v>171</v>
      </c>
      <c r="D210" s="11" t="s">
        <v>40</v>
      </c>
      <c r="E210" s="11">
        <f t="shared" si="3"/>
        <v>1</v>
      </c>
      <c r="F210" s="3" t="s">
        <v>173</v>
      </c>
      <c r="G210" s="16" t="s">
        <v>39</v>
      </c>
      <c r="H210" s="3">
        <v>60051001</v>
      </c>
      <c r="I210" s="12">
        <v>1</v>
      </c>
    </row>
    <row r="211" spans="2:9">
      <c r="B211" s="11">
        <f>1000000+INDEX(编号表!$B:$B,MATCH(C211,编号表!$A:$A,0))*1000+INDEX(编号表!$D:$D,MATCH(D211,编号表!$C:$C,0))*100+E211</f>
        <v>1006401</v>
      </c>
      <c r="C211" s="3" t="s">
        <v>171</v>
      </c>
      <c r="D211" s="11" t="s">
        <v>42</v>
      </c>
      <c r="E211" s="11">
        <f t="shared" si="3"/>
        <v>1</v>
      </c>
      <c r="F211" s="3" t="s">
        <v>174</v>
      </c>
      <c r="G211" s="16" t="s">
        <v>39</v>
      </c>
      <c r="H211" s="3">
        <v>60051002</v>
      </c>
      <c r="I211" s="12">
        <v>1</v>
      </c>
    </row>
    <row r="212" spans="2:9">
      <c r="B212" s="11">
        <f>1000000+INDEX(编号表!$B:$B,MATCH(C212,编号表!$A:$A,0))*1000+INDEX(编号表!$D:$D,MATCH(D212,编号表!$C:$C,0))*100+E212</f>
        <v>1006501</v>
      </c>
      <c r="C212" s="3" t="s">
        <v>171</v>
      </c>
      <c r="D212" s="11" t="s">
        <v>44</v>
      </c>
      <c r="E212" s="11">
        <f t="shared" si="3"/>
        <v>1</v>
      </c>
      <c r="F212" s="3" t="s">
        <v>175</v>
      </c>
      <c r="G212" s="16" t="s">
        <v>39</v>
      </c>
      <c r="H212" s="3">
        <v>60051003</v>
      </c>
      <c r="I212" s="12">
        <v>1</v>
      </c>
    </row>
    <row r="213" spans="2:9">
      <c r="B213" s="11">
        <f>1000000+INDEX(编号表!$B:$B,MATCH(C213,编号表!$A:$A,0))*1000+INDEX(编号表!$D:$D,MATCH(D213,编号表!$C:$C,0))*100+E213</f>
        <v>1006601</v>
      </c>
      <c r="C213" s="3" t="s">
        <v>171</v>
      </c>
      <c r="D213" s="11" t="s">
        <v>46</v>
      </c>
      <c r="E213" s="11">
        <f t="shared" si="3"/>
        <v>1</v>
      </c>
      <c r="F213" s="3" t="s">
        <v>176</v>
      </c>
      <c r="G213" s="16" t="s">
        <v>39</v>
      </c>
      <c r="H213" s="3">
        <v>60051004</v>
      </c>
      <c r="I213" s="12">
        <v>1</v>
      </c>
    </row>
    <row r="214" spans="2:9">
      <c r="B214" s="11">
        <f>1000000+INDEX(编号表!$B:$B,MATCH(C214,编号表!$A:$A,0))*1000+INDEX(编号表!$D:$D,MATCH(D214,编号表!$C:$C,0))*100+E214</f>
        <v>1006701</v>
      </c>
      <c r="C214" s="3" t="s">
        <v>171</v>
      </c>
      <c r="D214" s="11" t="s">
        <v>48</v>
      </c>
      <c r="E214" s="11">
        <f t="shared" si="3"/>
        <v>1</v>
      </c>
      <c r="F214" s="3" t="s">
        <v>159</v>
      </c>
      <c r="G214" s="16" t="s">
        <v>39</v>
      </c>
      <c r="H214" s="3">
        <v>60051005</v>
      </c>
      <c r="I214" s="12">
        <v>1</v>
      </c>
    </row>
    <row r="215" spans="2:9">
      <c r="B215" s="11">
        <f>1000000+INDEX(编号表!$B:$B,MATCH(C215,编号表!$A:$A,0))*1000+INDEX(编号表!$D:$D,MATCH(D215,编号表!$C:$C,0))*100+E215</f>
        <v>1006801</v>
      </c>
      <c r="C215" s="3" t="s">
        <v>171</v>
      </c>
      <c r="D215" s="11" t="s">
        <v>50</v>
      </c>
      <c r="E215" s="11">
        <f t="shared" si="3"/>
        <v>1</v>
      </c>
      <c r="F215" s="3" t="s">
        <v>177</v>
      </c>
      <c r="G215" s="16" t="s">
        <v>39</v>
      </c>
      <c r="H215" s="3">
        <v>60051006</v>
      </c>
      <c r="I215" s="12">
        <v>1</v>
      </c>
    </row>
    <row r="216" spans="2:9">
      <c r="B216" s="11">
        <f>1000000+INDEX(编号表!$B:$B,MATCH(C216,编号表!$A:$A,0))*1000+INDEX(编号表!$D:$D,MATCH(D216,编号表!$C:$C,0))*100+E216</f>
        <v>1006202</v>
      </c>
      <c r="C216" s="3" t="s">
        <v>171</v>
      </c>
      <c r="D216" s="11" t="s">
        <v>37</v>
      </c>
      <c r="E216" s="11">
        <f t="shared" si="3"/>
        <v>2</v>
      </c>
      <c r="F216" s="3" t="s">
        <v>172</v>
      </c>
      <c r="G216" s="16" t="s">
        <v>39</v>
      </c>
      <c r="H216" s="3">
        <v>60051000</v>
      </c>
      <c r="I216" s="12">
        <v>2</v>
      </c>
    </row>
    <row r="217" spans="2:9">
      <c r="B217" s="11">
        <f>1000000+INDEX(编号表!$B:$B,MATCH(C217,编号表!$A:$A,0))*1000+INDEX(编号表!$D:$D,MATCH(D217,编号表!$C:$C,0))*100+E217</f>
        <v>1006302</v>
      </c>
      <c r="C217" s="3" t="s">
        <v>171</v>
      </c>
      <c r="D217" s="11" t="s">
        <v>40</v>
      </c>
      <c r="E217" s="11">
        <f t="shared" si="3"/>
        <v>2</v>
      </c>
      <c r="F217" s="3" t="s">
        <v>173</v>
      </c>
      <c r="G217" s="16" t="s">
        <v>39</v>
      </c>
      <c r="H217" s="3">
        <v>60051001</v>
      </c>
      <c r="I217" s="12">
        <v>2</v>
      </c>
    </row>
    <row r="218" spans="2:9">
      <c r="B218" s="11">
        <f>1000000+INDEX(编号表!$B:$B,MATCH(C218,编号表!$A:$A,0))*1000+INDEX(编号表!$D:$D,MATCH(D218,编号表!$C:$C,0))*100+E218</f>
        <v>1006402</v>
      </c>
      <c r="C218" s="3" t="s">
        <v>171</v>
      </c>
      <c r="D218" s="11" t="s">
        <v>42</v>
      </c>
      <c r="E218" s="11">
        <f t="shared" si="3"/>
        <v>2</v>
      </c>
      <c r="F218" s="3" t="s">
        <v>174</v>
      </c>
      <c r="G218" s="16" t="s">
        <v>39</v>
      </c>
      <c r="H218" s="3">
        <v>60051002</v>
      </c>
      <c r="I218" s="12">
        <v>2</v>
      </c>
    </row>
    <row r="219" spans="2:9">
      <c r="B219" s="11">
        <f>1000000+INDEX(编号表!$B:$B,MATCH(C219,编号表!$A:$A,0))*1000+INDEX(编号表!$D:$D,MATCH(D219,编号表!$C:$C,0))*100+E219</f>
        <v>1006502</v>
      </c>
      <c r="C219" s="3" t="s">
        <v>171</v>
      </c>
      <c r="D219" s="11" t="s">
        <v>44</v>
      </c>
      <c r="E219" s="11">
        <f t="shared" si="3"/>
        <v>2</v>
      </c>
      <c r="F219" s="3" t="s">
        <v>175</v>
      </c>
      <c r="G219" s="16" t="s">
        <v>39</v>
      </c>
      <c r="H219" s="3">
        <v>60051003</v>
      </c>
      <c r="I219" s="12">
        <v>2</v>
      </c>
    </row>
    <row r="220" spans="2:9">
      <c r="B220" s="11">
        <f>1000000+INDEX(编号表!$B:$B,MATCH(C220,编号表!$A:$A,0))*1000+INDEX(编号表!$D:$D,MATCH(D220,编号表!$C:$C,0))*100+E220</f>
        <v>1006602</v>
      </c>
      <c r="C220" s="3" t="s">
        <v>171</v>
      </c>
      <c r="D220" s="11" t="s">
        <v>46</v>
      </c>
      <c r="E220" s="11">
        <f t="shared" si="3"/>
        <v>2</v>
      </c>
      <c r="F220" s="3" t="s">
        <v>176</v>
      </c>
      <c r="G220" s="16" t="s">
        <v>39</v>
      </c>
      <c r="H220" s="3">
        <v>60051004</v>
      </c>
      <c r="I220" s="12">
        <v>2</v>
      </c>
    </row>
    <row r="221" spans="2:9">
      <c r="B221" s="11">
        <f>1000000+INDEX(编号表!$B:$B,MATCH(C221,编号表!$A:$A,0))*1000+INDEX(编号表!$D:$D,MATCH(D221,编号表!$C:$C,0))*100+E221</f>
        <v>1006702</v>
      </c>
      <c r="C221" s="3" t="s">
        <v>171</v>
      </c>
      <c r="D221" s="11" t="s">
        <v>48</v>
      </c>
      <c r="E221" s="11">
        <f t="shared" si="3"/>
        <v>2</v>
      </c>
      <c r="F221" s="3" t="s">
        <v>159</v>
      </c>
      <c r="G221" s="16" t="s">
        <v>39</v>
      </c>
      <c r="H221" s="3">
        <v>60051005</v>
      </c>
      <c r="I221" s="12">
        <v>2</v>
      </c>
    </row>
    <row r="222" spans="2:9">
      <c r="B222" s="11">
        <f>1000000+INDEX(编号表!$B:$B,MATCH(C222,编号表!$A:$A,0))*1000+INDEX(编号表!$D:$D,MATCH(D222,编号表!$C:$C,0))*100+E222</f>
        <v>1006802</v>
      </c>
      <c r="C222" s="3" t="s">
        <v>171</v>
      </c>
      <c r="D222" s="11" t="s">
        <v>50</v>
      </c>
      <c r="E222" s="11">
        <f t="shared" si="3"/>
        <v>2</v>
      </c>
      <c r="F222" s="3" t="s">
        <v>177</v>
      </c>
      <c r="G222" s="16" t="s">
        <v>39</v>
      </c>
      <c r="H222" s="3">
        <v>60051006</v>
      </c>
      <c r="I222" s="12">
        <v>2</v>
      </c>
    </row>
    <row r="223" spans="2:9">
      <c r="B223" s="11">
        <f>1000000+INDEX(编号表!$B:$B,MATCH(C223,编号表!$A:$A,0))*1000+INDEX(编号表!$D:$D,MATCH(D223,编号表!$C:$C,0))*100+E223</f>
        <v>1006203</v>
      </c>
      <c r="C223" s="3" t="s">
        <v>171</v>
      </c>
      <c r="D223" s="11" t="s">
        <v>37</v>
      </c>
      <c r="E223" s="11">
        <f t="shared" si="3"/>
        <v>3</v>
      </c>
      <c r="F223" s="3" t="s">
        <v>172</v>
      </c>
      <c r="G223" s="16" t="s">
        <v>39</v>
      </c>
      <c r="H223" s="3">
        <v>60051000</v>
      </c>
      <c r="I223" s="12">
        <v>3</v>
      </c>
    </row>
    <row r="224" spans="2:9">
      <c r="B224" s="11">
        <f>1000000+INDEX(编号表!$B:$B,MATCH(C224,编号表!$A:$A,0))*1000+INDEX(编号表!$D:$D,MATCH(D224,编号表!$C:$C,0))*100+E224</f>
        <v>1006303</v>
      </c>
      <c r="C224" s="3" t="s">
        <v>171</v>
      </c>
      <c r="D224" s="11" t="s">
        <v>40</v>
      </c>
      <c r="E224" s="11">
        <f t="shared" si="3"/>
        <v>3</v>
      </c>
      <c r="F224" s="3" t="s">
        <v>173</v>
      </c>
      <c r="G224" s="16" t="s">
        <v>39</v>
      </c>
      <c r="H224" s="3">
        <v>60051001</v>
      </c>
      <c r="I224" s="12">
        <v>3</v>
      </c>
    </row>
    <row r="225" spans="2:9">
      <c r="B225" s="11">
        <f>1000000+INDEX(编号表!$B:$B,MATCH(C225,编号表!$A:$A,0))*1000+INDEX(编号表!$D:$D,MATCH(D225,编号表!$C:$C,0))*100+E225</f>
        <v>1006403</v>
      </c>
      <c r="C225" s="3" t="s">
        <v>171</v>
      </c>
      <c r="D225" s="11" t="s">
        <v>42</v>
      </c>
      <c r="E225" s="11">
        <f t="shared" si="3"/>
        <v>3</v>
      </c>
      <c r="F225" s="3" t="s">
        <v>174</v>
      </c>
      <c r="G225" s="16" t="s">
        <v>39</v>
      </c>
      <c r="H225" s="3">
        <v>60051002</v>
      </c>
      <c r="I225" s="12">
        <v>3</v>
      </c>
    </row>
    <row r="226" spans="2:9">
      <c r="B226" s="11">
        <f>1000000+INDEX(编号表!$B:$B,MATCH(C226,编号表!$A:$A,0))*1000+INDEX(编号表!$D:$D,MATCH(D226,编号表!$C:$C,0))*100+E226</f>
        <v>1006503</v>
      </c>
      <c r="C226" s="3" t="s">
        <v>171</v>
      </c>
      <c r="D226" s="11" t="s">
        <v>44</v>
      </c>
      <c r="E226" s="11">
        <f t="shared" si="3"/>
        <v>3</v>
      </c>
      <c r="F226" s="3" t="s">
        <v>175</v>
      </c>
      <c r="G226" s="16" t="s">
        <v>39</v>
      </c>
      <c r="H226" s="3">
        <v>60051003</v>
      </c>
      <c r="I226" s="12">
        <v>3</v>
      </c>
    </row>
    <row r="227" spans="2:9">
      <c r="B227" s="11">
        <f>1000000+INDEX(编号表!$B:$B,MATCH(C227,编号表!$A:$A,0))*1000+INDEX(编号表!$D:$D,MATCH(D227,编号表!$C:$C,0))*100+E227</f>
        <v>1006603</v>
      </c>
      <c r="C227" s="3" t="s">
        <v>171</v>
      </c>
      <c r="D227" s="11" t="s">
        <v>46</v>
      </c>
      <c r="E227" s="11">
        <f t="shared" si="3"/>
        <v>3</v>
      </c>
      <c r="F227" s="3" t="s">
        <v>176</v>
      </c>
      <c r="G227" s="16" t="s">
        <v>39</v>
      </c>
      <c r="H227" s="3">
        <v>60051004</v>
      </c>
      <c r="I227" s="12">
        <v>3</v>
      </c>
    </row>
    <row r="228" spans="2:9">
      <c r="B228" s="11">
        <f>1000000+INDEX(编号表!$B:$B,MATCH(C228,编号表!$A:$A,0))*1000+INDEX(编号表!$D:$D,MATCH(D228,编号表!$C:$C,0))*100+E228</f>
        <v>1006703</v>
      </c>
      <c r="C228" s="3" t="s">
        <v>171</v>
      </c>
      <c r="D228" s="11" t="s">
        <v>48</v>
      </c>
      <c r="E228" s="11">
        <f t="shared" si="3"/>
        <v>3</v>
      </c>
      <c r="F228" s="3" t="s">
        <v>159</v>
      </c>
      <c r="G228" s="16" t="s">
        <v>39</v>
      </c>
      <c r="H228" s="3">
        <v>60051005</v>
      </c>
      <c r="I228" s="12">
        <v>3</v>
      </c>
    </row>
    <row r="229" spans="2:9">
      <c r="B229" s="11">
        <f>1000000+INDEX(编号表!$B:$B,MATCH(C229,编号表!$A:$A,0))*1000+INDEX(编号表!$D:$D,MATCH(D229,编号表!$C:$C,0))*100+E229</f>
        <v>1006803</v>
      </c>
      <c r="C229" s="3" t="s">
        <v>171</v>
      </c>
      <c r="D229" s="11" t="s">
        <v>50</v>
      </c>
      <c r="E229" s="11">
        <f t="shared" si="3"/>
        <v>3</v>
      </c>
      <c r="F229" s="3" t="s">
        <v>177</v>
      </c>
      <c r="G229" s="16" t="s">
        <v>39</v>
      </c>
      <c r="H229" s="3">
        <v>60051006</v>
      </c>
      <c r="I229" s="12">
        <v>3</v>
      </c>
    </row>
    <row r="230" spans="2:9">
      <c r="B230" s="11">
        <f>1000000+INDEX(编号表!$B:$B,MATCH(C230,编号表!$A:$A,0))*1000+INDEX(编号表!$D:$D,MATCH(D230,编号表!$C:$C,0))*100+E230</f>
        <v>1006205</v>
      </c>
      <c r="C230" s="3" t="s">
        <v>171</v>
      </c>
      <c r="D230" s="11" t="s">
        <v>37</v>
      </c>
      <c r="E230" s="11">
        <f t="shared" si="3"/>
        <v>5</v>
      </c>
      <c r="F230" s="3" t="s">
        <v>172</v>
      </c>
      <c r="G230" s="16" t="s">
        <v>39</v>
      </c>
      <c r="H230" s="3">
        <v>60051000</v>
      </c>
      <c r="I230" s="12">
        <v>5</v>
      </c>
    </row>
    <row r="231" spans="2:9">
      <c r="B231" s="11">
        <f>1000000+INDEX(编号表!$B:$B,MATCH(C231,编号表!$A:$A,0))*1000+INDEX(编号表!$D:$D,MATCH(D231,编号表!$C:$C,0))*100+E231</f>
        <v>1006305</v>
      </c>
      <c r="C231" s="3" t="s">
        <v>171</v>
      </c>
      <c r="D231" s="11" t="s">
        <v>40</v>
      </c>
      <c r="E231" s="11">
        <f t="shared" si="3"/>
        <v>5</v>
      </c>
      <c r="F231" s="3" t="s">
        <v>173</v>
      </c>
      <c r="G231" s="16" t="s">
        <v>39</v>
      </c>
      <c r="H231" s="3">
        <v>60051001</v>
      </c>
      <c r="I231" s="12">
        <v>5</v>
      </c>
    </row>
    <row r="232" spans="2:9">
      <c r="B232" s="11">
        <f>1000000+INDEX(编号表!$B:$B,MATCH(C232,编号表!$A:$A,0))*1000+INDEX(编号表!$D:$D,MATCH(D232,编号表!$C:$C,0))*100+E232</f>
        <v>1006405</v>
      </c>
      <c r="C232" s="3" t="s">
        <v>171</v>
      </c>
      <c r="D232" s="11" t="s">
        <v>42</v>
      </c>
      <c r="E232" s="11">
        <f t="shared" si="3"/>
        <v>5</v>
      </c>
      <c r="F232" s="3" t="s">
        <v>174</v>
      </c>
      <c r="G232" s="16" t="s">
        <v>39</v>
      </c>
      <c r="H232" s="3">
        <v>60051002</v>
      </c>
      <c r="I232" s="12">
        <v>5</v>
      </c>
    </row>
    <row r="233" spans="2:9">
      <c r="B233" s="11">
        <f>1000000+INDEX(编号表!$B:$B,MATCH(C233,编号表!$A:$A,0))*1000+INDEX(编号表!$D:$D,MATCH(D233,编号表!$C:$C,0))*100+E233</f>
        <v>1006505</v>
      </c>
      <c r="C233" s="3" t="s">
        <v>171</v>
      </c>
      <c r="D233" s="11" t="s">
        <v>44</v>
      </c>
      <c r="E233" s="11">
        <f t="shared" si="3"/>
        <v>5</v>
      </c>
      <c r="F233" s="3" t="s">
        <v>175</v>
      </c>
      <c r="G233" s="16" t="s">
        <v>39</v>
      </c>
      <c r="H233" s="3">
        <v>60051003</v>
      </c>
      <c r="I233" s="12">
        <v>5</v>
      </c>
    </row>
    <row r="234" spans="2:9">
      <c r="B234" s="11">
        <f>1000000+INDEX(编号表!$B:$B,MATCH(C234,编号表!$A:$A,0))*1000+INDEX(编号表!$D:$D,MATCH(D234,编号表!$C:$C,0))*100+E234</f>
        <v>1006605</v>
      </c>
      <c r="C234" s="3" t="s">
        <v>171</v>
      </c>
      <c r="D234" s="11" t="s">
        <v>46</v>
      </c>
      <c r="E234" s="11">
        <f t="shared" si="3"/>
        <v>5</v>
      </c>
      <c r="F234" s="3" t="s">
        <v>176</v>
      </c>
      <c r="G234" s="16" t="s">
        <v>39</v>
      </c>
      <c r="H234" s="3">
        <v>60051004</v>
      </c>
      <c r="I234" s="12">
        <v>5</v>
      </c>
    </row>
    <row r="235" spans="2:9">
      <c r="B235" s="11">
        <f>1000000+INDEX(编号表!$B:$B,MATCH(C235,编号表!$A:$A,0))*1000+INDEX(编号表!$D:$D,MATCH(D235,编号表!$C:$C,0))*100+E235</f>
        <v>1006705</v>
      </c>
      <c r="C235" s="3" t="s">
        <v>171</v>
      </c>
      <c r="D235" s="11" t="s">
        <v>48</v>
      </c>
      <c r="E235" s="11">
        <f t="shared" si="3"/>
        <v>5</v>
      </c>
      <c r="F235" s="3" t="s">
        <v>159</v>
      </c>
      <c r="G235" s="16" t="s">
        <v>39</v>
      </c>
      <c r="H235" s="3">
        <v>60051005</v>
      </c>
      <c r="I235" s="12">
        <v>5</v>
      </c>
    </row>
    <row r="236" spans="2:9">
      <c r="B236" s="11">
        <f>1000000+INDEX(编号表!$B:$B,MATCH(C236,编号表!$A:$A,0))*1000+INDEX(编号表!$D:$D,MATCH(D236,编号表!$C:$C,0))*100+E236</f>
        <v>1006805</v>
      </c>
      <c r="C236" s="3" t="s">
        <v>171</v>
      </c>
      <c r="D236" s="11" t="s">
        <v>50</v>
      </c>
      <c r="E236" s="11">
        <f t="shared" si="3"/>
        <v>5</v>
      </c>
      <c r="F236" s="3" t="s">
        <v>177</v>
      </c>
      <c r="G236" s="16" t="s">
        <v>39</v>
      </c>
      <c r="H236" s="3">
        <v>60051006</v>
      </c>
      <c r="I236" s="12">
        <v>5</v>
      </c>
    </row>
    <row r="237" spans="2:9">
      <c r="B237" s="11">
        <f>1000000+INDEX(编号表!$B:$B,MATCH(C237,编号表!$A:$A,0))*1000+INDEX(编号表!$D:$D,MATCH(D237,编号表!$C:$C,0))*100+E237</f>
        <v>1006210</v>
      </c>
      <c r="C237" s="3" t="s">
        <v>171</v>
      </c>
      <c r="D237" s="11" t="s">
        <v>37</v>
      </c>
      <c r="E237" s="11">
        <f t="shared" si="3"/>
        <v>10</v>
      </c>
      <c r="F237" s="3" t="s">
        <v>172</v>
      </c>
      <c r="G237" s="16" t="s">
        <v>39</v>
      </c>
      <c r="H237" s="3">
        <v>60051000</v>
      </c>
      <c r="I237" s="12">
        <v>10</v>
      </c>
    </row>
    <row r="238" spans="2:9">
      <c r="B238" s="11">
        <f>1000000+INDEX(编号表!$B:$B,MATCH(C238,编号表!$A:$A,0))*1000+INDEX(编号表!$D:$D,MATCH(D238,编号表!$C:$C,0))*100+E238</f>
        <v>1006310</v>
      </c>
      <c r="C238" s="3" t="s">
        <v>171</v>
      </c>
      <c r="D238" s="11" t="s">
        <v>40</v>
      </c>
      <c r="E238" s="11">
        <f t="shared" si="3"/>
        <v>10</v>
      </c>
      <c r="F238" s="3" t="s">
        <v>173</v>
      </c>
      <c r="G238" s="16" t="s">
        <v>39</v>
      </c>
      <c r="H238" s="3">
        <v>60051001</v>
      </c>
      <c r="I238" s="12">
        <v>10</v>
      </c>
    </row>
    <row r="239" spans="2:9">
      <c r="B239" s="11">
        <f>1000000+INDEX(编号表!$B:$B,MATCH(C239,编号表!$A:$A,0))*1000+INDEX(编号表!$D:$D,MATCH(D239,编号表!$C:$C,0))*100+E239</f>
        <v>1006410</v>
      </c>
      <c r="C239" s="3" t="s">
        <v>171</v>
      </c>
      <c r="D239" s="11" t="s">
        <v>42</v>
      </c>
      <c r="E239" s="11">
        <f t="shared" si="3"/>
        <v>10</v>
      </c>
      <c r="F239" s="3" t="s">
        <v>174</v>
      </c>
      <c r="G239" s="16" t="s">
        <v>39</v>
      </c>
      <c r="H239" s="3">
        <v>60051002</v>
      </c>
      <c r="I239" s="12">
        <v>10</v>
      </c>
    </row>
    <row r="240" spans="2:9">
      <c r="B240" s="11">
        <f>1000000+INDEX(编号表!$B:$B,MATCH(C240,编号表!$A:$A,0))*1000+INDEX(编号表!$D:$D,MATCH(D240,编号表!$C:$C,0))*100+E240</f>
        <v>1006510</v>
      </c>
      <c r="C240" s="3" t="s">
        <v>171</v>
      </c>
      <c r="D240" s="11" t="s">
        <v>44</v>
      </c>
      <c r="E240" s="11">
        <f t="shared" si="3"/>
        <v>10</v>
      </c>
      <c r="F240" s="3" t="s">
        <v>175</v>
      </c>
      <c r="G240" s="16" t="s">
        <v>39</v>
      </c>
      <c r="H240" s="3">
        <v>60051003</v>
      </c>
      <c r="I240" s="12">
        <v>10</v>
      </c>
    </row>
    <row r="241" spans="2:9">
      <c r="B241" s="11">
        <f>1000000+INDEX(编号表!$B:$B,MATCH(C241,编号表!$A:$A,0))*1000+INDEX(编号表!$D:$D,MATCH(D241,编号表!$C:$C,0))*100+E241</f>
        <v>1006610</v>
      </c>
      <c r="C241" s="3" t="s">
        <v>171</v>
      </c>
      <c r="D241" s="11" t="s">
        <v>46</v>
      </c>
      <c r="E241" s="11">
        <f t="shared" si="3"/>
        <v>10</v>
      </c>
      <c r="F241" s="3" t="s">
        <v>176</v>
      </c>
      <c r="G241" s="16" t="s">
        <v>39</v>
      </c>
      <c r="H241" s="3">
        <v>60051004</v>
      </c>
      <c r="I241" s="12">
        <v>10</v>
      </c>
    </row>
    <row r="242" spans="2:9">
      <c r="B242" s="11">
        <f>1000000+INDEX(编号表!$B:$B,MATCH(C242,编号表!$A:$A,0))*1000+INDEX(编号表!$D:$D,MATCH(D242,编号表!$C:$C,0))*100+E242</f>
        <v>1006710</v>
      </c>
      <c r="C242" s="3" t="s">
        <v>171</v>
      </c>
      <c r="D242" s="11" t="s">
        <v>48</v>
      </c>
      <c r="E242" s="11">
        <f t="shared" si="3"/>
        <v>10</v>
      </c>
      <c r="F242" s="3" t="s">
        <v>159</v>
      </c>
      <c r="G242" s="16" t="s">
        <v>39</v>
      </c>
      <c r="H242" s="3">
        <v>60051005</v>
      </c>
      <c r="I242" s="12">
        <v>10</v>
      </c>
    </row>
    <row r="243" spans="2:9">
      <c r="B243" s="11">
        <f>1000000+INDEX(编号表!$B:$B,MATCH(C243,编号表!$A:$A,0))*1000+INDEX(编号表!$D:$D,MATCH(D243,编号表!$C:$C,0))*100+E243</f>
        <v>1006810</v>
      </c>
      <c r="C243" s="3" t="s">
        <v>171</v>
      </c>
      <c r="D243" s="11" t="s">
        <v>50</v>
      </c>
      <c r="E243" s="11">
        <f t="shared" si="3"/>
        <v>10</v>
      </c>
      <c r="F243" s="3" t="s">
        <v>177</v>
      </c>
      <c r="G243" s="16" t="s">
        <v>39</v>
      </c>
      <c r="H243" s="3">
        <v>60051006</v>
      </c>
      <c r="I243" s="12">
        <v>10</v>
      </c>
    </row>
    <row r="244" spans="2:9">
      <c r="B244" s="11">
        <f>1000000+INDEX(编号表!$B:$B,MATCH(C244,编号表!$A:$A,0))*1000+INDEX(编号表!$D:$D,MATCH(D244,编号表!$C:$C,0))*100+E244</f>
        <v>1006215</v>
      </c>
      <c r="C244" s="3" t="s">
        <v>171</v>
      </c>
      <c r="D244" s="11" t="s">
        <v>37</v>
      </c>
      <c r="E244" s="11">
        <f t="shared" si="3"/>
        <v>15</v>
      </c>
      <c r="F244" s="3" t="s">
        <v>172</v>
      </c>
      <c r="G244" s="16" t="s">
        <v>39</v>
      </c>
      <c r="H244" s="3">
        <v>60051000</v>
      </c>
      <c r="I244" s="12">
        <v>15</v>
      </c>
    </row>
    <row r="245" spans="2:9">
      <c r="B245" s="11">
        <f>1000000+INDEX(编号表!$B:$B,MATCH(C245,编号表!$A:$A,0))*1000+INDEX(编号表!$D:$D,MATCH(D245,编号表!$C:$C,0))*100+E245</f>
        <v>1006315</v>
      </c>
      <c r="C245" s="3" t="s">
        <v>171</v>
      </c>
      <c r="D245" s="11" t="s">
        <v>40</v>
      </c>
      <c r="E245" s="11">
        <f t="shared" si="3"/>
        <v>15</v>
      </c>
      <c r="F245" s="3" t="s">
        <v>173</v>
      </c>
      <c r="G245" s="16" t="s">
        <v>39</v>
      </c>
      <c r="H245" s="3">
        <v>60051001</v>
      </c>
      <c r="I245" s="12">
        <v>15</v>
      </c>
    </row>
    <row r="246" spans="2:9">
      <c r="B246" s="11">
        <f>1000000+INDEX(编号表!$B:$B,MATCH(C246,编号表!$A:$A,0))*1000+INDEX(编号表!$D:$D,MATCH(D246,编号表!$C:$C,0))*100+E246</f>
        <v>1006415</v>
      </c>
      <c r="C246" s="3" t="s">
        <v>171</v>
      </c>
      <c r="D246" s="11" t="s">
        <v>42</v>
      </c>
      <c r="E246" s="11">
        <f t="shared" si="3"/>
        <v>15</v>
      </c>
      <c r="F246" s="3" t="s">
        <v>174</v>
      </c>
      <c r="G246" s="16" t="s">
        <v>39</v>
      </c>
      <c r="H246" s="3">
        <v>60051002</v>
      </c>
      <c r="I246" s="12">
        <v>15</v>
      </c>
    </row>
    <row r="247" spans="2:9">
      <c r="B247" s="11">
        <f>1000000+INDEX(编号表!$B:$B,MATCH(C247,编号表!$A:$A,0))*1000+INDEX(编号表!$D:$D,MATCH(D247,编号表!$C:$C,0))*100+E247</f>
        <v>1006515</v>
      </c>
      <c r="C247" s="3" t="s">
        <v>171</v>
      </c>
      <c r="D247" s="11" t="s">
        <v>44</v>
      </c>
      <c r="E247" s="11">
        <f t="shared" si="3"/>
        <v>15</v>
      </c>
      <c r="F247" s="3" t="s">
        <v>175</v>
      </c>
      <c r="G247" s="16" t="s">
        <v>39</v>
      </c>
      <c r="H247" s="3">
        <v>60051003</v>
      </c>
      <c r="I247" s="12">
        <v>15</v>
      </c>
    </row>
    <row r="248" spans="2:9">
      <c r="B248" s="11">
        <f>1000000+INDEX(编号表!$B:$B,MATCH(C248,编号表!$A:$A,0))*1000+INDEX(编号表!$D:$D,MATCH(D248,编号表!$C:$C,0))*100+E248</f>
        <v>1006615</v>
      </c>
      <c r="C248" s="3" t="s">
        <v>171</v>
      </c>
      <c r="D248" s="11" t="s">
        <v>46</v>
      </c>
      <c r="E248" s="11">
        <f t="shared" si="3"/>
        <v>15</v>
      </c>
      <c r="F248" s="3" t="s">
        <v>176</v>
      </c>
      <c r="G248" s="16" t="s">
        <v>39</v>
      </c>
      <c r="H248" s="3">
        <v>60051004</v>
      </c>
      <c r="I248" s="12">
        <v>15</v>
      </c>
    </row>
    <row r="249" spans="2:9">
      <c r="B249" s="11">
        <f>1000000+INDEX(编号表!$B:$B,MATCH(C249,编号表!$A:$A,0))*1000+INDEX(编号表!$D:$D,MATCH(D249,编号表!$C:$C,0))*100+E249</f>
        <v>1006715</v>
      </c>
      <c r="C249" s="3" t="s">
        <v>171</v>
      </c>
      <c r="D249" s="11" t="s">
        <v>48</v>
      </c>
      <c r="E249" s="11">
        <f t="shared" si="3"/>
        <v>15</v>
      </c>
      <c r="F249" s="3" t="s">
        <v>159</v>
      </c>
      <c r="G249" s="16" t="s">
        <v>39</v>
      </c>
      <c r="H249" s="3">
        <v>60051005</v>
      </c>
      <c r="I249" s="12">
        <v>15</v>
      </c>
    </row>
    <row r="250" spans="2:9">
      <c r="B250" s="11">
        <f>1000000+INDEX(编号表!$B:$B,MATCH(C250,编号表!$A:$A,0))*1000+INDEX(编号表!$D:$D,MATCH(D250,编号表!$C:$C,0))*100+E250</f>
        <v>1006815</v>
      </c>
      <c r="C250" s="3" t="s">
        <v>171</v>
      </c>
      <c r="D250" s="11" t="s">
        <v>50</v>
      </c>
      <c r="E250" s="11">
        <f t="shared" si="3"/>
        <v>15</v>
      </c>
      <c r="F250" s="3" t="s">
        <v>177</v>
      </c>
      <c r="G250" s="16" t="s">
        <v>39</v>
      </c>
      <c r="H250" s="3">
        <v>60051006</v>
      </c>
      <c r="I250" s="12">
        <v>15</v>
      </c>
    </row>
    <row r="251" spans="2:9">
      <c r="B251" s="11">
        <f>1000000+INDEX(编号表!$B:$B,MATCH(C251,编号表!$A:$A,0))*1000+INDEX(编号表!$D:$D,MATCH(D251,编号表!$C:$C,0))*100+E251</f>
        <v>1007001</v>
      </c>
      <c r="C251" s="3" t="s">
        <v>178</v>
      </c>
      <c r="D251" s="11" t="s">
        <v>55</v>
      </c>
      <c r="E251" s="11">
        <v>1</v>
      </c>
      <c r="F251" s="17" t="s">
        <v>167</v>
      </c>
      <c r="G251" s="16" t="s">
        <v>57</v>
      </c>
      <c r="H251" s="11">
        <v>60064000</v>
      </c>
      <c r="I251" s="12">
        <v>1</v>
      </c>
    </row>
    <row r="252" spans="2:9">
      <c r="B252" s="11">
        <f>1000000+INDEX(编号表!$B:$B,MATCH(C252,编号表!$A:$A,0))*1000+INDEX(编号表!$D:$D,MATCH(D252,编号表!$C:$C,0))*100+E252</f>
        <v>1007002</v>
      </c>
      <c r="C252" s="3" t="s">
        <v>178</v>
      </c>
      <c r="D252" s="11" t="s">
        <v>55</v>
      </c>
      <c r="E252" s="11">
        <v>2</v>
      </c>
      <c r="F252" s="17" t="s">
        <v>167</v>
      </c>
      <c r="G252" s="16" t="s">
        <v>57</v>
      </c>
      <c r="H252" s="11">
        <v>60064001</v>
      </c>
      <c r="I252" s="12">
        <v>1</v>
      </c>
    </row>
    <row r="253" spans="2:9">
      <c r="B253" s="11">
        <f>1000000+INDEX(编号表!$B:$B,MATCH(C253,编号表!$A:$A,0))*1000+INDEX(编号表!$D:$D,MATCH(D253,编号表!$C:$C,0))*100+E253</f>
        <v>1007003</v>
      </c>
      <c r="C253" s="3" t="s">
        <v>178</v>
      </c>
      <c r="D253" s="11" t="s">
        <v>55</v>
      </c>
      <c r="E253" s="11">
        <v>3</v>
      </c>
      <c r="F253" s="17" t="s">
        <v>167</v>
      </c>
      <c r="G253" s="16" t="s">
        <v>57</v>
      </c>
      <c r="H253" s="11">
        <v>60064002</v>
      </c>
      <c r="I253" s="12">
        <v>1</v>
      </c>
    </row>
    <row r="254" spans="2:9">
      <c r="B254" s="11">
        <f>1000000+INDEX(编号表!$B:$B,MATCH(C254,编号表!$A:$A,0))*1000+INDEX(编号表!$D:$D,MATCH(D254,编号表!$C:$C,0))*100+E254</f>
        <v>1007101</v>
      </c>
      <c r="C254" s="3" t="s">
        <v>178</v>
      </c>
      <c r="D254" s="11" t="s">
        <v>58</v>
      </c>
      <c r="E254" s="11">
        <v>1</v>
      </c>
      <c r="F254" s="17" t="s">
        <v>59</v>
      </c>
      <c r="G254" s="16" t="s">
        <v>57</v>
      </c>
      <c r="H254" s="3">
        <v>60062000</v>
      </c>
      <c r="I254" s="12">
        <v>1</v>
      </c>
    </row>
    <row r="255" spans="2:9">
      <c r="B255" s="11">
        <f>1000000+INDEX(编号表!$B:$B,MATCH(C255,编号表!$A:$A,0))*1000+INDEX(编号表!$D:$D,MATCH(D255,编号表!$C:$C,0))*100+E255</f>
        <v>1007201</v>
      </c>
      <c r="C255" s="3" t="s">
        <v>178</v>
      </c>
      <c r="D255" s="11" t="s">
        <v>37</v>
      </c>
      <c r="E255" s="11">
        <f t="shared" ref="E255:E269" si="4">I255+K255+M255+O255+Q255+S255+U255+W255+Y255+AA255</f>
        <v>1</v>
      </c>
      <c r="F255" s="11" t="s">
        <v>179</v>
      </c>
      <c r="G255" s="16" t="s">
        <v>39</v>
      </c>
      <c r="H255" s="11">
        <v>60061000</v>
      </c>
      <c r="I255" s="12">
        <v>1</v>
      </c>
    </row>
    <row r="256" spans="2:9">
      <c r="B256" s="11">
        <f>1000000+INDEX(编号表!$B:$B,MATCH(C256,编号表!$A:$A,0))*1000+INDEX(编号表!$D:$D,MATCH(D256,编号表!$C:$C,0))*100+E256</f>
        <v>1007301</v>
      </c>
      <c r="C256" s="3" t="s">
        <v>178</v>
      </c>
      <c r="D256" s="11" t="s">
        <v>40</v>
      </c>
      <c r="E256" s="11">
        <f t="shared" si="4"/>
        <v>1</v>
      </c>
      <c r="F256" s="11" t="s">
        <v>180</v>
      </c>
      <c r="G256" s="16" t="s">
        <v>39</v>
      </c>
      <c r="H256" s="11">
        <v>60061001</v>
      </c>
      <c r="I256" s="12">
        <v>1</v>
      </c>
    </row>
    <row r="257" spans="2:9">
      <c r="B257" s="11">
        <f>1000000+INDEX(编号表!$B:$B,MATCH(C257,编号表!$A:$A,0))*1000+INDEX(编号表!$D:$D,MATCH(D257,编号表!$C:$C,0))*100+E257</f>
        <v>1007401</v>
      </c>
      <c r="C257" s="3" t="s">
        <v>178</v>
      </c>
      <c r="D257" s="11" t="s">
        <v>42</v>
      </c>
      <c r="E257" s="11">
        <f t="shared" si="4"/>
        <v>1</v>
      </c>
      <c r="F257" s="11" t="s">
        <v>181</v>
      </c>
      <c r="G257" s="16" t="s">
        <v>39</v>
      </c>
      <c r="H257" s="11">
        <v>60061002</v>
      </c>
      <c r="I257" s="12">
        <v>1</v>
      </c>
    </row>
    <row r="258" spans="2:9">
      <c r="B258" s="11">
        <f>1000000+INDEX(编号表!$B:$B,MATCH(C258,编号表!$A:$A,0))*1000+INDEX(编号表!$D:$D,MATCH(D258,编号表!$C:$C,0))*100+E258</f>
        <v>1007202</v>
      </c>
      <c r="C258" s="3" t="s">
        <v>178</v>
      </c>
      <c r="D258" s="11" t="s">
        <v>37</v>
      </c>
      <c r="E258" s="11">
        <f t="shared" si="4"/>
        <v>2</v>
      </c>
      <c r="F258" s="11" t="s">
        <v>179</v>
      </c>
      <c r="G258" s="16" t="s">
        <v>39</v>
      </c>
      <c r="H258" s="11">
        <v>60061000</v>
      </c>
      <c r="I258" s="12">
        <v>2</v>
      </c>
    </row>
    <row r="259" spans="2:9">
      <c r="B259" s="11">
        <f>1000000+INDEX(编号表!$B:$B,MATCH(C259,编号表!$A:$A,0))*1000+INDEX(编号表!$D:$D,MATCH(D259,编号表!$C:$C,0))*100+E259</f>
        <v>1007302</v>
      </c>
      <c r="C259" s="3" t="s">
        <v>178</v>
      </c>
      <c r="D259" s="11" t="s">
        <v>40</v>
      </c>
      <c r="E259" s="11">
        <f t="shared" si="4"/>
        <v>2</v>
      </c>
      <c r="F259" s="11" t="s">
        <v>180</v>
      </c>
      <c r="G259" s="16" t="s">
        <v>39</v>
      </c>
      <c r="H259" s="11">
        <v>60061001</v>
      </c>
      <c r="I259" s="12">
        <v>2</v>
      </c>
    </row>
    <row r="260" spans="2:9">
      <c r="B260" s="11">
        <f>1000000+INDEX(编号表!$B:$B,MATCH(C260,编号表!$A:$A,0))*1000+INDEX(编号表!$D:$D,MATCH(D260,编号表!$C:$C,0))*100+E260</f>
        <v>1007402</v>
      </c>
      <c r="C260" s="3" t="s">
        <v>178</v>
      </c>
      <c r="D260" s="11" t="s">
        <v>42</v>
      </c>
      <c r="E260" s="11">
        <f t="shared" si="4"/>
        <v>2</v>
      </c>
      <c r="F260" s="11" t="s">
        <v>181</v>
      </c>
      <c r="G260" s="16" t="s">
        <v>39</v>
      </c>
      <c r="H260" s="11">
        <v>60061002</v>
      </c>
      <c r="I260" s="12">
        <v>2</v>
      </c>
    </row>
    <row r="261" spans="2:9">
      <c r="B261" s="11">
        <f>1000000+INDEX(编号表!$B:$B,MATCH(C261,编号表!$A:$A,0))*1000+INDEX(编号表!$D:$D,MATCH(D261,编号表!$C:$C,0))*100+E261</f>
        <v>1007203</v>
      </c>
      <c r="C261" s="3" t="s">
        <v>178</v>
      </c>
      <c r="D261" s="11" t="s">
        <v>37</v>
      </c>
      <c r="E261" s="11">
        <f t="shared" si="4"/>
        <v>3</v>
      </c>
      <c r="F261" s="11" t="s">
        <v>179</v>
      </c>
      <c r="G261" s="16" t="s">
        <v>39</v>
      </c>
      <c r="H261" s="11">
        <v>60061000</v>
      </c>
      <c r="I261" s="12">
        <v>3</v>
      </c>
    </row>
    <row r="262" spans="2:9">
      <c r="B262" s="11">
        <f>1000000+INDEX(编号表!$B:$B,MATCH(C262,编号表!$A:$A,0))*1000+INDEX(编号表!$D:$D,MATCH(D262,编号表!$C:$C,0))*100+E262</f>
        <v>1007303</v>
      </c>
      <c r="C262" s="3" t="s">
        <v>178</v>
      </c>
      <c r="D262" s="11" t="s">
        <v>40</v>
      </c>
      <c r="E262" s="11">
        <f t="shared" si="4"/>
        <v>3</v>
      </c>
      <c r="F262" s="11" t="s">
        <v>180</v>
      </c>
      <c r="G262" s="16" t="s">
        <v>39</v>
      </c>
      <c r="H262" s="11">
        <v>60061001</v>
      </c>
      <c r="I262" s="12">
        <v>3</v>
      </c>
    </row>
    <row r="263" spans="2:9">
      <c r="B263" s="11">
        <f>1000000+INDEX(编号表!$B:$B,MATCH(C263,编号表!$A:$A,0))*1000+INDEX(编号表!$D:$D,MATCH(D263,编号表!$C:$C,0))*100+E263</f>
        <v>1007403</v>
      </c>
      <c r="C263" s="3" t="s">
        <v>178</v>
      </c>
      <c r="D263" s="11" t="s">
        <v>42</v>
      </c>
      <c r="E263" s="11">
        <f t="shared" si="4"/>
        <v>3</v>
      </c>
      <c r="F263" s="11" t="s">
        <v>181</v>
      </c>
      <c r="G263" s="16" t="s">
        <v>39</v>
      </c>
      <c r="H263" s="11">
        <v>60061002</v>
      </c>
      <c r="I263" s="12">
        <v>3</v>
      </c>
    </row>
    <row r="264" spans="2:9">
      <c r="B264" s="11">
        <f>1000000+INDEX(编号表!$B:$B,MATCH(C264,编号表!$A:$A,0))*1000+INDEX(编号表!$D:$D,MATCH(D264,编号表!$C:$C,0))*100+E264</f>
        <v>1007205</v>
      </c>
      <c r="C264" s="3" t="s">
        <v>178</v>
      </c>
      <c r="D264" s="11" t="s">
        <v>37</v>
      </c>
      <c r="E264" s="11">
        <f t="shared" si="4"/>
        <v>5</v>
      </c>
      <c r="F264" s="11" t="s">
        <v>179</v>
      </c>
      <c r="G264" s="16" t="s">
        <v>39</v>
      </c>
      <c r="H264" s="11">
        <v>60061000</v>
      </c>
      <c r="I264" s="12">
        <v>5</v>
      </c>
    </row>
    <row r="265" spans="2:9">
      <c r="B265" s="11">
        <f>1000000+INDEX(编号表!$B:$B,MATCH(C265,编号表!$A:$A,0))*1000+INDEX(编号表!$D:$D,MATCH(D265,编号表!$C:$C,0))*100+E265</f>
        <v>1007305</v>
      </c>
      <c r="C265" s="3" t="s">
        <v>178</v>
      </c>
      <c r="D265" s="11" t="s">
        <v>40</v>
      </c>
      <c r="E265" s="11">
        <f t="shared" si="4"/>
        <v>5</v>
      </c>
      <c r="F265" s="11" t="s">
        <v>180</v>
      </c>
      <c r="G265" s="16" t="s">
        <v>39</v>
      </c>
      <c r="H265" s="11">
        <v>60061001</v>
      </c>
      <c r="I265" s="12">
        <v>5</v>
      </c>
    </row>
    <row r="266" spans="2:9">
      <c r="B266" s="11">
        <f>1000000+INDEX(编号表!$B:$B,MATCH(C266,编号表!$A:$A,0))*1000+INDEX(编号表!$D:$D,MATCH(D266,编号表!$C:$C,0))*100+E266</f>
        <v>1007405</v>
      </c>
      <c r="C266" s="3" t="s">
        <v>178</v>
      </c>
      <c r="D266" s="11" t="s">
        <v>42</v>
      </c>
      <c r="E266" s="11">
        <f t="shared" si="4"/>
        <v>5</v>
      </c>
      <c r="F266" s="11" t="s">
        <v>181</v>
      </c>
      <c r="G266" s="16" t="s">
        <v>39</v>
      </c>
      <c r="H266" s="11">
        <v>60061002</v>
      </c>
      <c r="I266" s="12">
        <v>5</v>
      </c>
    </row>
    <row r="267" spans="2:9">
      <c r="B267" s="11">
        <f>1000000+INDEX(编号表!$B:$B,MATCH(C267,编号表!$A:$A,0))*1000+INDEX(编号表!$D:$D,MATCH(D267,编号表!$C:$C,0))*100+E267</f>
        <v>1007210</v>
      </c>
      <c r="C267" s="3" t="s">
        <v>178</v>
      </c>
      <c r="D267" s="11" t="s">
        <v>37</v>
      </c>
      <c r="E267" s="11">
        <f t="shared" si="4"/>
        <v>10</v>
      </c>
      <c r="F267" s="11" t="s">
        <v>179</v>
      </c>
      <c r="G267" s="16" t="s">
        <v>39</v>
      </c>
      <c r="H267" s="11">
        <v>60061000</v>
      </c>
      <c r="I267" s="12">
        <v>10</v>
      </c>
    </row>
    <row r="268" spans="2:9">
      <c r="B268" s="11">
        <f>1000000+INDEX(编号表!$B:$B,MATCH(C268,编号表!$A:$A,0))*1000+INDEX(编号表!$D:$D,MATCH(D268,编号表!$C:$C,0))*100+E268</f>
        <v>1007310</v>
      </c>
      <c r="C268" s="3" t="s">
        <v>178</v>
      </c>
      <c r="D268" s="11" t="s">
        <v>40</v>
      </c>
      <c r="E268" s="11">
        <f t="shared" si="4"/>
        <v>10</v>
      </c>
      <c r="F268" s="11" t="s">
        <v>180</v>
      </c>
      <c r="G268" s="16" t="s">
        <v>39</v>
      </c>
      <c r="H268" s="11">
        <v>60061001</v>
      </c>
      <c r="I268" s="12">
        <v>10</v>
      </c>
    </row>
    <row r="269" spans="2:9">
      <c r="B269" s="11">
        <f>1000000+INDEX(编号表!$B:$B,MATCH(C269,编号表!$A:$A,0))*1000+INDEX(编号表!$D:$D,MATCH(D269,编号表!$C:$C,0))*100+E269</f>
        <v>1007410</v>
      </c>
      <c r="C269" s="3" t="s">
        <v>178</v>
      </c>
      <c r="D269" s="11" t="s">
        <v>42</v>
      </c>
      <c r="E269" s="11">
        <f t="shared" si="4"/>
        <v>10</v>
      </c>
      <c r="F269" s="11" t="s">
        <v>181</v>
      </c>
      <c r="G269" s="16" t="s">
        <v>39</v>
      </c>
      <c r="H269" s="11">
        <v>60061002</v>
      </c>
      <c r="I269" s="12">
        <v>10</v>
      </c>
    </row>
    <row r="270" spans="2:9">
      <c r="B270" s="11">
        <f>1000000+INDEX(编号表!$B:$B,MATCH(C270,编号表!$A:$A,0))*1000+INDEX(编号表!$D:$D,MATCH(D270,编号表!$C:$C,0))*100+E270</f>
        <v>1008001</v>
      </c>
      <c r="C270" s="3" t="s">
        <v>182</v>
      </c>
      <c r="D270" s="11" t="s">
        <v>55</v>
      </c>
      <c r="E270" s="11">
        <v>1</v>
      </c>
      <c r="F270" s="17" t="s">
        <v>167</v>
      </c>
      <c r="G270" s="16" t="s">
        <v>57</v>
      </c>
      <c r="H270" s="11">
        <v>60074000</v>
      </c>
      <c r="I270" s="12">
        <v>1</v>
      </c>
    </row>
    <row r="271" spans="2:9">
      <c r="B271" s="11">
        <f>1000000+INDEX(编号表!$B:$B,MATCH(C271,编号表!$A:$A,0))*1000+INDEX(编号表!$D:$D,MATCH(D271,编号表!$C:$C,0))*100+E271</f>
        <v>1008002</v>
      </c>
      <c r="C271" s="3" t="s">
        <v>182</v>
      </c>
      <c r="D271" s="11" t="s">
        <v>55</v>
      </c>
      <c r="E271" s="11">
        <v>2</v>
      </c>
      <c r="F271" s="17" t="s">
        <v>167</v>
      </c>
      <c r="G271" s="16" t="s">
        <v>57</v>
      </c>
      <c r="H271" s="11">
        <v>60074001</v>
      </c>
      <c r="I271" s="12">
        <v>1</v>
      </c>
    </row>
    <row r="272" spans="2:9">
      <c r="B272" s="11">
        <f>1000000+INDEX(编号表!$B:$B,MATCH(C272,编号表!$A:$A,0))*1000+INDEX(编号表!$D:$D,MATCH(D272,编号表!$C:$C,0))*100+E272</f>
        <v>1008101</v>
      </c>
      <c r="C272" s="3" t="s">
        <v>182</v>
      </c>
      <c r="D272" s="11" t="s">
        <v>58</v>
      </c>
      <c r="E272" s="11">
        <v>1</v>
      </c>
      <c r="F272" s="17" t="s">
        <v>59</v>
      </c>
      <c r="G272" s="16" t="s">
        <v>57</v>
      </c>
      <c r="H272" s="3">
        <v>60072000</v>
      </c>
      <c r="I272" s="12">
        <v>1</v>
      </c>
    </row>
    <row r="273" spans="2:9">
      <c r="B273" s="11">
        <f>1000000+INDEX(编号表!$B:$B,MATCH(C273,编号表!$A:$A,0))*1000+INDEX(编号表!$D:$D,MATCH(D273,编号表!$C:$C,0))*100+E273</f>
        <v>1008201</v>
      </c>
      <c r="C273" s="3" t="s">
        <v>182</v>
      </c>
      <c r="D273" s="11" t="s">
        <v>37</v>
      </c>
      <c r="E273" s="11">
        <f t="shared" ref="E273:E292" si="5">I273+K273+M273+O273+Q273+S273+U273+W273+Y273+AA273</f>
        <v>1</v>
      </c>
      <c r="F273" s="3" t="s">
        <v>183</v>
      </c>
      <c r="G273" s="16" t="s">
        <v>39</v>
      </c>
      <c r="H273" s="3">
        <v>60071000</v>
      </c>
      <c r="I273" s="20">
        <v>1</v>
      </c>
    </row>
    <row r="274" spans="2:9">
      <c r="B274" s="11">
        <f>1000000+INDEX(编号表!$B:$B,MATCH(C274,编号表!$A:$A,0))*1000+INDEX(编号表!$D:$D,MATCH(D274,编号表!$C:$C,0))*100+E274</f>
        <v>1008301</v>
      </c>
      <c r="C274" s="3" t="s">
        <v>182</v>
      </c>
      <c r="D274" s="11" t="s">
        <v>40</v>
      </c>
      <c r="E274" s="11">
        <f t="shared" si="5"/>
        <v>1</v>
      </c>
      <c r="F274" s="3" t="s">
        <v>184</v>
      </c>
      <c r="G274" s="16" t="s">
        <v>39</v>
      </c>
      <c r="H274" s="3">
        <v>60071001</v>
      </c>
      <c r="I274" s="20">
        <v>1</v>
      </c>
    </row>
    <row r="275" spans="2:9">
      <c r="B275" s="11">
        <f>1000000+INDEX(编号表!$B:$B,MATCH(C275,编号表!$A:$A,0))*1000+INDEX(编号表!$D:$D,MATCH(D275,编号表!$C:$C,0))*100+E275</f>
        <v>1008401</v>
      </c>
      <c r="C275" s="3" t="s">
        <v>182</v>
      </c>
      <c r="D275" s="11" t="s">
        <v>42</v>
      </c>
      <c r="E275" s="11">
        <f t="shared" si="5"/>
        <v>1</v>
      </c>
      <c r="F275" s="3" t="s">
        <v>185</v>
      </c>
      <c r="G275" s="16" t="s">
        <v>39</v>
      </c>
      <c r="H275" s="3">
        <v>60071002</v>
      </c>
      <c r="I275" s="20">
        <v>1</v>
      </c>
    </row>
    <row r="276" spans="2:9">
      <c r="B276" s="11">
        <f>1000000+INDEX(编号表!$B:$B,MATCH(C276,编号表!$A:$A,0))*1000+INDEX(编号表!$D:$D,MATCH(D276,编号表!$C:$C,0))*100+E276</f>
        <v>1008501</v>
      </c>
      <c r="C276" s="3" t="s">
        <v>182</v>
      </c>
      <c r="D276" s="11" t="s">
        <v>44</v>
      </c>
      <c r="E276" s="11">
        <f t="shared" si="5"/>
        <v>1</v>
      </c>
      <c r="F276" s="3" t="s">
        <v>186</v>
      </c>
      <c r="G276" s="16" t="s">
        <v>39</v>
      </c>
      <c r="H276" s="3">
        <v>60071003</v>
      </c>
      <c r="I276" s="20">
        <v>1</v>
      </c>
    </row>
    <row r="277" spans="2:9">
      <c r="B277" s="11">
        <f>1000000+INDEX(编号表!$B:$B,MATCH(C277,编号表!$A:$A,0))*1000+INDEX(编号表!$D:$D,MATCH(D277,编号表!$C:$C,0))*100+E277</f>
        <v>1008202</v>
      </c>
      <c r="C277" s="3" t="s">
        <v>182</v>
      </c>
      <c r="D277" s="11" t="s">
        <v>37</v>
      </c>
      <c r="E277" s="11">
        <f t="shared" si="5"/>
        <v>2</v>
      </c>
      <c r="F277" s="3" t="s">
        <v>183</v>
      </c>
      <c r="G277" s="16" t="s">
        <v>39</v>
      </c>
      <c r="H277" s="3">
        <v>60071000</v>
      </c>
      <c r="I277" s="20">
        <v>2</v>
      </c>
    </row>
    <row r="278" spans="2:9">
      <c r="B278" s="11">
        <f>1000000+INDEX(编号表!$B:$B,MATCH(C278,编号表!$A:$A,0))*1000+INDEX(编号表!$D:$D,MATCH(D278,编号表!$C:$C,0))*100+E278</f>
        <v>1008302</v>
      </c>
      <c r="C278" s="3" t="s">
        <v>182</v>
      </c>
      <c r="D278" s="11" t="s">
        <v>40</v>
      </c>
      <c r="E278" s="11">
        <f t="shared" si="5"/>
        <v>2</v>
      </c>
      <c r="F278" s="3" t="s">
        <v>184</v>
      </c>
      <c r="G278" s="16" t="s">
        <v>39</v>
      </c>
      <c r="H278" s="3">
        <v>60071001</v>
      </c>
      <c r="I278" s="20">
        <v>2</v>
      </c>
    </row>
    <row r="279" spans="2:9">
      <c r="B279" s="11">
        <f>1000000+INDEX(编号表!$B:$B,MATCH(C279,编号表!$A:$A,0))*1000+INDEX(编号表!$D:$D,MATCH(D279,编号表!$C:$C,0))*100+E279</f>
        <v>1008402</v>
      </c>
      <c r="C279" s="3" t="s">
        <v>182</v>
      </c>
      <c r="D279" s="11" t="s">
        <v>42</v>
      </c>
      <c r="E279" s="11">
        <f t="shared" si="5"/>
        <v>2</v>
      </c>
      <c r="F279" s="3" t="s">
        <v>185</v>
      </c>
      <c r="G279" s="16" t="s">
        <v>39</v>
      </c>
      <c r="H279" s="3">
        <v>60071002</v>
      </c>
      <c r="I279" s="20">
        <v>2</v>
      </c>
    </row>
    <row r="280" spans="2:9">
      <c r="B280" s="11">
        <f>1000000+INDEX(编号表!$B:$B,MATCH(C280,编号表!$A:$A,0))*1000+INDEX(编号表!$D:$D,MATCH(D280,编号表!$C:$C,0))*100+E280</f>
        <v>1008502</v>
      </c>
      <c r="C280" s="3" t="s">
        <v>182</v>
      </c>
      <c r="D280" s="11" t="s">
        <v>44</v>
      </c>
      <c r="E280" s="11">
        <f t="shared" si="5"/>
        <v>2</v>
      </c>
      <c r="F280" s="3" t="s">
        <v>186</v>
      </c>
      <c r="G280" s="16" t="s">
        <v>39</v>
      </c>
      <c r="H280" s="3">
        <v>60071003</v>
      </c>
      <c r="I280" s="20">
        <v>2</v>
      </c>
    </row>
    <row r="281" spans="2:9">
      <c r="B281" s="11">
        <f>1000000+INDEX(编号表!$B:$B,MATCH(C281,编号表!$A:$A,0))*1000+INDEX(编号表!$D:$D,MATCH(D281,编号表!$C:$C,0))*100+E281</f>
        <v>1008203</v>
      </c>
      <c r="C281" s="3" t="s">
        <v>182</v>
      </c>
      <c r="D281" s="11" t="s">
        <v>37</v>
      </c>
      <c r="E281" s="11">
        <f t="shared" si="5"/>
        <v>3</v>
      </c>
      <c r="F281" s="3" t="s">
        <v>183</v>
      </c>
      <c r="G281" s="16" t="s">
        <v>39</v>
      </c>
      <c r="H281" s="3">
        <v>60071000</v>
      </c>
      <c r="I281" s="20">
        <v>3</v>
      </c>
    </row>
    <row r="282" spans="2:9">
      <c r="B282" s="11">
        <f>1000000+INDEX(编号表!$B:$B,MATCH(C282,编号表!$A:$A,0))*1000+INDEX(编号表!$D:$D,MATCH(D282,编号表!$C:$C,0))*100+E282</f>
        <v>1008303</v>
      </c>
      <c r="C282" s="3" t="s">
        <v>182</v>
      </c>
      <c r="D282" s="11" t="s">
        <v>40</v>
      </c>
      <c r="E282" s="11">
        <f t="shared" si="5"/>
        <v>3</v>
      </c>
      <c r="F282" s="3" t="s">
        <v>184</v>
      </c>
      <c r="G282" s="16" t="s">
        <v>39</v>
      </c>
      <c r="H282" s="3">
        <v>60071001</v>
      </c>
      <c r="I282" s="20">
        <v>3</v>
      </c>
    </row>
    <row r="283" spans="2:9">
      <c r="B283" s="11">
        <f>1000000+INDEX(编号表!$B:$B,MATCH(C283,编号表!$A:$A,0))*1000+INDEX(编号表!$D:$D,MATCH(D283,编号表!$C:$C,0))*100+E283</f>
        <v>1008403</v>
      </c>
      <c r="C283" s="3" t="s">
        <v>182</v>
      </c>
      <c r="D283" s="11" t="s">
        <v>42</v>
      </c>
      <c r="E283" s="11">
        <f t="shared" si="5"/>
        <v>3</v>
      </c>
      <c r="F283" s="3" t="s">
        <v>185</v>
      </c>
      <c r="G283" s="16" t="s">
        <v>39</v>
      </c>
      <c r="H283" s="3">
        <v>60071002</v>
      </c>
      <c r="I283" s="20">
        <v>3</v>
      </c>
    </row>
    <row r="284" spans="2:9">
      <c r="B284" s="11">
        <f>1000000+INDEX(编号表!$B:$B,MATCH(C284,编号表!$A:$A,0))*1000+INDEX(编号表!$D:$D,MATCH(D284,编号表!$C:$C,0))*100+E284</f>
        <v>1008503</v>
      </c>
      <c r="C284" s="3" t="s">
        <v>182</v>
      </c>
      <c r="D284" s="11" t="s">
        <v>44</v>
      </c>
      <c r="E284" s="11">
        <f t="shared" si="5"/>
        <v>3</v>
      </c>
      <c r="F284" s="3" t="s">
        <v>186</v>
      </c>
      <c r="G284" s="16" t="s">
        <v>39</v>
      </c>
      <c r="H284" s="3">
        <v>60071003</v>
      </c>
      <c r="I284" s="20">
        <v>3</v>
      </c>
    </row>
    <row r="285" spans="2:9">
      <c r="B285" s="11">
        <f>1000000+INDEX(编号表!$B:$B,MATCH(C285,编号表!$A:$A,0))*1000+INDEX(编号表!$D:$D,MATCH(D285,编号表!$C:$C,0))*100+E285</f>
        <v>1008205</v>
      </c>
      <c r="C285" s="3" t="s">
        <v>182</v>
      </c>
      <c r="D285" s="11" t="s">
        <v>37</v>
      </c>
      <c r="E285" s="11">
        <f t="shared" si="5"/>
        <v>5</v>
      </c>
      <c r="F285" s="3" t="s">
        <v>183</v>
      </c>
      <c r="G285" s="16" t="s">
        <v>39</v>
      </c>
      <c r="H285" s="3">
        <v>60071000</v>
      </c>
      <c r="I285" s="20">
        <v>5</v>
      </c>
    </row>
    <row r="286" spans="2:9">
      <c r="B286" s="11">
        <f>1000000+INDEX(编号表!$B:$B,MATCH(C286,编号表!$A:$A,0))*1000+INDEX(编号表!$D:$D,MATCH(D286,编号表!$C:$C,0))*100+E286</f>
        <v>1008305</v>
      </c>
      <c r="C286" s="3" t="s">
        <v>182</v>
      </c>
      <c r="D286" s="11" t="s">
        <v>40</v>
      </c>
      <c r="E286" s="11">
        <f t="shared" si="5"/>
        <v>5</v>
      </c>
      <c r="F286" s="3" t="s">
        <v>184</v>
      </c>
      <c r="G286" s="16" t="s">
        <v>39</v>
      </c>
      <c r="H286" s="3">
        <v>60071001</v>
      </c>
      <c r="I286" s="20">
        <v>5</v>
      </c>
    </row>
    <row r="287" spans="2:9">
      <c r="B287" s="11">
        <f>1000000+INDEX(编号表!$B:$B,MATCH(C287,编号表!$A:$A,0))*1000+INDEX(编号表!$D:$D,MATCH(D287,编号表!$C:$C,0))*100+E287</f>
        <v>1008405</v>
      </c>
      <c r="C287" s="3" t="s">
        <v>182</v>
      </c>
      <c r="D287" s="11" t="s">
        <v>42</v>
      </c>
      <c r="E287" s="11">
        <f t="shared" si="5"/>
        <v>5</v>
      </c>
      <c r="F287" s="3" t="s">
        <v>185</v>
      </c>
      <c r="G287" s="16" t="s">
        <v>39</v>
      </c>
      <c r="H287" s="3">
        <v>60071002</v>
      </c>
      <c r="I287" s="20">
        <v>5</v>
      </c>
    </row>
    <row r="288" spans="2:9">
      <c r="B288" s="11">
        <f>1000000+INDEX(编号表!$B:$B,MATCH(C288,编号表!$A:$A,0))*1000+INDEX(编号表!$D:$D,MATCH(D288,编号表!$C:$C,0))*100+E288</f>
        <v>1008505</v>
      </c>
      <c r="C288" s="3" t="s">
        <v>182</v>
      </c>
      <c r="D288" s="11" t="s">
        <v>44</v>
      </c>
      <c r="E288" s="11">
        <f t="shared" si="5"/>
        <v>5</v>
      </c>
      <c r="F288" s="3" t="s">
        <v>186</v>
      </c>
      <c r="G288" s="16" t="s">
        <v>39</v>
      </c>
      <c r="H288" s="3">
        <v>60071003</v>
      </c>
      <c r="I288" s="20">
        <v>5</v>
      </c>
    </row>
    <row r="289" spans="2:9">
      <c r="B289" s="11">
        <f>1000000+INDEX(编号表!$B:$B,MATCH(C289,编号表!$A:$A,0))*1000+INDEX(编号表!$D:$D,MATCH(D289,编号表!$C:$C,0))*100+E289</f>
        <v>1008210</v>
      </c>
      <c r="C289" s="3" t="s">
        <v>182</v>
      </c>
      <c r="D289" s="11" t="s">
        <v>37</v>
      </c>
      <c r="E289" s="11">
        <f t="shared" si="5"/>
        <v>10</v>
      </c>
      <c r="F289" s="3" t="s">
        <v>183</v>
      </c>
      <c r="G289" s="16" t="s">
        <v>39</v>
      </c>
      <c r="H289" s="3">
        <v>60071000</v>
      </c>
      <c r="I289" s="20">
        <v>10</v>
      </c>
    </row>
    <row r="290" spans="2:9">
      <c r="B290" s="11">
        <f>1000000+INDEX(编号表!$B:$B,MATCH(C290,编号表!$A:$A,0))*1000+INDEX(编号表!$D:$D,MATCH(D290,编号表!$C:$C,0))*100+E290</f>
        <v>1008310</v>
      </c>
      <c r="C290" s="3" t="s">
        <v>182</v>
      </c>
      <c r="D290" s="11" t="s">
        <v>40</v>
      </c>
      <c r="E290" s="11">
        <f t="shared" si="5"/>
        <v>10</v>
      </c>
      <c r="F290" s="3" t="s">
        <v>184</v>
      </c>
      <c r="G290" s="16" t="s">
        <v>39</v>
      </c>
      <c r="H290" s="3">
        <v>60071001</v>
      </c>
      <c r="I290" s="20">
        <v>10</v>
      </c>
    </row>
    <row r="291" spans="2:9">
      <c r="B291" s="11">
        <f>1000000+INDEX(编号表!$B:$B,MATCH(C291,编号表!$A:$A,0))*1000+INDEX(编号表!$D:$D,MATCH(D291,编号表!$C:$C,0))*100+E291</f>
        <v>1008410</v>
      </c>
      <c r="C291" s="3" t="s">
        <v>182</v>
      </c>
      <c r="D291" s="11" t="s">
        <v>42</v>
      </c>
      <c r="E291" s="11">
        <f t="shared" si="5"/>
        <v>10</v>
      </c>
      <c r="F291" s="3" t="s">
        <v>185</v>
      </c>
      <c r="G291" s="16" t="s">
        <v>39</v>
      </c>
      <c r="H291" s="3">
        <v>60071002</v>
      </c>
      <c r="I291" s="20">
        <v>10</v>
      </c>
    </row>
    <row r="292" spans="2:9">
      <c r="B292" s="11">
        <f>1000000+INDEX(编号表!$B:$B,MATCH(C292,编号表!$A:$A,0))*1000+INDEX(编号表!$D:$D,MATCH(D292,编号表!$C:$C,0))*100+E292</f>
        <v>1008510</v>
      </c>
      <c r="C292" s="3" t="s">
        <v>182</v>
      </c>
      <c r="D292" s="11" t="s">
        <v>44</v>
      </c>
      <c r="E292" s="11">
        <f t="shared" si="5"/>
        <v>10</v>
      </c>
      <c r="F292" s="3" t="s">
        <v>186</v>
      </c>
      <c r="G292" s="16" t="s">
        <v>39</v>
      </c>
      <c r="H292" s="3">
        <v>60071003</v>
      </c>
      <c r="I292" s="20">
        <v>10</v>
      </c>
    </row>
    <row r="293" spans="2:9">
      <c r="B293" s="11">
        <f>1000000+INDEX(编号表!$B:$B,MATCH(C293,编号表!$A:$A,0))*1000+INDEX(编号表!$D:$D,MATCH(D293,编号表!$C:$C,0))*100+E293</f>
        <v>1009001</v>
      </c>
      <c r="C293" s="3" t="s">
        <v>187</v>
      </c>
      <c r="D293" s="11" t="s">
        <v>55</v>
      </c>
      <c r="E293" s="11">
        <v>1</v>
      </c>
      <c r="F293" s="17" t="s">
        <v>167</v>
      </c>
      <c r="G293" s="16" t="s">
        <v>57</v>
      </c>
      <c r="H293" s="11">
        <v>60084000</v>
      </c>
      <c r="I293" s="12">
        <v>1</v>
      </c>
    </row>
    <row r="294" spans="2:9">
      <c r="B294" s="11">
        <f>1000000+INDEX(编号表!$B:$B,MATCH(C294,编号表!$A:$A,0))*1000+INDEX(编号表!$D:$D,MATCH(D294,编号表!$C:$C,0))*100+E294</f>
        <v>1009002</v>
      </c>
      <c r="C294" s="3" t="s">
        <v>187</v>
      </c>
      <c r="D294" s="11" t="s">
        <v>55</v>
      </c>
      <c r="E294" s="11">
        <v>2</v>
      </c>
      <c r="F294" s="17" t="s">
        <v>167</v>
      </c>
      <c r="G294" s="16" t="s">
        <v>57</v>
      </c>
      <c r="H294" s="11">
        <v>60084001</v>
      </c>
      <c r="I294" s="12">
        <v>1</v>
      </c>
    </row>
    <row r="295" spans="2:9">
      <c r="B295" s="11">
        <f>1000000+INDEX(编号表!$B:$B,MATCH(C295,编号表!$A:$A,0))*1000+INDEX(编号表!$D:$D,MATCH(D295,编号表!$C:$C,0))*100+E295</f>
        <v>1009101</v>
      </c>
      <c r="C295" s="3" t="s">
        <v>187</v>
      </c>
      <c r="D295" s="11" t="s">
        <v>58</v>
      </c>
      <c r="E295" s="11">
        <v>1</v>
      </c>
      <c r="F295" s="17" t="s">
        <v>59</v>
      </c>
      <c r="G295" s="16" t="s">
        <v>57</v>
      </c>
      <c r="H295" s="3">
        <v>60082000</v>
      </c>
      <c r="I295" s="12">
        <v>1</v>
      </c>
    </row>
    <row r="296" spans="2:9">
      <c r="B296" s="11">
        <f>1000000+INDEX(编号表!$B:$B,MATCH(C296,编号表!$A:$A,0))*1000+INDEX(编号表!$D:$D,MATCH(D296,编号表!$C:$C,0))*100+E296</f>
        <v>1009201</v>
      </c>
      <c r="C296" s="3" t="s">
        <v>187</v>
      </c>
      <c r="D296" s="11" t="s">
        <v>37</v>
      </c>
      <c r="E296" s="11">
        <f t="shared" ref="E296:E325" si="6">I296+K296+M296+O296+Q296+S296+U296+W296+Y296+AA296</f>
        <v>1</v>
      </c>
      <c r="F296" s="3" t="s">
        <v>183</v>
      </c>
      <c r="G296" s="16" t="s">
        <v>39</v>
      </c>
      <c r="H296" s="3">
        <v>60081000</v>
      </c>
      <c r="I296" s="12">
        <v>1</v>
      </c>
    </row>
    <row r="297" spans="2:9">
      <c r="B297" s="11">
        <f>1000000+INDEX(编号表!$B:$B,MATCH(C297,编号表!$A:$A,0))*1000+INDEX(编号表!$D:$D,MATCH(D297,编号表!$C:$C,0))*100+E297</f>
        <v>1009301</v>
      </c>
      <c r="C297" s="3" t="s">
        <v>187</v>
      </c>
      <c r="D297" s="11" t="s">
        <v>40</v>
      </c>
      <c r="E297" s="11">
        <f t="shared" si="6"/>
        <v>1</v>
      </c>
      <c r="F297" s="3" t="s">
        <v>184</v>
      </c>
      <c r="G297" s="16" t="s">
        <v>39</v>
      </c>
      <c r="H297" s="3">
        <v>60081001</v>
      </c>
      <c r="I297" s="12">
        <v>1</v>
      </c>
    </row>
    <row r="298" spans="2:9">
      <c r="B298" s="11">
        <f>1000000+INDEX(编号表!$B:$B,MATCH(C298,编号表!$A:$A,0))*1000+INDEX(编号表!$D:$D,MATCH(D298,编号表!$C:$C,0))*100+E298</f>
        <v>1009401</v>
      </c>
      <c r="C298" s="3" t="s">
        <v>187</v>
      </c>
      <c r="D298" s="11" t="s">
        <v>42</v>
      </c>
      <c r="E298" s="11">
        <f t="shared" si="6"/>
        <v>1</v>
      </c>
      <c r="F298" s="3" t="s">
        <v>185</v>
      </c>
      <c r="G298" s="16" t="s">
        <v>39</v>
      </c>
      <c r="H298" s="3">
        <v>60081002</v>
      </c>
      <c r="I298" s="12">
        <v>1</v>
      </c>
    </row>
    <row r="299" spans="2:9">
      <c r="B299" s="11">
        <f>1000000+INDEX(编号表!$B:$B,MATCH(C299,编号表!$A:$A,0))*1000+INDEX(编号表!$D:$D,MATCH(D299,编号表!$C:$C,0))*100+E299</f>
        <v>1009501</v>
      </c>
      <c r="C299" s="3" t="s">
        <v>187</v>
      </c>
      <c r="D299" s="11" t="s">
        <v>44</v>
      </c>
      <c r="E299" s="11">
        <f t="shared" si="6"/>
        <v>1</v>
      </c>
      <c r="F299" s="3" t="s">
        <v>186</v>
      </c>
      <c r="G299" s="16" t="s">
        <v>39</v>
      </c>
      <c r="H299" s="3">
        <v>60081003</v>
      </c>
      <c r="I299" s="12">
        <v>1</v>
      </c>
    </row>
    <row r="300" spans="2:9">
      <c r="B300" s="11">
        <f>1000000+INDEX(编号表!$B:$B,MATCH(C300,编号表!$A:$A,0))*1000+INDEX(编号表!$D:$D,MATCH(D300,编号表!$C:$C,0))*100+E300</f>
        <v>1009601</v>
      </c>
      <c r="C300" s="3" t="s">
        <v>187</v>
      </c>
      <c r="D300" s="11" t="s">
        <v>46</v>
      </c>
      <c r="E300" s="11">
        <f t="shared" si="6"/>
        <v>1</v>
      </c>
      <c r="F300" s="3" t="s">
        <v>188</v>
      </c>
      <c r="G300" s="16" t="s">
        <v>39</v>
      </c>
      <c r="H300" s="3">
        <v>60081004</v>
      </c>
      <c r="I300" s="12">
        <v>1</v>
      </c>
    </row>
    <row r="301" spans="2:9">
      <c r="B301" s="11">
        <f>1000000+INDEX(编号表!$B:$B,MATCH(C301,编号表!$A:$A,0))*1000+INDEX(编号表!$D:$D,MATCH(D301,编号表!$C:$C,0))*100+E301</f>
        <v>1009202</v>
      </c>
      <c r="C301" s="3" t="s">
        <v>187</v>
      </c>
      <c r="D301" s="11" t="s">
        <v>37</v>
      </c>
      <c r="E301" s="11">
        <f t="shared" si="6"/>
        <v>2</v>
      </c>
      <c r="F301" s="3" t="s">
        <v>183</v>
      </c>
      <c r="G301" s="16" t="s">
        <v>39</v>
      </c>
      <c r="H301" s="3">
        <v>60081000</v>
      </c>
      <c r="I301" s="12">
        <v>2</v>
      </c>
    </row>
    <row r="302" spans="2:9">
      <c r="B302" s="11">
        <f>1000000+INDEX(编号表!$B:$B,MATCH(C302,编号表!$A:$A,0))*1000+INDEX(编号表!$D:$D,MATCH(D302,编号表!$C:$C,0))*100+E302</f>
        <v>1009302</v>
      </c>
      <c r="C302" s="3" t="s">
        <v>187</v>
      </c>
      <c r="D302" s="11" t="s">
        <v>40</v>
      </c>
      <c r="E302" s="11">
        <f t="shared" si="6"/>
        <v>2</v>
      </c>
      <c r="F302" s="3" t="s">
        <v>184</v>
      </c>
      <c r="G302" s="16" t="s">
        <v>39</v>
      </c>
      <c r="H302" s="3">
        <v>60081001</v>
      </c>
      <c r="I302" s="12">
        <v>2</v>
      </c>
    </row>
    <row r="303" spans="2:9">
      <c r="B303" s="11">
        <f>1000000+INDEX(编号表!$B:$B,MATCH(C303,编号表!$A:$A,0))*1000+INDEX(编号表!$D:$D,MATCH(D303,编号表!$C:$C,0))*100+E303</f>
        <v>1009402</v>
      </c>
      <c r="C303" s="3" t="s">
        <v>187</v>
      </c>
      <c r="D303" s="11" t="s">
        <v>42</v>
      </c>
      <c r="E303" s="11">
        <f t="shared" si="6"/>
        <v>2</v>
      </c>
      <c r="F303" s="3" t="s">
        <v>185</v>
      </c>
      <c r="G303" s="16" t="s">
        <v>39</v>
      </c>
      <c r="H303" s="3">
        <v>60081002</v>
      </c>
      <c r="I303" s="12">
        <v>2</v>
      </c>
    </row>
    <row r="304" spans="2:9">
      <c r="B304" s="11">
        <f>1000000+INDEX(编号表!$B:$B,MATCH(C304,编号表!$A:$A,0))*1000+INDEX(编号表!$D:$D,MATCH(D304,编号表!$C:$C,0))*100+E304</f>
        <v>1009502</v>
      </c>
      <c r="C304" s="3" t="s">
        <v>187</v>
      </c>
      <c r="D304" s="11" t="s">
        <v>44</v>
      </c>
      <c r="E304" s="11">
        <f t="shared" si="6"/>
        <v>2</v>
      </c>
      <c r="F304" s="3" t="s">
        <v>186</v>
      </c>
      <c r="G304" s="16" t="s">
        <v>39</v>
      </c>
      <c r="H304" s="3">
        <v>60081003</v>
      </c>
      <c r="I304" s="12">
        <v>2</v>
      </c>
    </row>
    <row r="305" spans="2:9">
      <c r="B305" s="11">
        <f>1000000+INDEX(编号表!$B:$B,MATCH(C305,编号表!$A:$A,0))*1000+INDEX(编号表!$D:$D,MATCH(D305,编号表!$C:$C,0))*100+E305</f>
        <v>1009602</v>
      </c>
      <c r="C305" s="3" t="s">
        <v>187</v>
      </c>
      <c r="D305" s="11" t="s">
        <v>46</v>
      </c>
      <c r="E305" s="11">
        <f t="shared" si="6"/>
        <v>2</v>
      </c>
      <c r="F305" s="3" t="s">
        <v>188</v>
      </c>
      <c r="G305" s="16" t="s">
        <v>39</v>
      </c>
      <c r="H305" s="3">
        <v>60081004</v>
      </c>
      <c r="I305" s="12">
        <v>2</v>
      </c>
    </row>
    <row r="306" spans="2:9">
      <c r="B306" s="11">
        <f>1000000+INDEX(编号表!$B:$B,MATCH(C306,编号表!$A:$A,0))*1000+INDEX(编号表!$D:$D,MATCH(D306,编号表!$C:$C,0))*100+E306</f>
        <v>1009203</v>
      </c>
      <c r="C306" s="3" t="s">
        <v>187</v>
      </c>
      <c r="D306" s="11" t="s">
        <v>37</v>
      </c>
      <c r="E306" s="11">
        <f t="shared" si="6"/>
        <v>3</v>
      </c>
      <c r="F306" s="3" t="s">
        <v>183</v>
      </c>
      <c r="G306" s="16" t="s">
        <v>39</v>
      </c>
      <c r="H306" s="3">
        <v>60081000</v>
      </c>
      <c r="I306" s="12">
        <v>3</v>
      </c>
    </row>
    <row r="307" spans="2:9">
      <c r="B307" s="11">
        <f>1000000+INDEX(编号表!$B:$B,MATCH(C307,编号表!$A:$A,0))*1000+INDEX(编号表!$D:$D,MATCH(D307,编号表!$C:$C,0))*100+E307</f>
        <v>1009303</v>
      </c>
      <c r="C307" s="3" t="s">
        <v>187</v>
      </c>
      <c r="D307" s="11" t="s">
        <v>40</v>
      </c>
      <c r="E307" s="11">
        <f t="shared" si="6"/>
        <v>3</v>
      </c>
      <c r="F307" s="3" t="s">
        <v>184</v>
      </c>
      <c r="G307" s="16" t="s">
        <v>39</v>
      </c>
      <c r="H307" s="3">
        <v>60081001</v>
      </c>
      <c r="I307" s="12">
        <v>3</v>
      </c>
    </row>
    <row r="308" spans="2:9">
      <c r="B308" s="11">
        <f>1000000+INDEX(编号表!$B:$B,MATCH(C308,编号表!$A:$A,0))*1000+INDEX(编号表!$D:$D,MATCH(D308,编号表!$C:$C,0))*100+E308</f>
        <v>1009403</v>
      </c>
      <c r="C308" s="3" t="s">
        <v>187</v>
      </c>
      <c r="D308" s="11" t="s">
        <v>42</v>
      </c>
      <c r="E308" s="11">
        <f t="shared" si="6"/>
        <v>3</v>
      </c>
      <c r="F308" s="3" t="s">
        <v>185</v>
      </c>
      <c r="G308" s="16" t="s">
        <v>39</v>
      </c>
      <c r="H308" s="3">
        <v>60081002</v>
      </c>
      <c r="I308" s="12">
        <v>3</v>
      </c>
    </row>
    <row r="309" spans="2:9">
      <c r="B309" s="11">
        <f>1000000+INDEX(编号表!$B:$B,MATCH(C309,编号表!$A:$A,0))*1000+INDEX(编号表!$D:$D,MATCH(D309,编号表!$C:$C,0))*100+E309</f>
        <v>1009503</v>
      </c>
      <c r="C309" s="3" t="s">
        <v>187</v>
      </c>
      <c r="D309" s="11" t="s">
        <v>44</v>
      </c>
      <c r="E309" s="11">
        <f t="shared" si="6"/>
        <v>3</v>
      </c>
      <c r="F309" s="3" t="s">
        <v>186</v>
      </c>
      <c r="G309" s="16" t="s">
        <v>39</v>
      </c>
      <c r="H309" s="3">
        <v>60081003</v>
      </c>
      <c r="I309" s="12">
        <v>3</v>
      </c>
    </row>
    <row r="310" spans="2:9">
      <c r="B310" s="11">
        <f>1000000+INDEX(编号表!$B:$B,MATCH(C310,编号表!$A:$A,0))*1000+INDEX(编号表!$D:$D,MATCH(D310,编号表!$C:$C,0))*100+E310</f>
        <v>1009603</v>
      </c>
      <c r="C310" s="3" t="s">
        <v>187</v>
      </c>
      <c r="D310" s="11" t="s">
        <v>46</v>
      </c>
      <c r="E310" s="11">
        <f t="shared" si="6"/>
        <v>3</v>
      </c>
      <c r="F310" s="3" t="s">
        <v>188</v>
      </c>
      <c r="G310" s="16" t="s">
        <v>39</v>
      </c>
      <c r="H310" s="3">
        <v>60081004</v>
      </c>
      <c r="I310" s="12">
        <v>3</v>
      </c>
    </row>
    <row r="311" spans="2:9">
      <c r="B311" s="11">
        <f>1000000+INDEX(编号表!$B:$B,MATCH(C311,编号表!$A:$A,0))*1000+INDEX(编号表!$D:$D,MATCH(D311,编号表!$C:$C,0))*100+E311</f>
        <v>1009205</v>
      </c>
      <c r="C311" s="3" t="s">
        <v>187</v>
      </c>
      <c r="D311" s="11" t="s">
        <v>37</v>
      </c>
      <c r="E311" s="11">
        <f t="shared" si="6"/>
        <v>5</v>
      </c>
      <c r="F311" s="3" t="s">
        <v>183</v>
      </c>
      <c r="G311" s="16" t="s">
        <v>39</v>
      </c>
      <c r="H311" s="3">
        <v>60081000</v>
      </c>
      <c r="I311" s="12">
        <v>5</v>
      </c>
    </row>
    <row r="312" spans="2:9">
      <c r="B312" s="11">
        <f>1000000+INDEX(编号表!$B:$B,MATCH(C312,编号表!$A:$A,0))*1000+INDEX(编号表!$D:$D,MATCH(D312,编号表!$C:$C,0))*100+E312</f>
        <v>1009305</v>
      </c>
      <c r="C312" s="3" t="s">
        <v>187</v>
      </c>
      <c r="D312" s="11" t="s">
        <v>40</v>
      </c>
      <c r="E312" s="11">
        <f t="shared" si="6"/>
        <v>5</v>
      </c>
      <c r="F312" s="3" t="s">
        <v>184</v>
      </c>
      <c r="G312" s="16" t="s">
        <v>39</v>
      </c>
      <c r="H312" s="3">
        <v>60081001</v>
      </c>
      <c r="I312" s="12">
        <v>5</v>
      </c>
    </row>
    <row r="313" spans="2:9">
      <c r="B313" s="11">
        <f>1000000+INDEX(编号表!$B:$B,MATCH(C313,编号表!$A:$A,0))*1000+INDEX(编号表!$D:$D,MATCH(D313,编号表!$C:$C,0))*100+E313</f>
        <v>1009405</v>
      </c>
      <c r="C313" s="3" t="s">
        <v>187</v>
      </c>
      <c r="D313" s="11" t="s">
        <v>42</v>
      </c>
      <c r="E313" s="11">
        <f t="shared" si="6"/>
        <v>5</v>
      </c>
      <c r="F313" s="3" t="s">
        <v>185</v>
      </c>
      <c r="G313" s="16" t="s">
        <v>39</v>
      </c>
      <c r="H313" s="3">
        <v>60081002</v>
      </c>
      <c r="I313" s="12">
        <v>5</v>
      </c>
    </row>
    <row r="314" spans="2:9">
      <c r="B314" s="11">
        <f>1000000+INDEX(编号表!$B:$B,MATCH(C314,编号表!$A:$A,0))*1000+INDEX(编号表!$D:$D,MATCH(D314,编号表!$C:$C,0))*100+E314</f>
        <v>1009505</v>
      </c>
      <c r="C314" s="3" t="s">
        <v>187</v>
      </c>
      <c r="D314" s="11" t="s">
        <v>44</v>
      </c>
      <c r="E314" s="11">
        <f t="shared" si="6"/>
        <v>5</v>
      </c>
      <c r="F314" s="3" t="s">
        <v>186</v>
      </c>
      <c r="G314" s="16" t="s">
        <v>39</v>
      </c>
      <c r="H314" s="3">
        <v>60081003</v>
      </c>
      <c r="I314" s="12">
        <v>5</v>
      </c>
    </row>
    <row r="315" spans="2:9">
      <c r="B315" s="11">
        <f>1000000+INDEX(编号表!$B:$B,MATCH(C315,编号表!$A:$A,0))*1000+INDEX(编号表!$D:$D,MATCH(D315,编号表!$C:$C,0))*100+E315</f>
        <v>1009605</v>
      </c>
      <c r="C315" s="3" t="s">
        <v>187</v>
      </c>
      <c r="D315" s="11" t="s">
        <v>46</v>
      </c>
      <c r="E315" s="11">
        <f t="shared" si="6"/>
        <v>5</v>
      </c>
      <c r="F315" s="3" t="s">
        <v>188</v>
      </c>
      <c r="G315" s="16" t="s">
        <v>39</v>
      </c>
      <c r="H315" s="3">
        <v>60081004</v>
      </c>
      <c r="I315" s="12">
        <v>5</v>
      </c>
    </row>
    <row r="316" spans="2:9">
      <c r="B316" s="11">
        <f>1000000+INDEX(编号表!$B:$B,MATCH(C316,编号表!$A:$A,0))*1000+INDEX(编号表!$D:$D,MATCH(D316,编号表!$C:$C,0))*100+E316</f>
        <v>1009210</v>
      </c>
      <c r="C316" s="3" t="s">
        <v>187</v>
      </c>
      <c r="D316" s="11" t="s">
        <v>37</v>
      </c>
      <c r="E316" s="11">
        <f t="shared" si="6"/>
        <v>10</v>
      </c>
      <c r="F316" s="3" t="s">
        <v>183</v>
      </c>
      <c r="G316" s="16" t="s">
        <v>39</v>
      </c>
      <c r="H316" s="3">
        <v>60081000</v>
      </c>
      <c r="I316" s="12">
        <v>10</v>
      </c>
    </row>
    <row r="317" spans="2:9">
      <c r="B317" s="11">
        <f>1000000+INDEX(编号表!$B:$B,MATCH(C317,编号表!$A:$A,0))*1000+INDEX(编号表!$D:$D,MATCH(D317,编号表!$C:$C,0))*100+E317</f>
        <v>1009310</v>
      </c>
      <c r="C317" s="3" t="s">
        <v>187</v>
      </c>
      <c r="D317" s="11" t="s">
        <v>40</v>
      </c>
      <c r="E317" s="11">
        <f t="shared" si="6"/>
        <v>10</v>
      </c>
      <c r="F317" s="3" t="s">
        <v>184</v>
      </c>
      <c r="G317" s="16" t="s">
        <v>39</v>
      </c>
      <c r="H317" s="3">
        <v>60081001</v>
      </c>
      <c r="I317" s="12">
        <v>10</v>
      </c>
    </row>
    <row r="318" spans="2:9">
      <c r="B318" s="11">
        <f>1000000+INDEX(编号表!$B:$B,MATCH(C318,编号表!$A:$A,0))*1000+INDEX(编号表!$D:$D,MATCH(D318,编号表!$C:$C,0))*100+E318</f>
        <v>1009410</v>
      </c>
      <c r="C318" s="3" t="s">
        <v>187</v>
      </c>
      <c r="D318" s="11" t="s">
        <v>42</v>
      </c>
      <c r="E318" s="11">
        <f t="shared" si="6"/>
        <v>10</v>
      </c>
      <c r="F318" s="3" t="s">
        <v>185</v>
      </c>
      <c r="G318" s="16" t="s">
        <v>39</v>
      </c>
      <c r="H318" s="3">
        <v>60081002</v>
      </c>
      <c r="I318" s="12">
        <v>10</v>
      </c>
    </row>
    <row r="319" spans="2:9">
      <c r="B319" s="11">
        <f>1000000+INDEX(编号表!$B:$B,MATCH(C319,编号表!$A:$A,0))*1000+INDEX(编号表!$D:$D,MATCH(D319,编号表!$C:$C,0))*100+E319</f>
        <v>1009510</v>
      </c>
      <c r="C319" s="3" t="s">
        <v>187</v>
      </c>
      <c r="D319" s="11" t="s">
        <v>44</v>
      </c>
      <c r="E319" s="11">
        <f t="shared" si="6"/>
        <v>10</v>
      </c>
      <c r="F319" s="3" t="s">
        <v>186</v>
      </c>
      <c r="G319" s="16" t="s">
        <v>39</v>
      </c>
      <c r="H319" s="3">
        <v>60081003</v>
      </c>
      <c r="I319" s="12">
        <v>10</v>
      </c>
    </row>
    <row r="320" spans="2:9">
      <c r="B320" s="11">
        <f>1000000+INDEX(编号表!$B:$B,MATCH(C320,编号表!$A:$A,0))*1000+INDEX(编号表!$D:$D,MATCH(D320,编号表!$C:$C,0))*100+E320</f>
        <v>1009610</v>
      </c>
      <c r="C320" s="3" t="s">
        <v>187</v>
      </c>
      <c r="D320" s="11" t="s">
        <v>46</v>
      </c>
      <c r="E320" s="11">
        <f t="shared" si="6"/>
        <v>10</v>
      </c>
      <c r="F320" s="3" t="s">
        <v>188</v>
      </c>
      <c r="G320" s="16" t="s">
        <v>39</v>
      </c>
      <c r="H320" s="3">
        <v>60081004</v>
      </c>
      <c r="I320" s="12">
        <v>10</v>
      </c>
    </row>
    <row r="321" spans="2:9">
      <c r="B321" s="11">
        <f>1000000+INDEX(编号表!$B:$B,MATCH(C321,编号表!$A:$A,0))*1000+INDEX(编号表!$D:$D,MATCH(D321,编号表!$C:$C,0))*100+E321</f>
        <v>1009215</v>
      </c>
      <c r="C321" s="3" t="s">
        <v>187</v>
      </c>
      <c r="D321" s="11" t="s">
        <v>37</v>
      </c>
      <c r="E321" s="11">
        <f t="shared" si="6"/>
        <v>15</v>
      </c>
      <c r="F321" s="3" t="s">
        <v>183</v>
      </c>
      <c r="G321" s="16" t="s">
        <v>39</v>
      </c>
      <c r="H321" s="3">
        <v>60081000</v>
      </c>
      <c r="I321" s="12">
        <v>15</v>
      </c>
    </row>
    <row r="322" spans="2:9">
      <c r="B322" s="11">
        <f>1000000+INDEX(编号表!$B:$B,MATCH(C322,编号表!$A:$A,0))*1000+INDEX(编号表!$D:$D,MATCH(D322,编号表!$C:$C,0))*100+E322</f>
        <v>1009315</v>
      </c>
      <c r="C322" s="3" t="s">
        <v>187</v>
      </c>
      <c r="D322" s="11" t="s">
        <v>40</v>
      </c>
      <c r="E322" s="11">
        <f t="shared" si="6"/>
        <v>15</v>
      </c>
      <c r="F322" s="3" t="s">
        <v>184</v>
      </c>
      <c r="G322" s="16" t="s">
        <v>39</v>
      </c>
      <c r="H322" s="3">
        <v>60081001</v>
      </c>
      <c r="I322" s="12">
        <v>15</v>
      </c>
    </row>
    <row r="323" spans="2:9">
      <c r="B323" s="11">
        <f>1000000+INDEX(编号表!$B:$B,MATCH(C323,编号表!$A:$A,0))*1000+INDEX(编号表!$D:$D,MATCH(D323,编号表!$C:$C,0))*100+E323</f>
        <v>1009415</v>
      </c>
      <c r="C323" s="3" t="s">
        <v>187</v>
      </c>
      <c r="D323" s="11" t="s">
        <v>42</v>
      </c>
      <c r="E323" s="11">
        <f t="shared" si="6"/>
        <v>15</v>
      </c>
      <c r="F323" s="3" t="s">
        <v>185</v>
      </c>
      <c r="G323" s="16" t="s">
        <v>39</v>
      </c>
      <c r="H323" s="3">
        <v>60081002</v>
      </c>
      <c r="I323" s="12">
        <v>15</v>
      </c>
    </row>
    <row r="324" spans="2:9">
      <c r="B324" s="11">
        <f>1000000+INDEX(编号表!$B:$B,MATCH(C324,编号表!$A:$A,0))*1000+INDEX(编号表!$D:$D,MATCH(D324,编号表!$C:$C,0))*100+E324</f>
        <v>1009515</v>
      </c>
      <c r="C324" s="3" t="s">
        <v>187</v>
      </c>
      <c r="D324" s="11" t="s">
        <v>44</v>
      </c>
      <c r="E324" s="11">
        <f t="shared" si="6"/>
        <v>15</v>
      </c>
      <c r="F324" s="3" t="s">
        <v>186</v>
      </c>
      <c r="G324" s="16" t="s">
        <v>39</v>
      </c>
      <c r="H324" s="3">
        <v>60081003</v>
      </c>
      <c r="I324" s="12">
        <v>15</v>
      </c>
    </row>
    <row r="325" spans="2:9">
      <c r="B325" s="11">
        <f>1000000+INDEX(编号表!$B:$B,MATCH(C325,编号表!$A:$A,0))*1000+INDEX(编号表!$D:$D,MATCH(D325,编号表!$C:$C,0))*100+E325</f>
        <v>1009615</v>
      </c>
      <c r="C325" s="3" t="s">
        <v>187</v>
      </c>
      <c r="D325" s="11" t="s">
        <v>46</v>
      </c>
      <c r="E325" s="11">
        <f t="shared" si="6"/>
        <v>15</v>
      </c>
      <c r="F325" s="3" t="s">
        <v>188</v>
      </c>
      <c r="G325" s="16" t="s">
        <v>39</v>
      </c>
      <c r="H325" s="3">
        <v>60081004</v>
      </c>
      <c r="I325" s="12">
        <v>15</v>
      </c>
    </row>
    <row r="326" spans="2:9">
      <c r="B326" s="11">
        <f>1000000+INDEX(编号表!$B:$B,MATCH(C326,编号表!$A:$A,0))*1000+INDEX(编号表!$D:$D,MATCH(D326,编号表!$C:$C,0))*100+E326</f>
        <v>1010001</v>
      </c>
      <c r="C326" s="3" t="s">
        <v>189</v>
      </c>
      <c r="D326" s="11" t="s">
        <v>55</v>
      </c>
      <c r="E326" s="11">
        <v>1</v>
      </c>
      <c r="F326" s="17" t="s">
        <v>167</v>
      </c>
      <c r="G326" s="16" t="s">
        <v>57</v>
      </c>
      <c r="H326" s="11">
        <v>60094000</v>
      </c>
      <c r="I326" s="12">
        <v>1</v>
      </c>
    </row>
    <row r="327" spans="2:9">
      <c r="B327" s="11">
        <f>1000000+INDEX(编号表!$B:$B,MATCH(C327,编号表!$A:$A,0))*1000+INDEX(编号表!$D:$D,MATCH(D327,编号表!$C:$C,0))*100+E327</f>
        <v>1010101</v>
      </c>
      <c r="C327" s="3" t="s">
        <v>189</v>
      </c>
      <c r="D327" s="11" t="s">
        <v>58</v>
      </c>
      <c r="E327" s="11">
        <v>1</v>
      </c>
      <c r="F327" s="17" t="s">
        <v>59</v>
      </c>
      <c r="G327" s="16" t="s">
        <v>57</v>
      </c>
      <c r="H327" s="3">
        <v>60092000</v>
      </c>
      <c r="I327" s="12">
        <v>1</v>
      </c>
    </row>
    <row r="328" spans="2:9">
      <c r="B328" s="11">
        <f>1000000+INDEX(编号表!$B:$B,MATCH(C328,编号表!$A:$A,0))*1000+INDEX(编号表!$D:$D,MATCH(D328,编号表!$C:$C,0))*100+E328</f>
        <v>1010102</v>
      </c>
      <c r="C328" s="3" t="s">
        <v>189</v>
      </c>
      <c r="D328" s="11" t="s">
        <v>58</v>
      </c>
      <c r="E328" s="11">
        <v>2</v>
      </c>
      <c r="F328" s="17" t="s">
        <v>59</v>
      </c>
      <c r="G328" s="16" t="s">
        <v>57</v>
      </c>
      <c r="H328" s="3">
        <v>60092001</v>
      </c>
      <c r="I328" s="12">
        <v>1</v>
      </c>
    </row>
    <row r="329" spans="2:9">
      <c r="B329" s="11">
        <f>1000000+INDEX(编号表!$B:$B,MATCH(C329,编号表!$A:$A,0))*1000+INDEX(编号表!$D:$D,MATCH(D329,编号表!$C:$C,0))*100+E329</f>
        <v>1010201</v>
      </c>
      <c r="C329" s="3" t="s">
        <v>189</v>
      </c>
      <c r="D329" s="11" t="s">
        <v>37</v>
      </c>
      <c r="E329" s="11">
        <f t="shared" ref="E329:E358" si="7">I329+K329+M329+O329+Q329+S329+U329+W329+Y329+AA329</f>
        <v>1</v>
      </c>
      <c r="F329" s="3" t="s">
        <v>183</v>
      </c>
      <c r="G329" s="16" t="s">
        <v>39</v>
      </c>
      <c r="H329" s="3">
        <v>60091000</v>
      </c>
      <c r="I329" s="12">
        <v>1</v>
      </c>
    </row>
    <row r="330" spans="2:9">
      <c r="B330" s="11">
        <f>1000000+INDEX(编号表!$B:$B,MATCH(C330,编号表!$A:$A,0))*1000+INDEX(编号表!$D:$D,MATCH(D330,编号表!$C:$C,0))*100+E330</f>
        <v>1010301</v>
      </c>
      <c r="C330" s="3" t="s">
        <v>189</v>
      </c>
      <c r="D330" s="11" t="s">
        <v>40</v>
      </c>
      <c r="E330" s="11">
        <f t="shared" si="7"/>
        <v>1</v>
      </c>
      <c r="F330" s="3" t="s">
        <v>184</v>
      </c>
      <c r="G330" s="16" t="s">
        <v>39</v>
      </c>
      <c r="H330" s="3">
        <v>60091001</v>
      </c>
      <c r="I330" s="12">
        <v>1</v>
      </c>
    </row>
    <row r="331" spans="2:9">
      <c r="B331" s="11">
        <f>1000000+INDEX(编号表!$B:$B,MATCH(C331,编号表!$A:$A,0))*1000+INDEX(编号表!$D:$D,MATCH(D331,编号表!$C:$C,0))*100+E331</f>
        <v>1010401</v>
      </c>
      <c r="C331" s="3" t="s">
        <v>189</v>
      </c>
      <c r="D331" s="11" t="s">
        <v>42</v>
      </c>
      <c r="E331" s="11">
        <f t="shared" si="7"/>
        <v>1</v>
      </c>
      <c r="F331" s="3" t="s">
        <v>185</v>
      </c>
      <c r="G331" s="16" t="s">
        <v>39</v>
      </c>
      <c r="H331" s="3">
        <v>60091002</v>
      </c>
      <c r="I331" s="12">
        <v>1</v>
      </c>
    </row>
    <row r="332" spans="2:9">
      <c r="B332" s="11">
        <f>1000000+INDEX(编号表!$B:$B,MATCH(C332,编号表!$A:$A,0))*1000+INDEX(编号表!$D:$D,MATCH(D332,编号表!$C:$C,0))*100+E332</f>
        <v>1010501</v>
      </c>
      <c r="C332" s="3" t="s">
        <v>189</v>
      </c>
      <c r="D332" s="11" t="s">
        <v>44</v>
      </c>
      <c r="E332" s="11">
        <f t="shared" si="7"/>
        <v>1</v>
      </c>
      <c r="F332" s="3" t="s">
        <v>186</v>
      </c>
      <c r="G332" s="16" t="s">
        <v>39</v>
      </c>
      <c r="H332" s="3">
        <v>60091003</v>
      </c>
      <c r="I332" s="12">
        <v>1</v>
      </c>
    </row>
    <row r="333" spans="2:9">
      <c r="B333" s="11">
        <f>1000000+INDEX(编号表!$B:$B,MATCH(C333,编号表!$A:$A,0))*1000+INDEX(编号表!$D:$D,MATCH(D333,编号表!$C:$C,0))*100+E333</f>
        <v>1010601</v>
      </c>
      <c r="C333" s="3" t="s">
        <v>189</v>
      </c>
      <c r="D333" s="11" t="s">
        <v>46</v>
      </c>
      <c r="E333" s="11">
        <f t="shared" si="7"/>
        <v>1</v>
      </c>
      <c r="F333" s="3" t="s">
        <v>188</v>
      </c>
      <c r="G333" s="16" t="s">
        <v>39</v>
      </c>
      <c r="H333" s="3">
        <v>60091004</v>
      </c>
      <c r="I333" s="12">
        <v>1</v>
      </c>
    </row>
    <row r="334" spans="2:9">
      <c r="B334" s="11">
        <f>1000000+INDEX(编号表!$B:$B,MATCH(C334,编号表!$A:$A,0))*1000+INDEX(编号表!$D:$D,MATCH(D334,编号表!$C:$C,0))*100+E334</f>
        <v>1010202</v>
      </c>
      <c r="C334" s="3" t="s">
        <v>189</v>
      </c>
      <c r="D334" s="11" t="s">
        <v>37</v>
      </c>
      <c r="E334" s="11">
        <f t="shared" si="7"/>
        <v>2</v>
      </c>
      <c r="F334" s="3" t="s">
        <v>183</v>
      </c>
      <c r="G334" s="16" t="s">
        <v>39</v>
      </c>
      <c r="H334" s="3">
        <v>60091000</v>
      </c>
      <c r="I334" s="12">
        <v>2</v>
      </c>
    </row>
    <row r="335" spans="2:9">
      <c r="B335" s="11">
        <f>1000000+INDEX(编号表!$B:$B,MATCH(C335,编号表!$A:$A,0))*1000+INDEX(编号表!$D:$D,MATCH(D335,编号表!$C:$C,0))*100+E335</f>
        <v>1010302</v>
      </c>
      <c r="C335" s="3" t="s">
        <v>189</v>
      </c>
      <c r="D335" s="11" t="s">
        <v>40</v>
      </c>
      <c r="E335" s="11">
        <f t="shared" si="7"/>
        <v>2</v>
      </c>
      <c r="F335" s="3" t="s">
        <v>184</v>
      </c>
      <c r="G335" s="16" t="s">
        <v>39</v>
      </c>
      <c r="H335" s="3">
        <v>60091001</v>
      </c>
      <c r="I335" s="12">
        <v>2</v>
      </c>
    </row>
    <row r="336" spans="2:9">
      <c r="B336" s="11">
        <f>1000000+INDEX(编号表!$B:$B,MATCH(C336,编号表!$A:$A,0))*1000+INDEX(编号表!$D:$D,MATCH(D336,编号表!$C:$C,0))*100+E336</f>
        <v>1010402</v>
      </c>
      <c r="C336" s="3" t="s">
        <v>189</v>
      </c>
      <c r="D336" s="11" t="s">
        <v>42</v>
      </c>
      <c r="E336" s="11">
        <f t="shared" si="7"/>
        <v>2</v>
      </c>
      <c r="F336" s="3" t="s">
        <v>185</v>
      </c>
      <c r="G336" s="16" t="s">
        <v>39</v>
      </c>
      <c r="H336" s="3">
        <v>60091002</v>
      </c>
      <c r="I336" s="12">
        <v>2</v>
      </c>
    </row>
    <row r="337" spans="2:9">
      <c r="B337" s="11">
        <f>1000000+INDEX(编号表!$B:$B,MATCH(C337,编号表!$A:$A,0))*1000+INDEX(编号表!$D:$D,MATCH(D337,编号表!$C:$C,0))*100+E337</f>
        <v>1010502</v>
      </c>
      <c r="C337" s="3" t="s">
        <v>189</v>
      </c>
      <c r="D337" s="11" t="s">
        <v>44</v>
      </c>
      <c r="E337" s="11">
        <f t="shared" si="7"/>
        <v>2</v>
      </c>
      <c r="F337" s="3" t="s">
        <v>186</v>
      </c>
      <c r="G337" s="16" t="s">
        <v>39</v>
      </c>
      <c r="H337" s="3">
        <v>60091003</v>
      </c>
      <c r="I337" s="12">
        <v>2</v>
      </c>
    </row>
    <row r="338" spans="2:9">
      <c r="B338" s="11">
        <f>1000000+INDEX(编号表!$B:$B,MATCH(C338,编号表!$A:$A,0))*1000+INDEX(编号表!$D:$D,MATCH(D338,编号表!$C:$C,0))*100+E338</f>
        <v>1010602</v>
      </c>
      <c r="C338" s="3" t="s">
        <v>189</v>
      </c>
      <c r="D338" s="11" t="s">
        <v>46</v>
      </c>
      <c r="E338" s="11">
        <f t="shared" si="7"/>
        <v>2</v>
      </c>
      <c r="F338" s="3" t="s">
        <v>188</v>
      </c>
      <c r="G338" s="16" t="s">
        <v>39</v>
      </c>
      <c r="H338" s="3">
        <v>60091004</v>
      </c>
      <c r="I338" s="12">
        <v>2</v>
      </c>
    </row>
    <row r="339" spans="2:9">
      <c r="B339" s="11">
        <f>1000000+INDEX(编号表!$B:$B,MATCH(C339,编号表!$A:$A,0))*1000+INDEX(编号表!$D:$D,MATCH(D339,编号表!$C:$C,0))*100+E339</f>
        <v>1010203</v>
      </c>
      <c r="C339" s="3" t="s">
        <v>189</v>
      </c>
      <c r="D339" s="11" t="s">
        <v>37</v>
      </c>
      <c r="E339" s="11">
        <f t="shared" si="7"/>
        <v>3</v>
      </c>
      <c r="F339" s="3" t="s">
        <v>183</v>
      </c>
      <c r="G339" s="16" t="s">
        <v>39</v>
      </c>
      <c r="H339" s="3">
        <v>60091000</v>
      </c>
      <c r="I339" s="12">
        <v>3</v>
      </c>
    </row>
    <row r="340" spans="2:9">
      <c r="B340" s="11">
        <f>1000000+INDEX(编号表!$B:$B,MATCH(C340,编号表!$A:$A,0))*1000+INDEX(编号表!$D:$D,MATCH(D340,编号表!$C:$C,0))*100+E340</f>
        <v>1010303</v>
      </c>
      <c r="C340" s="3" t="s">
        <v>189</v>
      </c>
      <c r="D340" s="11" t="s">
        <v>40</v>
      </c>
      <c r="E340" s="11">
        <f t="shared" si="7"/>
        <v>3</v>
      </c>
      <c r="F340" s="3" t="s">
        <v>184</v>
      </c>
      <c r="G340" s="16" t="s">
        <v>39</v>
      </c>
      <c r="H340" s="3">
        <v>60091001</v>
      </c>
      <c r="I340" s="12">
        <v>3</v>
      </c>
    </row>
    <row r="341" spans="2:9">
      <c r="B341" s="11">
        <f>1000000+INDEX(编号表!$B:$B,MATCH(C341,编号表!$A:$A,0))*1000+INDEX(编号表!$D:$D,MATCH(D341,编号表!$C:$C,0))*100+E341</f>
        <v>1010403</v>
      </c>
      <c r="C341" s="3" t="s">
        <v>189</v>
      </c>
      <c r="D341" s="11" t="s">
        <v>42</v>
      </c>
      <c r="E341" s="11">
        <f t="shared" si="7"/>
        <v>3</v>
      </c>
      <c r="F341" s="3" t="s">
        <v>185</v>
      </c>
      <c r="G341" s="16" t="s">
        <v>39</v>
      </c>
      <c r="H341" s="3">
        <v>60091002</v>
      </c>
      <c r="I341" s="12">
        <v>3</v>
      </c>
    </row>
    <row r="342" spans="2:9">
      <c r="B342" s="11">
        <f>1000000+INDEX(编号表!$B:$B,MATCH(C342,编号表!$A:$A,0))*1000+INDEX(编号表!$D:$D,MATCH(D342,编号表!$C:$C,0))*100+E342</f>
        <v>1010503</v>
      </c>
      <c r="C342" s="3" t="s">
        <v>189</v>
      </c>
      <c r="D342" s="11" t="s">
        <v>44</v>
      </c>
      <c r="E342" s="11">
        <f t="shared" si="7"/>
        <v>3</v>
      </c>
      <c r="F342" s="3" t="s">
        <v>186</v>
      </c>
      <c r="G342" s="16" t="s">
        <v>39</v>
      </c>
      <c r="H342" s="3">
        <v>60091003</v>
      </c>
      <c r="I342" s="12">
        <v>3</v>
      </c>
    </row>
    <row r="343" spans="2:9">
      <c r="B343" s="11">
        <f>1000000+INDEX(编号表!$B:$B,MATCH(C343,编号表!$A:$A,0))*1000+INDEX(编号表!$D:$D,MATCH(D343,编号表!$C:$C,0))*100+E343</f>
        <v>1010603</v>
      </c>
      <c r="C343" s="3" t="s">
        <v>189</v>
      </c>
      <c r="D343" s="11" t="s">
        <v>46</v>
      </c>
      <c r="E343" s="11">
        <f t="shared" si="7"/>
        <v>3</v>
      </c>
      <c r="F343" s="3" t="s">
        <v>188</v>
      </c>
      <c r="G343" s="16" t="s">
        <v>39</v>
      </c>
      <c r="H343" s="3">
        <v>60091004</v>
      </c>
      <c r="I343" s="12">
        <v>3</v>
      </c>
    </row>
    <row r="344" spans="2:9">
      <c r="B344" s="11">
        <f>1000000+INDEX(编号表!$B:$B,MATCH(C344,编号表!$A:$A,0))*1000+INDEX(编号表!$D:$D,MATCH(D344,编号表!$C:$C,0))*100+E344</f>
        <v>1010205</v>
      </c>
      <c r="C344" s="3" t="s">
        <v>189</v>
      </c>
      <c r="D344" s="11" t="s">
        <v>37</v>
      </c>
      <c r="E344" s="11">
        <f t="shared" si="7"/>
        <v>5</v>
      </c>
      <c r="F344" s="3" t="s">
        <v>183</v>
      </c>
      <c r="G344" s="16" t="s">
        <v>39</v>
      </c>
      <c r="H344" s="3">
        <v>60091000</v>
      </c>
      <c r="I344" s="12">
        <v>5</v>
      </c>
    </row>
    <row r="345" spans="2:9">
      <c r="B345" s="11">
        <f>1000000+INDEX(编号表!$B:$B,MATCH(C345,编号表!$A:$A,0))*1000+INDEX(编号表!$D:$D,MATCH(D345,编号表!$C:$C,0))*100+E345</f>
        <v>1010305</v>
      </c>
      <c r="C345" s="3" t="s">
        <v>189</v>
      </c>
      <c r="D345" s="11" t="s">
        <v>40</v>
      </c>
      <c r="E345" s="11">
        <f t="shared" si="7"/>
        <v>5</v>
      </c>
      <c r="F345" s="3" t="s">
        <v>184</v>
      </c>
      <c r="G345" s="16" t="s">
        <v>39</v>
      </c>
      <c r="H345" s="3">
        <v>60091001</v>
      </c>
      <c r="I345" s="12">
        <v>5</v>
      </c>
    </row>
    <row r="346" spans="2:9">
      <c r="B346" s="11">
        <f>1000000+INDEX(编号表!$B:$B,MATCH(C346,编号表!$A:$A,0))*1000+INDEX(编号表!$D:$D,MATCH(D346,编号表!$C:$C,0))*100+E346</f>
        <v>1010405</v>
      </c>
      <c r="C346" s="3" t="s">
        <v>189</v>
      </c>
      <c r="D346" s="11" t="s">
        <v>42</v>
      </c>
      <c r="E346" s="11">
        <f t="shared" si="7"/>
        <v>5</v>
      </c>
      <c r="F346" s="3" t="s">
        <v>185</v>
      </c>
      <c r="G346" s="16" t="s">
        <v>39</v>
      </c>
      <c r="H346" s="3">
        <v>60091002</v>
      </c>
      <c r="I346" s="12">
        <v>5</v>
      </c>
    </row>
    <row r="347" spans="2:9">
      <c r="B347" s="11">
        <f>1000000+INDEX(编号表!$B:$B,MATCH(C347,编号表!$A:$A,0))*1000+INDEX(编号表!$D:$D,MATCH(D347,编号表!$C:$C,0))*100+E347</f>
        <v>1010505</v>
      </c>
      <c r="C347" s="3" t="s">
        <v>189</v>
      </c>
      <c r="D347" s="11" t="s">
        <v>44</v>
      </c>
      <c r="E347" s="11">
        <f t="shared" si="7"/>
        <v>5</v>
      </c>
      <c r="F347" s="3" t="s">
        <v>186</v>
      </c>
      <c r="G347" s="16" t="s">
        <v>39</v>
      </c>
      <c r="H347" s="3">
        <v>60091003</v>
      </c>
      <c r="I347" s="12">
        <v>5</v>
      </c>
    </row>
    <row r="348" spans="2:9">
      <c r="B348" s="11">
        <f>1000000+INDEX(编号表!$B:$B,MATCH(C348,编号表!$A:$A,0))*1000+INDEX(编号表!$D:$D,MATCH(D348,编号表!$C:$C,0))*100+E348</f>
        <v>1010605</v>
      </c>
      <c r="C348" s="3" t="s">
        <v>189</v>
      </c>
      <c r="D348" s="11" t="s">
        <v>46</v>
      </c>
      <c r="E348" s="11">
        <f t="shared" si="7"/>
        <v>5</v>
      </c>
      <c r="F348" s="3" t="s">
        <v>188</v>
      </c>
      <c r="G348" s="16" t="s">
        <v>39</v>
      </c>
      <c r="H348" s="3">
        <v>60091004</v>
      </c>
      <c r="I348" s="12">
        <v>5</v>
      </c>
    </row>
    <row r="349" spans="2:9">
      <c r="B349" s="11">
        <f>1000000+INDEX(编号表!$B:$B,MATCH(C349,编号表!$A:$A,0))*1000+INDEX(编号表!$D:$D,MATCH(D349,编号表!$C:$C,0))*100+E349</f>
        <v>1010210</v>
      </c>
      <c r="C349" s="3" t="s">
        <v>189</v>
      </c>
      <c r="D349" s="11" t="s">
        <v>37</v>
      </c>
      <c r="E349" s="11">
        <f t="shared" si="7"/>
        <v>10</v>
      </c>
      <c r="F349" s="3" t="s">
        <v>183</v>
      </c>
      <c r="G349" s="16" t="s">
        <v>39</v>
      </c>
      <c r="H349" s="3">
        <v>60091000</v>
      </c>
      <c r="I349" s="12">
        <v>10</v>
      </c>
    </row>
    <row r="350" spans="2:9">
      <c r="B350" s="11">
        <f>1000000+INDEX(编号表!$B:$B,MATCH(C350,编号表!$A:$A,0))*1000+INDEX(编号表!$D:$D,MATCH(D350,编号表!$C:$C,0))*100+E350</f>
        <v>1010310</v>
      </c>
      <c r="C350" s="3" t="s">
        <v>189</v>
      </c>
      <c r="D350" s="11" t="s">
        <v>40</v>
      </c>
      <c r="E350" s="11">
        <f t="shared" si="7"/>
        <v>10</v>
      </c>
      <c r="F350" s="3" t="s">
        <v>184</v>
      </c>
      <c r="G350" s="16" t="s">
        <v>39</v>
      </c>
      <c r="H350" s="3">
        <v>60091001</v>
      </c>
      <c r="I350" s="12">
        <v>10</v>
      </c>
    </row>
    <row r="351" spans="2:9">
      <c r="B351" s="11">
        <f>1000000+INDEX(编号表!$B:$B,MATCH(C351,编号表!$A:$A,0))*1000+INDEX(编号表!$D:$D,MATCH(D351,编号表!$C:$C,0))*100+E351</f>
        <v>1010410</v>
      </c>
      <c r="C351" s="3" t="s">
        <v>189</v>
      </c>
      <c r="D351" s="11" t="s">
        <v>42</v>
      </c>
      <c r="E351" s="11">
        <f t="shared" si="7"/>
        <v>10</v>
      </c>
      <c r="F351" s="3" t="s">
        <v>185</v>
      </c>
      <c r="G351" s="16" t="s">
        <v>39</v>
      </c>
      <c r="H351" s="3">
        <v>60091002</v>
      </c>
      <c r="I351" s="12">
        <v>10</v>
      </c>
    </row>
    <row r="352" spans="2:9">
      <c r="B352" s="11">
        <f>1000000+INDEX(编号表!$B:$B,MATCH(C352,编号表!$A:$A,0))*1000+INDEX(编号表!$D:$D,MATCH(D352,编号表!$C:$C,0))*100+E352</f>
        <v>1010510</v>
      </c>
      <c r="C352" s="3" t="s">
        <v>189</v>
      </c>
      <c r="D352" s="11" t="s">
        <v>44</v>
      </c>
      <c r="E352" s="11">
        <f t="shared" si="7"/>
        <v>10</v>
      </c>
      <c r="F352" s="3" t="s">
        <v>186</v>
      </c>
      <c r="G352" s="16" t="s">
        <v>39</v>
      </c>
      <c r="H352" s="3">
        <v>60091003</v>
      </c>
      <c r="I352" s="12">
        <v>10</v>
      </c>
    </row>
    <row r="353" spans="2:9">
      <c r="B353" s="11">
        <f>1000000+INDEX(编号表!$B:$B,MATCH(C353,编号表!$A:$A,0))*1000+INDEX(编号表!$D:$D,MATCH(D353,编号表!$C:$C,0))*100+E353</f>
        <v>1010610</v>
      </c>
      <c r="C353" s="3" t="s">
        <v>189</v>
      </c>
      <c r="D353" s="11" t="s">
        <v>46</v>
      </c>
      <c r="E353" s="11">
        <f t="shared" si="7"/>
        <v>10</v>
      </c>
      <c r="F353" s="3" t="s">
        <v>188</v>
      </c>
      <c r="G353" s="16" t="s">
        <v>39</v>
      </c>
      <c r="H353" s="3">
        <v>60091004</v>
      </c>
      <c r="I353" s="12">
        <v>10</v>
      </c>
    </row>
    <row r="354" spans="2:9">
      <c r="B354" s="11">
        <f>1000000+INDEX(编号表!$B:$B,MATCH(C354,编号表!$A:$A,0))*1000+INDEX(编号表!$D:$D,MATCH(D354,编号表!$C:$C,0))*100+E354</f>
        <v>1010215</v>
      </c>
      <c r="C354" s="3" t="s">
        <v>189</v>
      </c>
      <c r="D354" s="11" t="s">
        <v>37</v>
      </c>
      <c r="E354" s="11">
        <f t="shared" si="7"/>
        <v>15</v>
      </c>
      <c r="F354" s="3" t="s">
        <v>183</v>
      </c>
      <c r="G354" s="16" t="s">
        <v>39</v>
      </c>
      <c r="H354" s="3">
        <v>60091000</v>
      </c>
      <c r="I354" s="12">
        <v>15</v>
      </c>
    </row>
    <row r="355" spans="2:9">
      <c r="B355" s="11">
        <f>1000000+INDEX(编号表!$B:$B,MATCH(C355,编号表!$A:$A,0))*1000+INDEX(编号表!$D:$D,MATCH(D355,编号表!$C:$C,0))*100+E355</f>
        <v>1010315</v>
      </c>
      <c r="C355" s="3" t="s">
        <v>189</v>
      </c>
      <c r="D355" s="11" t="s">
        <v>40</v>
      </c>
      <c r="E355" s="11">
        <f t="shared" si="7"/>
        <v>15</v>
      </c>
      <c r="F355" s="3" t="s">
        <v>184</v>
      </c>
      <c r="G355" s="16" t="s">
        <v>39</v>
      </c>
      <c r="H355" s="3">
        <v>60091001</v>
      </c>
      <c r="I355" s="12">
        <v>15</v>
      </c>
    </row>
    <row r="356" spans="2:9">
      <c r="B356" s="11">
        <f>1000000+INDEX(编号表!$B:$B,MATCH(C356,编号表!$A:$A,0))*1000+INDEX(编号表!$D:$D,MATCH(D356,编号表!$C:$C,0))*100+E356</f>
        <v>1010415</v>
      </c>
      <c r="C356" s="3" t="s">
        <v>189</v>
      </c>
      <c r="D356" s="11" t="s">
        <v>42</v>
      </c>
      <c r="E356" s="11">
        <f t="shared" si="7"/>
        <v>15</v>
      </c>
      <c r="F356" s="3" t="s">
        <v>185</v>
      </c>
      <c r="G356" s="16" t="s">
        <v>39</v>
      </c>
      <c r="H356" s="3">
        <v>60091002</v>
      </c>
      <c r="I356" s="12">
        <v>15</v>
      </c>
    </row>
    <row r="357" spans="2:9">
      <c r="B357" s="11">
        <f>1000000+INDEX(编号表!$B:$B,MATCH(C357,编号表!$A:$A,0))*1000+INDEX(编号表!$D:$D,MATCH(D357,编号表!$C:$C,0))*100+E357</f>
        <v>1010515</v>
      </c>
      <c r="C357" s="3" t="s">
        <v>189</v>
      </c>
      <c r="D357" s="11" t="s">
        <v>44</v>
      </c>
      <c r="E357" s="11">
        <f t="shared" si="7"/>
        <v>15</v>
      </c>
      <c r="F357" s="3" t="s">
        <v>186</v>
      </c>
      <c r="G357" s="16" t="s">
        <v>39</v>
      </c>
      <c r="H357" s="3">
        <v>60091003</v>
      </c>
      <c r="I357" s="12">
        <v>15</v>
      </c>
    </row>
    <row r="358" spans="2:9">
      <c r="B358" s="11">
        <f>1000000+INDEX(编号表!$B:$B,MATCH(C358,编号表!$A:$A,0))*1000+INDEX(编号表!$D:$D,MATCH(D358,编号表!$C:$C,0))*100+E358</f>
        <v>1010615</v>
      </c>
      <c r="C358" s="3" t="s">
        <v>189</v>
      </c>
      <c r="D358" s="11" t="s">
        <v>46</v>
      </c>
      <c r="E358" s="11">
        <f t="shared" si="7"/>
        <v>15</v>
      </c>
      <c r="F358" s="3" t="s">
        <v>188</v>
      </c>
      <c r="G358" s="16" t="s">
        <v>39</v>
      </c>
      <c r="H358" s="3">
        <v>60091004</v>
      </c>
      <c r="I358" s="12">
        <v>15</v>
      </c>
    </row>
    <row r="359" spans="2:9">
      <c r="B359" s="11">
        <f>1000000+INDEX(编号表!$B:$B,MATCH(C359,编号表!$A:$A,0))*1000+INDEX(编号表!$D:$D,MATCH(D359,编号表!$C:$C,0))*100+E359</f>
        <v>1011001</v>
      </c>
      <c r="C359" s="3" t="s">
        <v>190</v>
      </c>
      <c r="D359" s="11" t="s">
        <v>55</v>
      </c>
      <c r="E359" s="11">
        <v>1</v>
      </c>
      <c r="F359" s="17" t="s">
        <v>167</v>
      </c>
      <c r="G359" s="16" t="s">
        <v>57</v>
      </c>
      <c r="H359" s="11">
        <v>60104000</v>
      </c>
      <c r="I359" s="12">
        <v>1</v>
      </c>
    </row>
    <row r="360" spans="2:9">
      <c r="B360" s="11">
        <f>1000000+INDEX(编号表!$B:$B,MATCH(C360,编号表!$A:$A,0))*1000+INDEX(编号表!$D:$D,MATCH(D360,编号表!$C:$C,0))*100+E360</f>
        <v>1011002</v>
      </c>
      <c r="C360" s="3" t="s">
        <v>190</v>
      </c>
      <c r="D360" s="11" t="s">
        <v>55</v>
      </c>
      <c r="E360" s="11">
        <v>2</v>
      </c>
      <c r="F360" s="17" t="s">
        <v>167</v>
      </c>
      <c r="G360" s="16" t="s">
        <v>57</v>
      </c>
      <c r="H360" s="11">
        <v>60104001</v>
      </c>
      <c r="I360" s="12">
        <v>1</v>
      </c>
    </row>
    <row r="361" spans="2:9">
      <c r="B361" s="11">
        <f>1000000+INDEX(编号表!$B:$B,MATCH(C361,编号表!$A:$A,0))*1000+INDEX(编号表!$D:$D,MATCH(D361,编号表!$C:$C,0))*100+E361</f>
        <v>1011101</v>
      </c>
      <c r="C361" s="3" t="s">
        <v>190</v>
      </c>
      <c r="D361" s="11" t="s">
        <v>58</v>
      </c>
      <c r="E361" s="11">
        <v>1</v>
      </c>
      <c r="F361" s="17" t="s">
        <v>59</v>
      </c>
      <c r="G361" s="16" t="s">
        <v>57</v>
      </c>
      <c r="H361" s="3">
        <v>60102000</v>
      </c>
      <c r="I361" s="12">
        <v>1</v>
      </c>
    </row>
    <row r="362" spans="2:9">
      <c r="B362" s="11">
        <f>1000000+INDEX(编号表!$B:$B,MATCH(C362,编号表!$A:$A,0))*1000+INDEX(编号表!$D:$D,MATCH(D362,编号表!$C:$C,0))*100+E362</f>
        <v>1011102</v>
      </c>
      <c r="C362" s="3" t="s">
        <v>190</v>
      </c>
      <c r="D362" s="11" t="s">
        <v>58</v>
      </c>
      <c r="E362" s="11">
        <v>2</v>
      </c>
      <c r="F362" s="17" t="s">
        <v>59</v>
      </c>
      <c r="G362" s="16" t="s">
        <v>57</v>
      </c>
      <c r="H362" s="3">
        <v>60102001</v>
      </c>
      <c r="I362" s="12">
        <v>1</v>
      </c>
    </row>
    <row r="363" spans="2:9">
      <c r="B363" s="11">
        <f>1000000+INDEX(编号表!$B:$B,MATCH(C363,编号表!$A:$A,0))*1000+INDEX(编号表!$D:$D,MATCH(D363,编号表!$C:$C,0))*100+E363</f>
        <v>1011103</v>
      </c>
      <c r="C363" s="3" t="s">
        <v>190</v>
      </c>
      <c r="D363" s="11" t="s">
        <v>58</v>
      </c>
      <c r="E363" s="11">
        <v>3</v>
      </c>
      <c r="F363" s="17" t="s">
        <v>59</v>
      </c>
      <c r="G363" s="16" t="s">
        <v>57</v>
      </c>
      <c r="H363" s="3">
        <v>60102002</v>
      </c>
      <c r="I363" s="12">
        <v>1</v>
      </c>
    </row>
    <row r="364" spans="2:9">
      <c r="B364" s="11">
        <f>1000000+INDEX(编号表!$B:$B,MATCH(C364,编号表!$A:$A,0))*1000+INDEX(编号表!$D:$D,MATCH(D364,编号表!$C:$C,0))*100+E364</f>
        <v>1011201</v>
      </c>
      <c r="C364" s="3" t="s">
        <v>190</v>
      </c>
      <c r="D364" s="11" t="s">
        <v>37</v>
      </c>
      <c r="E364" s="11">
        <f t="shared" ref="E364:E399" si="8">I364+K364+M364+O364+Q364+S364+U364+W364+Y364+AA364</f>
        <v>1</v>
      </c>
      <c r="F364" s="3" t="s">
        <v>191</v>
      </c>
      <c r="G364" s="16" t="s">
        <v>39</v>
      </c>
      <c r="H364" s="3">
        <v>60101000</v>
      </c>
      <c r="I364" s="12">
        <v>1</v>
      </c>
    </row>
    <row r="365" spans="2:9">
      <c r="B365" s="11">
        <f>1000000+INDEX(编号表!$B:$B,MATCH(C365,编号表!$A:$A,0))*1000+INDEX(编号表!$D:$D,MATCH(D365,编号表!$C:$C,0))*100+E365</f>
        <v>1011301</v>
      </c>
      <c r="C365" s="3" t="s">
        <v>190</v>
      </c>
      <c r="D365" s="11" t="s">
        <v>40</v>
      </c>
      <c r="E365" s="11">
        <f t="shared" si="8"/>
        <v>1</v>
      </c>
      <c r="F365" s="3" t="s">
        <v>192</v>
      </c>
      <c r="G365" s="16" t="s">
        <v>39</v>
      </c>
      <c r="H365" s="3">
        <v>60101001</v>
      </c>
      <c r="I365" s="12">
        <v>1</v>
      </c>
    </row>
    <row r="366" spans="2:9">
      <c r="B366" s="11">
        <f>1000000+INDEX(编号表!$B:$B,MATCH(C366,编号表!$A:$A,0))*1000+INDEX(编号表!$D:$D,MATCH(D366,编号表!$C:$C,0))*100+E366</f>
        <v>1011401</v>
      </c>
      <c r="C366" s="3" t="s">
        <v>190</v>
      </c>
      <c r="D366" s="11" t="s">
        <v>42</v>
      </c>
      <c r="E366" s="11">
        <f t="shared" si="8"/>
        <v>1</v>
      </c>
      <c r="F366" s="3" t="s">
        <v>193</v>
      </c>
      <c r="G366" s="16" t="s">
        <v>39</v>
      </c>
      <c r="H366" s="3">
        <v>60101002</v>
      </c>
      <c r="I366" s="12">
        <v>1</v>
      </c>
    </row>
    <row r="367" spans="2:9">
      <c r="B367" s="11">
        <f>1000000+INDEX(编号表!$B:$B,MATCH(C367,编号表!$A:$A,0))*1000+INDEX(编号表!$D:$D,MATCH(D367,编号表!$C:$C,0))*100+E367</f>
        <v>1011501</v>
      </c>
      <c r="C367" s="3" t="s">
        <v>190</v>
      </c>
      <c r="D367" s="11" t="s">
        <v>44</v>
      </c>
      <c r="E367" s="11">
        <f t="shared" si="8"/>
        <v>1</v>
      </c>
      <c r="F367" s="3" t="s">
        <v>194</v>
      </c>
      <c r="G367" s="16" t="s">
        <v>39</v>
      </c>
      <c r="H367" s="3">
        <v>60101003</v>
      </c>
      <c r="I367" s="12">
        <v>1</v>
      </c>
    </row>
    <row r="368" spans="2:9">
      <c r="B368" s="11">
        <f>1000000+INDEX(编号表!$B:$B,MATCH(C368,编号表!$A:$A,0))*1000+INDEX(编号表!$D:$D,MATCH(D368,编号表!$C:$C,0))*100+E368</f>
        <v>1011601</v>
      </c>
      <c r="C368" s="3" t="s">
        <v>190</v>
      </c>
      <c r="D368" s="11" t="s">
        <v>46</v>
      </c>
      <c r="E368" s="11">
        <f t="shared" si="8"/>
        <v>1</v>
      </c>
      <c r="F368" s="3" t="s">
        <v>195</v>
      </c>
      <c r="G368" s="16" t="s">
        <v>39</v>
      </c>
      <c r="H368" s="3">
        <v>60101004</v>
      </c>
      <c r="I368" s="12">
        <v>1</v>
      </c>
    </row>
    <row r="369" spans="2:9">
      <c r="B369" s="11">
        <f>1000000+INDEX(编号表!$B:$B,MATCH(C369,编号表!$A:$A,0))*1000+INDEX(编号表!$D:$D,MATCH(D369,编号表!$C:$C,0))*100+E369</f>
        <v>1011701</v>
      </c>
      <c r="C369" s="3" t="s">
        <v>190</v>
      </c>
      <c r="D369" s="11" t="s">
        <v>48</v>
      </c>
      <c r="E369" s="11">
        <f t="shared" si="8"/>
        <v>1</v>
      </c>
      <c r="F369" s="3" t="s">
        <v>165</v>
      </c>
      <c r="G369" s="16" t="s">
        <v>39</v>
      </c>
      <c r="H369" s="3">
        <v>60101005</v>
      </c>
      <c r="I369" s="12">
        <v>1</v>
      </c>
    </row>
    <row r="370" spans="2:9">
      <c r="B370" s="11">
        <f>1000000+INDEX(编号表!$B:$B,MATCH(C370,编号表!$A:$A,0))*1000+INDEX(编号表!$D:$D,MATCH(D370,编号表!$C:$C,0))*100+E370</f>
        <v>1011202</v>
      </c>
      <c r="C370" s="3" t="s">
        <v>190</v>
      </c>
      <c r="D370" s="11" t="s">
        <v>37</v>
      </c>
      <c r="E370" s="11">
        <f t="shared" si="8"/>
        <v>2</v>
      </c>
      <c r="F370" s="3" t="s">
        <v>191</v>
      </c>
      <c r="G370" s="16" t="s">
        <v>39</v>
      </c>
      <c r="H370" s="3">
        <v>60101000</v>
      </c>
      <c r="I370" s="12">
        <v>2</v>
      </c>
    </row>
    <row r="371" spans="2:9">
      <c r="B371" s="11">
        <f>1000000+INDEX(编号表!$B:$B,MATCH(C371,编号表!$A:$A,0))*1000+INDEX(编号表!$D:$D,MATCH(D371,编号表!$C:$C,0))*100+E371</f>
        <v>1011302</v>
      </c>
      <c r="C371" s="3" t="s">
        <v>190</v>
      </c>
      <c r="D371" s="11" t="s">
        <v>40</v>
      </c>
      <c r="E371" s="11">
        <f t="shared" si="8"/>
        <v>2</v>
      </c>
      <c r="F371" s="3" t="s">
        <v>192</v>
      </c>
      <c r="G371" s="16" t="s">
        <v>39</v>
      </c>
      <c r="H371" s="3">
        <v>60101001</v>
      </c>
      <c r="I371" s="12">
        <v>2</v>
      </c>
    </row>
    <row r="372" spans="2:9">
      <c r="B372" s="11">
        <f>1000000+INDEX(编号表!$B:$B,MATCH(C372,编号表!$A:$A,0))*1000+INDEX(编号表!$D:$D,MATCH(D372,编号表!$C:$C,0))*100+E372</f>
        <v>1011402</v>
      </c>
      <c r="C372" s="3" t="s">
        <v>190</v>
      </c>
      <c r="D372" s="11" t="s">
        <v>42</v>
      </c>
      <c r="E372" s="11">
        <f t="shared" si="8"/>
        <v>2</v>
      </c>
      <c r="F372" s="3" t="s">
        <v>193</v>
      </c>
      <c r="G372" s="16" t="s">
        <v>39</v>
      </c>
      <c r="H372" s="3">
        <v>60101002</v>
      </c>
      <c r="I372" s="12">
        <v>2</v>
      </c>
    </row>
    <row r="373" spans="2:9">
      <c r="B373" s="11">
        <f>1000000+INDEX(编号表!$B:$B,MATCH(C373,编号表!$A:$A,0))*1000+INDEX(编号表!$D:$D,MATCH(D373,编号表!$C:$C,0))*100+E373</f>
        <v>1011502</v>
      </c>
      <c r="C373" s="3" t="s">
        <v>190</v>
      </c>
      <c r="D373" s="11" t="s">
        <v>44</v>
      </c>
      <c r="E373" s="11">
        <f t="shared" si="8"/>
        <v>2</v>
      </c>
      <c r="F373" s="3" t="s">
        <v>194</v>
      </c>
      <c r="G373" s="16" t="s">
        <v>39</v>
      </c>
      <c r="H373" s="3">
        <v>60101003</v>
      </c>
      <c r="I373" s="12">
        <v>2</v>
      </c>
    </row>
    <row r="374" spans="2:9">
      <c r="B374" s="11">
        <f>1000000+INDEX(编号表!$B:$B,MATCH(C374,编号表!$A:$A,0))*1000+INDEX(编号表!$D:$D,MATCH(D374,编号表!$C:$C,0))*100+E374</f>
        <v>1011602</v>
      </c>
      <c r="C374" s="3" t="s">
        <v>190</v>
      </c>
      <c r="D374" s="11" t="s">
        <v>46</v>
      </c>
      <c r="E374" s="11">
        <f t="shared" si="8"/>
        <v>2</v>
      </c>
      <c r="F374" s="3" t="s">
        <v>195</v>
      </c>
      <c r="G374" s="16" t="s">
        <v>39</v>
      </c>
      <c r="H374" s="3">
        <v>60101004</v>
      </c>
      <c r="I374" s="12">
        <v>2</v>
      </c>
    </row>
    <row r="375" spans="2:9">
      <c r="B375" s="11">
        <f>1000000+INDEX(编号表!$B:$B,MATCH(C375,编号表!$A:$A,0))*1000+INDEX(编号表!$D:$D,MATCH(D375,编号表!$C:$C,0))*100+E375</f>
        <v>1011702</v>
      </c>
      <c r="C375" s="3" t="s">
        <v>190</v>
      </c>
      <c r="D375" s="11" t="s">
        <v>48</v>
      </c>
      <c r="E375" s="11">
        <f t="shared" si="8"/>
        <v>2</v>
      </c>
      <c r="F375" s="3" t="s">
        <v>165</v>
      </c>
      <c r="G375" s="16" t="s">
        <v>39</v>
      </c>
      <c r="H375" s="3">
        <v>60101005</v>
      </c>
      <c r="I375" s="12">
        <v>2</v>
      </c>
    </row>
    <row r="376" spans="2:9">
      <c r="B376" s="11">
        <f>1000000+INDEX(编号表!$B:$B,MATCH(C376,编号表!$A:$A,0))*1000+INDEX(编号表!$D:$D,MATCH(D376,编号表!$C:$C,0))*100+E376</f>
        <v>1011203</v>
      </c>
      <c r="C376" s="3" t="s">
        <v>190</v>
      </c>
      <c r="D376" s="11" t="s">
        <v>37</v>
      </c>
      <c r="E376" s="11">
        <f t="shared" si="8"/>
        <v>3</v>
      </c>
      <c r="F376" s="3" t="s">
        <v>191</v>
      </c>
      <c r="G376" s="16" t="s">
        <v>39</v>
      </c>
      <c r="H376" s="3">
        <v>60101000</v>
      </c>
      <c r="I376" s="12">
        <v>3</v>
      </c>
    </row>
    <row r="377" spans="2:9">
      <c r="B377" s="11">
        <f>1000000+INDEX(编号表!$B:$B,MATCH(C377,编号表!$A:$A,0))*1000+INDEX(编号表!$D:$D,MATCH(D377,编号表!$C:$C,0))*100+E377</f>
        <v>1011303</v>
      </c>
      <c r="C377" s="3" t="s">
        <v>190</v>
      </c>
      <c r="D377" s="11" t="s">
        <v>40</v>
      </c>
      <c r="E377" s="11">
        <f t="shared" si="8"/>
        <v>3</v>
      </c>
      <c r="F377" s="3" t="s">
        <v>192</v>
      </c>
      <c r="G377" s="16" t="s">
        <v>39</v>
      </c>
      <c r="H377" s="3">
        <v>60101001</v>
      </c>
      <c r="I377" s="12">
        <v>3</v>
      </c>
    </row>
    <row r="378" spans="2:9">
      <c r="B378" s="11">
        <f>1000000+INDEX(编号表!$B:$B,MATCH(C378,编号表!$A:$A,0))*1000+INDEX(编号表!$D:$D,MATCH(D378,编号表!$C:$C,0))*100+E378</f>
        <v>1011403</v>
      </c>
      <c r="C378" s="3" t="s">
        <v>190</v>
      </c>
      <c r="D378" s="11" t="s">
        <v>42</v>
      </c>
      <c r="E378" s="11">
        <f t="shared" si="8"/>
        <v>3</v>
      </c>
      <c r="F378" s="3" t="s">
        <v>193</v>
      </c>
      <c r="G378" s="16" t="s">
        <v>39</v>
      </c>
      <c r="H378" s="3">
        <v>60101002</v>
      </c>
      <c r="I378" s="12">
        <v>3</v>
      </c>
    </row>
    <row r="379" spans="2:9">
      <c r="B379" s="11">
        <f>1000000+INDEX(编号表!$B:$B,MATCH(C379,编号表!$A:$A,0))*1000+INDEX(编号表!$D:$D,MATCH(D379,编号表!$C:$C,0))*100+E379</f>
        <v>1011503</v>
      </c>
      <c r="C379" s="3" t="s">
        <v>190</v>
      </c>
      <c r="D379" s="11" t="s">
        <v>44</v>
      </c>
      <c r="E379" s="11">
        <f t="shared" si="8"/>
        <v>3</v>
      </c>
      <c r="F379" s="3" t="s">
        <v>194</v>
      </c>
      <c r="G379" s="16" t="s">
        <v>39</v>
      </c>
      <c r="H379" s="3">
        <v>60101003</v>
      </c>
      <c r="I379" s="12">
        <v>3</v>
      </c>
    </row>
    <row r="380" spans="2:9">
      <c r="B380" s="11">
        <f>1000000+INDEX(编号表!$B:$B,MATCH(C380,编号表!$A:$A,0))*1000+INDEX(编号表!$D:$D,MATCH(D380,编号表!$C:$C,0))*100+E380</f>
        <v>1011603</v>
      </c>
      <c r="C380" s="3" t="s">
        <v>190</v>
      </c>
      <c r="D380" s="11" t="s">
        <v>46</v>
      </c>
      <c r="E380" s="11">
        <f t="shared" si="8"/>
        <v>3</v>
      </c>
      <c r="F380" s="3" t="s">
        <v>195</v>
      </c>
      <c r="G380" s="16" t="s">
        <v>39</v>
      </c>
      <c r="H380" s="3">
        <v>60101004</v>
      </c>
      <c r="I380" s="12">
        <v>3</v>
      </c>
    </row>
    <row r="381" spans="2:9">
      <c r="B381" s="11">
        <f>1000000+INDEX(编号表!$B:$B,MATCH(C381,编号表!$A:$A,0))*1000+INDEX(编号表!$D:$D,MATCH(D381,编号表!$C:$C,0))*100+E381</f>
        <v>1011703</v>
      </c>
      <c r="C381" s="3" t="s">
        <v>190</v>
      </c>
      <c r="D381" s="11" t="s">
        <v>48</v>
      </c>
      <c r="E381" s="11">
        <f t="shared" si="8"/>
        <v>3</v>
      </c>
      <c r="F381" s="3" t="s">
        <v>165</v>
      </c>
      <c r="G381" s="16" t="s">
        <v>39</v>
      </c>
      <c r="H381" s="3">
        <v>60101005</v>
      </c>
      <c r="I381" s="12">
        <v>3</v>
      </c>
    </row>
    <row r="382" spans="2:9">
      <c r="B382" s="11">
        <f>1000000+INDEX(编号表!$B:$B,MATCH(C382,编号表!$A:$A,0))*1000+INDEX(编号表!$D:$D,MATCH(D382,编号表!$C:$C,0))*100+E382</f>
        <v>1011205</v>
      </c>
      <c r="C382" s="3" t="s">
        <v>190</v>
      </c>
      <c r="D382" s="11" t="s">
        <v>37</v>
      </c>
      <c r="E382" s="11">
        <f t="shared" si="8"/>
        <v>5</v>
      </c>
      <c r="F382" s="3" t="s">
        <v>191</v>
      </c>
      <c r="G382" s="16" t="s">
        <v>39</v>
      </c>
      <c r="H382" s="3">
        <v>60101000</v>
      </c>
      <c r="I382" s="12">
        <v>5</v>
      </c>
    </row>
    <row r="383" spans="2:9">
      <c r="B383" s="11">
        <f>1000000+INDEX(编号表!$B:$B,MATCH(C383,编号表!$A:$A,0))*1000+INDEX(编号表!$D:$D,MATCH(D383,编号表!$C:$C,0))*100+E383</f>
        <v>1011305</v>
      </c>
      <c r="C383" s="3" t="s">
        <v>190</v>
      </c>
      <c r="D383" s="11" t="s">
        <v>40</v>
      </c>
      <c r="E383" s="11">
        <f t="shared" si="8"/>
        <v>5</v>
      </c>
      <c r="F383" s="3" t="s">
        <v>192</v>
      </c>
      <c r="G383" s="16" t="s">
        <v>39</v>
      </c>
      <c r="H383" s="3">
        <v>60101001</v>
      </c>
      <c r="I383" s="12">
        <v>5</v>
      </c>
    </row>
    <row r="384" spans="2:9">
      <c r="B384" s="11">
        <f>1000000+INDEX(编号表!$B:$B,MATCH(C384,编号表!$A:$A,0))*1000+INDEX(编号表!$D:$D,MATCH(D384,编号表!$C:$C,0))*100+E384</f>
        <v>1011405</v>
      </c>
      <c r="C384" s="3" t="s">
        <v>190</v>
      </c>
      <c r="D384" s="11" t="s">
        <v>42</v>
      </c>
      <c r="E384" s="11">
        <f t="shared" si="8"/>
        <v>5</v>
      </c>
      <c r="F384" s="3" t="s">
        <v>193</v>
      </c>
      <c r="G384" s="16" t="s">
        <v>39</v>
      </c>
      <c r="H384" s="3">
        <v>60101002</v>
      </c>
      <c r="I384" s="12">
        <v>5</v>
      </c>
    </row>
    <row r="385" spans="2:9">
      <c r="B385" s="11">
        <f>1000000+INDEX(编号表!$B:$B,MATCH(C385,编号表!$A:$A,0))*1000+INDEX(编号表!$D:$D,MATCH(D385,编号表!$C:$C,0))*100+E385</f>
        <v>1011505</v>
      </c>
      <c r="C385" s="3" t="s">
        <v>190</v>
      </c>
      <c r="D385" s="11" t="s">
        <v>44</v>
      </c>
      <c r="E385" s="11">
        <f t="shared" si="8"/>
        <v>5</v>
      </c>
      <c r="F385" s="3" t="s">
        <v>194</v>
      </c>
      <c r="G385" s="16" t="s">
        <v>39</v>
      </c>
      <c r="H385" s="3">
        <v>60101003</v>
      </c>
      <c r="I385" s="12">
        <v>5</v>
      </c>
    </row>
    <row r="386" spans="2:9">
      <c r="B386" s="11">
        <f>1000000+INDEX(编号表!$B:$B,MATCH(C386,编号表!$A:$A,0))*1000+INDEX(编号表!$D:$D,MATCH(D386,编号表!$C:$C,0))*100+E386</f>
        <v>1011605</v>
      </c>
      <c r="C386" s="3" t="s">
        <v>190</v>
      </c>
      <c r="D386" s="11" t="s">
        <v>46</v>
      </c>
      <c r="E386" s="11">
        <f t="shared" si="8"/>
        <v>5</v>
      </c>
      <c r="F386" s="3" t="s">
        <v>195</v>
      </c>
      <c r="G386" s="16" t="s">
        <v>39</v>
      </c>
      <c r="H386" s="3">
        <v>60101004</v>
      </c>
      <c r="I386" s="12">
        <v>5</v>
      </c>
    </row>
    <row r="387" spans="2:9">
      <c r="B387" s="11">
        <f>1000000+INDEX(编号表!$B:$B,MATCH(C387,编号表!$A:$A,0))*1000+INDEX(编号表!$D:$D,MATCH(D387,编号表!$C:$C,0))*100+E387</f>
        <v>1011705</v>
      </c>
      <c r="C387" s="3" t="s">
        <v>190</v>
      </c>
      <c r="D387" s="11" t="s">
        <v>48</v>
      </c>
      <c r="E387" s="11">
        <f t="shared" si="8"/>
        <v>5</v>
      </c>
      <c r="F387" s="3" t="s">
        <v>165</v>
      </c>
      <c r="G387" s="16" t="s">
        <v>39</v>
      </c>
      <c r="H387" s="3">
        <v>60101005</v>
      </c>
      <c r="I387" s="12">
        <v>5</v>
      </c>
    </row>
    <row r="388" spans="2:9">
      <c r="B388" s="11">
        <f>1000000+INDEX(编号表!$B:$B,MATCH(C388,编号表!$A:$A,0))*1000+INDEX(编号表!$D:$D,MATCH(D388,编号表!$C:$C,0))*100+E388</f>
        <v>1011210</v>
      </c>
      <c r="C388" s="3" t="s">
        <v>190</v>
      </c>
      <c r="D388" s="11" t="s">
        <v>37</v>
      </c>
      <c r="E388" s="11">
        <f t="shared" si="8"/>
        <v>10</v>
      </c>
      <c r="F388" s="3" t="s">
        <v>191</v>
      </c>
      <c r="G388" s="16" t="s">
        <v>39</v>
      </c>
      <c r="H388" s="3">
        <v>60101000</v>
      </c>
      <c r="I388" s="12">
        <v>10</v>
      </c>
    </row>
    <row r="389" spans="2:9">
      <c r="B389" s="11">
        <f>1000000+INDEX(编号表!$B:$B,MATCH(C389,编号表!$A:$A,0))*1000+INDEX(编号表!$D:$D,MATCH(D389,编号表!$C:$C,0))*100+E389</f>
        <v>1011310</v>
      </c>
      <c r="C389" s="3" t="s">
        <v>190</v>
      </c>
      <c r="D389" s="11" t="s">
        <v>40</v>
      </c>
      <c r="E389" s="11">
        <f t="shared" si="8"/>
        <v>10</v>
      </c>
      <c r="F389" s="3" t="s">
        <v>192</v>
      </c>
      <c r="G389" s="16" t="s">
        <v>39</v>
      </c>
      <c r="H389" s="3">
        <v>60101001</v>
      </c>
      <c r="I389" s="12">
        <v>10</v>
      </c>
    </row>
    <row r="390" spans="2:9">
      <c r="B390" s="11">
        <f>1000000+INDEX(编号表!$B:$B,MATCH(C390,编号表!$A:$A,0))*1000+INDEX(编号表!$D:$D,MATCH(D390,编号表!$C:$C,0))*100+E390</f>
        <v>1011410</v>
      </c>
      <c r="C390" s="3" t="s">
        <v>190</v>
      </c>
      <c r="D390" s="11" t="s">
        <v>42</v>
      </c>
      <c r="E390" s="11">
        <f t="shared" si="8"/>
        <v>10</v>
      </c>
      <c r="F390" s="3" t="s">
        <v>193</v>
      </c>
      <c r="G390" s="16" t="s">
        <v>39</v>
      </c>
      <c r="H390" s="3">
        <v>60101002</v>
      </c>
      <c r="I390" s="12">
        <v>10</v>
      </c>
    </row>
    <row r="391" spans="2:9">
      <c r="B391" s="11">
        <f>1000000+INDEX(编号表!$B:$B,MATCH(C391,编号表!$A:$A,0))*1000+INDEX(编号表!$D:$D,MATCH(D391,编号表!$C:$C,0))*100+E391</f>
        <v>1011510</v>
      </c>
      <c r="C391" s="3" t="s">
        <v>190</v>
      </c>
      <c r="D391" s="11" t="s">
        <v>44</v>
      </c>
      <c r="E391" s="11">
        <f t="shared" si="8"/>
        <v>10</v>
      </c>
      <c r="F391" s="3" t="s">
        <v>194</v>
      </c>
      <c r="G391" s="16" t="s">
        <v>39</v>
      </c>
      <c r="H391" s="3">
        <v>60101003</v>
      </c>
      <c r="I391" s="12">
        <v>10</v>
      </c>
    </row>
    <row r="392" spans="2:9">
      <c r="B392" s="11">
        <f>1000000+INDEX(编号表!$B:$B,MATCH(C392,编号表!$A:$A,0))*1000+INDEX(编号表!$D:$D,MATCH(D392,编号表!$C:$C,0))*100+E392</f>
        <v>1011610</v>
      </c>
      <c r="C392" s="3" t="s">
        <v>190</v>
      </c>
      <c r="D392" s="11" t="s">
        <v>46</v>
      </c>
      <c r="E392" s="11">
        <f t="shared" si="8"/>
        <v>10</v>
      </c>
      <c r="F392" s="3" t="s">
        <v>195</v>
      </c>
      <c r="G392" s="16" t="s">
        <v>39</v>
      </c>
      <c r="H392" s="3">
        <v>60101004</v>
      </c>
      <c r="I392" s="12">
        <v>10</v>
      </c>
    </row>
    <row r="393" spans="2:9">
      <c r="B393" s="11">
        <f>1000000+INDEX(编号表!$B:$B,MATCH(C393,编号表!$A:$A,0))*1000+INDEX(编号表!$D:$D,MATCH(D393,编号表!$C:$C,0))*100+E393</f>
        <v>1011710</v>
      </c>
      <c r="C393" s="3" t="s">
        <v>190</v>
      </c>
      <c r="D393" s="11" t="s">
        <v>48</v>
      </c>
      <c r="E393" s="11">
        <f t="shared" si="8"/>
        <v>10</v>
      </c>
      <c r="F393" s="3" t="s">
        <v>165</v>
      </c>
      <c r="G393" s="16" t="s">
        <v>39</v>
      </c>
      <c r="H393" s="3">
        <v>60101005</v>
      </c>
      <c r="I393" s="12">
        <v>10</v>
      </c>
    </row>
    <row r="394" spans="2:9">
      <c r="B394" s="11">
        <f>1000000+INDEX(编号表!$B:$B,MATCH(C394,编号表!$A:$A,0))*1000+INDEX(编号表!$D:$D,MATCH(D394,编号表!$C:$C,0))*100+E394</f>
        <v>1011215</v>
      </c>
      <c r="C394" s="3" t="s">
        <v>190</v>
      </c>
      <c r="D394" s="11" t="s">
        <v>37</v>
      </c>
      <c r="E394" s="11">
        <f t="shared" si="8"/>
        <v>15</v>
      </c>
      <c r="F394" s="3" t="s">
        <v>191</v>
      </c>
      <c r="G394" s="16" t="s">
        <v>39</v>
      </c>
      <c r="H394" s="3">
        <v>60101000</v>
      </c>
      <c r="I394" s="12">
        <v>15</v>
      </c>
    </row>
    <row r="395" spans="2:9">
      <c r="B395" s="11">
        <f>1000000+INDEX(编号表!$B:$B,MATCH(C395,编号表!$A:$A,0))*1000+INDEX(编号表!$D:$D,MATCH(D395,编号表!$C:$C,0))*100+E395</f>
        <v>1011315</v>
      </c>
      <c r="C395" s="3" t="s">
        <v>190</v>
      </c>
      <c r="D395" s="11" t="s">
        <v>40</v>
      </c>
      <c r="E395" s="11">
        <f t="shared" si="8"/>
        <v>15</v>
      </c>
      <c r="F395" s="3" t="s">
        <v>192</v>
      </c>
      <c r="G395" s="16" t="s">
        <v>39</v>
      </c>
      <c r="H395" s="3">
        <v>60101001</v>
      </c>
      <c r="I395" s="12">
        <v>15</v>
      </c>
    </row>
    <row r="396" spans="2:9">
      <c r="B396" s="11">
        <f>1000000+INDEX(编号表!$B:$B,MATCH(C396,编号表!$A:$A,0))*1000+INDEX(编号表!$D:$D,MATCH(D396,编号表!$C:$C,0))*100+E396</f>
        <v>1011415</v>
      </c>
      <c r="C396" s="3" t="s">
        <v>190</v>
      </c>
      <c r="D396" s="11" t="s">
        <v>42</v>
      </c>
      <c r="E396" s="11">
        <f t="shared" si="8"/>
        <v>15</v>
      </c>
      <c r="F396" s="3" t="s">
        <v>193</v>
      </c>
      <c r="G396" s="16" t="s">
        <v>39</v>
      </c>
      <c r="H396" s="3">
        <v>60101002</v>
      </c>
      <c r="I396" s="12">
        <v>15</v>
      </c>
    </row>
    <row r="397" spans="2:9">
      <c r="B397" s="11">
        <f>1000000+INDEX(编号表!$B:$B,MATCH(C397,编号表!$A:$A,0))*1000+INDEX(编号表!$D:$D,MATCH(D397,编号表!$C:$C,0))*100+E397</f>
        <v>1011515</v>
      </c>
      <c r="C397" s="3" t="s">
        <v>190</v>
      </c>
      <c r="D397" s="11" t="s">
        <v>44</v>
      </c>
      <c r="E397" s="11">
        <f t="shared" si="8"/>
        <v>15</v>
      </c>
      <c r="F397" s="3" t="s">
        <v>194</v>
      </c>
      <c r="G397" s="16" t="s">
        <v>39</v>
      </c>
      <c r="H397" s="3">
        <v>60101003</v>
      </c>
      <c r="I397" s="12">
        <v>15</v>
      </c>
    </row>
    <row r="398" spans="2:9">
      <c r="B398" s="11">
        <f>1000000+INDEX(编号表!$B:$B,MATCH(C398,编号表!$A:$A,0))*1000+INDEX(编号表!$D:$D,MATCH(D398,编号表!$C:$C,0))*100+E398</f>
        <v>1011615</v>
      </c>
      <c r="C398" s="3" t="s">
        <v>190</v>
      </c>
      <c r="D398" s="11" t="s">
        <v>46</v>
      </c>
      <c r="E398" s="11">
        <f t="shared" si="8"/>
        <v>15</v>
      </c>
      <c r="F398" s="3" t="s">
        <v>195</v>
      </c>
      <c r="G398" s="16" t="s">
        <v>39</v>
      </c>
      <c r="H398" s="3">
        <v>60101004</v>
      </c>
      <c r="I398" s="12">
        <v>15</v>
      </c>
    </row>
    <row r="399" spans="2:9">
      <c r="B399" s="11">
        <f>1000000+INDEX(编号表!$B:$B,MATCH(C399,编号表!$A:$A,0))*1000+INDEX(编号表!$D:$D,MATCH(D399,编号表!$C:$C,0))*100+E399</f>
        <v>1011715</v>
      </c>
      <c r="C399" s="3" t="s">
        <v>190</v>
      </c>
      <c r="D399" s="11" t="s">
        <v>48</v>
      </c>
      <c r="E399" s="11">
        <f t="shared" si="8"/>
        <v>15</v>
      </c>
      <c r="F399" s="3" t="s">
        <v>165</v>
      </c>
      <c r="G399" s="16" t="s">
        <v>39</v>
      </c>
      <c r="H399" s="3">
        <v>60101005</v>
      </c>
      <c r="I399" s="12">
        <v>15</v>
      </c>
    </row>
    <row r="400" spans="2:9">
      <c r="B400" s="11">
        <f>1000000+INDEX(编号表!$B:$B,MATCH(C400,编号表!$A:$A,0))*1000+INDEX(编号表!$D:$D,MATCH(D400,编号表!$C:$C,0))*100+E400</f>
        <v>1012001</v>
      </c>
      <c r="C400" s="3" t="s">
        <v>196</v>
      </c>
      <c r="D400" s="11" t="s">
        <v>55</v>
      </c>
      <c r="E400" s="11">
        <v>1</v>
      </c>
      <c r="F400" s="17" t="s">
        <v>167</v>
      </c>
      <c r="G400" s="16" t="s">
        <v>57</v>
      </c>
      <c r="H400" s="11">
        <v>60114000</v>
      </c>
      <c r="I400" s="12">
        <v>1</v>
      </c>
    </row>
    <row r="401" spans="2:9">
      <c r="B401" s="11">
        <f>1000000+INDEX(编号表!$B:$B,MATCH(C401,编号表!$A:$A,0))*1000+INDEX(编号表!$D:$D,MATCH(D401,编号表!$C:$C,0))*100+E401</f>
        <v>1012101</v>
      </c>
      <c r="C401" s="3" t="s">
        <v>196</v>
      </c>
      <c r="D401" s="11" t="s">
        <v>58</v>
      </c>
      <c r="E401" s="11">
        <v>1</v>
      </c>
      <c r="F401" s="17" t="s">
        <v>59</v>
      </c>
      <c r="G401" s="16" t="s">
        <v>57</v>
      </c>
      <c r="H401" s="3">
        <v>60112000</v>
      </c>
      <c r="I401" s="12">
        <v>1</v>
      </c>
    </row>
    <row r="402" spans="2:9">
      <c r="B402" s="11">
        <f>1000000+INDEX(编号表!$B:$B,MATCH(C402,编号表!$A:$A,0))*1000+INDEX(编号表!$D:$D,MATCH(D402,编号表!$C:$C,0))*100+E402</f>
        <v>1012201</v>
      </c>
      <c r="C402" s="3" t="s">
        <v>196</v>
      </c>
      <c r="D402" s="11" t="s">
        <v>37</v>
      </c>
      <c r="E402" s="11">
        <f t="shared" ref="E402:E431" si="9">I402+K402+M402+O402+Q402+S402+U402+W402+Y402+AA402</f>
        <v>1</v>
      </c>
      <c r="F402" s="3" t="s">
        <v>197</v>
      </c>
      <c r="G402" s="16" t="s">
        <v>39</v>
      </c>
      <c r="H402" s="3">
        <v>60111000</v>
      </c>
      <c r="I402" s="12">
        <v>1</v>
      </c>
    </row>
    <row r="403" spans="2:9">
      <c r="B403" s="11">
        <f>1000000+INDEX(编号表!$B:$B,MATCH(C403,编号表!$A:$A,0))*1000+INDEX(编号表!$D:$D,MATCH(D403,编号表!$C:$C,0))*100+E403</f>
        <v>1012301</v>
      </c>
      <c r="C403" s="3" t="s">
        <v>196</v>
      </c>
      <c r="D403" s="11" t="s">
        <v>40</v>
      </c>
      <c r="E403" s="11">
        <f t="shared" si="9"/>
        <v>1</v>
      </c>
      <c r="F403" s="3" t="s">
        <v>193</v>
      </c>
      <c r="G403" s="16" t="s">
        <v>39</v>
      </c>
      <c r="H403" s="3">
        <v>60111001</v>
      </c>
      <c r="I403" s="12">
        <v>1</v>
      </c>
    </row>
    <row r="404" spans="2:9">
      <c r="B404" s="11">
        <f>1000000+INDEX(编号表!$B:$B,MATCH(C404,编号表!$A:$A,0))*1000+INDEX(编号表!$D:$D,MATCH(D404,编号表!$C:$C,0))*100+E404</f>
        <v>1012401</v>
      </c>
      <c r="C404" s="3" t="s">
        <v>196</v>
      </c>
      <c r="D404" s="11" t="s">
        <v>42</v>
      </c>
      <c r="E404" s="11">
        <f t="shared" si="9"/>
        <v>1</v>
      </c>
      <c r="F404" s="3" t="s">
        <v>198</v>
      </c>
      <c r="G404" s="16" t="s">
        <v>39</v>
      </c>
      <c r="H404" s="3">
        <v>60111002</v>
      </c>
      <c r="I404" s="12">
        <v>1</v>
      </c>
    </row>
    <row r="405" spans="2:9">
      <c r="B405" s="11">
        <f>1000000+INDEX(编号表!$B:$B,MATCH(C405,编号表!$A:$A,0))*1000+INDEX(编号表!$D:$D,MATCH(D405,编号表!$C:$C,0))*100+E405</f>
        <v>1012501</v>
      </c>
      <c r="C405" s="3" t="s">
        <v>196</v>
      </c>
      <c r="D405" s="11" t="s">
        <v>44</v>
      </c>
      <c r="E405" s="11">
        <f t="shared" si="9"/>
        <v>1</v>
      </c>
      <c r="F405" s="3" t="s">
        <v>199</v>
      </c>
      <c r="G405" s="16" t="s">
        <v>39</v>
      </c>
      <c r="H405" s="3">
        <v>60111003</v>
      </c>
      <c r="I405" s="12">
        <v>1</v>
      </c>
    </row>
    <row r="406" spans="2:9">
      <c r="B406" s="11">
        <f>1000000+INDEX(编号表!$B:$B,MATCH(C406,编号表!$A:$A,0))*1000+INDEX(编号表!$D:$D,MATCH(D406,编号表!$C:$C,0))*100+E406</f>
        <v>1012601</v>
      </c>
      <c r="C406" s="3" t="s">
        <v>196</v>
      </c>
      <c r="D406" s="11" t="s">
        <v>46</v>
      </c>
      <c r="E406" s="11">
        <f t="shared" si="9"/>
        <v>1</v>
      </c>
      <c r="F406" s="3" t="s">
        <v>200</v>
      </c>
      <c r="G406" s="16" t="s">
        <v>39</v>
      </c>
      <c r="H406" s="3">
        <v>60111004</v>
      </c>
      <c r="I406" s="12">
        <v>1</v>
      </c>
    </row>
    <row r="407" spans="2:9">
      <c r="B407" s="11">
        <f>1000000+INDEX(编号表!$B:$B,MATCH(C407,编号表!$A:$A,0))*1000+INDEX(编号表!$D:$D,MATCH(D407,编号表!$C:$C,0))*100+E407</f>
        <v>1012202</v>
      </c>
      <c r="C407" s="3" t="s">
        <v>196</v>
      </c>
      <c r="D407" s="11" t="s">
        <v>37</v>
      </c>
      <c r="E407" s="11">
        <f t="shared" si="9"/>
        <v>2</v>
      </c>
      <c r="F407" s="3" t="s">
        <v>197</v>
      </c>
      <c r="G407" s="16" t="s">
        <v>39</v>
      </c>
      <c r="H407" s="3">
        <v>60111000</v>
      </c>
      <c r="I407" s="12">
        <v>2</v>
      </c>
    </row>
    <row r="408" spans="2:9">
      <c r="B408" s="11">
        <f>1000000+INDEX(编号表!$B:$B,MATCH(C408,编号表!$A:$A,0))*1000+INDEX(编号表!$D:$D,MATCH(D408,编号表!$C:$C,0))*100+E408</f>
        <v>1012302</v>
      </c>
      <c r="C408" s="3" t="s">
        <v>196</v>
      </c>
      <c r="D408" s="11" t="s">
        <v>40</v>
      </c>
      <c r="E408" s="11">
        <f t="shared" si="9"/>
        <v>2</v>
      </c>
      <c r="F408" s="3" t="s">
        <v>193</v>
      </c>
      <c r="G408" s="16" t="s">
        <v>39</v>
      </c>
      <c r="H408" s="3">
        <v>60111001</v>
      </c>
      <c r="I408" s="12">
        <v>2</v>
      </c>
    </row>
    <row r="409" spans="2:9">
      <c r="B409" s="11">
        <f>1000000+INDEX(编号表!$B:$B,MATCH(C409,编号表!$A:$A,0))*1000+INDEX(编号表!$D:$D,MATCH(D409,编号表!$C:$C,0))*100+E409</f>
        <v>1012402</v>
      </c>
      <c r="C409" s="3" t="s">
        <v>196</v>
      </c>
      <c r="D409" s="11" t="s">
        <v>42</v>
      </c>
      <c r="E409" s="11">
        <f t="shared" si="9"/>
        <v>2</v>
      </c>
      <c r="F409" s="3" t="s">
        <v>198</v>
      </c>
      <c r="G409" s="16" t="s">
        <v>39</v>
      </c>
      <c r="H409" s="3">
        <v>60111002</v>
      </c>
      <c r="I409" s="12">
        <v>2</v>
      </c>
    </row>
    <row r="410" spans="2:9">
      <c r="B410" s="11">
        <f>1000000+INDEX(编号表!$B:$B,MATCH(C410,编号表!$A:$A,0))*1000+INDEX(编号表!$D:$D,MATCH(D410,编号表!$C:$C,0))*100+E410</f>
        <v>1012502</v>
      </c>
      <c r="C410" s="3" t="s">
        <v>196</v>
      </c>
      <c r="D410" s="11" t="s">
        <v>44</v>
      </c>
      <c r="E410" s="11">
        <f t="shared" si="9"/>
        <v>2</v>
      </c>
      <c r="F410" s="3" t="s">
        <v>199</v>
      </c>
      <c r="G410" s="16" t="s">
        <v>39</v>
      </c>
      <c r="H410" s="3">
        <v>60111003</v>
      </c>
      <c r="I410" s="12">
        <v>2</v>
      </c>
    </row>
    <row r="411" spans="2:9">
      <c r="B411" s="11">
        <f>1000000+INDEX(编号表!$B:$B,MATCH(C411,编号表!$A:$A,0))*1000+INDEX(编号表!$D:$D,MATCH(D411,编号表!$C:$C,0))*100+E411</f>
        <v>1012602</v>
      </c>
      <c r="C411" s="3" t="s">
        <v>196</v>
      </c>
      <c r="D411" s="11" t="s">
        <v>46</v>
      </c>
      <c r="E411" s="11">
        <f t="shared" si="9"/>
        <v>2</v>
      </c>
      <c r="F411" s="3" t="s">
        <v>200</v>
      </c>
      <c r="G411" s="16" t="s">
        <v>39</v>
      </c>
      <c r="H411" s="3">
        <v>60111004</v>
      </c>
      <c r="I411" s="12">
        <v>2</v>
      </c>
    </row>
    <row r="412" spans="2:9">
      <c r="B412" s="11">
        <f>1000000+INDEX(编号表!$B:$B,MATCH(C412,编号表!$A:$A,0))*1000+INDEX(编号表!$D:$D,MATCH(D412,编号表!$C:$C,0))*100+E412</f>
        <v>1012203</v>
      </c>
      <c r="C412" s="3" t="s">
        <v>196</v>
      </c>
      <c r="D412" s="11" t="s">
        <v>37</v>
      </c>
      <c r="E412" s="11">
        <f t="shared" si="9"/>
        <v>3</v>
      </c>
      <c r="F412" s="3" t="s">
        <v>197</v>
      </c>
      <c r="G412" s="16" t="s">
        <v>39</v>
      </c>
      <c r="H412" s="3">
        <v>60111000</v>
      </c>
      <c r="I412" s="12">
        <v>3</v>
      </c>
    </row>
    <row r="413" spans="2:9">
      <c r="B413" s="11">
        <f>1000000+INDEX(编号表!$B:$B,MATCH(C413,编号表!$A:$A,0))*1000+INDEX(编号表!$D:$D,MATCH(D413,编号表!$C:$C,0))*100+E413</f>
        <v>1012303</v>
      </c>
      <c r="C413" s="3" t="s">
        <v>196</v>
      </c>
      <c r="D413" s="11" t="s">
        <v>40</v>
      </c>
      <c r="E413" s="11">
        <f t="shared" si="9"/>
        <v>3</v>
      </c>
      <c r="F413" s="3" t="s">
        <v>193</v>
      </c>
      <c r="G413" s="16" t="s">
        <v>39</v>
      </c>
      <c r="H413" s="3">
        <v>60111001</v>
      </c>
      <c r="I413" s="12">
        <v>3</v>
      </c>
    </row>
    <row r="414" spans="2:9">
      <c r="B414" s="11">
        <f>1000000+INDEX(编号表!$B:$B,MATCH(C414,编号表!$A:$A,0))*1000+INDEX(编号表!$D:$D,MATCH(D414,编号表!$C:$C,0))*100+E414</f>
        <v>1012403</v>
      </c>
      <c r="C414" s="3" t="s">
        <v>196</v>
      </c>
      <c r="D414" s="11" t="s">
        <v>42</v>
      </c>
      <c r="E414" s="11">
        <f t="shared" si="9"/>
        <v>3</v>
      </c>
      <c r="F414" s="3" t="s">
        <v>198</v>
      </c>
      <c r="G414" s="16" t="s">
        <v>39</v>
      </c>
      <c r="H414" s="3">
        <v>60111002</v>
      </c>
      <c r="I414" s="12">
        <v>3</v>
      </c>
    </row>
    <row r="415" spans="2:9">
      <c r="B415" s="11">
        <f>1000000+INDEX(编号表!$B:$B,MATCH(C415,编号表!$A:$A,0))*1000+INDEX(编号表!$D:$D,MATCH(D415,编号表!$C:$C,0))*100+E415</f>
        <v>1012503</v>
      </c>
      <c r="C415" s="3" t="s">
        <v>196</v>
      </c>
      <c r="D415" s="11" t="s">
        <v>44</v>
      </c>
      <c r="E415" s="11">
        <f t="shared" si="9"/>
        <v>3</v>
      </c>
      <c r="F415" s="3" t="s">
        <v>199</v>
      </c>
      <c r="G415" s="16" t="s">
        <v>39</v>
      </c>
      <c r="H415" s="3">
        <v>60111003</v>
      </c>
      <c r="I415" s="12">
        <v>3</v>
      </c>
    </row>
    <row r="416" spans="2:9">
      <c r="B416" s="11">
        <f>1000000+INDEX(编号表!$B:$B,MATCH(C416,编号表!$A:$A,0))*1000+INDEX(编号表!$D:$D,MATCH(D416,编号表!$C:$C,0))*100+E416</f>
        <v>1012603</v>
      </c>
      <c r="C416" s="3" t="s">
        <v>196</v>
      </c>
      <c r="D416" s="11" t="s">
        <v>46</v>
      </c>
      <c r="E416" s="11">
        <f t="shared" si="9"/>
        <v>3</v>
      </c>
      <c r="F416" s="3" t="s">
        <v>200</v>
      </c>
      <c r="G416" s="16" t="s">
        <v>39</v>
      </c>
      <c r="H416" s="3">
        <v>60111004</v>
      </c>
      <c r="I416" s="12">
        <v>3</v>
      </c>
    </row>
    <row r="417" spans="2:9">
      <c r="B417" s="11">
        <f>1000000+INDEX(编号表!$B:$B,MATCH(C417,编号表!$A:$A,0))*1000+INDEX(编号表!$D:$D,MATCH(D417,编号表!$C:$C,0))*100+E417</f>
        <v>1012205</v>
      </c>
      <c r="C417" s="3" t="s">
        <v>196</v>
      </c>
      <c r="D417" s="11" t="s">
        <v>37</v>
      </c>
      <c r="E417" s="11">
        <f t="shared" si="9"/>
        <v>5</v>
      </c>
      <c r="F417" s="3" t="s">
        <v>197</v>
      </c>
      <c r="G417" s="16" t="s">
        <v>39</v>
      </c>
      <c r="H417" s="3">
        <v>60111000</v>
      </c>
      <c r="I417" s="12">
        <v>5</v>
      </c>
    </row>
    <row r="418" spans="2:9">
      <c r="B418" s="11">
        <f>1000000+INDEX(编号表!$B:$B,MATCH(C418,编号表!$A:$A,0))*1000+INDEX(编号表!$D:$D,MATCH(D418,编号表!$C:$C,0))*100+E418</f>
        <v>1012305</v>
      </c>
      <c r="C418" s="3" t="s">
        <v>196</v>
      </c>
      <c r="D418" s="11" t="s">
        <v>40</v>
      </c>
      <c r="E418" s="11">
        <f t="shared" si="9"/>
        <v>5</v>
      </c>
      <c r="F418" s="3" t="s">
        <v>193</v>
      </c>
      <c r="G418" s="16" t="s">
        <v>39</v>
      </c>
      <c r="H418" s="3">
        <v>60111001</v>
      </c>
      <c r="I418" s="12">
        <v>5</v>
      </c>
    </row>
    <row r="419" spans="2:9">
      <c r="B419" s="11">
        <f>1000000+INDEX(编号表!$B:$B,MATCH(C419,编号表!$A:$A,0))*1000+INDEX(编号表!$D:$D,MATCH(D419,编号表!$C:$C,0))*100+E419</f>
        <v>1012405</v>
      </c>
      <c r="C419" s="3" t="s">
        <v>196</v>
      </c>
      <c r="D419" s="11" t="s">
        <v>42</v>
      </c>
      <c r="E419" s="11">
        <f t="shared" si="9"/>
        <v>5</v>
      </c>
      <c r="F419" s="3" t="s">
        <v>198</v>
      </c>
      <c r="G419" s="16" t="s">
        <v>39</v>
      </c>
      <c r="H419" s="3">
        <v>60111002</v>
      </c>
      <c r="I419" s="12">
        <v>5</v>
      </c>
    </row>
    <row r="420" spans="2:9">
      <c r="B420" s="11">
        <f>1000000+INDEX(编号表!$B:$B,MATCH(C420,编号表!$A:$A,0))*1000+INDEX(编号表!$D:$D,MATCH(D420,编号表!$C:$C,0))*100+E420</f>
        <v>1012505</v>
      </c>
      <c r="C420" s="3" t="s">
        <v>196</v>
      </c>
      <c r="D420" s="11" t="s">
        <v>44</v>
      </c>
      <c r="E420" s="11">
        <f t="shared" si="9"/>
        <v>5</v>
      </c>
      <c r="F420" s="3" t="s">
        <v>199</v>
      </c>
      <c r="G420" s="16" t="s">
        <v>39</v>
      </c>
      <c r="H420" s="3">
        <v>60111003</v>
      </c>
      <c r="I420" s="12">
        <v>5</v>
      </c>
    </row>
    <row r="421" spans="2:9">
      <c r="B421" s="11">
        <f>1000000+INDEX(编号表!$B:$B,MATCH(C421,编号表!$A:$A,0))*1000+INDEX(编号表!$D:$D,MATCH(D421,编号表!$C:$C,0))*100+E421</f>
        <v>1012605</v>
      </c>
      <c r="C421" s="3" t="s">
        <v>196</v>
      </c>
      <c r="D421" s="11" t="s">
        <v>46</v>
      </c>
      <c r="E421" s="11">
        <f t="shared" si="9"/>
        <v>5</v>
      </c>
      <c r="F421" s="3" t="s">
        <v>200</v>
      </c>
      <c r="G421" s="16" t="s">
        <v>39</v>
      </c>
      <c r="H421" s="3">
        <v>60111004</v>
      </c>
      <c r="I421" s="12">
        <v>5</v>
      </c>
    </row>
    <row r="422" spans="2:9">
      <c r="B422" s="11">
        <f>1000000+INDEX(编号表!$B:$B,MATCH(C422,编号表!$A:$A,0))*1000+INDEX(编号表!$D:$D,MATCH(D422,编号表!$C:$C,0))*100+E422</f>
        <v>1012210</v>
      </c>
      <c r="C422" s="3" t="s">
        <v>196</v>
      </c>
      <c r="D422" s="11" t="s">
        <v>37</v>
      </c>
      <c r="E422" s="11">
        <f t="shared" si="9"/>
        <v>10</v>
      </c>
      <c r="F422" s="3" t="s">
        <v>197</v>
      </c>
      <c r="G422" s="16" t="s">
        <v>39</v>
      </c>
      <c r="H422" s="3">
        <v>60111000</v>
      </c>
      <c r="I422" s="12">
        <v>10</v>
      </c>
    </row>
    <row r="423" spans="2:9">
      <c r="B423" s="11">
        <f>1000000+INDEX(编号表!$B:$B,MATCH(C423,编号表!$A:$A,0))*1000+INDEX(编号表!$D:$D,MATCH(D423,编号表!$C:$C,0))*100+E423</f>
        <v>1012310</v>
      </c>
      <c r="C423" s="3" t="s">
        <v>196</v>
      </c>
      <c r="D423" s="11" t="s">
        <v>40</v>
      </c>
      <c r="E423" s="11">
        <f t="shared" si="9"/>
        <v>10</v>
      </c>
      <c r="F423" s="3" t="s">
        <v>193</v>
      </c>
      <c r="G423" s="16" t="s">
        <v>39</v>
      </c>
      <c r="H423" s="3">
        <v>60111001</v>
      </c>
      <c r="I423" s="12">
        <v>10</v>
      </c>
    </row>
    <row r="424" spans="2:9">
      <c r="B424" s="11">
        <f>1000000+INDEX(编号表!$B:$B,MATCH(C424,编号表!$A:$A,0))*1000+INDEX(编号表!$D:$D,MATCH(D424,编号表!$C:$C,0))*100+E424</f>
        <v>1012410</v>
      </c>
      <c r="C424" s="3" t="s">
        <v>196</v>
      </c>
      <c r="D424" s="11" t="s">
        <v>42</v>
      </c>
      <c r="E424" s="11">
        <f t="shared" si="9"/>
        <v>10</v>
      </c>
      <c r="F424" s="3" t="s">
        <v>198</v>
      </c>
      <c r="G424" s="16" t="s">
        <v>39</v>
      </c>
      <c r="H424" s="3">
        <v>60111002</v>
      </c>
      <c r="I424" s="12">
        <v>10</v>
      </c>
    </row>
    <row r="425" spans="2:9">
      <c r="B425" s="11">
        <f>1000000+INDEX(编号表!$B:$B,MATCH(C425,编号表!$A:$A,0))*1000+INDEX(编号表!$D:$D,MATCH(D425,编号表!$C:$C,0))*100+E425</f>
        <v>1012510</v>
      </c>
      <c r="C425" s="3" t="s">
        <v>196</v>
      </c>
      <c r="D425" s="11" t="s">
        <v>44</v>
      </c>
      <c r="E425" s="11">
        <f t="shared" si="9"/>
        <v>10</v>
      </c>
      <c r="F425" s="3" t="s">
        <v>199</v>
      </c>
      <c r="G425" s="16" t="s">
        <v>39</v>
      </c>
      <c r="H425" s="3">
        <v>60111003</v>
      </c>
      <c r="I425" s="12">
        <v>10</v>
      </c>
    </row>
    <row r="426" spans="2:9">
      <c r="B426" s="11">
        <f>1000000+INDEX(编号表!$B:$B,MATCH(C426,编号表!$A:$A,0))*1000+INDEX(编号表!$D:$D,MATCH(D426,编号表!$C:$C,0))*100+E426</f>
        <v>1012610</v>
      </c>
      <c r="C426" s="3" t="s">
        <v>196</v>
      </c>
      <c r="D426" s="11" t="s">
        <v>46</v>
      </c>
      <c r="E426" s="11">
        <f t="shared" si="9"/>
        <v>10</v>
      </c>
      <c r="F426" s="3" t="s">
        <v>200</v>
      </c>
      <c r="G426" s="16" t="s">
        <v>39</v>
      </c>
      <c r="H426" s="3">
        <v>60111004</v>
      </c>
      <c r="I426" s="12">
        <v>10</v>
      </c>
    </row>
    <row r="427" spans="2:9">
      <c r="B427" s="11">
        <f>1000000+INDEX(编号表!$B:$B,MATCH(C427,编号表!$A:$A,0))*1000+INDEX(编号表!$D:$D,MATCH(D427,编号表!$C:$C,0))*100+E427</f>
        <v>1012215</v>
      </c>
      <c r="C427" s="3" t="s">
        <v>196</v>
      </c>
      <c r="D427" s="11" t="s">
        <v>37</v>
      </c>
      <c r="E427" s="11">
        <f t="shared" si="9"/>
        <v>15</v>
      </c>
      <c r="F427" s="3" t="s">
        <v>197</v>
      </c>
      <c r="G427" s="16" t="s">
        <v>39</v>
      </c>
      <c r="H427" s="3">
        <v>60111000</v>
      </c>
      <c r="I427" s="12">
        <v>15</v>
      </c>
    </row>
    <row r="428" spans="2:9">
      <c r="B428" s="11">
        <f>1000000+INDEX(编号表!$B:$B,MATCH(C428,编号表!$A:$A,0))*1000+INDEX(编号表!$D:$D,MATCH(D428,编号表!$C:$C,0))*100+E428</f>
        <v>1012315</v>
      </c>
      <c r="C428" s="3" t="s">
        <v>196</v>
      </c>
      <c r="D428" s="11" t="s">
        <v>40</v>
      </c>
      <c r="E428" s="11">
        <f t="shared" si="9"/>
        <v>15</v>
      </c>
      <c r="F428" s="3" t="s">
        <v>193</v>
      </c>
      <c r="G428" s="16" t="s">
        <v>39</v>
      </c>
      <c r="H428" s="3">
        <v>60111001</v>
      </c>
      <c r="I428" s="12">
        <v>15</v>
      </c>
    </row>
    <row r="429" spans="2:9">
      <c r="B429" s="11">
        <f>1000000+INDEX(编号表!$B:$B,MATCH(C429,编号表!$A:$A,0))*1000+INDEX(编号表!$D:$D,MATCH(D429,编号表!$C:$C,0))*100+E429</f>
        <v>1012415</v>
      </c>
      <c r="C429" s="3" t="s">
        <v>196</v>
      </c>
      <c r="D429" s="11" t="s">
        <v>42</v>
      </c>
      <c r="E429" s="11">
        <f t="shared" si="9"/>
        <v>15</v>
      </c>
      <c r="F429" s="3" t="s">
        <v>198</v>
      </c>
      <c r="G429" s="16" t="s">
        <v>39</v>
      </c>
      <c r="H429" s="3">
        <v>60111002</v>
      </c>
      <c r="I429" s="12">
        <v>15</v>
      </c>
    </row>
    <row r="430" spans="2:9">
      <c r="B430" s="11">
        <f>1000000+INDEX(编号表!$B:$B,MATCH(C430,编号表!$A:$A,0))*1000+INDEX(编号表!$D:$D,MATCH(D430,编号表!$C:$C,0))*100+E430</f>
        <v>1012515</v>
      </c>
      <c r="C430" s="3" t="s">
        <v>196</v>
      </c>
      <c r="D430" s="11" t="s">
        <v>44</v>
      </c>
      <c r="E430" s="11">
        <f t="shared" si="9"/>
        <v>15</v>
      </c>
      <c r="F430" s="3" t="s">
        <v>199</v>
      </c>
      <c r="G430" s="16" t="s">
        <v>39</v>
      </c>
      <c r="H430" s="3">
        <v>60111003</v>
      </c>
      <c r="I430" s="12">
        <v>15</v>
      </c>
    </row>
    <row r="431" spans="2:9">
      <c r="B431" s="11">
        <f>1000000+INDEX(编号表!$B:$B,MATCH(C431,编号表!$A:$A,0))*1000+INDEX(编号表!$D:$D,MATCH(D431,编号表!$C:$C,0))*100+E431</f>
        <v>1012615</v>
      </c>
      <c r="C431" s="3" t="s">
        <v>196</v>
      </c>
      <c r="D431" s="11" t="s">
        <v>46</v>
      </c>
      <c r="E431" s="11">
        <f t="shared" si="9"/>
        <v>15</v>
      </c>
      <c r="F431" s="3" t="s">
        <v>200</v>
      </c>
      <c r="G431" s="16" t="s">
        <v>39</v>
      </c>
      <c r="H431" s="3">
        <v>60111004</v>
      </c>
      <c r="I431" s="12">
        <v>15</v>
      </c>
    </row>
    <row r="432" spans="2:9">
      <c r="B432" s="11">
        <f>1000000+INDEX(编号表!$B:$B,MATCH(C432,编号表!$A:$A,0))*1000+INDEX(编号表!$D:$D,MATCH(D432,编号表!$C:$C,0))*100+E432</f>
        <v>1013001</v>
      </c>
      <c r="C432" s="3" t="s">
        <v>201</v>
      </c>
      <c r="D432" s="11" t="s">
        <v>55</v>
      </c>
      <c r="E432" s="11">
        <v>1</v>
      </c>
      <c r="F432" s="17" t="s">
        <v>167</v>
      </c>
      <c r="G432" s="16" t="s">
        <v>57</v>
      </c>
      <c r="H432" s="11">
        <v>60124000</v>
      </c>
      <c r="I432" s="12">
        <v>1</v>
      </c>
    </row>
    <row r="433" spans="2:9">
      <c r="B433" s="11">
        <f>1000000+INDEX(编号表!$B:$B,MATCH(C433,编号表!$A:$A,0))*1000+INDEX(编号表!$D:$D,MATCH(D433,编号表!$C:$C,0))*100+E433</f>
        <v>1013101</v>
      </c>
      <c r="C433" s="3" t="s">
        <v>201</v>
      </c>
      <c r="D433" s="11" t="s">
        <v>58</v>
      </c>
      <c r="E433" s="11">
        <v>1</v>
      </c>
      <c r="F433" s="17" t="s">
        <v>59</v>
      </c>
      <c r="G433" s="16" t="s">
        <v>57</v>
      </c>
      <c r="H433" s="3">
        <v>60122000</v>
      </c>
      <c r="I433" s="12">
        <v>1</v>
      </c>
    </row>
    <row r="434" spans="2:9">
      <c r="B434" s="11">
        <f>1000000+INDEX(编号表!$B:$B,MATCH(C434,编号表!$A:$A,0))*1000+INDEX(编号表!$D:$D,MATCH(D434,编号表!$C:$C,0))*100+E434</f>
        <v>1013201</v>
      </c>
      <c r="C434" s="3" t="s">
        <v>201</v>
      </c>
      <c r="D434" s="11" t="s">
        <v>37</v>
      </c>
      <c r="E434" s="11">
        <f t="shared" ref="E434:E463" si="10">I434+K434+M434+O434+Q434+S434+U434+W434+Y434+AA434</f>
        <v>1</v>
      </c>
      <c r="F434" s="3" t="s">
        <v>193</v>
      </c>
      <c r="G434" s="16" t="s">
        <v>39</v>
      </c>
      <c r="H434" s="3">
        <v>60121000</v>
      </c>
      <c r="I434" s="12">
        <v>1</v>
      </c>
    </row>
    <row r="435" spans="2:9">
      <c r="B435" s="11">
        <f>1000000+INDEX(编号表!$B:$B,MATCH(C435,编号表!$A:$A,0))*1000+INDEX(编号表!$D:$D,MATCH(D435,编号表!$C:$C,0))*100+E435</f>
        <v>1013301</v>
      </c>
      <c r="C435" s="3" t="s">
        <v>201</v>
      </c>
      <c r="D435" s="11" t="s">
        <v>40</v>
      </c>
      <c r="E435" s="11">
        <f t="shared" si="10"/>
        <v>1</v>
      </c>
      <c r="F435" s="3" t="s">
        <v>198</v>
      </c>
      <c r="G435" s="16" t="s">
        <v>39</v>
      </c>
      <c r="H435" s="3">
        <v>60121001</v>
      </c>
      <c r="I435" s="12">
        <v>1</v>
      </c>
    </row>
    <row r="436" spans="2:9">
      <c r="B436" s="11">
        <f>1000000+INDEX(编号表!$B:$B,MATCH(C436,编号表!$A:$A,0))*1000+INDEX(编号表!$D:$D,MATCH(D436,编号表!$C:$C,0))*100+E436</f>
        <v>1013401</v>
      </c>
      <c r="C436" s="3" t="s">
        <v>201</v>
      </c>
      <c r="D436" s="11" t="s">
        <v>42</v>
      </c>
      <c r="E436" s="11">
        <f t="shared" si="10"/>
        <v>1</v>
      </c>
      <c r="F436" s="3" t="s">
        <v>199</v>
      </c>
      <c r="G436" s="16" t="s">
        <v>39</v>
      </c>
      <c r="H436" s="3">
        <v>60121002</v>
      </c>
      <c r="I436" s="12">
        <v>1</v>
      </c>
    </row>
    <row r="437" spans="2:9">
      <c r="B437" s="11">
        <f>1000000+INDEX(编号表!$B:$B,MATCH(C437,编号表!$A:$A,0))*1000+INDEX(编号表!$D:$D,MATCH(D437,编号表!$C:$C,0))*100+E437</f>
        <v>1013501</v>
      </c>
      <c r="C437" s="3" t="s">
        <v>201</v>
      </c>
      <c r="D437" s="11" t="s">
        <v>44</v>
      </c>
      <c r="E437" s="11">
        <f t="shared" si="10"/>
        <v>1</v>
      </c>
      <c r="F437" s="3" t="s">
        <v>200</v>
      </c>
      <c r="G437" s="16" t="s">
        <v>39</v>
      </c>
      <c r="H437" s="3">
        <v>60121003</v>
      </c>
      <c r="I437" s="12">
        <v>1</v>
      </c>
    </row>
    <row r="438" spans="2:9">
      <c r="B438" s="11">
        <f>1000000+INDEX(编号表!$B:$B,MATCH(C438,编号表!$A:$A,0))*1000+INDEX(编号表!$D:$D,MATCH(D438,编号表!$C:$C,0))*100+E438</f>
        <v>1013601</v>
      </c>
      <c r="C438" s="3" t="s">
        <v>201</v>
      </c>
      <c r="D438" s="11" t="s">
        <v>46</v>
      </c>
      <c r="E438" s="11">
        <f t="shared" si="10"/>
        <v>1</v>
      </c>
      <c r="F438" s="3" t="s">
        <v>202</v>
      </c>
      <c r="G438" s="16" t="s">
        <v>39</v>
      </c>
      <c r="H438" s="3">
        <v>60121004</v>
      </c>
      <c r="I438" s="12">
        <v>1</v>
      </c>
    </row>
    <row r="439" spans="2:9">
      <c r="B439" s="11">
        <f>1000000+INDEX(编号表!$B:$B,MATCH(C439,编号表!$A:$A,0))*1000+INDEX(编号表!$D:$D,MATCH(D439,编号表!$C:$C,0))*100+E439</f>
        <v>1013202</v>
      </c>
      <c r="C439" s="3" t="s">
        <v>201</v>
      </c>
      <c r="D439" s="11" t="s">
        <v>37</v>
      </c>
      <c r="E439" s="11">
        <f t="shared" si="10"/>
        <v>2</v>
      </c>
      <c r="F439" s="3" t="s">
        <v>193</v>
      </c>
      <c r="G439" s="16" t="s">
        <v>39</v>
      </c>
      <c r="H439" s="3">
        <v>60121000</v>
      </c>
      <c r="I439" s="12">
        <v>2</v>
      </c>
    </row>
    <row r="440" spans="2:9">
      <c r="B440" s="11">
        <f>1000000+INDEX(编号表!$B:$B,MATCH(C440,编号表!$A:$A,0))*1000+INDEX(编号表!$D:$D,MATCH(D440,编号表!$C:$C,0))*100+E440</f>
        <v>1013302</v>
      </c>
      <c r="C440" s="3" t="s">
        <v>201</v>
      </c>
      <c r="D440" s="11" t="s">
        <v>40</v>
      </c>
      <c r="E440" s="11">
        <f t="shared" si="10"/>
        <v>2</v>
      </c>
      <c r="F440" s="3" t="s">
        <v>198</v>
      </c>
      <c r="G440" s="16" t="s">
        <v>39</v>
      </c>
      <c r="H440" s="3">
        <v>60121001</v>
      </c>
      <c r="I440" s="12">
        <v>2</v>
      </c>
    </row>
    <row r="441" spans="2:9">
      <c r="B441" s="11">
        <f>1000000+INDEX(编号表!$B:$B,MATCH(C441,编号表!$A:$A,0))*1000+INDEX(编号表!$D:$D,MATCH(D441,编号表!$C:$C,0))*100+E441</f>
        <v>1013402</v>
      </c>
      <c r="C441" s="3" t="s">
        <v>201</v>
      </c>
      <c r="D441" s="11" t="s">
        <v>42</v>
      </c>
      <c r="E441" s="11">
        <f t="shared" si="10"/>
        <v>2</v>
      </c>
      <c r="F441" s="3" t="s">
        <v>199</v>
      </c>
      <c r="G441" s="16" t="s">
        <v>39</v>
      </c>
      <c r="H441" s="3">
        <v>60121002</v>
      </c>
      <c r="I441" s="12">
        <v>2</v>
      </c>
    </row>
    <row r="442" spans="2:9">
      <c r="B442" s="11">
        <f>1000000+INDEX(编号表!$B:$B,MATCH(C442,编号表!$A:$A,0))*1000+INDEX(编号表!$D:$D,MATCH(D442,编号表!$C:$C,0))*100+E442</f>
        <v>1013502</v>
      </c>
      <c r="C442" s="3" t="s">
        <v>201</v>
      </c>
      <c r="D442" s="11" t="s">
        <v>44</v>
      </c>
      <c r="E442" s="11">
        <f t="shared" si="10"/>
        <v>2</v>
      </c>
      <c r="F442" s="3" t="s">
        <v>200</v>
      </c>
      <c r="G442" s="16" t="s">
        <v>39</v>
      </c>
      <c r="H442" s="3">
        <v>60121003</v>
      </c>
      <c r="I442" s="12">
        <v>2</v>
      </c>
    </row>
    <row r="443" spans="2:9">
      <c r="B443" s="11">
        <f>1000000+INDEX(编号表!$B:$B,MATCH(C443,编号表!$A:$A,0))*1000+INDEX(编号表!$D:$D,MATCH(D443,编号表!$C:$C,0))*100+E443</f>
        <v>1013602</v>
      </c>
      <c r="C443" s="3" t="s">
        <v>201</v>
      </c>
      <c r="D443" s="11" t="s">
        <v>46</v>
      </c>
      <c r="E443" s="11">
        <f t="shared" si="10"/>
        <v>2</v>
      </c>
      <c r="F443" s="3" t="s">
        <v>202</v>
      </c>
      <c r="G443" s="16" t="s">
        <v>39</v>
      </c>
      <c r="H443" s="3">
        <v>60121004</v>
      </c>
      <c r="I443" s="12">
        <v>2</v>
      </c>
    </row>
    <row r="444" spans="2:9">
      <c r="B444" s="11">
        <f>1000000+INDEX(编号表!$B:$B,MATCH(C444,编号表!$A:$A,0))*1000+INDEX(编号表!$D:$D,MATCH(D444,编号表!$C:$C,0))*100+E444</f>
        <v>1013203</v>
      </c>
      <c r="C444" s="3" t="s">
        <v>201</v>
      </c>
      <c r="D444" s="11" t="s">
        <v>37</v>
      </c>
      <c r="E444" s="11">
        <f t="shared" si="10"/>
        <v>3</v>
      </c>
      <c r="F444" s="3" t="s">
        <v>193</v>
      </c>
      <c r="G444" s="16" t="s">
        <v>39</v>
      </c>
      <c r="H444" s="3">
        <v>60121000</v>
      </c>
      <c r="I444" s="12">
        <v>3</v>
      </c>
    </row>
    <row r="445" spans="2:9">
      <c r="B445" s="11">
        <f>1000000+INDEX(编号表!$B:$B,MATCH(C445,编号表!$A:$A,0))*1000+INDEX(编号表!$D:$D,MATCH(D445,编号表!$C:$C,0))*100+E445</f>
        <v>1013303</v>
      </c>
      <c r="C445" s="3" t="s">
        <v>201</v>
      </c>
      <c r="D445" s="11" t="s">
        <v>40</v>
      </c>
      <c r="E445" s="11">
        <f t="shared" si="10"/>
        <v>3</v>
      </c>
      <c r="F445" s="3" t="s">
        <v>198</v>
      </c>
      <c r="G445" s="16" t="s">
        <v>39</v>
      </c>
      <c r="H445" s="3">
        <v>60121001</v>
      </c>
      <c r="I445" s="12">
        <v>3</v>
      </c>
    </row>
    <row r="446" spans="2:9">
      <c r="B446" s="11">
        <f>1000000+INDEX(编号表!$B:$B,MATCH(C446,编号表!$A:$A,0))*1000+INDEX(编号表!$D:$D,MATCH(D446,编号表!$C:$C,0))*100+E446</f>
        <v>1013403</v>
      </c>
      <c r="C446" s="3" t="s">
        <v>201</v>
      </c>
      <c r="D446" s="11" t="s">
        <v>42</v>
      </c>
      <c r="E446" s="11">
        <f t="shared" si="10"/>
        <v>3</v>
      </c>
      <c r="F446" s="3" t="s">
        <v>199</v>
      </c>
      <c r="G446" s="16" t="s">
        <v>39</v>
      </c>
      <c r="H446" s="3">
        <v>60121002</v>
      </c>
      <c r="I446" s="12">
        <v>3</v>
      </c>
    </row>
    <row r="447" spans="2:9">
      <c r="B447" s="11">
        <f>1000000+INDEX(编号表!$B:$B,MATCH(C447,编号表!$A:$A,0))*1000+INDEX(编号表!$D:$D,MATCH(D447,编号表!$C:$C,0))*100+E447</f>
        <v>1013503</v>
      </c>
      <c r="C447" s="3" t="s">
        <v>201</v>
      </c>
      <c r="D447" s="11" t="s">
        <v>44</v>
      </c>
      <c r="E447" s="11">
        <f t="shared" si="10"/>
        <v>3</v>
      </c>
      <c r="F447" s="3" t="s">
        <v>200</v>
      </c>
      <c r="G447" s="16" t="s">
        <v>39</v>
      </c>
      <c r="H447" s="3">
        <v>60121003</v>
      </c>
      <c r="I447" s="12">
        <v>3</v>
      </c>
    </row>
    <row r="448" spans="2:9">
      <c r="B448" s="11">
        <f>1000000+INDEX(编号表!$B:$B,MATCH(C448,编号表!$A:$A,0))*1000+INDEX(编号表!$D:$D,MATCH(D448,编号表!$C:$C,0))*100+E448</f>
        <v>1013603</v>
      </c>
      <c r="C448" s="3" t="s">
        <v>201</v>
      </c>
      <c r="D448" s="11" t="s">
        <v>46</v>
      </c>
      <c r="E448" s="11">
        <f t="shared" si="10"/>
        <v>3</v>
      </c>
      <c r="F448" s="3" t="s">
        <v>202</v>
      </c>
      <c r="G448" s="16" t="s">
        <v>39</v>
      </c>
      <c r="H448" s="3">
        <v>60121004</v>
      </c>
      <c r="I448" s="12">
        <v>3</v>
      </c>
    </row>
    <row r="449" spans="2:9">
      <c r="B449" s="11">
        <f>1000000+INDEX(编号表!$B:$B,MATCH(C449,编号表!$A:$A,0))*1000+INDEX(编号表!$D:$D,MATCH(D449,编号表!$C:$C,0))*100+E449</f>
        <v>1013205</v>
      </c>
      <c r="C449" s="3" t="s">
        <v>201</v>
      </c>
      <c r="D449" s="11" t="s">
        <v>37</v>
      </c>
      <c r="E449" s="11">
        <f t="shared" si="10"/>
        <v>5</v>
      </c>
      <c r="F449" s="3" t="s">
        <v>193</v>
      </c>
      <c r="G449" s="16" t="s">
        <v>39</v>
      </c>
      <c r="H449" s="3">
        <v>60121000</v>
      </c>
      <c r="I449" s="12">
        <v>5</v>
      </c>
    </row>
    <row r="450" spans="2:9">
      <c r="B450" s="11">
        <f>1000000+INDEX(编号表!$B:$B,MATCH(C450,编号表!$A:$A,0))*1000+INDEX(编号表!$D:$D,MATCH(D450,编号表!$C:$C,0))*100+E450</f>
        <v>1013305</v>
      </c>
      <c r="C450" s="3" t="s">
        <v>201</v>
      </c>
      <c r="D450" s="11" t="s">
        <v>40</v>
      </c>
      <c r="E450" s="11">
        <f t="shared" si="10"/>
        <v>5</v>
      </c>
      <c r="F450" s="3" t="s">
        <v>198</v>
      </c>
      <c r="G450" s="16" t="s">
        <v>39</v>
      </c>
      <c r="H450" s="3">
        <v>60121001</v>
      </c>
      <c r="I450" s="12">
        <v>5</v>
      </c>
    </row>
    <row r="451" spans="2:9">
      <c r="B451" s="11">
        <f>1000000+INDEX(编号表!$B:$B,MATCH(C451,编号表!$A:$A,0))*1000+INDEX(编号表!$D:$D,MATCH(D451,编号表!$C:$C,0))*100+E451</f>
        <v>1013405</v>
      </c>
      <c r="C451" s="3" t="s">
        <v>201</v>
      </c>
      <c r="D451" s="11" t="s">
        <v>42</v>
      </c>
      <c r="E451" s="11">
        <f t="shared" si="10"/>
        <v>5</v>
      </c>
      <c r="F451" s="3" t="s">
        <v>199</v>
      </c>
      <c r="G451" s="16" t="s">
        <v>39</v>
      </c>
      <c r="H451" s="3">
        <v>60121002</v>
      </c>
      <c r="I451" s="12">
        <v>5</v>
      </c>
    </row>
    <row r="452" spans="2:9">
      <c r="B452" s="11">
        <f>1000000+INDEX(编号表!$B:$B,MATCH(C452,编号表!$A:$A,0))*1000+INDEX(编号表!$D:$D,MATCH(D452,编号表!$C:$C,0))*100+E452</f>
        <v>1013505</v>
      </c>
      <c r="C452" s="3" t="s">
        <v>201</v>
      </c>
      <c r="D452" s="11" t="s">
        <v>44</v>
      </c>
      <c r="E452" s="11">
        <f t="shared" si="10"/>
        <v>5</v>
      </c>
      <c r="F452" s="3" t="s">
        <v>200</v>
      </c>
      <c r="G452" s="16" t="s">
        <v>39</v>
      </c>
      <c r="H452" s="3">
        <v>60121003</v>
      </c>
      <c r="I452" s="12">
        <v>5</v>
      </c>
    </row>
    <row r="453" spans="2:9">
      <c r="B453" s="11">
        <f>1000000+INDEX(编号表!$B:$B,MATCH(C453,编号表!$A:$A,0))*1000+INDEX(编号表!$D:$D,MATCH(D453,编号表!$C:$C,0))*100+E453</f>
        <v>1013605</v>
      </c>
      <c r="C453" s="3" t="s">
        <v>201</v>
      </c>
      <c r="D453" s="11" t="s">
        <v>46</v>
      </c>
      <c r="E453" s="11">
        <f t="shared" si="10"/>
        <v>5</v>
      </c>
      <c r="F453" s="3" t="s">
        <v>202</v>
      </c>
      <c r="G453" s="16" t="s">
        <v>39</v>
      </c>
      <c r="H453" s="3">
        <v>60121004</v>
      </c>
      <c r="I453" s="12">
        <v>5</v>
      </c>
    </row>
    <row r="454" spans="2:9">
      <c r="B454" s="11">
        <f>1000000+INDEX(编号表!$B:$B,MATCH(C454,编号表!$A:$A,0))*1000+INDEX(编号表!$D:$D,MATCH(D454,编号表!$C:$C,0))*100+E454</f>
        <v>1013210</v>
      </c>
      <c r="C454" s="3" t="s">
        <v>201</v>
      </c>
      <c r="D454" s="11" t="s">
        <v>37</v>
      </c>
      <c r="E454" s="11">
        <f t="shared" si="10"/>
        <v>10</v>
      </c>
      <c r="F454" s="3" t="s">
        <v>193</v>
      </c>
      <c r="G454" s="16" t="s">
        <v>39</v>
      </c>
      <c r="H454" s="3">
        <v>60121000</v>
      </c>
      <c r="I454" s="12">
        <v>10</v>
      </c>
    </row>
    <row r="455" spans="2:9">
      <c r="B455" s="11">
        <f>1000000+INDEX(编号表!$B:$B,MATCH(C455,编号表!$A:$A,0))*1000+INDEX(编号表!$D:$D,MATCH(D455,编号表!$C:$C,0))*100+E455</f>
        <v>1013310</v>
      </c>
      <c r="C455" s="3" t="s">
        <v>201</v>
      </c>
      <c r="D455" s="11" t="s">
        <v>40</v>
      </c>
      <c r="E455" s="11">
        <f t="shared" si="10"/>
        <v>10</v>
      </c>
      <c r="F455" s="3" t="s">
        <v>198</v>
      </c>
      <c r="G455" s="16" t="s">
        <v>39</v>
      </c>
      <c r="H455" s="3">
        <v>60121001</v>
      </c>
      <c r="I455" s="12">
        <v>10</v>
      </c>
    </row>
    <row r="456" spans="2:9">
      <c r="B456" s="11">
        <f>1000000+INDEX(编号表!$B:$B,MATCH(C456,编号表!$A:$A,0))*1000+INDEX(编号表!$D:$D,MATCH(D456,编号表!$C:$C,0))*100+E456</f>
        <v>1013410</v>
      </c>
      <c r="C456" s="3" t="s">
        <v>201</v>
      </c>
      <c r="D456" s="11" t="s">
        <v>42</v>
      </c>
      <c r="E456" s="11">
        <f t="shared" si="10"/>
        <v>10</v>
      </c>
      <c r="F456" s="3" t="s">
        <v>199</v>
      </c>
      <c r="G456" s="16" t="s">
        <v>39</v>
      </c>
      <c r="H456" s="3">
        <v>60121002</v>
      </c>
      <c r="I456" s="12">
        <v>10</v>
      </c>
    </row>
    <row r="457" spans="2:9">
      <c r="B457" s="11">
        <f>1000000+INDEX(编号表!$B:$B,MATCH(C457,编号表!$A:$A,0))*1000+INDEX(编号表!$D:$D,MATCH(D457,编号表!$C:$C,0))*100+E457</f>
        <v>1013510</v>
      </c>
      <c r="C457" s="3" t="s">
        <v>201</v>
      </c>
      <c r="D457" s="11" t="s">
        <v>44</v>
      </c>
      <c r="E457" s="11">
        <f t="shared" si="10"/>
        <v>10</v>
      </c>
      <c r="F457" s="3" t="s">
        <v>200</v>
      </c>
      <c r="G457" s="16" t="s">
        <v>39</v>
      </c>
      <c r="H457" s="3">
        <v>60121003</v>
      </c>
      <c r="I457" s="12">
        <v>10</v>
      </c>
    </row>
    <row r="458" spans="2:9">
      <c r="B458" s="11">
        <f>1000000+INDEX(编号表!$B:$B,MATCH(C458,编号表!$A:$A,0))*1000+INDEX(编号表!$D:$D,MATCH(D458,编号表!$C:$C,0))*100+E458</f>
        <v>1013610</v>
      </c>
      <c r="C458" s="3" t="s">
        <v>201</v>
      </c>
      <c r="D458" s="11" t="s">
        <v>46</v>
      </c>
      <c r="E458" s="11">
        <f t="shared" si="10"/>
        <v>10</v>
      </c>
      <c r="F458" s="3" t="s">
        <v>202</v>
      </c>
      <c r="G458" s="16" t="s">
        <v>39</v>
      </c>
      <c r="H458" s="3">
        <v>60121004</v>
      </c>
      <c r="I458" s="12">
        <v>10</v>
      </c>
    </row>
    <row r="459" spans="2:9">
      <c r="B459" s="11">
        <f>1000000+INDEX(编号表!$B:$B,MATCH(C459,编号表!$A:$A,0))*1000+INDEX(编号表!$D:$D,MATCH(D459,编号表!$C:$C,0))*100+E459</f>
        <v>1013215</v>
      </c>
      <c r="C459" s="3" t="s">
        <v>201</v>
      </c>
      <c r="D459" s="11" t="s">
        <v>37</v>
      </c>
      <c r="E459" s="11">
        <f t="shared" si="10"/>
        <v>15</v>
      </c>
      <c r="F459" s="3" t="s">
        <v>193</v>
      </c>
      <c r="G459" s="16" t="s">
        <v>39</v>
      </c>
      <c r="H459" s="3">
        <v>60121000</v>
      </c>
      <c r="I459" s="12">
        <v>15</v>
      </c>
    </row>
    <row r="460" spans="2:9">
      <c r="B460" s="11">
        <f>1000000+INDEX(编号表!$B:$B,MATCH(C460,编号表!$A:$A,0))*1000+INDEX(编号表!$D:$D,MATCH(D460,编号表!$C:$C,0))*100+E460</f>
        <v>1013315</v>
      </c>
      <c r="C460" s="3" t="s">
        <v>201</v>
      </c>
      <c r="D460" s="11" t="s">
        <v>40</v>
      </c>
      <c r="E460" s="11">
        <f t="shared" si="10"/>
        <v>15</v>
      </c>
      <c r="F460" s="3" t="s">
        <v>198</v>
      </c>
      <c r="G460" s="16" t="s">
        <v>39</v>
      </c>
      <c r="H460" s="3">
        <v>60121001</v>
      </c>
      <c r="I460" s="12">
        <v>15</v>
      </c>
    </row>
    <row r="461" spans="2:9">
      <c r="B461" s="11">
        <f>1000000+INDEX(编号表!$B:$B,MATCH(C461,编号表!$A:$A,0))*1000+INDEX(编号表!$D:$D,MATCH(D461,编号表!$C:$C,0))*100+E461</f>
        <v>1013415</v>
      </c>
      <c r="C461" s="3" t="s">
        <v>201</v>
      </c>
      <c r="D461" s="11" t="s">
        <v>42</v>
      </c>
      <c r="E461" s="11">
        <f t="shared" si="10"/>
        <v>15</v>
      </c>
      <c r="F461" s="3" t="s">
        <v>199</v>
      </c>
      <c r="G461" s="16" t="s">
        <v>39</v>
      </c>
      <c r="H461" s="3">
        <v>60121002</v>
      </c>
      <c r="I461" s="12">
        <v>15</v>
      </c>
    </row>
    <row r="462" spans="2:9">
      <c r="B462" s="11">
        <f>1000000+INDEX(编号表!$B:$B,MATCH(C462,编号表!$A:$A,0))*1000+INDEX(编号表!$D:$D,MATCH(D462,编号表!$C:$C,0))*100+E462</f>
        <v>1013515</v>
      </c>
      <c r="C462" s="3" t="s">
        <v>201</v>
      </c>
      <c r="D462" s="11" t="s">
        <v>44</v>
      </c>
      <c r="E462" s="11">
        <f t="shared" si="10"/>
        <v>15</v>
      </c>
      <c r="F462" s="3" t="s">
        <v>200</v>
      </c>
      <c r="G462" s="16" t="s">
        <v>39</v>
      </c>
      <c r="H462" s="3">
        <v>60121003</v>
      </c>
      <c r="I462" s="12">
        <v>15</v>
      </c>
    </row>
    <row r="463" spans="2:9">
      <c r="B463" s="11">
        <f>1000000+INDEX(编号表!$B:$B,MATCH(C463,编号表!$A:$A,0))*1000+INDEX(编号表!$D:$D,MATCH(D463,编号表!$C:$C,0))*100+E463</f>
        <v>1013615</v>
      </c>
      <c r="C463" s="3" t="s">
        <v>201</v>
      </c>
      <c r="D463" s="11" t="s">
        <v>46</v>
      </c>
      <c r="E463" s="11">
        <f t="shared" si="10"/>
        <v>15</v>
      </c>
      <c r="F463" s="3" t="s">
        <v>202</v>
      </c>
      <c r="G463" s="16" t="s">
        <v>39</v>
      </c>
      <c r="H463" s="3">
        <v>60121004</v>
      </c>
      <c r="I463" s="12">
        <v>15</v>
      </c>
    </row>
    <row r="464" spans="2:9">
      <c r="B464" s="11">
        <f>1000000+INDEX(编号表!$B:$B,MATCH(C464,编号表!$A:$A,0))*1000+INDEX(编号表!$D:$D,MATCH(D464,编号表!$C:$C,0))*100+E464</f>
        <v>1014001</v>
      </c>
      <c r="C464" s="3" t="s">
        <v>203</v>
      </c>
      <c r="D464" s="11" t="s">
        <v>55</v>
      </c>
      <c r="E464" s="11">
        <v>1</v>
      </c>
      <c r="F464" s="17" t="s">
        <v>167</v>
      </c>
      <c r="G464" s="16" t="s">
        <v>57</v>
      </c>
      <c r="H464" s="11">
        <v>60134000</v>
      </c>
      <c r="I464" s="12">
        <v>1</v>
      </c>
    </row>
    <row r="465" spans="2:9">
      <c r="B465" s="11">
        <f>1000000+INDEX(编号表!$B:$B,MATCH(C465,编号表!$A:$A,0))*1000+INDEX(编号表!$D:$D,MATCH(D465,编号表!$C:$C,0))*100+E465</f>
        <v>1014101</v>
      </c>
      <c r="C465" s="3" t="s">
        <v>203</v>
      </c>
      <c r="D465" s="11" t="s">
        <v>58</v>
      </c>
      <c r="E465" s="11">
        <v>1</v>
      </c>
      <c r="F465" s="17" t="s">
        <v>59</v>
      </c>
      <c r="G465" s="16" t="s">
        <v>57</v>
      </c>
      <c r="H465" s="3">
        <v>60132000</v>
      </c>
      <c r="I465" s="12">
        <v>1</v>
      </c>
    </row>
    <row r="466" spans="2:9">
      <c r="B466" s="11">
        <f>1000000+INDEX(编号表!$B:$B,MATCH(C466,编号表!$A:$A,0))*1000+INDEX(编号表!$D:$D,MATCH(D466,编号表!$C:$C,0))*100+E466</f>
        <v>1014201</v>
      </c>
      <c r="C466" s="3" t="s">
        <v>203</v>
      </c>
      <c r="D466" s="11" t="s">
        <v>37</v>
      </c>
      <c r="E466" s="11">
        <f t="shared" ref="E466:E495" si="11">I466+K466+M466+O466+Q466+S466+U466+W466+Y466+AA466</f>
        <v>1</v>
      </c>
      <c r="F466" s="3" t="s">
        <v>193</v>
      </c>
      <c r="G466" s="16" t="s">
        <v>39</v>
      </c>
      <c r="H466" s="3">
        <v>60131000</v>
      </c>
      <c r="I466" s="12">
        <v>1</v>
      </c>
    </row>
    <row r="467" spans="2:9">
      <c r="B467" s="11">
        <f>1000000+INDEX(编号表!$B:$B,MATCH(C467,编号表!$A:$A,0))*1000+INDEX(编号表!$D:$D,MATCH(D467,编号表!$C:$C,0))*100+E467</f>
        <v>1014301</v>
      </c>
      <c r="C467" s="3" t="s">
        <v>203</v>
      </c>
      <c r="D467" s="11" t="s">
        <v>40</v>
      </c>
      <c r="E467" s="11">
        <f t="shared" si="11"/>
        <v>1</v>
      </c>
      <c r="F467" s="3" t="s">
        <v>198</v>
      </c>
      <c r="G467" s="16" t="s">
        <v>39</v>
      </c>
      <c r="H467" s="3">
        <v>60131001</v>
      </c>
      <c r="I467" s="12">
        <v>1</v>
      </c>
    </row>
    <row r="468" spans="2:9">
      <c r="B468" s="11">
        <f>1000000+INDEX(编号表!$B:$B,MATCH(C468,编号表!$A:$A,0))*1000+INDEX(编号表!$D:$D,MATCH(D468,编号表!$C:$C,0))*100+E468</f>
        <v>1014401</v>
      </c>
      <c r="C468" s="3" t="s">
        <v>203</v>
      </c>
      <c r="D468" s="11" t="s">
        <v>42</v>
      </c>
      <c r="E468" s="11">
        <f t="shared" si="11"/>
        <v>1</v>
      </c>
      <c r="F468" s="3" t="s">
        <v>199</v>
      </c>
      <c r="G468" s="16" t="s">
        <v>39</v>
      </c>
      <c r="H468" s="3">
        <v>60131002</v>
      </c>
      <c r="I468" s="12">
        <v>1</v>
      </c>
    </row>
    <row r="469" spans="2:9">
      <c r="B469" s="11">
        <f>1000000+INDEX(编号表!$B:$B,MATCH(C469,编号表!$A:$A,0))*1000+INDEX(编号表!$D:$D,MATCH(D469,编号表!$C:$C,0))*100+E469</f>
        <v>1014501</v>
      </c>
      <c r="C469" s="3" t="s">
        <v>203</v>
      </c>
      <c r="D469" s="11" t="s">
        <v>44</v>
      </c>
      <c r="E469" s="11">
        <f t="shared" si="11"/>
        <v>1</v>
      </c>
      <c r="F469" s="3" t="s">
        <v>200</v>
      </c>
      <c r="G469" s="16" t="s">
        <v>39</v>
      </c>
      <c r="H469" s="3">
        <v>60131003</v>
      </c>
      <c r="I469" s="12">
        <v>1</v>
      </c>
    </row>
    <row r="470" spans="2:9">
      <c r="B470" s="11">
        <f>1000000+INDEX(编号表!$B:$B,MATCH(C470,编号表!$A:$A,0))*1000+INDEX(编号表!$D:$D,MATCH(D470,编号表!$C:$C,0))*100+E470</f>
        <v>1014601</v>
      </c>
      <c r="C470" s="3" t="s">
        <v>203</v>
      </c>
      <c r="D470" s="11" t="s">
        <v>46</v>
      </c>
      <c r="E470" s="11">
        <f t="shared" si="11"/>
        <v>1</v>
      </c>
      <c r="F470" s="3" t="s">
        <v>202</v>
      </c>
      <c r="G470" s="16" t="s">
        <v>39</v>
      </c>
      <c r="H470" s="3">
        <v>60131004</v>
      </c>
      <c r="I470" s="12">
        <v>1</v>
      </c>
    </row>
    <row r="471" spans="2:9">
      <c r="B471" s="11">
        <f>1000000+INDEX(编号表!$B:$B,MATCH(C471,编号表!$A:$A,0))*1000+INDEX(编号表!$D:$D,MATCH(D471,编号表!$C:$C,0))*100+E471</f>
        <v>1014202</v>
      </c>
      <c r="C471" s="3" t="s">
        <v>203</v>
      </c>
      <c r="D471" s="11" t="s">
        <v>37</v>
      </c>
      <c r="E471" s="11">
        <f t="shared" si="11"/>
        <v>2</v>
      </c>
      <c r="F471" s="3" t="s">
        <v>193</v>
      </c>
      <c r="G471" s="16" t="s">
        <v>39</v>
      </c>
      <c r="H471" s="3">
        <v>60131000</v>
      </c>
      <c r="I471" s="12">
        <v>2</v>
      </c>
    </row>
    <row r="472" spans="2:9">
      <c r="B472" s="11">
        <f>1000000+INDEX(编号表!$B:$B,MATCH(C472,编号表!$A:$A,0))*1000+INDEX(编号表!$D:$D,MATCH(D472,编号表!$C:$C,0))*100+E472</f>
        <v>1014302</v>
      </c>
      <c r="C472" s="3" t="s">
        <v>203</v>
      </c>
      <c r="D472" s="11" t="s">
        <v>40</v>
      </c>
      <c r="E472" s="11">
        <f t="shared" si="11"/>
        <v>2</v>
      </c>
      <c r="F472" s="3" t="s">
        <v>198</v>
      </c>
      <c r="G472" s="16" t="s">
        <v>39</v>
      </c>
      <c r="H472" s="3">
        <v>60131001</v>
      </c>
      <c r="I472" s="12">
        <v>2</v>
      </c>
    </row>
    <row r="473" spans="2:9">
      <c r="B473" s="11">
        <f>1000000+INDEX(编号表!$B:$B,MATCH(C473,编号表!$A:$A,0))*1000+INDEX(编号表!$D:$D,MATCH(D473,编号表!$C:$C,0))*100+E473</f>
        <v>1014402</v>
      </c>
      <c r="C473" s="3" t="s">
        <v>203</v>
      </c>
      <c r="D473" s="11" t="s">
        <v>42</v>
      </c>
      <c r="E473" s="11">
        <f t="shared" si="11"/>
        <v>2</v>
      </c>
      <c r="F473" s="3" t="s">
        <v>199</v>
      </c>
      <c r="G473" s="16" t="s">
        <v>39</v>
      </c>
      <c r="H473" s="3">
        <v>60131002</v>
      </c>
      <c r="I473" s="12">
        <v>2</v>
      </c>
    </row>
    <row r="474" spans="2:9">
      <c r="B474" s="11">
        <f>1000000+INDEX(编号表!$B:$B,MATCH(C474,编号表!$A:$A,0))*1000+INDEX(编号表!$D:$D,MATCH(D474,编号表!$C:$C,0))*100+E474</f>
        <v>1014502</v>
      </c>
      <c r="C474" s="3" t="s">
        <v>203</v>
      </c>
      <c r="D474" s="11" t="s">
        <v>44</v>
      </c>
      <c r="E474" s="11">
        <f t="shared" si="11"/>
        <v>2</v>
      </c>
      <c r="F474" s="3" t="s">
        <v>200</v>
      </c>
      <c r="G474" s="16" t="s">
        <v>39</v>
      </c>
      <c r="H474" s="3">
        <v>60131003</v>
      </c>
      <c r="I474" s="12">
        <v>2</v>
      </c>
    </row>
    <row r="475" spans="2:9">
      <c r="B475" s="11">
        <f>1000000+INDEX(编号表!$B:$B,MATCH(C475,编号表!$A:$A,0))*1000+INDEX(编号表!$D:$D,MATCH(D475,编号表!$C:$C,0))*100+E475</f>
        <v>1014602</v>
      </c>
      <c r="C475" s="3" t="s">
        <v>203</v>
      </c>
      <c r="D475" s="11" t="s">
        <v>46</v>
      </c>
      <c r="E475" s="11">
        <f t="shared" si="11"/>
        <v>2</v>
      </c>
      <c r="F475" s="3" t="s">
        <v>202</v>
      </c>
      <c r="G475" s="16" t="s">
        <v>39</v>
      </c>
      <c r="H475" s="3">
        <v>60131004</v>
      </c>
      <c r="I475" s="12">
        <v>2</v>
      </c>
    </row>
    <row r="476" spans="2:9">
      <c r="B476" s="11">
        <f>1000000+INDEX(编号表!$B:$B,MATCH(C476,编号表!$A:$A,0))*1000+INDEX(编号表!$D:$D,MATCH(D476,编号表!$C:$C,0))*100+E476</f>
        <v>1014203</v>
      </c>
      <c r="C476" s="3" t="s">
        <v>203</v>
      </c>
      <c r="D476" s="11" t="s">
        <v>37</v>
      </c>
      <c r="E476" s="11">
        <f t="shared" si="11"/>
        <v>3</v>
      </c>
      <c r="F476" s="3" t="s">
        <v>193</v>
      </c>
      <c r="G476" s="16" t="s">
        <v>39</v>
      </c>
      <c r="H476" s="3">
        <v>60131000</v>
      </c>
      <c r="I476" s="12">
        <v>3</v>
      </c>
    </row>
    <row r="477" spans="2:9">
      <c r="B477" s="11">
        <f>1000000+INDEX(编号表!$B:$B,MATCH(C477,编号表!$A:$A,0))*1000+INDEX(编号表!$D:$D,MATCH(D477,编号表!$C:$C,0))*100+E477</f>
        <v>1014303</v>
      </c>
      <c r="C477" s="3" t="s">
        <v>203</v>
      </c>
      <c r="D477" s="11" t="s">
        <v>40</v>
      </c>
      <c r="E477" s="11">
        <f t="shared" si="11"/>
        <v>3</v>
      </c>
      <c r="F477" s="3" t="s">
        <v>198</v>
      </c>
      <c r="G477" s="16" t="s">
        <v>39</v>
      </c>
      <c r="H477" s="3">
        <v>60131001</v>
      </c>
      <c r="I477" s="12">
        <v>3</v>
      </c>
    </row>
    <row r="478" spans="2:9">
      <c r="B478" s="11">
        <f>1000000+INDEX(编号表!$B:$B,MATCH(C478,编号表!$A:$A,0))*1000+INDEX(编号表!$D:$D,MATCH(D478,编号表!$C:$C,0))*100+E478</f>
        <v>1014403</v>
      </c>
      <c r="C478" s="3" t="s">
        <v>203</v>
      </c>
      <c r="D478" s="11" t="s">
        <v>42</v>
      </c>
      <c r="E478" s="11">
        <f t="shared" si="11"/>
        <v>3</v>
      </c>
      <c r="F478" s="3" t="s">
        <v>199</v>
      </c>
      <c r="G478" s="16" t="s">
        <v>39</v>
      </c>
      <c r="H478" s="3">
        <v>60131002</v>
      </c>
      <c r="I478" s="12">
        <v>3</v>
      </c>
    </row>
    <row r="479" spans="2:9">
      <c r="B479" s="11">
        <f>1000000+INDEX(编号表!$B:$B,MATCH(C479,编号表!$A:$A,0))*1000+INDEX(编号表!$D:$D,MATCH(D479,编号表!$C:$C,0))*100+E479</f>
        <v>1014503</v>
      </c>
      <c r="C479" s="3" t="s">
        <v>203</v>
      </c>
      <c r="D479" s="11" t="s">
        <v>44</v>
      </c>
      <c r="E479" s="11">
        <f t="shared" si="11"/>
        <v>3</v>
      </c>
      <c r="F479" s="3" t="s">
        <v>200</v>
      </c>
      <c r="G479" s="16" t="s">
        <v>39</v>
      </c>
      <c r="H479" s="3">
        <v>60131003</v>
      </c>
      <c r="I479" s="12">
        <v>3</v>
      </c>
    </row>
    <row r="480" spans="2:9">
      <c r="B480" s="11">
        <f>1000000+INDEX(编号表!$B:$B,MATCH(C480,编号表!$A:$A,0))*1000+INDEX(编号表!$D:$D,MATCH(D480,编号表!$C:$C,0))*100+E480</f>
        <v>1014603</v>
      </c>
      <c r="C480" s="3" t="s">
        <v>203</v>
      </c>
      <c r="D480" s="11" t="s">
        <v>46</v>
      </c>
      <c r="E480" s="11">
        <f t="shared" si="11"/>
        <v>3</v>
      </c>
      <c r="F480" s="3" t="s">
        <v>202</v>
      </c>
      <c r="G480" s="16" t="s">
        <v>39</v>
      </c>
      <c r="H480" s="3">
        <v>60131004</v>
      </c>
      <c r="I480" s="12">
        <v>3</v>
      </c>
    </row>
    <row r="481" spans="2:9">
      <c r="B481" s="11">
        <f>1000000+INDEX(编号表!$B:$B,MATCH(C481,编号表!$A:$A,0))*1000+INDEX(编号表!$D:$D,MATCH(D481,编号表!$C:$C,0))*100+E481</f>
        <v>1014205</v>
      </c>
      <c r="C481" s="3" t="s">
        <v>203</v>
      </c>
      <c r="D481" s="11" t="s">
        <v>37</v>
      </c>
      <c r="E481" s="11">
        <f t="shared" si="11"/>
        <v>5</v>
      </c>
      <c r="F481" s="3" t="s">
        <v>193</v>
      </c>
      <c r="G481" s="16" t="s">
        <v>39</v>
      </c>
      <c r="H481" s="3">
        <v>60131000</v>
      </c>
      <c r="I481" s="12">
        <v>5</v>
      </c>
    </row>
    <row r="482" spans="2:9">
      <c r="B482" s="11">
        <f>1000000+INDEX(编号表!$B:$B,MATCH(C482,编号表!$A:$A,0))*1000+INDEX(编号表!$D:$D,MATCH(D482,编号表!$C:$C,0))*100+E482</f>
        <v>1014305</v>
      </c>
      <c r="C482" s="3" t="s">
        <v>203</v>
      </c>
      <c r="D482" s="11" t="s">
        <v>40</v>
      </c>
      <c r="E482" s="11">
        <f t="shared" si="11"/>
        <v>5</v>
      </c>
      <c r="F482" s="3" t="s">
        <v>198</v>
      </c>
      <c r="G482" s="16" t="s">
        <v>39</v>
      </c>
      <c r="H482" s="3">
        <v>60131001</v>
      </c>
      <c r="I482" s="12">
        <v>5</v>
      </c>
    </row>
    <row r="483" spans="2:9">
      <c r="B483" s="11">
        <f>1000000+INDEX(编号表!$B:$B,MATCH(C483,编号表!$A:$A,0))*1000+INDEX(编号表!$D:$D,MATCH(D483,编号表!$C:$C,0))*100+E483</f>
        <v>1014405</v>
      </c>
      <c r="C483" s="3" t="s">
        <v>203</v>
      </c>
      <c r="D483" s="11" t="s">
        <v>42</v>
      </c>
      <c r="E483" s="11">
        <f t="shared" si="11"/>
        <v>5</v>
      </c>
      <c r="F483" s="3" t="s">
        <v>199</v>
      </c>
      <c r="G483" s="16" t="s">
        <v>39</v>
      </c>
      <c r="H483" s="3">
        <v>60131002</v>
      </c>
      <c r="I483" s="12">
        <v>5</v>
      </c>
    </row>
    <row r="484" spans="2:9">
      <c r="B484" s="11">
        <f>1000000+INDEX(编号表!$B:$B,MATCH(C484,编号表!$A:$A,0))*1000+INDEX(编号表!$D:$D,MATCH(D484,编号表!$C:$C,0))*100+E484</f>
        <v>1014505</v>
      </c>
      <c r="C484" s="3" t="s">
        <v>203</v>
      </c>
      <c r="D484" s="11" t="s">
        <v>44</v>
      </c>
      <c r="E484" s="11">
        <f t="shared" si="11"/>
        <v>5</v>
      </c>
      <c r="F484" s="3" t="s">
        <v>200</v>
      </c>
      <c r="G484" s="16" t="s">
        <v>39</v>
      </c>
      <c r="H484" s="3">
        <v>60131003</v>
      </c>
      <c r="I484" s="12">
        <v>5</v>
      </c>
    </row>
    <row r="485" spans="2:9">
      <c r="B485" s="11">
        <f>1000000+INDEX(编号表!$B:$B,MATCH(C485,编号表!$A:$A,0))*1000+INDEX(编号表!$D:$D,MATCH(D485,编号表!$C:$C,0))*100+E485</f>
        <v>1014605</v>
      </c>
      <c r="C485" s="3" t="s">
        <v>203</v>
      </c>
      <c r="D485" s="11" t="s">
        <v>46</v>
      </c>
      <c r="E485" s="11">
        <f t="shared" si="11"/>
        <v>5</v>
      </c>
      <c r="F485" s="3" t="s">
        <v>202</v>
      </c>
      <c r="G485" s="16" t="s">
        <v>39</v>
      </c>
      <c r="H485" s="3">
        <v>60131004</v>
      </c>
      <c r="I485" s="12">
        <v>5</v>
      </c>
    </row>
    <row r="486" spans="2:9">
      <c r="B486" s="11">
        <f>1000000+INDEX(编号表!$B:$B,MATCH(C486,编号表!$A:$A,0))*1000+INDEX(编号表!$D:$D,MATCH(D486,编号表!$C:$C,0))*100+E486</f>
        <v>1014210</v>
      </c>
      <c r="C486" s="3" t="s">
        <v>203</v>
      </c>
      <c r="D486" s="11" t="s">
        <v>37</v>
      </c>
      <c r="E486" s="11">
        <f t="shared" si="11"/>
        <v>10</v>
      </c>
      <c r="F486" s="3" t="s">
        <v>193</v>
      </c>
      <c r="G486" s="16" t="s">
        <v>39</v>
      </c>
      <c r="H486" s="3">
        <v>60131000</v>
      </c>
      <c r="I486" s="12">
        <v>10</v>
      </c>
    </row>
    <row r="487" spans="2:9">
      <c r="B487" s="11">
        <f>1000000+INDEX(编号表!$B:$B,MATCH(C487,编号表!$A:$A,0))*1000+INDEX(编号表!$D:$D,MATCH(D487,编号表!$C:$C,0))*100+E487</f>
        <v>1014310</v>
      </c>
      <c r="C487" s="3" t="s">
        <v>203</v>
      </c>
      <c r="D487" s="11" t="s">
        <v>40</v>
      </c>
      <c r="E487" s="11">
        <f t="shared" si="11"/>
        <v>10</v>
      </c>
      <c r="F487" s="3" t="s">
        <v>198</v>
      </c>
      <c r="G487" s="16" t="s">
        <v>39</v>
      </c>
      <c r="H487" s="3">
        <v>60131001</v>
      </c>
      <c r="I487" s="12">
        <v>10</v>
      </c>
    </row>
    <row r="488" spans="2:9">
      <c r="B488" s="11">
        <f>1000000+INDEX(编号表!$B:$B,MATCH(C488,编号表!$A:$A,0))*1000+INDEX(编号表!$D:$D,MATCH(D488,编号表!$C:$C,0))*100+E488</f>
        <v>1014410</v>
      </c>
      <c r="C488" s="3" t="s">
        <v>203</v>
      </c>
      <c r="D488" s="11" t="s">
        <v>42</v>
      </c>
      <c r="E488" s="11">
        <f t="shared" si="11"/>
        <v>10</v>
      </c>
      <c r="F488" s="3" t="s">
        <v>199</v>
      </c>
      <c r="G488" s="16" t="s">
        <v>39</v>
      </c>
      <c r="H488" s="3">
        <v>60131002</v>
      </c>
      <c r="I488" s="12">
        <v>10</v>
      </c>
    </row>
    <row r="489" spans="2:9">
      <c r="B489" s="11">
        <f>1000000+INDEX(编号表!$B:$B,MATCH(C489,编号表!$A:$A,0))*1000+INDEX(编号表!$D:$D,MATCH(D489,编号表!$C:$C,0))*100+E489</f>
        <v>1014510</v>
      </c>
      <c r="C489" s="3" t="s">
        <v>203</v>
      </c>
      <c r="D489" s="11" t="s">
        <v>44</v>
      </c>
      <c r="E489" s="11">
        <f t="shared" si="11"/>
        <v>10</v>
      </c>
      <c r="F489" s="3" t="s">
        <v>200</v>
      </c>
      <c r="G489" s="16" t="s">
        <v>39</v>
      </c>
      <c r="H489" s="3">
        <v>60131003</v>
      </c>
      <c r="I489" s="12">
        <v>10</v>
      </c>
    </row>
    <row r="490" spans="2:9">
      <c r="B490" s="11">
        <f>1000000+INDEX(编号表!$B:$B,MATCH(C490,编号表!$A:$A,0))*1000+INDEX(编号表!$D:$D,MATCH(D490,编号表!$C:$C,0))*100+E490</f>
        <v>1014610</v>
      </c>
      <c r="C490" s="3" t="s">
        <v>203</v>
      </c>
      <c r="D490" s="11" t="s">
        <v>46</v>
      </c>
      <c r="E490" s="11">
        <f t="shared" si="11"/>
        <v>10</v>
      </c>
      <c r="F490" s="3" t="s">
        <v>202</v>
      </c>
      <c r="G490" s="16" t="s">
        <v>39</v>
      </c>
      <c r="H490" s="3">
        <v>60131004</v>
      </c>
      <c r="I490" s="12">
        <v>10</v>
      </c>
    </row>
    <row r="491" spans="2:9">
      <c r="B491" s="11">
        <f>1000000+INDEX(编号表!$B:$B,MATCH(C491,编号表!$A:$A,0))*1000+INDEX(编号表!$D:$D,MATCH(D491,编号表!$C:$C,0))*100+E491</f>
        <v>1014215</v>
      </c>
      <c r="C491" s="3" t="s">
        <v>203</v>
      </c>
      <c r="D491" s="11" t="s">
        <v>37</v>
      </c>
      <c r="E491" s="11">
        <f t="shared" si="11"/>
        <v>15</v>
      </c>
      <c r="F491" s="3" t="s">
        <v>193</v>
      </c>
      <c r="G491" s="16" t="s">
        <v>39</v>
      </c>
      <c r="H491" s="3">
        <v>60131000</v>
      </c>
      <c r="I491" s="12">
        <v>15</v>
      </c>
    </row>
    <row r="492" spans="2:9">
      <c r="B492" s="11">
        <f>1000000+INDEX(编号表!$B:$B,MATCH(C492,编号表!$A:$A,0))*1000+INDEX(编号表!$D:$D,MATCH(D492,编号表!$C:$C,0))*100+E492</f>
        <v>1014315</v>
      </c>
      <c r="C492" s="3" t="s">
        <v>203</v>
      </c>
      <c r="D492" s="11" t="s">
        <v>40</v>
      </c>
      <c r="E492" s="11">
        <f t="shared" si="11"/>
        <v>15</v>
      </c>
      <c r="F492" s="3" t="s">
        <v>198</v>
      </c>
      <c r="G492" s="16" t="s">
        <v>39</v>
      </c>
      <c r="H492" s="3">
        <v>60131001</v>
      </c>
      <c r="I492" s="12">
        <v>15</v>
      </c>
    </row>
    <row r="493" spans="2:9">
      <c r="B493" s="11">
        <f>1000000+INDEX(编号表!$B:$B,MATCH(C493,编号表!$A:$A,0))*1000+INDEX(编号表!$D:$D,MATCH(D493,编号表!$C:$C,0))*100+E493</f>
        <v>1014415</v>
      </c>
      <c r="C493" s="3" t="s">
        <v>203</v>
      </c>
      <c r="D493" s="11" t="s">
        <v>42</v>
      </c>
      <c r="E493" s="11">
        <f t="shared" si="11"/>
        <v>15</v>
      </c>
      <c r="F493" s="3" t="s">
        <v>199</v>
      </c>
      <c r="G493" s="16" t="s">
        <v>39</v>
      </c>
      <c r="H493" s="3">
        <v>60131002</v>
      </c>
      <c r="I493" s="12">
        <v>15</v>
      </c>
    </row>
    <row r="494" spans="2:9">
      <c r="B494" s="11">
        <f>1000000+INDEX(编号表!$B:$B,MATCH(C494,编号表!$A:$A,0))*1000+INDEX(编号表!$D:$D,MATCH(D494,编号表!$C:$C,0))*100+E494</f>
        <v>1014515</v>
      </c>
      <c r="C494" s="3" t="s">
        <v>203</v>
      </c>
      <c r="D494" s="11" t="s">
        <v>44</v>
      </c>
      <c r="E494" s="11">
        <f t="shared" si="11"/>
        <v>15</v>
      </c>
      <c r="F494" s="3" t="s">
        <v>200</v>
      </c>
      <c r="G494" s="16" t="s">
        <v>39</v>
      </c>
      <c r="H494" s="3">
        <v>60131003</v>
      </c>
      <c r="I494" s="12">
        <v>15</v>
      </c>
    </row>
    <row r="495" spans="2:9">
      <c r="B495" s="11">
        <f>1000000+INDEX(编号表!$B:$B,MATCH(C495,编号表!$A:$A,0))*1000+INDEX(编号表!$D:$D,MATCH(D495,编号表!$C:$C,0))*100+E495</f>
        <v>1014615</v>
      </c>
      <c r="C495" s="3" t="s">
        <v>203</v>
      </c>
      <c r="D495" s="11" t="s">
        <v>46</v>
      </c>
      <c r="E495" s="11">
        <f t="shared" si="11"/>
        <v>15</v>
      </c>
      <c r="F495" s="3" t="s">
        <v>202</v>
      </c>
      <c r="G495" s="16" t="s">
        <v>39</v>
      </c>
      <c r="H495" s="3">
        <v>60131004</v>
      </c>
      <c r="I495" s="12">
        <v>15</v>
      </c>
    </row>
    <row r="496" spans="2:9">
      <c r="B496" s="11">
        <f>1000000+INDEX(编号表!$B:$B,MATCH(C496,编号表!$A:$A,0))*1000+INDEX(编号表!$D:$D,MATCH(D496,编号表!$C:$C,0))*100+E496</f>
        <v>1015001</v>
      </c>
      <c r="C496" s="3" t="s">
        <v>204</v>
      </c>
      <c r="D496" s="11" t="s">
        <v>55</v>
      </c>
      <c r="E496" s="11">
        <v>1</v>
      </c>
      <c r="F496" s="17" t="s">
        <v>167</v>
      </c>
      <c r="G496" s="16" t="s">
        <v>57</v>
      </c>
      <c r="H496" s="11">
        <v>60144000</v>
      </c>
      <c r="I496" s="12">
        <v>1</v>
      </c>
    </row>
    <row r="497" spans="2:9">
      <c r="B497" s="11">
        <f>1000000+INDEX(编号表!$B:$B,MATCH(C497,编号表!$A:$A,0))*1000+INDEX(编号表!$D:$D,MATCH(D497,编号表!$C:$C,0))*100+E497</f>
        <v>1015101</v>
      </c>
      <c r="C497" s="3" t="s">
        <v>204</v>
      </c>
      <c r="D497" s="11" t="s">
        <v>58</v>
      </c>
      <c r="E497" s="11">
        <v>1</v>
      </c>
      <c r="F497" s="17" t="s">
        <v>59</v>
      </c>
      <c r="G497" s="16" t="s">
        <v>57</v>
      </c>
      <c r="H497" s="3">
        <v>60142000</v>
      </c>
      <c r="I497" s="12">
        <v>1</v>
      </c>
    </row>
    <row r="498" spans="2:9">
      <c r="B498" s="11">
        <f>1000000+INDEX(编号表!$B:$B,MATCH(C498,编号表!$A:$A,0))*1000+INDEX(编号表!$D:$D,MATCH(D498,编号表!$C:$C,0))*100+E498</f>
        <v>1015201</v>
      </c>
      <c r="C498" s="3" t="s">
        <v>204</v>
      </c>
      <c r="D498" s="11" t="s">
        <v>37</v>
      </c>
      <c r="E498" s="11">
        <f t="shared" ref="E498:E521" si="12">I498+K498+M498+O498+Q498+S498+U498+W498+Y498+AA498</f>
        <v>1</v>
      </c>
      <c r="F498" s="3" t="s">
        <v>183</v>
      </c>
      <c r="G498" s="16" t="s">
        <v>39</v>
      </c>
      <c r="H498" s="3">
        <v>60141000</v>
      </c>
      <c r="I498" s="20">
        <v>1</v>
      </c>
    </row>
    <row r="499" spans="2:9">
      <c r="B499" s="11">
        <f>1000000+INDEX(编号表!$B:$B,MATCH(C499,编号表!$A:$A,0))*1000+INDEX(编号表!$D:$D,MATCH(D499,编号表!$C:$C,0))*100+E499</f>
        <v>1015301</v>
      </c>
      <c r="C499" s="3" t="s">
        <v>204</v>
      </c>
      <c r="D499" s="11" t="s">
        <v>40</v>
      </c>
      <c r="E499" s="11">
        <f t="shared" si="12"/>
        <v>1</v>
      </c>
      <c r="F499" s="3" t="s">
        <v>205</v>
      </c>
      <c r="G499" s="16" t="s">
        <v>39</v>
      </c>
      <c r="H499" s="3">
        <v>60141001</v>
      </c>
      <c r="I499" s="20">
        <v>1</v>
      </c>
    </row>
    <row r="500" spans="2:9">
      <c r="B500" s="11">
        <f>1000000+INDEX(编号表!$B:$B,MATCH(C500,编号表!$A:$A,0))*1000+INDEX(编号表!$D:$D,MATCH(D500,编号表!$C:$C,0))*100+E500</f>
        <v>1015401</v>
      </c>
      <c r="C500" s="3" t="s">
        <v>204</v>
      </c>
      <c r="D500" s="11" t="s">
        <v>42</v>
      </c>
      <c r="E500" s="11">
        <f t="shared" si="12"/>
        <v>1</v>
      </c>
      <c r="F500" s="3" t="s">
        <v>206</v>
      </c>
      <c r="G500" s="16" t="s">
        <v>39</v>
      </c>
      <c r="H500" s="3">
        <v>60141002</v>
      </c>
      <c r="I500" s="20">
        <v>1</v>
      </c>
    </row>
    <row r="501" spans="2:9">
      <c r="B501" s="11">
        <f>1000000+INDEX(编号表!$B:$B,MATCH(C501,编号表!$A:$A,0))*1000+INDEX(编号表!$D:$D,MATCH(D501,编号表!$C:$C,0))*100+E501</f>
        <v>1015501</v>
      </c>
      <c r="C501" s="3" t="s">
        <v>204</v>
      </c>
      <c r="D501" s="11" t="s">
        <v>44</v>
      </c>
      <c r="E501" s="11">
        <f t="shared" si="12"/>
        <v>1</v>
      </c>
      <c r="F501" s="3" t="s">
        <v>207</v>
      </c>
      <c r="G501" s="16" t="s">
        <v>39</v>
      </c>
      <c r="H501" s="3">
        <v>60141003</v>
      </c>
      <c r="I501" s="20">
        <v>1</v>
      </c>
    </row>
    <row r="502" spans="2:9">
      <c r="B502" s="11">
        <f>1000000+INDEX(编号表!$B:$B,MATCH(C502,编号表!$A:$A,0))*1000+INDEX(编号表!$D:$D,MATCH(D502,编号表!$C:$C,0))*100+E502</f>
        <v>1015202</v>
      </c>
      <c r="C502" s="3" t="s">
        <v>204</v>
      </c>
      <c r="D502" s="11" t="s">
        <v>37</v>
      </c>
      <c r="E502" s="11">
        <f t="shared" si="12"/>
        <v>2</v>
      </c>
      <c r="F502" s="3" t="s">
        <v>183</v>
      </c>
      <c r="G502" s="16" t="s">
        <v>39</v>
      </c>
      <c r="H502" s="3">
        <v>60141000</v>
      </c>
      <c r="I502" s="20">
        <v>2</v>
      </c>
    </row>
    <row r="503" spans="2:9">
      <c r="B503" s="11">
        <f>1000000+INDEX(编号表!$B:$B,MATCH(C503,编号表!$A:$A,0))*1000+INDEX(编号表!$D:$D,MATCH(D503,编号表!$C:$C,0))*100+E503</f>
        <v>1015302</v>
      </c>
      <c r="C503" s="3" t="s">
        <v>204</v>
      </c>
      <c r="D503" s="11" t="s">
        <v>40</v>
      </c>
      <c r="E503" s="11">
        <f t="shared" si="12"/>
        <v>2</v>
      </c>
      <c r="F503" s="3" t="s">
        <v>205</v>
      </c>
      <c r="G503" s="16" t="s">
        <v>39</v>
      </c>
      <c r="H503" s="3">
        <v>60141001</v>
      </c>
      <c r="I503" s="20">
        <v>2</v>
      </c>
    </row>
    <row r="504" spans="2:9">
      <c r="B504" s="11">
        <f>1000000+INDEX(编号表!$B:$B,MATCH(C504,编号表!$A:$A,0))*1000+INDEX(编号表!$D:$D,MATCH(D504,编号表!$C:$C,0))*100+E504</f>
        <v>1015402</v>
      </c>
      <c r="C504" s="3" t="s">
        <v>204</v>
      </c>
      <c r="D504" s="11" t="s">
        <v>42</v>
      </c>
      <c r="E504" s="11">
        <f t="shared" si="12"/>
        <v>2</v>
      </c>
      <c r="F504" s="3" t="s">
        <v>206</v>
      </c>
      <c r="G504" s="16" t="s">
        <v>39</v>
      </c>
      <c r="H504" s="3">
        <v>60141002</v>
      </c>
      <c r="I504" s="20">
        <v>2</v>
      </c>
    </row>
    <row r="505" spans="2:9">
      <c r="B505" s="11">
        <f>1000000+INDEX(编号表!$B:$B,MATCH(C505,编号表!$A:$A,0))*1000+INDEX(编号表!$D:$D,MATCH(D505,编号表!$C:$C,0))*100+E505</f>
        <v>1015502</v>
      </c>
      <c r="C505" s="3" t="s">
        <v>204</v>
      </c>
      <c r="D505" s="11" t="s">
        <v>44</v>
      </c>
      <c r="E505" s="11">
        <f t="shared" si="12"/>
        <v>2</v>
      </c>
      <c r="F505" s="3" t="s">
        <v>207</v>
      </c>
      <c r="G505" s="16" t="s">
        <v>39</v>
      </c>
      <c r="H505" s="3">
        <v>60141003</v>
      </c>
      <c r="I505" s="20">
        <v>2</v>
      </c>
    </row>
    <row r="506" spans="2:9">
      <c r="B506" s="11">
        <f>1000000+INDEX(编号表!$B:$B,MATCH(C506,编号表!$A:$A,0))*1000+INDEX(编号表!$D:$D,MATCH(D506,编号表!$C:$C,0))*100+E506</f>
        <v>1015203</v>
      </c>
      <c r="C506" s="3" t="s">
        <v>204</v>
      </c>
      <c r="D506" s="11" t="s">
        <v>37</v>
      </c>
      <c r="E506" s="11">
        <f t="shared" si="12"/>
        <v>3</v>
      </c>
      <c r="F506" s="3" t="s">
        <v>183</v>
      </c>
      <c r="G506" s="16" t="s">
        <v>39</v>
      </c>
      <c r="H506" s="3">
        <v>60141000</v>
      </c>
      <c r="I506" s="20">
        <v>3</v>
      </c>
    </row>
    <row r="507" spans="2:9">
      <c r="B507" s="11">
        <f>1000000+INDEX(编号表!$B:$B,MATCH(C507,编号表!$A:$A,0))*1000+INDEX(编号表!$D:$D,MATCH(D507,编号表!$C:$C,0))*100+E507</f>
        <v>1015303</v>
      </c>
      <c r="C507" s="3" t="s">
        <v>204</v>
      </c>
      <c r="D507" s="11" t="s">
        <v>40</v>
      </c>
      <c r="E507" s="11">
        <f t="shared" si="12"/>
        <v>3</v>
      </c>
      <c r="F507" s="3" t="s">
        <v>205</v>
      </c>
      <c r="G507" s="16" t="s">
        <v>39</v>
      </c>
      <c r="H507" s="3">
        <v>60141001</v>
      </c>
      <c r="I507" s="20">
        <v>3</v>
      </c>
    </row>
    <row r="508" spans="2:9">
      <c r="B508" s="11">
        <f>1000000+INDEX(编号表!$B:$B,MATCH(C508,编号表!$A:$A,0))*1000+INDEX(编号表!$D:$D,MATCH(D508,编号表!$C:$C,0))*100+E508</f>
        <v>1015403</v>
      </c>
      <c r="C508" s="3" t="s">
        <v>204</v>
      </c>
      <c r="D508" s="11" t="s">
        <v>42</v>
      </c>
      <c r="E508" s="11">
        <f t="shared" si="12"/>
        <v>3</v>
      </c>
      <c r="F508" s="3" t="s">
        <v>206</v>
      </c>
      <c r="G508" s="16" t="s">
        <v>39</v>
      </c>
      <c r="H508" s="3">
        <v>60141002</v>
      </c>
      <c r="I508" s="20">
        <v>3</v>
      </c>
    </row>
    <row r="509" spans="2:9">
      <c r="B509" s="11">
        <f>1000000+INDEX(编号表!$B:$B,MATCH(C509,编号表!$A:$A,0))*1000+INDEX(编号表!$D:$D,MATCH(D509,编号表!$C:$C,0))*100+E509</f>
        <v>1015503</v>
      </c>
      <c r="C509" s="3" t="s">
        <v>204</v>
      </c>
      <c r="D509" s="11" t="s">
        <v>44</v>
      </c>
      <c r="E509" s="11">
        <f t="shared" si="12"/>
        <v>3</v>
      </c>
      <c r="F509" s="3" t="s">
        <v>207</v>
      </c>
      <c r="G509" s="16" t="s">
        <v>39</v>
      </c>
      <c r="H509" s="3">
        <v>60141003</v>
      </c>
      <c r="I509" s="20">
        <v>3</v>
      </c>
    </row>
    <row r="510" spans="2:9">
      <c r="B510" s="11">
        <f>1000000+INDEX(编号表!$B:$B,MATCH(C510,编号表!$A:$A,0))*1000+INDEX(编号表!$D:$D,MATCH(D510,编号表!$C:$C,0))*100+E510</f>
        <v>1015205</v>
      </c>
      <c r="C510" s="3" t="s">
        <v>204</v>
      </c>
      <c r="D510" s="11" t="s">
        <v>37</v>
      </c>
      <c r="E510" s="11">
        <f t="shared" si="12"/>
        <v>5</v>
      </c>
      <c r="F510" s="3" t="s">
        <v>183</v>
      </c>
      <c r="G510" s="16" t="s">
        <v>39</v>
      </c>
      <c r="H510" s="3">
        <v>60141000</v>
      </c>
      <c r="I510" s="20">
        <v>5</v>
      </c>
    </row>
    <row r="511" spans="2:9">
      <c r="B511" s="11">
        <f>1000000+INDEX(编号表!$B:$B,MATCH(C511,编号表!$A:$A,0))*1000+INDEX(编号表!$D:$D,MATCH(D511,编号表!$C:$C,0))*100+E511</f>
        <v>1015305</v>
      </c>
      <c r="C511" s="3" t="s">
        <v>204</v>
      </c>
      <c r="D511" s="11" t="s">
        <v>40</v>
      </c>
      <c r="E511" s="11">
        <f t="shared" si="12"/>
        <v>5</v>
      </c>
      <c r="F511" s="3" t="s">
        <v>205</v>
      </c>
      <c r="G511" s="16" t="s">
        <v>39</v>
      </c>
      <c r="H511" s="3">
        <v>60141001</v>
      </c>
      <c r="I511" s="20">
        <v>5</v>
      </c>
    </row>
    <row r="512" spans="2:9">
      <c r="B512" s="11">
        <f>1000000+INDEX(编号表!$B:$B,MATCH(C512,编号表!$A:$A,0))*1000+INDEX(编号表!$D:$D,MATCH(D512,编号表!$C:$C,0))*100+E512</f>
        <v>1015405</v>
      </c>
      <c r="C512" s="3" t="s">
        <v>204</v>
      </c>
      <c r="D512" s="11" t="s">
        <v>42</v>
      </c>
      <c r="E512" s="11">
        <f t="shared" si="12"/>
        <v>5</v>
      </c>
      <c r="F512" s="3" t="s">
        <v>206</v>
      </c>
      <c r="G512" s="16" t="s">
        <v>39</v>
      </c>
      <c r="H512" s="3">
        <v>60141002</v>
      </c>
      <c r="I512" s="20">
        <v>5</v>
      </c>
    </row>
    <row r="513" spans="1:9">
      <c r="B513" s="11">
        <f>1000000+INDEX(编号表!$B:$B,MATCH(C513,编号表!$A:$A,0))*1000+INDEX(编号表!$D:$D,MATCH(D513,编号表!$C:$C,0))*100+E513</f>
        <v>1015505</v>
      </c>
      <c r="C513" s="3" t="s">
        <v>204</v>
      </c>
      <c r="D513" s="11" t="s">
        <v>44</v>
      </c>
      <c r="E513" s="11">
        <f t="shared" si="12"/>
        <v>5</v>
      </c>
      <c r="F513" s="3" t="s">
        <v>207</v>
      </c>
      <c r="G513" s="16" t="s">
        <v>39</v>
      </c>
      <c r="H513" s="3">
        <v>60141003</v>
      </c>
      <c r="I513" s="20">
        <v>5</v>
      </c>
    </row>
    <row r="514" spans="1:9">
      <c r="B514" s="11">
        <f>1000000+INDEX(编号表!$B:$B,MATCH(C514,编号表!$A:$A,0))*1000+INDEX(编号表!$D:$D,MATCH(D514,编号表!$C:$C,0))*100+E514</f>
        <v>1015210</v>
      </c>
      <c r="C514" s="3" t="s">
        <v>204</v>
      </c>
      <c r="D514" s="11" t="s">
        <v>37</v>
      </c>
      <c r="E514" s="11">
        <f t="shared" si="12"/>
        <v>10</v>
      </c>
      <c r="F514" s="3" t="s">
        <v>183</v>
      </c>
      <c r="G514" s="16" t="s">
        <v>39</v>
      </c>
      <c r="H514" s="3">
        <v>60141000</v>
      </c>
      <c r="I514" s="20">
        <v>10</v>
      </c>
    </row>
    <row r="515" spans="1:9">
      <c r="B515" s="11">
        <f>1000000+INDEX(编号表!$B:$B,MATCH(C515,编号表!$A:$A,0))*1000+INDEX(编号表!$D:$D,MATCH(D515,编号表!$C:$C,0))*100+E515</f>
        <v>1015310</v>
      </c>
      <c r="C515" s="3" t="s">
        <v>204</v>
      </c>
      <c r="D515" s="11" t="s">
        <v>40</v>
      </c>
      <c r="E515" s="11">
        <f t="shared" si="12"/>
        <v>10</v>
      </c>
      <c r="F515" s="3" t="s">
        <v>205</v>
      </c>
      <c r="G515" s="16" t="s">
        <v>39</v>
      </c>
      <c r="H515" s="3">
        <v>60141001</v>
      </c>
      <c r="I515" s="20">
        <v>10</v>
      </c>
    </row>
    <row r="516" spans="1:9">
      <c r="B516" s="11">
        <f>1000000+INDEX(编号表!$B:$B,MATCH(C516,编号表!$A:$A,0))*1000+INDEX(编号表!$D:$D,MATCH(D516,编号表!$C:$C,0))*100+E516</f>
        <v>1015410</v>
      </c>
      <c r="C516" s="3" t="s">
        <v>204</v>
      </c>
      <c r="D516" s="11" t="s">
        <v>42</v>
      </c>
      <c r="E516" s="11">
        <f t="shared" si="12"/>
        <v>10</v>
      </c>
      <c r="F516" s="3" t="s">
        <v>206</v>
      </c>
      <c r="G516" s="16" t="s">
        <v>39</v>
      </c>
      <c r="H516" s="3">
        <v>60141002</v>
      </c>
      <c r="I516" s="20">
        <v>10</v>
      </c>
    </row>
    <row r="517" spans="1:9">
      <c r="B517" s="11">
        <f>1000000+INDEX(编号表!$B:$B,MATCH(C517,编号表!$A:$A,0))*1000+INDEX(编号表!$D:$D,MATCH(D517,编号表!$C:$C,0))*100+E517</f>
        <v>1015510</v>
      </c>
      <c r="C517" s="3" t="s">
        <v>204</v>
      </c>
      <c r="D517" s="11" t="s">
        <v>44</v>
      </c>
      <c r="E517" s="11">
        <f t="shared" si="12"/>
        <v>10</v>
      </c>
      <c r="F517" s="3" t="s">
        <v>207</v>
      </c>
      <c r="G517" s="16" t="s">
        <v>39</v>
      </c>
      <c r="H517" s="3">
        <v>60141003</v>
      </c>
      <c r="I517" s="20">
        <v>10</v>
      </c>
    </row>
    <row r="518" spans="1:9">
      <c r="B518" s="11">
        <f>1000000+INDEX(编号表!$B:$B,MATCH(C518,编号表!$A:$A,0))*1000+INDEX(编号表!$D:$D,MATCH(D518,编号表!$C:$C,0))*100+E518</f>
        <v>1015215</v>
      </c>
      <c r="C518" s="3" t="s">
        <v>204</v>
      </c>
      <c r="D518" s="11" t="s">
        <v>37</v>
      </c>
      <c r="E518" s="11">
        <f t="shared" si="12"/>
        <v>15</v>
      </c>
      <c r="F518" s="3" t="s">
        <v>183</v>
      </c>
      <c r="G518" s="16" t="s">
        <v>39</v>
      </c>
      <c r="H518" s="3">
        <v>60141000</v>
      </c>
      <c r="I518" s="12">
        <v>15</v>
      </c>
    </row>
    <row r="519" spans="1:9">
      <c r="B519" s="11">
        <f>1000000+INDEX(编号表!$B:$B,MATCH(C519,编号表!$A:$A,0))*1000+INDEX(编号表!$D:$D,MATCH(D519,编号表!$C:$C,0))*100+E519</f>
        <v>1015315</v>
      </c>
      <c r="C519" s="3" t="s">
        <v>204</v>
      </c>
      <c r="D519" s="11" t="s">
        <v>40</v>
      </c>
      <c r="E519" s="11">
        <f t="shared" si="12"/>
        <v>15</v>
      </c>
      <c r="F519" s="3" t="s">
        <v>205</v>
      </c>
      <c r="G519" s="16" t="s">
        <v>39</v>
      </c>
      <c r="H519" s="3">
        <v>60141001</v>
      </c>
      <c r="I519" s="12">
        <v>15</v>
      </c>
    </row>
    <row r="520" spans="1:9">
      <c r="B520" s="11">
        <f>1000000+INDEX(编号表!$B:$B,MATCH(C520,编号表!$A:$A,0))*1000+INDEX(编号表!$D:$D,MATCH(D520,编号表!$C:$C,0))*100+E520</f>
        <v>1015415</v>
      </c>
      <c r="C520" s="3" t="s">
        <v>204</v>
      </c>
      <c r="D520" s="11" t="s">
        <v>42</v>
      </c>
      <c r="E520" s="11">
        <f t="shared" si="12"/>
        <v>15</v>
      </c>
      <c r="F520" s="3" t="s">
        <v>206</v>
      </c>
      <c r="G520" s="16" t="s">
        <v>39</v>
      </c>
      <c r="H520" s="3">
        <v>60141002</v>
      </c>
      <c r="I520" s="12">
        <v>15</v>
      </c>
    </row>
    <row r="521" spans="1:9">
      <c r="B521" s="11">
        <f>1000000+INDEX(编号表!$B:$B,MATCH(C521,编号表!$A:$A,0))*1000+INDEX(编号表!$D:$D,MATCH(D521,编号表!$C:$C,0))*100+E521</f>
        <v>1015515</v>
      </c>
      <c r="C521" s="3" t="s">
        <v>204</v>
      </c>
      <c r="D521" s="11" t="s">
        <v>44</v>
      </c>
      <c r="E521" s="11">
        <f t="shared" si="12"/>
        <v>15</v>
      </c>
      <c r="F521" s="3" t="s">
        <v>207</v>
      </c>
      <c r="G521" s="16" t="s">
        <v>39</v>
      </c>
      <c r="H521" s="3">
        <v>60141003</v>
      </c>
      <c r="I521" s="12">
        <v>15</v>
      </c>
    </row>
    <row r="522" spans="1:9">
      <c r="B522" s="11">
        <f>1000000+INDEX(编号表!$B:$B,MATCH(C522,编号表!$A:$A,0))*1000+INDEX(编号表!$D:$D,MATCH(D522,编号表!$C:$C,0))*100+E522</f>
        <v>1016001</v>
      </c>
      <c r="C522" s="3" t="s">
        <v>208</v>
      </c>
      <c r="D522" s="11" t="s">
        <v>55</v>
      </c>
      <c r="E522" s="11">
        <v>1</v>
      </c>
      <c r="F522" s="17" t="s">
        <v>167</v>
      </c>
      <c r="G522" s="16" t="s">
        <v>57</v>
      </c>
      <c r="H522" s="11">
        <v>60154000</v>
      </c>
      <c r="I522" s="12">
        <v>1</v>
      </c>
    </row>
    <row r="523" spans="1:9">
      <c r="A523" s="11" t="s">
        <v>9</v>
      </c>
      <c r="B523" s="11">
        <f>1000000+INDEX(编号表!$B:$B,MATCH(C523,编号表!$A:$A,0))*1000+INDEX(编号表!$D:$D,MATCH(D523,编号表!$C:$C,0))*100+E523</f>
        <v>1016101</v>
      </c>
      <c r="C523" s="3" t="s">
        <v>208</v>
      </c>
      <c r="D523" s="11" t="s">
        <v>58</v>
      </c>
      <c r="E523" s="11">
        <v>1</v>
      </c>
      <c r="F523" s="17" t="s">
        <v>59</v>
      </c>
      <c r="G523" s="16" t="s">
        <v>57</v>
      </c>
      <c r="H523" s="3">
        <v>60152000</v>
      </c>
      <c r="I523" s="12">
        <v>1</v>
      </c>
    </row>
    <row r="524" spans="1:9">
      <c r="A524" s="11" t="s">
        <v>9</v>
      </c>
      <c r="B524" s="11">
        <v>1015101</v>
      </c>
      <c r="C524" s="3" t="s">
        <v>208</v>
      </c>
      <c r="D524" s="11" t="s">
        <v>58</v>
      </c>
      <c r="E524" s="11">
        <v>2</v>
      </c>
      <c r="F524" s="17" t="s">
        <v>59</v>
      </c>
      <c r="G524" s="16" t="s">
        <v>57</v>
      </c>
      <c r="H524" s="3">
        <v>60152001</v>
      </c>
      <c r="I524" s="12">
        <v>1</v>
      </c>
    </row>
    <row r="525" spans="1:9">
      <c r="B525" s="11">
        <f>1000000+INDEX(编号表!$B:$B,MATCH(C525,编号表!$A:$A,0))*1000+INDEX(编号表!$D:$D,MATCH(D525,编号表!$C:$C,0))*100+E525</f>
        <v>1016201</v>
      </c>
      <c r="C525" s="3" t="s">
        <v>208</v>
      </c>
      <c r="D525" s="11" t="s">
        <v>37</v>
      </c>
      <c r="E525" s="11">
        <f t="shared" ref="E525:E560" si="13">I525+K525+M525+O525+Q525+S525+U525+W525+Y525+AA525</f>
        <v>1</v>
      </c>
      <c r="F525" s="3" t="s">
        <v>183</v>
      </c>
      <c r="G525" s="16" t="s">
        <v>39</v>
      </c>
      <c r="H525" s="3">
        <v>60151000</v>
      </c>
      <c r="I525" s="12">
        <v>1</v>
      </c>
    </row>
    <row r="526" spans="1:9">
      <c r="B526" s="11">
        <f>1000000+INDEX(编号表!$B:$B,MATCH(C526,编号表!$A:$A,0))*1000+INDEX(编号表!$D:$D,MATCH(D526,编号表!$C:$C,0))*100+E526</f>
        <v>1016301</v>
      </c>
      <c r="C526" s="3" t="s">
        <v>208</v>
      </c>
      <c r="D526" s="11" t="s">
        <v>40</v>
      </c>
      <c r="E526" s="11">
        <f t="shared" si="13"/>
        <v>1</v>
      </c>
      <c r="F526" s="3" t="s">
        <v>205</v>
      </c>
      <c r="G526" s="16" t="s">
        <v>39</v>
      </c>
      <c r="H526" s="3">
        <v>60151001</v>
      </c>
      <c r="I526" s="12">
        <v>1</v>
      </c>
    </row>
    <row r="527" spans="1:9">
      <c r="B527" s="11">
        <f>1000000+INDEX(编号表!$B:$B,MATCH(C527,编号表!$A:$A,0))*1000+INDEX(编号表!$D:$D,MATCH(D527,编号表!$C:$C,0))*100+E527</f>
        <v>1016401</v>
      </c>
      <c r="C527" s="3" t="s">
        <v>208</v>
      </c>
      <c r="D527" s="11" t="s">
        <v>42</v>
      </c>
      <c r="E527" s="11">
        <f t="shared" si="13"/>
        <v>1</v>
      </c>
      <c r="F527" s="3" t="s">
        <v>206</v>
      </c>
      <c r="G527" s="16" t="s">
        <v>39</v>
      </c>
      <c r="H527" s="3">
        <v>60151002</v>
      </c>
      <c r="I527" s="12">
        <v>1</v>
      </c>
    </row>
    <row r="528" spans="1:9">
      <c r="B528" s="11">
        <f>1000000+INDEX(编号表!$B:$B,MATCH(C528,编号表!$A:$A,0))*1000+INDEX(编号表!$D:$D,MATCH(D528,编号表!$C:$C,0))*100+E528</f>
        <v>1016501</v>
      </c>
      <c r="C528" s="3" t="s">
        <v>208</v>
      </c>
      <c r="D528" s="11" t="s">
        <v>44</v>
      </c>
      <c r="E528" s="11">
        <f t="shared" si="13"/>
        <v>1</v>
      </c>
      <c r="F528" s="3" t="s">
        <v>207</v>
      </c>
      <c r="G528" s="16" t="s">
        <v>39</v>
      </c>
      <c r="H528" s="3">
        <v>60151003</v>
      </c>
      <c r="I528" s="12">
        <v>1</v>
      </c>
    </row>
    <row r="529" spans="2:9">
      <c r="B529" s="11">
        <f>1000000+INDEX(编号表!$B:$B,MATCH(C529,编号表!$A:$A,0))*1000+INDEX(编号表!$D:$D,MATCH(D529,编号表!$C:$C,0))*100+E529</f>
        <v>1016601</v>
      </c>
      <c r="C529" s="3" t="s">
        <v>208</v>
      </c>
      <c r="D529" s="11" t="s">
        <v>46</v>
      </c>
      <c r="E529" s="11">
        <f t="shared" si="13"/>
        <v>1</v>
      </c>
      <c r="F529" s="3" t="s">
        <v>209</v>
      </c>
      <c r="G529" s="16" t="s">
        <v>39</v>
      </c>
      <c r="H529" s="3">
        <v>60151004</v>
      </c>
      <c r="I529" s="12">
        <v>1</v>
      </c>
    </row>
    <row r="530" spans="2:9">
      <c r="B530" s="11">
        <f>1000000+INDEX(编号表!$B:$B,MATCH(C530,编号表!$A:$A,0))*1000+INDEX(编号表!$D:$D,MATCH(D530,编号表!$C:$C,0))*100+E530</f>
        <v>1016701</v>
      </c>
      <c r="C530" s="3" t="s">
        <v>208</v>
      </c>
      <c r="D530" s="11" t="s">
        <v>48</v>
      </c>
      <c r="E530" s="11">
        <f t="shared" si="13"/>
        <v>1</v>
      </c>
      <c r="F530" s="3" t="s">
        <v>210</v>
      </c>
      <c r="G530" s="16" t="s">
        <v>39</v>
      </c>
      <c r="H530" s="3">
        <v>60151005</v>
      </c>
      <c r="I530" s="12">
        <v>1</v>
      </c>
    </row>
    <row r="531" spans="2:9">
      <c r="B531" s="11">
        <f>1000000+INDEX(编号表!$B:$B,MATCH(C531,编号表!$A:$A,0))*1000+INDEX(编号表!$D:$D,MATCH(D531,编号表!$C:$C,0))*100+E531</f>
        <v>1016202</v>
      </c>
      <c r="C531" s="3" t="s">
        <v>208</v>
      </c>
      <c r="D531" s="11" t="s">
        <v>37</v>
      </c>
      <c r="E531" s="11">
        <f t="shared" si="13"/>
        <v>2</v>
      </c>
      <c r="F531" s="3" t="s">
        <v>183</v>
      </c>
      <c r="G531" s="16" t="s">
        <v>39</v>
      </c>
      <c r="H531" s="3">
        <v>60151000</v>
      </c>
      <c r="I531" s="12">
        <v>2</v>
      </c>
    </row>
    <row r="532" spans="2:9">
      <c r="B532" s="11">
        <f>1000000+INDEX(编号表!$B:$B,MATCH(C532,编号表!$A:$A,0))*1000+INDEX(编号表!$D:$D,MATCH(D532,编号表!$C:$C,0))*100+E532</f>
        <v>1016302</v>
      </c>
      <c r="C532" s="3" t="s">
        <v>208</v>
      </c>
      <c r="D532" s="11" t="s">
        <v>40</v>
      </c>
      <c r="E532" s="11">
        <f t="shared" si="13"/>
        <v>2</v>
      </c>
      <c r="F532" s="3" t="s">
        <v>205</v>
      </c>
      <c r="G532" s="16" t="s">
        <v>39</v>
      </c>
      <c r="H532" s="3">
        <v>60151001</v>
      </c>
      <c r="I532" s="12">
        <v>2</v>
      </c>
    </row>
    <row r="533" spans="2:9">
      <c r="B533" s="11">
        <f>1000000+INDEX(编号表!$B:$B,MATCH(C533,编号表!$A:$A,0))*1000+INDEX(编号表!$D:$D,MATCH(D533,编号表!$C:$C,0))*100+E533</f>
        <v>1016402</v>
      </c>
      <c r="C533" s="3" t="s">
        <v>208</v>
      </c>
      <c r="D533" s="11" t="s">
        <v>42</v>
      </c>
      <c r="E533" s="11">
        <f t="shared" si="13"/>
        <v>2</v>
      </c>
      <c r="F533" s="3" t="s">
        <v>206</v>
      </c>
      <c r="G533" s="16" t="s">
        <v>39</v>
      </c>
      <c r="H533" s="3">
        <v>60151002</v>
      </c>
      <c r="I533" s="12">
        <v>2</v>
      </c>
    </row>
    <row r="534" spans="2:9">
      <c r="B534" s="11">
        <f>1000000+INDEX(编号表!$B:$B,MATCH(C534,编号表!$A:$A,0))*1000+INDEX(编号表!$D:$D,MATCH(D534,编号表!$C:$C,0))*100+E534</f>
        <v>1016502</v>
      </c>
      <c r="C534" s="3" t="s">
        <v>208</v>
      </c>
      <c r="D534" s="11" t="s">
        <v>44</v>
      </c>
      <c r="E534" s="11">
        <f t="shared" si="13"/>
        <v>2</v>
      </c>
      <c r="F534" s="3" t="s">
        <v>207</v>
      </c>
      <c r="G534" s="16" t="s">
        <v>39</v>
      </c>
      <c r="H534" s="3">
        <v>60151003</v>
      </c>
      <c r="I534" s="12">
        <v>2</v>
      </c>
    </row>
    <row r="535" spans="2:9">
      <c r="B535" s="11">
        <f>1000000+INDEX(编号表!$B:$B,MATCH(C535,编号表!$A:$A,0))*1000+INDEX(编号表!$D:$D,MATCH(D535,编号表!$C:$C,0))*100+E535</f>
        <v>1016602</v>
      </c>
      <c r="C535" s="3" t="s">
        <v>208</v>
      </c>
      <c r="D535" s="11" t="s">
        <v>46</v>
      </c>
      <c r="E535" s="11">
        <f t="shared" si="13"/>
        <v>2</v>
      </c>
      <c r="F535" s="3" t="s">
        <v>209</v>
      </c>
      <c r="G535" s="16" t="s">
        <v>39</v>
      </c>
      <c r="H535" s="3">
        <v>60151004</v>
      </c>
      <c r="I535" s="12">
        <v>2</v>
      </c>
    </row>
    <row r="536" spans="2:9">
      <c r="B536" s="11">
        <f>1000000+INDEX(编号表!$B:$B,MATCH(C536,编号表!$A:$A,0))*1000+INDEX(编号表!$D:$D,MATCH(D536,编号表!$C:$C,0))*100+E536</f>
        <v>1016702</v>
      </c>
      <c r="C536" s="3" t="s">
        <v>208</v>
      </c>
      <c r="D536" s="11" t="s">
        <v>48</v>
      </c>
      <c r="E536" s="11">
        <f t="shared" si="13"/>
        <v>2</v>
      </c>
      <c r="F536" s="3" t="s">
        <v>210</v>
      </c>
      <c r="G536" s="16" t="s">
        <v>39</v>
      </c>
      <c r="H536" s="3">
        <v>60151005</v>
      </c>
      <c r="I536" s="12">
        <v>2</v>
      </c>
    </row>
    <row r="537" spans="2:9">
      <c r="B537" s="11">
        <f>1000000+INDEX(编号表!$B:$B,MATCH(C537,编号表!$A:$A,0))*1000+INDEX(编号表!$D:$D,MATCH(D537,编号表!$C:$C,0))*100+E537</f>
        <v>1016203</v>
      </c>
      <c r="C537" s="3" t="s">
        <v>208</v>
      </c>
      <c r="D537" s="11" t="s">
        <v>37</v>
      </c>
      <c r="E537" s="11">
        <f t="shared" si="13"/>
        <v>3</v>
      </c>
      <c r="F537" s="3" t="s">
        <v>183</v>
      </c>
      <c r="G537" s="16" t="s">
        <v>39</v>
      </c>
      <c r="H537" s="3">
        <v>60151000</v>
      </c>
      <c r="I537" s="12">
        <v>3</v>
      </c>
    </row>
    <row r="538" spans="2:9">
      <c r="B538" s="11">
        <f>1000000+INDEX(编号表!$B:$B,MATCH(C538,编号表!$A:$A,0))*1000+INDEX(编号表!$D:$D,MATCH(D538,编号表!$C:$C,0))*100+E538</f>
        <v>1016303</v>
      </c>
      <c r="C538" s="3" t="s">
        <v>208</v>
      </c>
      <c r="D538" s="11" t="s">
        <v>40</v>
      </c>
      <c r="E538" s="11">
        <f t="shared" si="13"/>
        <v>3</v>
      </c>
      <c r="F538" s="3" t="s">
        <v>205</v>
      </c>
      <c r="G538" s="16" t="s">
        <v>39</v>
      </c>
      <c r="H538" s="3">
        <v>60151001</v>
      </c>
      <c r="I538" s="12">
        <v>3</v>
      </c>
    </row>
    <row r="539" spans="2:9">
      <c r="B539" s="11">
        <f>1000000+INDEX(编号表!$B:$B,MATCH(C539,编号表!$A:$A,0))*1000+INDEX(编号表!$D:$D,MATCH(D539,编号表!$C:$C,0))*100+E539</f>
        <v>1016403</v>
      </c>
      <c r="C539" s="3" t="s">
        <v>208</v>
      </c>
      <c r="D539" s="11" t="s">
        <v>42</v>
      </c>
      <c r="E539" s="11">
        <f t="shared" si="13"/>
        <v>3</v>
      </c>
      <c r="F539" s="3" t="s">
        <v>206</v>
      </c>
      <c r="G539" s="16" t="s">
        <v>39</v>
      </c>
      <c r="H539" s="3">
        <v>60151002</v>
      </c>
      <c r="I539" s="12">
        <v>3</v>
      </c>
    </row>
    <row r="540" spans="2:9">
      <c r="B540" s="11">
        <f>1000000+INDEX(编号表!$B:$B,MATCH(C540,编号表!$A:$A,0))*1000+INDEX(编号表!$D:$D,MATCH(D540,编号表!$C:$C,0))*100+E540</f>
        <v>1016503</v>
      </c>
      <c r="C540" s="3" t="s">
        <v>208</v>
      </c>
      <c r="D540" s="11" t="s">
        <v>44</v>
      </c>
      <c r="E540" s="11">
        <f t="shared" si="13"/>
        <v>3</v>
      </c>
      <c r="F540" s="3" t="s">
        <v>207</v>
      </c>
      <c r="G540" s="16" t="s">
        <v>39</v>
      </c>
      <c r="H540" s="3">
        <v>60151003</v>
      </c>
      <c r="I540" s="12">
        <v>3</v>
      </c>
    </row>
    <row r="541" spans="2:9">
      <c r="B541" s="11">
        <f>1000000+INDEX(编号表!$B:$B,MATCH(C541,编号表!$A:$A,0))*1000+INDEX(编号表!$D:$D,MATCH(D541,编号表!$C:$C,0))*100+E541</f>
        <v>1016603</v>
      </c>
      <c r="C541" s="3" t="s">
        <v>208</v>
      </c>
      <c r="D541" s="11" t="s">
        <v>46</v>
      </c>
      <c r="E541" s="11">
        <f t="shared" si="13"/>
        <v>3</v>
      </c>
      <c r="F541" s="3" t="s">
        <v>209</v>
      </c>
      <c r="G541" s="16" t="s">
        <v>39</v>
      </c>
      <c r="H541" s="3">
        <v>60151004</v>
      </c>
      <c r="I541" s="12">
        <v>3</v>
      </c>
    </row>
    <row r="542" spans="2:9">
      <c r="B542" s="11">
        <f>1000000+INDEX(编号表!$B:$B,MATCH(C542,编号表!$A:$A,0))*1000+INDEX(编号表!$D:$D,MATCH(D542,编号表!$C:$C,0))*100+E542</f>
        <v>1016703</v>
      </c>
      <c r="C542" s="3" t="s">
        <v>208</v>
      </c>
      <c r="D542" s="11" t="s">
        <v>48</v>
      </c>
      <c r="E542" s="11">
        <f t="shared" si="13"/>
        <v>3</v>
      </c>
      <c r="F542" s="3" t="s">
        <v>210</v>
      </c>
      <c r="G542" s="16" t="s">
        <v>39</v>
      </c>
      <c r="H542" s="3">
        <v>60151005</v>
      </c>
      <c r="I542" s="12">
        <v>3</v>
      </c>
    </row>
    <row r="543" spans="2:9">
      <c r="B543" s="11">
        <f>1000000+INDEX(编号表!$B:$B,MATCH(C543,编号表!$A:$A,0))*1000+INDEX(编号表!$D:$D,MATCH(D543,编号表!$C:$C,0))*100+E543</f>
        <v>1016205</v>
      </c>
      <c r="C543" s="3" t="s">
        <v>208</v>
      </c>
      <c r="D543" s="11" t="s">
        <v>37</v>
      </c>
      <c r="E543" s="11">
        <f t="shared" si="13"/>
        <v>5</v>
      </c>
      <c r="F543" s="3" t="s">
        <v>183</v>
      </c>
      <c r="G543" s="16" t="s">
        <v>39</v>
      </c>
      <c r="H543" s="3">
        <v>60151000</v>
      </c>
      <c r="I543" s="12">
        <v>5</v>
      </c>
    </row>
    <row r="544" spans="2:9">
      <c r="B544" s="11">
        <f>1000000+INDEX(编号表!$B:$B,MATCH(C544,编号表!$A:$A,0))*1000+INDEX(编号表!$D:$D,MATCH(D544,编号表!$C:$C,0))*100+E544</f>
        <v>1016305</v>
      </c>
      <c r="C544" s="3" t="s">
        <v>208</v>
      </c>
      <c r="D544" s="11" t="s">
        <v>40</v>
      </c>
      <c r="E544" s="11">
        <f t="shared" si="13"/>
        <v>5</v>
      </c>
      <c r="F544" s="3" t="s">
        <v>205</v>
      </c>
      <c r="G544" s="16" t="s">
        <v>39</v>
      </c>
      <c r="H544" s="3">
        <v>60151001</v>
      </c>
      <c r="I544" s="12">
        <v>5</v>
      </c>
    </row>
    <row r="545" spans="2:9">
      <c r="B545" s="11">
        <f>1000000+INDEX(编号表!$B:$B,MATCH(C545,编号表!$A:$A,0))*1000+INDEX(编号表!$D:$D,MATCH(D545,编号表!$C:$C,0))*100+E545</f>
        <v>1016405</v>
      </c>
      <c r="C545" s="3" t="s">
        <v>208</v>
      </c>
      <c r="D545" s="11" t="s">
        <v>42</v>
      </c>
      <c r="E545" s="11">
        <f t="shared" si="13"/>
        <v>5</v>
      </c>
      <c r="F545" s="3" t="s">
        <v>206</v>
      </c>
      <c r="G545" s="16" t="s">
        <v>39</v>
      </c>
      <c r="H545" s="3">
        <v>60151002</v>
      </c>
      <c r="I545" s="12">
        <v>5</v>
      </c>
    </row>
    <row r="546" spans="2:9">
      <c r="B546" s="11">
        <f>1000000+INDEX(编号表!$B:$B,MATCH(C546,编号表!$A:$A,0))*1000+INDEX(编号表!$D:$D,MATCH(D546,编号表!$C:$C,0))*100+E546</f>
        <v>1016505</v>
      </c>
      <c r="C546" s="3" t="s">
        <v>208</v>
      </c>
      <c r="D546" s="11" t="s">
        <v>44</v>
      </c>
      <c r="E546" s="11">
        <f t="shared" si="13"/>
        <v>5</v>
      </c>
      <c r="F546" s="3" t="s">
        <v>207</v>
      </c>
      <c r="G546" s="16" t="s">
        <v>39</v>
      </c>
      <c r="H546" s="3">
        <v>60151003</v>
      </c>
      <c r="I546" s="12">
        <v>5</v>
      </c>
    </row>
    <row r="547" spans="2:9">
      <c r="B547" s="11">
        <f>1000000+INDEX(编号表!$B:$B,MATCH(C547,编号表!$A:$A,0))*1000+INDEX(编号表!$D:$D,MATCH(D547,编号表!$C:$C,0))*100+E547</f>
        <v>1016605</v>
      </c>
      <c r="C547" s="3" t="s">
        <v>208</v>
      </c>
      <c r="D547" s="11" t="s">
        <v>46</v>
      </c>
      <c r="E547" s="11">
        <f t="shared" si="13"/>
        <v>5</v>
      </c>
      <c r="F547" s="3" t="s">
        <v>209</v>
      </c>
      <c r="G547" s="16" t="s">
        <v>39</v>
      </c>
      <c r="H547" s="3">
        <v>60151004</v>
      </c>
      <c r="I547" s="12">
        <v>5</v>
      </c>
    </row>
    <row r="548" spans="2:9">
      <c r="B548" s="11">
        <f>1000000+INDEX(编号表!$B:$B,MATCH(C548,编号表!$A:$A,0))*1000+INDEX(编号表!$D:$D,MATCH(D548,编号表!$C:$C,0))*100+E548</f>
        <v>1016705</v>
      </c>
      <c r="C548" s="3" t="s">
        <v>208</v>
      </c>
      <c r="D548" s="11" t="s">
        <v>48</v>
      </c>
      <c r="E548" s="11">
        <f t="shared" si="13"/>
        <v>5</v>
      </c>
      <c r="F548" s="3" t="s">
        <v>210</v>
      </c>
      <c r="G548" s="16" t="s">
        <v>39</v>
      </c>
      <c r="H548" s="3">
        <v>60151005</v>
      </c>
      <c r="I548" s="12">
        <v>5</v>
      </c>
    </row>
    <row r="549" spans="2:9">
      <c r="B549" s="11">
        <f>1000000+INDEX(编号表!$B:$B,MATCH(C549,编号表!$A:$A,0))*1000+INDEX(编号表!$D:$D,MATCH(D549,编号表!$C:$C,0))*100+E549</f>
        <v>1016210</v>
      </c>
      <c r="C549" s="3" t="s">
        <v>208</v>
      </c>
      <c r="D549" s="11" t="s">
        <v>37</v>
      </c>
      <c r="E549" s="11">
        <f t="shared" si="13"/>
        <v>10</v>
      </c>
      <c r="F549" s="3" t="s">
        <v>183</v>
      </c>
      <c r="G549" s="16" t="s">
        <v>39</v>
      </c>
      <c r="H549" s="3">
        <v>60151000</v>
      </c>
      <c r="I549" s="12">
        <v>10</v>
      </c>
    </row>
    <row r="550" spans="2:9">
      <c r="B550" s="11">
        <f>1000000+INDEX(编号表!$B:$B,MATCH(C550,编号表!$A:$A,0))*1000+INDEX(编号表!$D:$D,MATCH(D550,编号表!$C:$C,0))*100+E550</f>
        <v>1016310</v>
      </c>
      <c r="C550" s="3" t="s">
        <v>208</v>
      </c>
      <c r="D550" s="11" t="s">
        <v>40</v>
      </c>
      <c r="E550" s="11">
        <f t="shared" si="13"/>
        <v>10</v>
      </c>
      <c r="F550" s="3" t="s">
        <v>205</v>
      </c>
      <c r="G550" s="16" t="s">
        <v>39</v>
      </c>
      <c r="H550" s="3">
        <v>60151001</v>
      </c>
      <c r="I550" s="12">
        <v>10</v>
      </c>
    </row>
    <row r="551" spans="2:9">
      <c r="B551" s="11">
        <f>1000000+INDEX(编号表!$B:$B,MATCH(C551,编号表!$A:$A,0))*1000+INDEX(编号表!$D:$D,MATCH(D551,编号表!$C:$C,0))*100+E551</f>
        <v>1016410</v>
      </c>
      <c r="C551" s="3" t="s">
        <v>208</v>
      </c>
      <c r="D551" s="11" t="s">
        <v>42</v>
      </c>
      <c r="E551" s="11">
        <f t="shared" si="13"/>
        <v>10</v>
      </c>
      <c r="F551" s="3" t="s">
        <v>206</v>
      </c>
      <c r="G551" s="16" t="s">
        <v>39</v>
      </c>
      <c r="H551" s="3">
        <v>60151002</v>
      </c>
      <c r="I551" s="12">
        <v>10</v>
      </c>
    </row>
    <row r="552" spans="2:9">
      <c r="B552" s="11">
        <f>1000000+INDEX(编号表!$B:$B,MATCH(C552,编号表!$A:$A,0))*1000+INDEX(编号表!$D:$D,MATCH(D552,编号表!$C:$C,0))*100+E552</f>
        <v>1016510</v>
      </c>
      <c r="C552" s="3" t="s">
        <v>208</v>
      </c>
      <c r="D552" s="11" t="s">
        <v>44</v>
      </c>
      <c r="E552" s="11">
        <f t="shared" si="13"/>
        <v>10</v>
      </c>
      <c r="F552" s="3" t="s">
        <v>207</v>
      </c>
      <c r="G552" s="16" t="s">
        <v>39</v>
      </c>
      <c r="H552" s="3">
        <v>60151003</v>
      </c>
      <c r="I552" s="12">
        <v>10</v>
      </c>
    </row>
    <row r="553" spans="2:9">
      <c r="B553" s="11">
        <f>1000000+INDEX(编号表!$B:$B,MATCH(C553,编号表!$A:$A,0))*1000+INDEX(编号表!$D:$D,MATCH(D553,编号表!$C:$C,0))*100+E553</f>
        <v>1016610</v>
      </c>
      <c r="C553" s="3" t="s">
        <v>208</v>
      </c>
      <c r="D553" s="11" t="s">
        <v>46</v>
      </c>
      <c r="E553" s="11">
        <f t="shared" si="13"/>
        <v>10</v>
      </c>
      <c r="F553" s="3" t="s">
        <v>209</v>
      </c>
      <c r="G553" s="16" t="s">
        <v>39</v>
      </c>
      <c r="H553" s="3">
        <v>60151004</v>
      </c>
      <c r="I553" s="12">
        <v>10</v>
      </c>
    </row>
    <row r="554" spans="2:9">
      <c r="B554" s="11">
        <f>1000000+INDEX(编号表!$B:$B,MATCH(C554,编号表!$A:$A,0))*1000+INDEX(编号表!$D:$D,MATCH(D554,编号表!$C:$C,0))*100+E554</f>
        <v>1016710</v>
      </c>
      <c r="C554" s="3" t="s">
        <v>208</v>
      </c>
      <c r="D554" s="11" t="s">
        <v>48</v>
      </c>
      <c r="E554" s="11">
        <f t="shared" si="13"/>
        <v>10</v>
      </c>
      <c r="F554" s="3" t="s">
        <v>210</v>
      </c>
      <c r="G554" s="16" t="s">
        <v>39</v>
      </c>
      <c r="H554" s="3">
        <v>60151005</v>
      </c>
      <c r="I554" s="12">
        <v>10</v>
      </c>
    </row>
    <row r="555" spans="2:9">
      <c r="B555" s="11">
        <f>1000000+INDEX(编号表!$B:$B,MATCH(C555,编号表!$A:$A,0))*1000+INDEX(编号表!$D:$D,MATCH(D555,编号表!$C:$C,0))*100+E555</f>
        <v>1016215</v>
      </c>
      <c r="C555" s="3" t="s">
        <v>208</v>
      </c>
      <c r="D555" s="11" t="s">
        <v>37</v>
      </c>
      <c r="E555" s="11">
        <f t="shared" si="13"/>
        <v>15</v>
      </c>
      <c r="F555" s="3" t="s">
        <v>183</v>
      </c>
      <c r="G555" s="16" t="s">
        <v>39</v>
      </c>
      <c r="H555" s="3">
        <v>60151000</v>
      </c>
      <c r="I555" s="12">
        <v>15</v>
      </c>
    </row>
    <row r="556" spans="2:9">
      <c r="B556" s="11">
        <f>1000000+INDEX(编号表!$B:$B,MATCH(C556,编号表!$A:$A,0))*1000+INDEX(编号表!$D:$D,MATCH(D556,编号表!$C:$C,0))*100+E556</f>
        <v>1016315</v>
      </c>
      <c r="C556" s="3" t="s">
        <v>208</v>
      </c>
      <c r="D556" s="11" t="s">
        <v>40</v>
      </c>
      <c r="E556" s="11">
        <f t="shared" si="13"/>
        <v>15</v>
      </c>
      <c r="F556" s="3" t="s">
        <v>205</v>
      </c>
      <c r="G556" s="16" t="s">
        <v>39</v>
      </c>
      <c r="H556" s="3">
        <v>60151001</v>
      </c>
      <c r="I556" s="12">
        <v>15</v>
      </c>
    </row>
    <row r="557" spans="2:9">
      <c r="B557" s="11">
        <f>1000000+INDEX(编号表!$B:$B,MATCH(C557,编号表!$A:$A,0))*1000+INDEX(编号表!$D:$D,MATCH(D557,编号表!$C:$C,0))*100+E557</f>
        <v>1016415</v>
      </c>
      <c r="C557" s="3" t="s">
        <v>208</v>
      </c>
      <c r="D557" s="11" t="s">
        <v>42</v>
      </c>
      <c r="E557" s="11">
        <f t="shared" si="13"/>
        <v>15</v>
      </c>
      <c r="F557" s="3" t="s">
        <v>206</v>
      </c>
      <c r="G557" s="16" t="s">
        <v>39</v>
      </c>
      <c r="H557" s="3">
        <v>60151002</v>
      </c>
      <c r="I557" s="12">
        <v>15</v>
      </c>
    </row>
    <row r="558" spans="2:9">
      <c r="B558" s="11">
        <f>1000000+INDEX(编号表!$B:$B,MATCH(C558,编号表!$A:$A,0))*1000+INDEX(编号表!$D:$D,MATCH(D558,编号表!$C:$C,0))*100+E558</f>
        <v>1016515</v>
      </c>
      <c r="C558" s="3" t="s">
        <v>208</v>
      </c>
      <c r="D558" s="11" t="s">
        <v>44</v>
      </c>
      <c r="E558" s="11">
        <f t="shared" si="13"/>
        <v>15</v>
      </c>
      <c r="F558" s="3" t="s">
        <v>207</v>
      </c>
      <c r="G558" s="16" t="s">
        <v>39</v>
      </c>
      <c r="H558" s="3">
        <v>60151003</v>
      </c>
      <c r="I558" s="12">
        <v>15</v>
      </c>
    </row>
    <row r="559" spans="2:9">
      <c r="B559" s="11">
        <f>1000000+INDEX(编号表!$B:$B,MATCH(C559,编号表!$A:$A,0))*1000+INDEX(编号表!$D:$D,MATCH(D559,编号表!$C:$C,0))*100+E559</f>
        <v>1016615</v>
      </c>
      <c r="C559" s="3" t="s">
        <v>208</v>
      </c>
      <c r="D559" s="11" t="s">
        <v>46</v>
      </c>
      <c r="E559" s="11">
        <f t="shared" si="13"/>
        <v>15</v>
      </c>
      <c r="F559" s="3" t="s">
        <v>209</v>
      </c>
      <c r="G559" s="16" t="s">
        <v>39</v>
      </c>
      <c r="H559" s="3">
        <v>60151004</v>
      </c>
      <c r="I559" s="12">
        <v>15</v>
      </c>
    </row>
    <row r="560" spans="2:9">
      <c r="B560" s="11">
        <f>1000000+INDEX(编号表!$B:$B,MATCH(C560,编号表!$A:$A,0))*1000+INDEX(编号表!$D:$D,MATCH(D560,编号表!$C:$C,0))*100+E560</f>
        <v>1016715</v>
      </c>
      <c r="C560" s="3" t="s">
        <v>208</v>
      </c>
      <c r="D560" s="11" t="s">
        <v>48</v>
      </c>
      <c r="E560" s="11">
        <f t="shared" si="13"/>
        <v>15</v>
      </c>
      <c r="F560" s="3" t="s">
        <v>210</v>
      </c>
      <c r="G560" s="16" t="s">
        <v>39</v>
      </c>
      <c r="H560" s="3">
        <v>60151005</v>
      </c>
      <c r="I560" s="12">
        <v>15</v>
      </c>
    </row>
    <row r="561" spans="2:9">
      <c r="B561" s="11">
        <f>1000000+INDEX(编号表!$B:$B,MATCH(C561,编号表!$A:$A,0))*1000+INDEX(编号表!$D:$D,MATCH(D561,编号表!$C:$C,0))*100+E561</f>
        <v>1017001</v>
      </c>
      <c r="C561" s="3" t="s">
        <v>211</v>
      </c>
      <c r="D561" s="11" t="s">
        <v>55</v>
      </c>
      <c r="E561" s="11">
        <v>1</v>
      </c>
      <c r="F561" s="17" t="s">
        <v>167</v>
      </c>
      <c r="G561" s="16" t="s">
        <v>57</v>
      </c>
      <c r="H561" s="11">
        <v>60164000</v>
      </c>
      <c r="I561" s="12">
        <v>1</v>
      </c>
    </row>
    <row r="562" spans="2:9">
      <c r="B562" s="11">
        <f>1000000+INDEX(编号表!$B:$B,MATCH(C562,编号表!$A:$A,0))*1000+INDEX(编号表!$D:$D,MATCH(D562,编号表!$C:$C,0))*100+E562</f>
        <v>1017101</v>
      </c>
      <c r="C562" s="3" t="s">
        <v>211</v>
      </c>
      <c r="D562" s="11" t="s">
        <v>58</v>
      </c>
      <c r="E562" s="11">
        <v>1</v>
      </c>
      <c r="F562" s="17" t="s">
        <v>59</v>
      </c>
      <c r="G562" s="16" t="s">
        <v>57</v>
      </c>
      <c r="H562" s="3">
        <v>60162000</v>
      </c>
      <c r="I562" s="12">
        <v>1</v>
      </c>
    </row>
    <row r="563" spans="2:9">
      <c r="B563" s="11">
        <v>1016101</v>
      </c>
      <c r="C563" s="3" t="s">
        <v>211</v>
      </c>
      <c r="D563" s="11" t="s">
        <v>58</v>
      </c>
      <c r="E563" s="11">
        <v>2</v>
      </c>
      <c r="F563" s="17" t="s">
        <v>59</v>
      </c>
      <c r="G563" s="16" t="s">
        <v>57</v>
      </c>
      <c r="H563" s="3">
        <v>60162001</v>
      </c>
      <c r="I563" s="12">
        <v>1</v>
      </c>
    </row>
    <row r="564" spans="2:9">
      <c r="B564" s="11">
        <f>1000000+INDEX(编号表!$B:$B,MATCH(C564,编号表!$A:$A,0))*1000+INDEX(编号表!$D:$D,MATCH(D564,编号表!$C:$C,0))*100+E564</f>
        <v>1017201</v>
      </c>
      <c r="C564" s="3" t="s">
        <v>211</v>
      </c>
      <c r="D564" s="11" t="s">
        <v>37</v>
      </c>
      <c r="E564" s="11">
        <f t="shared" ref="E564:E605" si="14">I564+K564+M564+O564+Q564+S564+U564+W564+Y564+AA564</f>
        <v>1</v>
      </c>
      <c r="F564" s="3" t="s">
        <v>183</v>
      </c>
      <c r="G564" s="16" t="s">
        <v>39</v>
      </c>
      <c r="H564" s="3">
        <v>60161000</v>
      </c>
      <c r="I564" s="12">
        <v>1</v>
      </c>
    </row>
    <row r="565" spans="2:9">
      <c r="B565" s="11">
        <f>1000000+INDEX(编号表!$B:$B,MATCH(C565,编号表!$A:$A,0))*1000+INDEX(编号表!$D:$D,MATCH(D565,编号表!$C:$C,0))*100+E565</f>
        <v>1017301</v>
      </c>
      <c r="C565" s="3" t="s">
        <v>211</v>
      </c>
      <c r="D565" s="11" t="s">
        <v>40</v>
      </c>
      <c r="E565" s="11">
        <f t="shared" si="14"/>
        <v>1</v>
      </c>
      <c r="F565" s="3" t="s">
        <v>205</v>
      </c>
      <c r="G565" s="16" t="s">
        <v>39</v>
      </c>
      <c r="H565" s="3">
        <v>60161001</v>
      </c>
      <c r="I565" s="12">
        <v>1</v>
      </c>
    </row>
    <row r="566" spans="2:9">
      <c r="B566" s="11">
        <f>1000000+INDEX(编号表!$B:$B,MATCH(C566,编号表!$A:$A,0))*1000+INDEX(编号表!$D:$D,MATCH(D566,编号表!$C:$C,0))*100+E566</f>
        <v>1017401</v>
      </c>
      <c r="C566" s="3" t="s">
        <v>211</v>
      </c>
      <c r="D566" s="11" t="s">
        <v>42</v>
      </c>
      <c r="E566" s="11">
        <f t="shared" si="14"/>
        <v>1</v>
      </c>
      <c r="F566" s="3" t="s">
        <v>206</v>
      </c>
      <c r="G566" s="16" t="s">
        <v>39</v>
      </c>
      <c r="H566" s="3">
        <v>60161002</v>
      </c>
      <c r="I566" s="12">
        <v>1</v>
      </c>
    </row>
    <row r="567" spans="2:9">
      <c r="B567" s="11">
        <f>1000000+INDEX(编号表!$B:$B,MATCH(C567,编号表!$A:$A,0))*1000+INDEX(编号表!$D:$D,MATCH(D567,编号表!$C:$C,0))*100+E567</f>
        <v>1017501</v>
      </c>
      <c r="C567" s="3" t="s">
        <v>211</v>
      </c>
      <c r="D567" s="11" t="s">
        <v>44</v>
      </c>
      <c r="E567" s="11">
        <f t="shared" si="14"/>
        <v>1</v>
      </c>
      <c r="F567" s="3" t="s">
        <v>207</v>
      </c>
      <c r="G567" s="16" t="s">
        <v>39</v>
      </c>
      <c r="H567" s="3">
        <v>60161003</v>
      </c>
      <c r="I567" s="12">
        <v>1</v>
      </c>
    </row>
    <row r="568" spans="2:9">
      <c r="B568" s="11">
        <f>1000000+INDEX(编号表!$B:$B,MATCH(C568,编号表!$A:$A,0))*1000+INDEX(编号表!$D:$D,MATCH(D568,编号表!$C:$C,0))*100+E568</f>
        <v>1017601</v>
      </c>
      <c r="C568" s="3" t="s">
        <v>211</v>
      </c>
      <c r="D568" s="11" t="s">
        <v>46</v>
      </c>
      <c r="E568" s="11">
        <f t="shared" si="14"/>
        <v>1</v>
      </c>
      <c r="F568" s="3" t="s">
        <v>209</v>
      </c>
      <c r="G568" s="16" t="s">
        <v>39</v>
      </c>
      <c r="H568" s="3">
        <v>60161004</v>
      </c>
      <c r="I568" s="12">
        <v>1</v>
      </c>
    </row>
    <row r="569" spans="2:9">
      <c r="B569" s="11">
        <f>1000000+INDEX(编号表!$B:$B,MATCH(C569,编号表!$A:$A,0))*1000+INDEX(编号表!$D:$D,MATCH(D569,编号表!$C:$C,0))*100+E569</f>
        <v>1017701</v>
      </c>
      <c r="C569" s="3" t="s">
        <v>211</v>
      </c>
      <c r="D569" s="11" t="s">
        <v>48</v>
      </c>
      <c r="E569" s="11">
        <f t="shared" si="14"/>
        <v>1</v>
      </c>
      <c r="F569" s="3" t="s">
        <v>210</v>
      </c>
      <c r="G569" s="16" t="s">
        <v>39</v>
      </c>
      <c r="H569" s="3">
        <v>60161005</v>
      </c>
      <c r="I569" s="12">
        <v>1</v>
      </c>
    </row>
    <row r="570" spans="2:9">
      <c r="B570" s="11">
        <f>1000000+INDEX(编号表!$B:$B,MATCH(C570,编号表!$A:$A,0))*1000+INDEX(编号表!$D:$D,MATCH(D570,编号表!$C:$C,0))*100+E570</f>
        <v>1017801</v>
      </c>
      <c r="C570" s="3" t="s">
        <v>211</v>
      </c>
      <c r="D570" s="11" t="s">
        <v>50</v>
      </c>
      <c r="E570" s="11">
        <f t="shared" si="14"/>
        <v>1</v>
      </c>
      <c r="F570" s="3" t="s">
        <v>49</v>
      </c>
      <c r="G570" s="16" t="s">
        <v>39</v>
      </c>
      <c r="H570" s="3">
        <v>60161006</v>
      </c>
      <c r="I570" s="12">
        <v>1</v>
      </c>
    </row>
    <row r="571" spans="2:9">
      <c r="B571" s="11">
        <f>1000000+INDEX(编号表!$B:$B,MATCH(C571,编号表!$A:$A,0))*1000+INDEX(编号表!$D:$D,MATCH(D571,编号表!$C:$C,0))*100+E571</f>
        <v>1017202</v>
      </c>
      <c r="C571" s="3" t="s">
        <v>211</v>
      </c>
      <c r="D571" s="11" t="s">
        <v>37</v>
      </c>
      <c r="E571" s="11">
        <f t="shared" si="14"/>
        <v>2</v>
      </c>
      <c r="F571" s="3" t="s">
        <v>183</v>
      </c>
      <c r="G571" s="16" t="s">
        <v>39</v>
      </c>
      <c r="H571" s="3">
        <v>60161000</v>
      </c>
      <c r="I571" s="12">
        <v>2</v>
      </c>
    </row>
    <row r="572" spans="2:9">
      <c r="B572" s="11">
        <f>1000000+INDEX(编号表!$B:$B,MATCH(C572,编号表!$A:$A,0))*1000+INDEX(编号表!$D:$D,MATCH(D572,编号表!$C:$C,0))*100+E572</f>
        <v>1017302</v>
      </c>
      <c r="C572" s="3" t="s">
        <v>211</v>
      </c>
      <c r="D572" s="11" t="s">
        <v>40</v>
      </c>
      <c r="E572" s="11">
        <f t="shared" si="14"/>
        <v>2</v>
      </c>
      <c r="F572" s="3" t="s">
        <v>205</v>
      </c>
      <c r="G572" s="16" t="s">
        <v>39</v>
      </c>
      <c r="H572" s="3">
        <v>60161001</v>
      </c>
      <c r="I572" s="12">
        <v>2</v>
      </c>
    </row>
    <row r="573" spans="2:9">
      <c r="B573" s="11">
        <f>1000000+INDEX(编号表!$B:$B,MATCH(C573,编号表!$A:$A,0))*1000+INDEX(编号表!$D:$D,MATCH(D573,编号表!$C:$C,0))*100+E573</f>
        <v>1017402</v>
      </c>
      <c r="C573" s="3" t="s">
        <v>211</v>
      </c>
      <c r="D573" s="11" t="s">
        <v>42</v>
      </c>
      <c r="E573" s="11">
        <f t="shared" si="14"/>
        <v>2</v>
      </c>
      <c r="F573" s="3" t="s">
        <v>206</v>
      </c>
      <c r="G573" s="16" t="s">
        <v>39</v>
      </c>
      <c r="H573" s="3">
        <v>60161002</v>
      </c>
      <c r="I573" s="12">
        <v>2</v>
      </c>
    </row>
    <row r="574" spans="2:9">
      <c r="B574" s="11">
        <f>1000000+INDEX(编号表!$B:$B,MATCH(C574,编号表!$A:$A,0))*1000+INDEX(编号表!$D:$D,MATCH(D574,编号表!$C:$C,0))*100+E574</f>
        <v>1017502</v>
      </c>
      <c r="C574" s="3" t="s">
        <v>211</v>
      </c>
      <c r="D574" s="11" t="s">
        <v>44</v>
      </c>
      <c r="E574" s="11">
        <f t="shared" si="14"/>
        <v>2</v>
      </c>
      <c r="F574" s="3" t="s">
        <v>207</v>
      </c>
      <c r="G574" s="16" t="s">
        <v>39</v>
      </c>
      <c r="H574" s="3">
        <v>60161003</v>
      </c>
      <c r="I574" s="12">
        <v>2</v>
      </c>
    </row>
    <row r="575" spans="2:9">
      <c r="B575" s="11">
        <f>1000000+INDEX(编号表!$B:$B,MATCH(C575,编号表!$A:$A,0))*1000+INDEX(编号表!$D:$D,MATCH(D575,编号表!$C:$C,0))*100+E575</f>
        <v>1017602</v>
      </c>
      <c r="C575" s="3" t="s">
        <v>211</v>
      </c>
      <c r="D575" s="11" t="s">
        <v>46</v>
      </c>
      <c r="E575" s="11">
        <f t="shared" si="14"/>
        <v>2</v>
      </c>
      <c r="F575" s="3" t="s">
        <v>209</v>
      </c>
      <c r="G575" s="16" t="s">
        <v>39</v>
      </c>
      <c r="H575" s="3">
        <v>60161004</v>
      </c>
      <c r="I575" s="12">
        <v>2</v>
      </c>
    </row>
    <row r="576" spans="2:9">
      <c r="B576" s="11">
        <f>1000000+INDEX(编号表!$B:$B,MATCH(C576,编号表!$A:$A,0))*1000+INDEX(编号表!$D:$D,MATCH(D576,编号表!$C:$C,0))*100+E576</f>
        <v>1017702</v>
      </c>
      <c r="C576" s="3" t="s">
        <v>211</v>
      </c>
      <c r="D576" s="11" t="s">
        <v>48</v>
      </c>
      <c r="E576" s="11">
        <f t="shared" si="14"/>
        <v>2</v>
      </c>
      <c r="F576" s="3" t="s">
        <v>210</v>
      </c>
      <c r="G576" s="16" t="s">
        <v>39</v>
      </c>
      <c r="H576" s="3">
        <v>60161005</v>
      </c>
      <c r="I576" s="12">
        <v>2</v>
      </c>
    </row>
    <row r="577" spans="2:9">
      <c r="B577" s="11">
        <f>1000000+INDEX(编号表!$B:$B,MATCH(C577,编号表!$A:$A,0))*1000+INDEX(编号表!$D:$D,MATCH(D577,编号表!$C:$C,0))*100+E577</f>
        <v>1017802</v>
      </c>
      <c r="C577" s="3" t="s">
        <v>211</v>
      </c>
      <c r="D577" s="11" t="s">
        <v>50</v>
      </c>
      <c r="E577" s="11">
        <f t="shared" si="14"/>
        <v>2</v>
      </c>
      <c r="F577" s="3" t="s">
        <v>49</v>
      </c>
      <c r="G577" s="16" t="s">
        <v>39</v>
      </c>
      <c r="H577" s="3">
        <v>60161006</v>
      </c>
      <c r="I577" s="12">
        <v>2</v>
      </c>
    </row>
    <row r="578" spans="2:9">
      <c r="B578" s="11">
        <f>1000000+INDEX(编号表!$B:$B,MATCH(C578,编号表!$A:$A,0))*1000+INDEX(编号表!$D:$D,MATCH(D578,编号表!$C:$C,0))*100+E578</f>
        <v>1017203</v>
      </c>
      <c r="C578" s="3" t="s">
        <v>211</v>
      </c>
      <c r="D578" s="11" t="s">
        <v>37</v>
      </c>
      <c r="E578" s="11">
        <f t="shared" si="14"/>
        <v>3</v>
      </c>
      <c r="F578" s="3" t="s">
        <v>183</v>
      </c>
      <c r="G578" s="16" t="s">
        <v>39</v>
      </c>
      <c r="H578" s="3">
        <v>60161000</v>
      </c>
      <c r="I578" s="12">
        <v>3</v>
      </c>
    </row>
    <row r="579" spans="2:9">
      <c r="B579" s="11">
        <f>1000000+INDEX(编号表!$B:$B,MATCH(C579,编号表!$A:$A,0))*1000+INDEX(编号表!$D:$D,MATCH(D579,编号表!$C:$C,0))*100+E579</f>
        <v>1017303</v>
      </c>
      <c r="C579" s="3" t="s">
        <v>211</v>
      </c>
      <c r="D579" s="11" t="s">
        <v>40</v>
      </c>
      <c r="E579" s="11">
        <f t="shared" si="14"/>
        <v>3</v>
      </c>
      <c r="F579" s="3" t="s">
        <v>205</v>
      </c>
      <c r="G579" s="16" t="s">
        <v>39</v>
      </c>
      <c r="H579" s="3">
        <v>60161001</v>
      </c>
      <c r="I579" s="12">
        <v>3</v>
      </c>
    </row>
    <row r="580" spans="2:9">
      <c r="B580" s="11">
        <f>1000000+INDEX(编号表!$B:$B,MATCH(C580,编号表!$A:$A,0))*1000+INDEX(编号表!$D:$D,MATCH(D580,编号表!$C:$C,0))*100+E580</f>
        <v>1017403</v>
      </c>
      <c r="C580" s="3" t="s">
        <v>211</v>
      </c>
      <c r="D580" s="11" t="s">
        <v>42</v>
      </c>
      <c r="E580" s="11">
        <f t="shared" si="14"/>
        <v>3</v>
      </c>
      <c r="F580" s="3" t="s">
        <v>206</v>
      </c>
      <c r="G580" s="16" t="s">
        <v>39</v>
      </c>
      <c r="H580" s="3">
        <v>60161002</v>
      </c>
      <c r="I580" s="12">
        <v>3</v>
      </c>
    </row>
    <row r="581" spans="2:9">
      <c r="B581" s="11">
        <f>1000000+INDEX(编号表!$B:$B,MATCH(C581,编号表!$A:$A,0))*1000+INDEX(编号表!$D:$D,MATCH(D581,编号表!$C:$C,0))*100+E581</f>
        <v>1017503</v>
      </c>
      <c r="C581" s="3" t="s">
        <v>211</v>
      </c>
      <c r="D581" s="11" t="s">
        <v>44</v>
      </c>
      <c r="E581" s="11">
        <f t="shared" si="14"/>
        <v>3</v>
      </c>
      <c r="F581" s="3" t="s">
        <v>207</v>
      </c>
      <c r="G581" s="16" t="s">
        <v>39</v>
      </c>
      <c r="H581" s="3">
        <v>60161003</v>
      </c>
      <c r="I581" s="12">
        <v>3</v>
      </c>
    </row>
    <row r="582" spans="2:9">
      <c r="B582" s="11">
        <f>1000000+INDEX(编号表!$B:$B,MATCH(C582,编号表!$A:$A,0))*1000+INDEX(编号表!$D:$D,MATCH(D582,编号表!$C:$C,0))*100+E582</f>
        <v>1017603</v>
      </c>
      <c r="C582" s="3" t="s">
        <v>211</v>
      </c>
      <c r="D582" s="11" t="s">
        <v>46</v>
      </c>
      <c r="E582" s="11">
        <f t="shared" si="14"/>
        <v>3</v>
      </c>
      <c r="F582" s="3" t="s">
        <v>209</v>
      </c>
      <c r="G582" s="16" t="s">
        <v>39</v>
      </c>
      <c r="H582" s="3">
        <v>60161004</v>
      </c>
      <c r="I582" s="12">
        <v>3</v>
      </c>
    </row>
    <row r="583" spans="2:9">
      <c r="B583" s="11">
        <f>1000000+INDEX(编号表!$B:$B,MATCH(C583,编号表!$A:$A,0))*1000+INDEX(编号表!$D:$D,MATCH(D583,编号表!$C:$C,0))*100+E583</f>
        <v>1017703</v>
      </c>
      <c r="C583" s="3" t="s">
        <v>211</v>
      </c>
      <c r="D583" s="11" t="s">
        <v>48</v>
      </c>
      <c r="E583" s="11">
        <f t="shared" si="14"/>
        <v>3</v>
      </c>
      <c r="F583" s="3" t="s">
        <v>210</v>
      </c>
      <c r="G583" s="16" t="s">
        <v>39</v>
      </c>
      <c r="H583" s="3">
        <v>60161005</v>
      </c>
      <c r="I583" s="12">
        <v>3</v>
      </c>
    </row>
    <row r="584" spans="2:9">
      <c r="B584" s="11">
        <f>1000000+INDEX(编号表!$B:$B,MATCH(C584,编号表!$A:$A,0))*1000+INDEX(编号表!$D:$D,MATCH(D584,编号表!$C:$C,0))*100+E584</f>
        <v>1017803</v>
      </c>
      <c r="C584" s="3" t="s">
        <v>211</v>
      </c>
      <c r="D584" s="11" t="s">
        <v>50</v>
      </c>
      <c r="E584" s="11">
        <f t="shared" si="14"/>
        <v>3</v>
      </c>
      <c r="F584" s="3" t="s">
        <v>49</v>
      </c>
      <c r="G584" s="16" t="s">
        <v>39</v>
      </c>
      <c r="H584" s="3">
        <v>60161006</v>
      </c>
      <c r="I584" s="12">
        <v>3</v>
      </c>
    </row>
    <row r="585" spans="2:9">
      <c r="B585" s="11">
        <f>1000000+INDEX(编号表!$B:$B,MATCH(C585,编号表!$A:$A,0))*1000+INDEX(编号表!$D:$D,MATCH(D585,编号表!$C:$C,0))*100+E585</f>
        <v>1017205</v>
      </c>
      <c r="C585" s="3" t="s">
        <v>211</v>
      </c>
      <c r="D585" s="11" t="s">
        <v>37</v>
      </c>
      <c r="E585" s="11">
        <f t="shared" si="14"/>
        <v>5</v>
      </c>
      <c r="F585" s="3" t="s">
        <v>183</v>
      </c>
      <c r="G585" s="16" t="s">
        <v>39</v>
      </c>
      <c r="H585" s="3">
        <v>60161000</v>
      </c>
      <c r="I585" s="12">
        <v>5</v>
      </c>
    </row>
    <row r="586" spans="2:9">
      <c r="B586" s="11">
        <f>1000000+INDEX(编号表!$B:$B,MATCH(C586,编号表!$A:$A,0))*1000+INDEX(编号表!$D:$D,MATCH(D586,编号表!$C:$C,0))*100+E586</f>
        <v>1017305</v>
      </c>
      <c r="C586" s="3" t="s">
        <v>211</v>
      </c>
      <c r="D586" s="11" t="s">
        <v>40</v>
      </c>
      <c r="E586" s="11">
        <f t="shared" si="14"/>
        <v>5</v>
      </c>
      <c r="F586" s="3" t="s">
        <v>205</v>
      </c>
      <c r="G586" s="16" t="s">
        <v>39</v>
      </c>
      <c r="H586" s="3">
        <v>60161001</v>
      </c>
      <c r="I586" s="12">
        <v>5</v>
      </c>
    </row>
    <row r="587" spans="2:9">
      <c r="B587" s="11">
        <f>1000000+INDEX(编号表!$B:$B,MATCH(C587,编号表!$A:$A,0))*1000+INDEX(编号表!$D:$D,MATCH(D587,编号表!$C:$C,0))*100+E587</f>
        <v>1017405</v>
      </c>
      <c r="C587" s="3" t="s">
        <v>211</v>
      </c>
      <c r="D587" s="11" t="s">
        <v>42</v>
      </c>
      <c r="E587" s="11">
        <f t="shared" si="14"/>
        <v>5</v>
      </c>
      <c r="F587" s="3" t="s">
        <v>206</v>
      </c>
      <c r="G587" s="16" t="s">
        <v>39</v>
      </c>
      <c r="H587" s="3">
        <v>60161002</v>
      </c>
      <c r="I587" s="12">
        <v>5</v>
      </c>
    </row>
    <row r="588" spans="2:9">
      <c r="B588" s="11">
        <f>1000000+INDEX(编号表!$B:$B,MATCH(C588,编号表!$A:$A,0))*1000+INDEX(编号表!$D:$D,MATCH(D588,编号表!$C:$C,0))*100+E588</f>
        <v>1017505</v>
      </c>
      <c r="C588" s="3" t="s">
        <v>211</v>
      </c>
      <c r="D588" s="11" t="s">
        <v>44</v>
      </c>
      <c r="E588" s="11">
        <f t="shared" si="14"/>
        <v>5</v>
      </c>
      <c r="F588" s="3" t="s">
        <v>207</v>
      </c>
      <c r="G588" s="16" t="s">
        <v>39</v>
      </c>
      <c r="H588" s="3">
        <v>60161003</v>
      </c>
      <c r="I588" s="12">
        <v>5</v>
      </c>
    </row>
    <row r="589" spans="2:9">
      <c r="B589" s="11">
        <f>1000000+INDEX(编号表!$B:$B,MATCH(C589,编号表!$A:$A,0))*1000+INDEX(编号表!$D:$D,MATCH(D589,编号表!$C:$C,0))*100+E589</f>
        <v>1017605</v>
      </c>
      <c r="C589" s="3" t="s">
        <v>211</v>
      </c>
      <c r="D589" s="11" t="s">
        <v>46</v>
      </c>
      <c r="E589" s="11">
        <f t="shared" si="14"/>
        <v>5</v>
      </c>
      <c r="F589" s="3" t="s">
        <v>209</v>
      </c>
      <c r="G589" s="16" t="s">
        <v>39</v>
      </c>
      <c r="H589" s="3">
        <v>60161004</v>
      </c>
      <c r="I589" s="12">
        <v>5</v>
      </c>
    </row>
    <row r="590" spans="2:9">
      <c r="B590" s="11">
        <f>1000000+INDEX(编号表!$B:$B,MATCH(C590,编号表!$A:$A,0))*1000+INDEX(编号表!$D:$D,MATCH(D590,编号表!$C:$C,0))*100+E590</f>
        <v>1017705</v>
      </c>
      <c r="C590" s="3" t="s">
        <v>211</v>
      </c>
      <c r="D590" s="11" t="s">
        <v>48</v>
      </c>
      <c r="E590" s="11">
        <f t="shared" si="14"/>
        <v>5</v>
      </c>
      <c r="F590" s="3" t="s">
        <v>210</v>
      </c>
      <c r="G590" s="16" t="s">
        <v>39</v>
      </c>
      <c r="H590" s="3">
        <v>60161005</v>
      </c>
      <c r="I590" s="12">
        <v>5</v>
      </c>
    </row>
    <row r="591" spans="2:9">
      <c r="B591" s="11">
        <f>1000000+INDEX(编号表!$B:$B,MATCH(C591,编号表!$A:$A,0))*1000+INDEX(编号表!$D:$D,MATCH(D591,编号表!$C:$C,0))*100+E591</f>
        <v>1017805</v>
      </c>
      <c r="C591" s="3" t="s">
        <v>211</v>
      </c>
      <c r="D591" s="11" t="s">
        <v>50</v>
      </c>
      <c r="E591" s="11">
        <f t="shared" si="14"/>
        <v>5</v>
      </c>
      <c r="F591" s="3" t="s">
        <v>49</v>
      </c>
      <c r="G591" s="16" t="s">
        <v>39</v>
      </c>
      <c r="H591" s="3">
        <v>60161006</v>
      </c>
      <c r="I591" s="12">
        <v>5</v>
      </c>
    </row>
    <row r="592" spans="2:9">
      <c r="B592" s="11">
        <f>1000000+INDEX(编号表!$B:$B,MATCH(C592,编号表!$A:$A,0))*1000+INDEX(编号表!$D:$D,MATCH(D592,编号表!$C:$C,0))*100+E592</f>
        <v>1017210</v>
      </c>
      <c r="C592" s="3" t="s">
        <v>211</v>
      </c>
      <c r="D592" s="11" t="s">
        <v>37</v>
      </c>
      <c r="E592" s="11">
        <f t="shared" si="14"/>
        <v>10</v>
      </c>
      <c r="F592" s="3" t="s">
        <v>183</v>
      </c>
      <c r="G592" s="16" t="s">
        <v>39</v>
      </c>
      <c r="H592" s="3">
        <v>60161000</v>
      </c>
      <c r="I592" s="12">
        <v>10</v>
      </c>
    </row>
    <row r="593" spans="2:9">
      <c r="B593" s="11">
        <f>1000000+INDEX(编号表!$B:$B,MATCH(C593,编号表!$A:$A,0))*1000+INDEX(编号表!$D:$D,MATCH(D593,编号表!$C:$C,0))*100+E593</f>
        <v>1017310</v>
      </c>
      <c r="C593" s="3" t="s">
        <v>211</v>
      </c>
      <c r="D593" s="11" t="s">
        <v>40</v>
      </c>
      <c r="E593" s="11">
        <f t="shared" si="14"/>
        <v>10</v>
      </c>
      <c r="F593" s="3" t="s">
        <v>205</v>
      </c>
      <c r="G593" s="16" t="s">
        <v>39</v>
      </c>
      <c r="H593" s="3">
        <v>60161001</v>
      </c>
      <c r="I593" s="12">
        <v>10</v>
      </c>
    </row>
    <row r="594" spans="2:9">
      <c r="B594" s="11">
        <f>1000000+INDEX(编号表!$B:$B,MATCH(C594,编号表!$A:$A,0))*1000+INDEX(编号表!$D:$D,MATCH(D594,编号表!$C:$C,0))*100+E594</f>
        <v>1017410</v>
      </c>
      <c r="C594" s="3" t="s">
        <v>211</v>
      </c>
      <c r="D594" s="11" t="s">
        <v>42</v>
      </c>
      <c r="E594" s="11">
        <f t="shared" si="14"/>
        <v>10</v>
      </c>
      <c r="F594" s="3" t="s">
        <v>206</v>
      </c>
      <c r="G594" s="16" t="s">
        <v>39</v>
      </c>
      <c r="H594" s="3">
        <v>60161002</v>
      </c>
      <c r="I594" s="12">
        <v>10</v>
      </c>
    </row>
    <row r="595" spans="2:9">
      <c r="B595" s="11">
        <f>1000000+INDEX(编号表!$B:$B,MATCH(C595,编号表!$A:$A,0))*1000+INDEX(编号表!$D:$D,MATCH(D595,编号表!$C:$C,0))*100+E595</f>
        <v>1017510</v>
      </c>
      <c r="C595" s="3" t="s">
        <v>211</v>
      </c>
      <c r="D595" s="11" t="s">
        <v>44</v>
      </c>
      <c r="E595" s="11">
        <f t="shared" si="14"/>
        <v>10</v>
      </c>
      <c r="F595" s="3" t="s">
        <v>207</v>
      </c>
      <c r="G595" s="16" t="s">
        <v>39</v>
      </c>
      <c r="H595" s="3">
        <v>60161003</v>
      </c>
      <c r="I595" s="12">
        <v>10</v>
      </c>
    </row>
    <row r="596" spans="2:9">
      <c r="B596" s="11">
        <f>1000000+INDEX(编号表!$B:$B,MATCH(C596,编号表!$A:$A,0))*1000+INDEX(编号表!$D:$D,MATCH(D596,编号表!$C:$C,0))*100+E596</f>
        <v>1017610</v>
      </c>
      <c r="C596" s="3" t="s">
        <v>211</v>
      </c>
      <c r="D596" s="11" t="s">
        <v>46</v>
      </c>
      <c r="E596" s="11">
        <f t="shared" si="14"/>
        <v>10</v>
      </c>
      <c r="F596" s="3" t="s">
        <v>209</v>
      </c>
      <c r="G596" s="16" t="s">
        <v>39</v>
      </c>
      <c r="H596" s="3">
        <v>60161004</v>
      </c>
      <c r="I596" s="12">
        <v>10</v>
      </c>
    </row>
    <row r="597" spans="2:9">
      <c r="B597" s="11">
        <f>1000000+INDEX(编号表!$B:$B,MATCH(C597,编号表!$A:$A,0))*1000+INDEX(编号表!$D:$D,MATCH(D597,编号表!$C:$C,0))*100+E597</f>
        <v>1017710</v>
      </c>
      <c r="C597" s="3" t="s">
        <v>211</v>
      </c>
      <c r="D597" s="11" t="s">
        <v>48</v>
      </c>
      <c r="E597" s="11">
        <f t="shared" si="14"/>
        <v>10</v>
      </c>
      <c r="F597" s="3" t="s">
        <v>210</v>
      </c>
      <c r="G597" s="16" t="s">
        <v>39</v>
      </c>
      <c r="H597" s="3">
        <v>60161005</v>
      </c>
      <c r="I597" s="12">
        <v>10</v>
      </c>
    </row>
    <row r="598" spans="2:9">
      <c r="B598" s="11">
        <f>1000000+INDEX(编号表!$B:$B,MATCH(C598,编号表!$A:$A,0))*1000+INDEX(编号表!$D:$D,MATCH(D598,编号表!$C:$C,0))*100+E598</f>
        <v>1017810</v>
      </c>
      <c r="C598" s="3" t="s">
        <v>211</v>
      </c>
      <c r="D598" s="11" t="s">
        <v>50</v>
      </c>
      <c r="E598" s="11">
        <f t="shared" si="14"/>
        <v>10</v>
      </c>
      <c r="F598" s="3" t="s">
        <v>49</v>
      </c>
      <c r="G598" s="16" t="s">
        <v>39</v>
      </c>
      <c r="H598" s="3">
        <v>60161006</v>
      </c>
      <c r="I598" s="12">
        <v>10</v>
      </c>
    </row>
    <row r="599" spans="2:9">
      <c r="B599" s="11">
        <f>1000000+INDEX(编号表!$B:$B,MATCH(C599,编号表!$A:$A,0))*1000+INDEX(编号表!$D:$D,MATCH(D599,编号表!$C:$C,0))*100+E599</f>
        <v>1017215</v>
      </c>
      <c r="C599" s="3" t="s">
        <v>211</v>
      </c>
      <c r="D599" s="11" t="s">
        <v>37</v>
      </c>
      <c r="E599" s="11">
        <f t="shared" si="14"/>
        <v>15</v>
      </c>
      <c r="F599" s="3" t="s">
        <v>183</v>
      </c>
      <c r="G599" s="16" t="s">
        <v>39</v>
      </c>
      <c r="H599" s="3">
        <v>60161000</v>
      </c>
      <c r="I599" s="12">
        <v>15</v>
      </c>
    </row>
    <row r="600" spans="2:9">
      <c r="B600" s="11">
        <f>1000000+INDEX(编号表!$B:$B,MATCH(C600,编号表!$A:$A,0))*1000+INDEX(编号表!$D:$D,MATCH(D600,编号表!$C:$C,0))*100+E600</f>
        <v>1017315</v>
      </c>
      <c r="C600" s="3" t="s">
        <v>211</v>
      </c>
      <c r="D600" s="11" t="s">
        <v>40</v>
      </c>
      <c r="E600" s="11">
        <f t="shared" si="14"/>
        <v>15</v>
      </c>
      <c r="F600" s="3" t="s">
        <v>205</v>
      </c>
      <c r="G600" s="16" t="s">
        <v>39</v>
      </c>
      <c r="H600" s="3">
        <v>60161001</v>
      </c>
      <c r="I600" s="12">
        <v>15</v>
      </c>
    </row>
    <row r="601" spans="2:9">
      <c r="B601" s="11">
        <f>1000000+INDEX(编号表!$B:$B,MATCH(C601,编号表!$A:$A,0))*1000+INDEX(编号表!$D:$D,MATCH(D601,编号表!$C:$C,0))*100+E601</f>
        <v>1017415</v>
      </c>
      <c r="C601" s="3" t="s">
        <v>211</v>
      </c>
      <c r="D601" s="11" t="s">
        <v>42</v>
      </c>
      <c r="E601" s="11">
        <f t="shared" si="14"/>
        <v>15</v>
      </c>
      <c r="F601" s="3" t="s">
        <v>206</v>
      </c>
      <c r="G601" s="16" t="s">
        <v>39</v>
      </c>
      <c r="H601" s="3">
        <v>60161002</v>
      </c>
      <c r="I601" s="12">
        <v>15</v>
      </c>
    </row>
    <row r="602" spans="2:9">
      <c r="B602" s="11">
        <f>1000000+INDEX(编号表!$B:$B,MATCH(C602,编号表!$A:$A,0))*1000+INDEX(编号表!$D:$D,MATCH(D602,编号表!$C:$C,0))*100+E602</f>
        <v>1017515</v>
      </c>
      <c r="C602" s="3" t="s">
        <v>211</v>
      </c>
      <c r="D602" s="11" t="s">
        <v>44</v>
      </c>
      <c r="E602" s="11">
        <f t="shared" si="14"/>
        <v>15</v>
      </c>
      <c r="F602" s="3" t="s">
        <v>207</v>
      </c>
      <c r="G602" s="16" t="s">
        <v>39</v>
      </c>
      <c r="H602" s="3">
        <v>60161003</v>
      </c>
      <c r="I602" s="12">
        <v>15</v>
      </c>
    </row>
    <row r="603" spans="2:9">
      <c r="B603" s="11">
        <f>1000000+INDEX(编号表!$B:$B,MATCH(C603,编号表!$A:$A,0))*1000+INDEX(编号表!$D:$D,MATCH(D603,编号表!$C:$C,0))*100+E603</f>
        <v>1017615</v>
      </c>
      <c r="C603" s="3" t="s">
        <v>211</v>
      </c>
      <c r="D603" s="11" t="s">
        <v>46</v>
      </c>
      <c r="E603" s="11">
        <f t="shared" si="14"/>
        <v>15</v>
      </c>
      <c r="F603" s="3" t="s">
        <v>209</v>
      </c>
      <c r="G603" s="16" t="s">
        <v>39</v>
      </c>
      <c r="H603" s="3">
        <v>60161004</v>
      </c>
      <c r="I603" s="12">
        <v>15</v>
      </c>
    </row>
    <row r="604" spans="2:9">
      <c r="B604" s="11">
        <f>1000000+INDEX(编号表!$B:$B,MATCH(C604,编号表!$A:$A,0))*1000+INDEX(编号表!$D:$D,MATCH(D604,编号表!$C:$C,0))*100+E604</f>
        <v>1017715</v>
      </c>
      <c r="C604" s="3" t="s">
        <v>211</v>
      </c>
      <c r="D604" s="11" t="s">
        <v>48</v>
      </c>
      <c r="E604" s="11">
        <f t="shared" si="14"/>
        <v>15</v>
      </c>
      <c r="F604" s="3" t="s">
        <v>210</v>
      </c>
      <c r="G604" s="16" t="s">
        <v>39</v>
      </c>
      <c r="H604" s="3">
        <v>60161005</v>
      </c>
      <c r="I604" s="12">
        <v>15</v>
      </c>
    </row>
    <row r="605" spans="2:9">
      <c r="B605" s="11">
        <f>1000000+INDEX(编号表!$B:$B,MATCH(C605,编号表!$A:$A,0))*1000+INDEX(编号表!$D:$D,MATCH(D605,编号表!$C:$C,0))*100+E605</f>
        <v>1017815</v>
      </c>
      <c r="C605" s="3" t="s">
        <v>211</v>
      </c>
      <c r="D605" s="11" t="s">
        <v>50</v>
      </c>
      <c r="E605" s="11">
        <f t="shared" si="14"/>
        <v>15</v>
      </c>
      <c r="F605" s="3" t="s">
        <v>49</v>
      </c>
      <c r="G605" s="16" t="s">
        <v>39</v>
      </c>
      <c r="H605" s="3">
        <v>60161006</v>
      </c>
      <c r="I605" s="12">
        <v>15</v>
      </c>
    </row>
    <row r="606" spans="2:9">
      <c r="B606" s="11">
        <f>1000000+INDEX(编号表!$B:$B,MATCH(C606,编号表!$A:$A,0))*1000+INDEX(编号表!$D:$D,MATCH(D606,编号表!$C:$C,0))*100+E606</f>
        <v>1018001</v>
      </c>
      <c r="C606" s="3" t="s">
        <v>212</v>
      </c>
      <c r="D606" s="11" t="s">
        <v>55</v>
      </c>
      <c r="E606" s="11">
        <v>1</v>
      </c>
      <c r="F606" s="17" t="s">
        <v>167</v>
      </c>
      <c r="G606" s="16" t="s">
        <v>57</v>
      </c>
      <c r="H606" s="11">
        <v>60174000</v>
      </c>
      <c r="I606" s="12">
        <v>1</v>
      </c>
    </row>
    <row r="607" spans="2:9">
      <c r="B607" s="11">
        <f>1000000+INDEX(编号表!$B:$B,MATCH(C607,编号表!$A:$A,0))*1000+INDEX(编号表!$D:$D,MATCH(D607,编号表!$C:$C,0))*100+E607</f>
        <v>1018101</v>
      </c>
      <c r="C607" s="3" t="s">
        <v>212</v>
      </c>
      <c r="D607" s="11" t="s">
        <v>58</v>
      </c>
      <c r="E607" s="11">
        <v>1</v>
      </c>
      <c r="F607" s="17" t="s">
        <v>59</v>
      </c>
      <c r="G607" s="16" t="s">
        <v>57</v>
      </c>
      <c r="H607" s="3">
        <v>60172000</v>
      </c>
      <c r="I607" s="12">
        <v>1</v>
      </c>
    </row>
    <row r="608" spans="2:9">
      <c r="B608" s="11">
        <f>1000000+INDEX(编号表!$B:$B,MATCH(C608,编号表!$A:$A,0))*1000+INDEX(编号表!$D:$D,MATCH(D608,编号表!$C:$C,0))*100+E608</f>
        <v>1018201</v>
      </c>
      <c r="C608" s="3" t="s">
        <v>212</v>
      </c>
      <c r="D608" s="11" t="s">
        <v>37</v>
      </c>
      <c r="E608" s="11">
        <f t="shared" ref="E608:E631" si="15">I608+K608+M608+O608+Q608+S608+U608+W608+Y608+AA608</f>
        <v>1</v>
      </c>
      <c r="F608" s="3" t="s">
        <v>183</v>
      </c>
      <c r="G608" s="16" t="s">
        <v>39</v>
      </c>
      <c r="H608" s="3">
        <v>60171000</v>
      </c>
      <c r="I608" s="12">
        <v>1</v>
      </c>
    </row>
    <row r="609" spans="2:9">
      <c r="B609" s="11">
        <f>1000000+INDEX(编号表!$B:$B,MATCH(C609,编号表!$A:$A,0))*1000+INDEX(编号表!$D:$D,MATCH(D609,编号表!$C:$C,0))*100+E609</f>
        <v>1018301</v>
      </c>
      <c r="C609" s="3" t="s">
        <v>212</v>
      </c>
      <c r="D609" s="11" t="s">
        <v>40</v>
      </c>
      <c r="E609" s="11">
        <f t="shared" si="15"/>
        <v>1</v>
      </c>
      <c r="F609" s="3" t="s">
        <v>191</v>
      </c>
      <c r="G609" s="16" t="s">
        <v>39</v>
      </c>
      <c r="H609" s="3">
        <v>60171001</v>
      </c>
      <c r="I609" s="12">
        <v>1</v>
      </c>
    </row>
    <row r="610" spans="2:9">
      <c r="B610" s="11">
        <f>1000000+INDEX(编号表!$B:$B,MATCH(C610,编号表!$A:$A,0))*1000+INDEX(编号表!$D:$D,MATCH(D610,编号表!$C:$C,0))*100+E610</f>
        <v>1018401</v>
      </c>
      <c r="C610" s="3" t="s">
        <v>212</v>
      </c>
      <c r="D610" s="11" t="s">
        <v>42</v>
      </c>
      <c r="E610" s="11">
        <f t="shared" si="15"/>
        <v>1</v>
      </c>
      <c r="F610" s="3" t="s">
        <v>210</v>
      </c>
      <c r="G610" s="16" t="s">
        <v>39</v>
      </c>
      <c r="H610" s="3">
        <v>60171002</v>
      </c>
      <c r="I610" s="12">
        <v>1</v>
      </c>
    </row>
    <row r="611" spans="2:9">
      <c r="B611" s="11">
        <f>1000000+INDEX(编号表!$B:$B,MATCH(C611,编号表!$A:$A,0))*1000+INDEX(编号表!$D:$D,MATCH(D611,编号表!$C:$C,0))*100+E611</f>
        <v>1018501</v>
      </c>
      <c r="C611" s="3" t="s">
        <v>212</v>
      </c>
      <c r="D611" s="11" t="s">
        <v>44</v>
      </c>
      <c r="E611" s="11">
        <f t="shared" si="15"/>
        <v>1</v>
      </c>
      <c r="F611" s="3" t="s">
        <v>49</v>
      </c>
      <c r="G611" s="16" t="s">
        <v>39</v>
      </c>
      <c r="H611" s="3">
        <v>60171003</v>
      </c>
      <c r="I611" s="12">
        <v>1</v>
      </c>
    </row>
    <row r="612" spans="2:9">
      <c r="B612" s="11">
        <f>1000000+INDEX(编号表!$B:$B,MATCH(C612,编号表!$A:$A,0))*1000+INDEX(编号表!$D:$D,MATCH(D612,编号表!$C:$C,0))*100+E612</f>
        <v>1018202</v>
      </c>
      <c r="C612" s="3" t="s">
        <v>212</v>
      </c>
      <c r="D612" s="11" t="s">
        <v>37</v>
      </c>
      <c r="E612" s="11">
        <f t="shared" si="15"/>
        <v>2</v>
      </c>
      <c r="F612" s="3" t="s">
        <v>183</v>
      </c>
      <c r="G612" s="16" t="s">
        <v>39</v>
      </c>
      <c r="H612" s="3">
        <v>60171000</v>
      </c>
      <c r="I612" s="12">
        <v>2</v>
      </c>
    </row>
    <row r="613" spans="2:9">
      <c r="B613" s="11">
        <f>1000000+INDEX(编号表!$B:$B,MATCH(C613,编号表!$A:$A,0))*1000+INDEX(编号表!$D:$D,MATCH(D613,编号表!$C:$C,0))*100+E613</f>
        <v>1018302</v>
      </c>
      <c r="C613" s="3" t="s">
        <v>212</v>
      </c>
      <c r="D613" s="11" t="s">
        <v>40</v>
      </c>
      <c r="E613" s="11">
        <f t="shared" si="15"/>
        <v>2</v>
      </c>
      <c r="F613" s="3" t="s">
        <v>191</v>
      </c>
      <c r="G613" s="16" t="s">
        <v>39</v>
      </c>
      <c r="H613" s="3">
        <v>60171001</v>
      </c>
      <c r="I613" s="12">
        <v>2</v>
      </c>
    </row>
    <row r="614" spans="2:9">
      <c r="B614" s="11">
        <f>1000000+INDEX(编号表!$B:$B,MATCH(C614,编号表!$A:$A,0))*1000+INDEX(编号表!$D:$D,MATCH(D614,编号表!$C:$C,0))*100+E614</f>
        <v>1018402</v>
      </c>
      <c r="C614" s="3" t="s">
        <v>212</v>
      </c>
      <c r="D614" s="11" t="s">
        <v>42</v>
      </c>
      <c r="E614" s="11">
        <f t="shared" si="15"/>
        <v>2</v>
      </c>
      <c r="F614" s="3" t="s">
        <v>210</v>
      </c>
      <c r="G614" s="16" t="s">
        <v>39</v>
      </c>
      <c r="H614" s="3">
        <v>60171002</v>
      </c>
      <c r="I614" s="12">
        <v>2</v>
      </c>
    </row>
    <row r="615" spans="2:9">
      <c r="B615" s="11">
        <f>1000000+INDEX(编号表!$B:$B,MATCH(C615,编号表!$A:$A,0))*1000+INDEX(编号表!$D:$D,MATCH(D615,编号表!$C:$C,0))*100+E615</f>
        <v>1018502</v>
      </c>
      <c r="C615" s="3" t="s">
        <v>212</v>
      </c>
      <c r="D615" s="11" t="s">
        <v>44</v>
      </c>
      <c r="E615" s="11">
        <f t="shared" si="15"/>
        <v>2</v>
      </c>
      <c r="F615" s="3" t="s">
        <v>49</v>
      </c>
      <c r="G615" s="16" t="s">
        <v>39</v>
      </c>
      <c r="H615" s="3">
        <v>60171003</v>
      </c>
      <c r="I615" s="12">
        <v>2</v>
      </c>
    </row>
    <row r="616" spans="2:9">
      <c r="B616" s="11">
        <f>1000000+INDEX(编号表!$B:$B,MATCH(C616,编号表!$A:$A,0))*1000+INDEX(编号表!$D:$D,MATCH(D616,编号表!$C:$C,0))*100+E616</f>
        <v>1018203</v>
      </c>
      <c r="C616" s="3" t="s">
        <v>212</v>
      </c>
      <c r="D616" s="11" t="s">
        <v>37</v>
      </c>
      <c r="E616" s="11">
        <f t="shared" si="15"/>
        <v>3</v>
      </c>
      <c r="F616" s="3" t="s">
        <v>183</v>
      </c>
      <c r="G616" s="16" t="s">
        <v>39</v>
      </c>
      <c r="H616" s="3">
        <v>60171000</v>
      </c>
      <c r="I616" s="12">
        <v>3</v>
      </c>
    </row>
    <row r="617" spans="2:9">
      <c r="B617" s="11">
        <f>1000000+INDEX(编号表!$B:$B,MATCH(C617,编号表!$A:$A,0))*1000+INDEX(编号表!$D:$D,MATCH(D617,编号表!$C:$C,0))*100+E617</f>
        <v>1018303</v>
      </c>
      <c r="C617" s="3" t="s">
        <v>212</v>
      </c>
      <c r="D617" s="11" t="s">
        <v>40</v>
      </c>
      <c r="E617" s="11">
        <f t="shared" si="15"/>
        <v>3</v>
      </c>
      <c r="F617" s="3" t="s">
        <v>191</v>
      </c>
      <c r="G617" s="16" t="s">
        <v>39</v>
      </c>
      <c r="H617" s="3">
        <v>60171001</v>
      </c>
      <c r="I617" s="12">
        <v>3</v>
      </c>
    </row>
    <row r="618" spans="2:9">
      <c r="B618" s="11">
        <f>1000000+INDEX(编号表!$B:$B,MATCH(C618,编号表!$A:$A,0))*1000+INDEX(编号表!$D:$D,MATCH(D618,编号表!$C:$C,0))*100+E618</f>
        <v>1018403</v>
      </c>
      <c r="C618" s="3" t="s">
        <v>212</v>
      </c>
      <c r="D618" s="11" t="s">
        <v>42</v>
      </c>
      <c r="E618" s="11">
        <f t="shared" si="15"/>
        <v>3</v>
      </c>
      <c r="F618" s="3" t="s">
        <v>210</v>
      </c>
      <c r="G618" s="16" t="s">
        <v>39</v>
      </c>
      <c r="H618" s="3">
        <v>60171002</v>
      </c>
      <c r="I618" s="12">
        <v>3</v>
      </c>
    </row>
    <row r="619" spans="2:9">
      <c r="B619" s="11">
        <f>1000000+INDEX(编号表!$B:$B,MATCH(C619,编号表!$A:$A,0))*1000+INDEX(编号表!$D:$D,MATCH(D619,编号表!$C:$C,0))*100+E619</f>
        <v>1018503</v>
      </c>
      <c r="C619" s="3" t="s">
        <v>212</v>
      </c>
      <c r="D619" s="11" t="s">
        <v>44</v>
      </c>
      <c r="E619" s="11">
        <f t="shared" si="15"/>
        <v>3</v>
      </c>
      <c r="F619" s="3" t="s">
        <v>49</v>
      </c>
      <c r="G619" s="16" t="s">
        <v>39</v>
      </c>
      <c r="H619" s="3">
        <v>60171003</v>
      </c>
      <c r="I619" s="12">
        <v>3</v>
      </c>
    </row>
    <row r="620" spans="2:9">
      <c r="B620" s="11">
        <f>1000000+INDEX(编号表!$B:$B,MATCH(C620,编号表!$A:$A,0))*1000+INDEX(编号表!$D:$D,MATCH(D620,编号表!$C:$C,0))*100+E620</f>
        <v>1018205</v>
      </c>
      <c r="C620" s="3" t="s">
        <v>212</v>
      </c>
      <c r="D620" s="11" t="s">
        <v>37</v>
      </c>
      <c r="E620" s="11">
        <f t="shared" si="15"/>
        <v>5</v>
      </c>
      <c r="F620" s="3" t="s">
        <v>183</v>
      </c>
      <c r="G620" s="16" t="s">
        <v>39</v>
      </c>
      <c r="H620" s="3">
        <v>60171000</v>
      </c>
      <c r="I620" s="12">
        <v>5</v>
      </c>
    </row>
    <row r="621" spans="2:9">
      <c r="B621" s="11">
        <f>1000000+INDEX(编号表!$B:$B,MATCH(C621,编号表!$A:$A,0))*1000+INDEX(编号表!$D:$D,MATCH(D621,编号表!$C:$C,0))*100+E621</f>
        <v>1018305</v>
      </c>
      <c r="C621" s="3" t="s">
        <v>212</v>
      </c>
      <c r="D621" s="11" t="s">
        <v>40</v>
      </c>
      <c r="E621" s="11">
        <f t="shared" si="15"/>
        <v>5</v>
      </c>
      <c r="F621" s="3" t="s">
        <v>191</v>
      </c>
      <c r="G621" s="16" t="s">
        <v>39</v>
      </c>
      <c r="H621" s="3">
        <v>60171001</v>
      </c>
      <c r="I621" s="12">
        <v>5</v>
      </c>
    </row>
    <row r="622" spans="2:9">
      <c r="B622" s="11">
        <f>1000000+INDEX(编号表!$B:$B,MATCH(C622,编号表!$A:$A,0))*1000+INDEX(编号表!$D:$D,MATCH(D622,编号表!$C:$C,0))*100+E622</f>
        <v>1018405</v>
      </c>
      <c r="C622" s="3" t="s">
        <v>212</v>
      </c>
      <c r="D622" s="11" t="s">
        <v>42</v>
      </c>
      <c r="E622" s="11">
        <f t="shared" si="15"/>
        <v>5</v>
      </c>
      <c r="F622" s="3" t="s">
        <v>210</v>
      </c>
      <c r="G622" s="16" t="s">
        <v>39</v>
      </c>
      <c r="H622" s="3">
        <v>60171002</v>
      </c>
      <c r="I622" s="12">
        <v>5</v>
      </c>
    </row>
    <row r="623" spans="2:9">
      <c r="B623" s="11">
        <f>1000000+INDEX(编号表!$B:$B,MATCH(C623,编号表!$A:$A,0))*1000+INDEX(编号表!$D:$D,MATCH(D623,编号表!$C:$C,0))*100+E623</f>
        <v>1018505</v>
      </c>
      <c r="C623" s="3" t="s">
        <v>212</v>
      </c>
      <c r="D623" s="11" t="s">
        <v>44</v>
      </c>
      <c r="E623" s="11">
        <f t="shared" si="15"/>
        <v>5</v>
      </c>
      <c r="F623" s="3" t="s">
        <v>49</v>
      </c>
      <c r="G623" s="16" t="s">
        <v>39</v>
      </c>
      <c r="H623" s="3">
        <v>60171003</v>
      </c>
      <c r="I623" s="12">
        <v>5</v>
      </c>
    </row>
    <row r="624" spans="2:9">
      <c r="B624" s="11">
        <f>1000000+INDEX(编号表!$B:$B,MATCH(C624,编号表!$A:$A,0))*1000+INDEX(编号表!$D:$D,MATCH(D624,编号表!$C:$C,0))*100+E624</f>
        <v>1018210</v>
      </c>
      <c r="C624" s="3" t="s">
        <v>212</v>
      </c>
      <c r="D624" s="11" t="s">
        <v>37</v>
      </c>
      <c r="E624" s="11">
        <f t="shared" si="15"/>
        <v>10</v>
      </c>
      <c r="F624" s="3" t="s">
        <v>183</v>
      </c>
      <c r="G624" s="16" t="s">
        <v>39</v>
      </c>
      <c r="H624" s="3">
        <v>60171000</v>
      </c>
      <c r="I624" s="12">
        <v>10</v>
      </c>
    </row>
    <row r="625" spans="2:9">
      <c r="B625" s="11">
        <f>1000000+INDEX(编号表!$B:$B,MATCH(C625,编号表!$A:$A,0))*1000+INDEX(编号表!$D:$D,MATCH(D625,编号表!$C:$C,0))*100+E625</f>
        <v>1018310</v>
      </c>
      <c r="C625" s="3" t="s">
        <v>212</v>
      </c>
      <c r="D625" s="11" t="s">
        <v>40</v>
      </c>
      <c r="E625" s="11">
        <f t="shared" si="15"/>
        <v>10</v>
      </c>
      <c r="F625" s="3" t="s">
        <v>191</v>
      </c>
      <c r="G625" s="16" t="s">
        <v>39</v>
      </c>
      <c r="H625" s="3">
        <v>60171001</v>
      </c>
      <c r="I625" s="12">
        <v>10</v>
      </c>
    </row>
    <row r="626" spans="2:9">
      <c r="B626" s="11">
        <f>1000000+INDEX(编号表!$B:$B,MATCH(C626,编号表!$A:$A,0))*1000+INDEX(编号表!$D:$D,MATCH(D626,编号表!$C:$C,0))*100+E626</f>
        <v>1018410</v>
      </c>
      <c r="C626" s="3" t="s">
        <v>212</v>
      </c>
      <c r="D626" s="11" t="s">
        <v>42</v>
      </c>
      <c r="E626" s="11">
        <f t="shared" si="15"/>
        <v>10</v>
      </c>
      <c r="F626" s="3" t="s">
        <v>210</v>
      </c>
      <c r="G626" s="16" t="s">
        <v>39</v>
      </c>
      <c r="H626" s="3">
        <v>60171002</v>
      </c>
      <c r="I626" s="12">
        <v>10</v>
      </c>
    </row>
    <row r="627" spans="2:9">
      <c r="B627" s="11">
        <f>1000000+INDEX(编号表!$B:$B,MATCH(C627,编号表!$A:$A,0))*1000+INDEX(编号表!$D:$D,MATCH(D627,编号表!$C:$C,0))*100+E627</f>
        <v>1018510</v>
      </c>
      <c r="C627" s="3" t="s">
        <v>212</v>
      </c>
      <c r="D627" s="11" t="s">
        <v>44</v>
      </c>
      <c r="E627" s="11">
        <f t="shared" si="15"/>
        <v>10</v>
      </c>
      <c r="F627" s="3" t="s">
        <v>49</v>
      </c>
      <c r="G627" s="16" t="s">
        <v>39</v>
      </c>
      <c r="H627" s="3">
        <v>60171003</v>
      </c>
      <c r="I627" s="12">
        <v>10</v>
      </c>
    </row>
    <row r="628" spans="2:9">
      <c r="B628" s="11">
        <f>1000000+INDEX(编号表!$B:$B,MATCH(C628,编号表!$A:$A,0))*1000+INDEX(编号表!$D:$D,MATCH(D628,编号表!$C:$C,0))*100+E628</f>
        <v>1018215</v>
      </c>
      <c r="C628" s="3" t="s">
        <v>212</v>
      </c>
      <c r="D628" s="11" t="s">
        <v>37</v>
      </c>
      <c r="E628" s="11">
        <f t="shared" si="15"/>
        <v>15</v>
      </c>
      <c r="F628" s="3" t="s">
        <v>183</v>
      </c>
      <c r="G628" s="16" t="s">
        <v>39</v>
      </c>
      <c r="H628" s="3">
        <v>60171000</v>
      </c>
      <c r="I628" s="12">
        <v>15</v>
      </c>
    </row>
    <row r="629" spans="2:9">
      <c r="B629" s="11">
        <f>1000000+INDEX(编号表!$B:$B,MATCH(C629,编号表!$A:$A,0))*1000+INDEX(编号表!$D:$D,MATCH(D629,编号表!$C:$C,0))*100+E629</f>
        <v>1018315</v>
      </c>
      <c r="C629" s="3" t="s">
        <v>212</v>
      </c>
      <c r="D629" s="11" t="s">
        <v>40</v>
      </c>
      <c r="E629" s="11">
        <f t="shared" si="15"/>
        <v>15</v>
      </c>
      <c r="F629" s="3" t="s">
        <v>191</v>
      </c>
      <c r="G629" s="16" t="s">
        <v>39</v>
      </c>
      <c r="H629" s="3">
        <v>60171001</v>
      </c>
      <c r="I629" s="12">
        <v>15</v>
      </c>
    </row>
    <row r="630" spans="2:9">
      <c r="B630" s="11">
        <f>1000000+INDEX(编号表!$B:$B,MATCH(C630,编号表!$A:$A,0))*1000+INDEX(编号表!$D:$D,MATCH(D630,编号表!$C:$C,0))*100+E630</f>
        <v>1018415</v>
      </c>
      <c r="C630" s="3" t="s">
        <v>212</v>
      </c>
      <c r="D630" s="11" t="s">
        <v>42</v>
      </c>
      <c r="E630" s="11">
        <f t="shared" si="15"/>
        <v>15</v>
      </c>
      <c r="F630" s="3" t="s">
        <v>210</v>
      </c>
      <c r="G630" s="16" t="s">
        <v>39</v>
      </c>
      <c r="H630" s="3">
        <v>60171002</v>
      </c>
      <c r="I630" s="12">
        <v>15</v>
      </c>
    </row>
    <row r="631" spans="2:9">
      <c r="B631" s="11">
        <f>1000000+INDEX(编号表!$B:$B,MATCH(C631,编号表!$A:$A,0))*1000+INDEX(编号表!$D:$D,MATCH(D631,编号表!$C:$C,0))*100+E631</f>
        <v>1018515</v>
      </c>
      <c r="C631" s="3" t="s">
        <v>212</v>
      </c>
      <c r="D631" s="11" t="s">
        <v>44</v>
      </c>
      <c r="E631" s="11">
        <f t="shared" si="15"/>
        <v>15</v>
      </c>
      <c r="F631" s="3" t="s">
        <v>49</v>
      </c>
      <c r="G631" s="16" t="s">
        <v>39</v>
      </c>
      <c r="H631" s="3">
        <v>60171003</v>
      </c>
      <c r="I631" s="12">
        <v>15</v>
      </c>
    </row>
    <row r="632" spans="2:9">
      <c r="B632" s="11">
        <f>1000000+INDEX(编号表!$B:$B,MATCH(C632,编号表!$A:$A,0))*1000+INDEX(编号表!$D:$D,MATCH(D632,编号表!$C:$C,0))*100+E632</f>
        <v>1019001</v>
      </c>
      <c r="C632" s="3" t="s">
        <v>213</v>
      </c>
      <c r="D632" s="11" t="s">
        <v>55</v>
      </c>
      <c r="E632" s="11">
        <v>1</v>
      </c>
      <c r="F632" s="17" t="s">
        <v>167</v>
      </c>
      <c r="G632" s="16" t="s">
        <v>57</v>
      </c>
      <c r="H632" s="3">
        <v>60182000</v>
      </c>
      <c r="I632" s="12">
        <v>1</v>
      </c>
    </row>
    <row r="633" spans="2:9">
      <c r="B633" s="11">
        <f>1000000+INDEX(编号表!$B:$B,MATCH(C633,编号表!$A:$A,0))*1000+INDEX(编号表!$D:$D,MATCH(D633,编号表!$C:$C,0))*100+E633</f>
        <v>1019101</v>
      </c>
      <c r="C633" s="3" t="s">
        <v>213</v>
      </c>
      <c r="D633" s="11" t="s">
        <v>58</v>
      </c>
      <c r="E633" s="11">
        <v>1</v>
      </c>
      <c r="F633" s="17" t="s">
        <v>59</v>
      </c>
      <c r="G633" s="16" t="s">
        <v>57</v>
      </c>
      <c r="H633" s="3">
        <v>60182000</v>
      </c>
      <c r="I633" s="12">
        <v>1</v>
      </c>
    </row>
    <row r="634" spans="2:9">
      <c r="B634" s="11">
        <f>1000000+INDEX(编号表!$B:$B,MATCH(C634,编号表!$A:$A,0))*1000+INDEX(编号表!$D:$D,MATCH(D634,编号表!$C:$C,0))*100+E634</f>
        <v>1019201</v>
      </c>
      <c r="C634" s="3" t="s">
        <v>213</v>
      </c>
      <c r="D634" s="11" t="s">
        <v>37</v>
      </c>
      <c r="E634" s="11">
        <f t="shared" ref="E634:E651" si="16">I634+K634+M634+O634+Q634+S634+U634+W634+Y634+AA634</f>
        <v>1</v>
      </c>
      <c r="F634" s="3" t="s">
        <v>214</v>
      </c>
      <c r="G634" s="16" t="s">
        <v>39</v>
      </c>
      <c r="H634" s="3">
        <v>60181000</v>
      </c>
      <c r="I634" s="12">
        <v>1</v>
      </c>
    </row>
    <row r="635" spans="2:9">
      <c r="B635" s="11">
        <f>1000000+INDEX(编号表!$B:$B,MATCH(C635,编号表!$A:$A,0))*1000+INDEX(编号表!$D:$D,MATCH(D635,编号表!$C:$C,0))*100+E635</f>
        <v>1019301</v>
      </c>
      <c r="C635" s="3" t="s">
        <v>213</v>
      </c>
      <c r="D635" s="11" t="s">
        <v>40</v>
      </c>
      <c r="E635" s="11">
        <f t="shared" si="16"/>
        <v>1</v>
      </c>
      <c r="F635" s="3" t="s">
        <v>215</v>
      </c>
      <c r="G635" s="16" t="s">
        <v>39</v>
      </c>
      <c r="H635" s="3">
        <v>60181001</v>
      </c>
      <c r="I635" s="12">
        <v>1</v>
      </c>
    </row>
    <row r="636" spans="2:9">
      <c r="B636" s="11">
        <f>1000000+INDEX(编号表!$B:$B,MATCH(C636,编号表!$A:$A,0))*1000+INDEX(编号表!$D:$D,MATCH(D636,编号表!$C:$C,0))*100+E636</f>
        <v>1019401</v>
      </c>
      <c r="C636" s="3" t="s">
        <v>213</v>
      </c>
      <c r="D636" s="11" t="s">
        <v>42</v>
      </c>
      <c r="E636" s="11">
        <f t="shared" si="16"/>
        <v>1</v>
      </c>
      <c r="F636" s="3" t="s">
        <v>216</v>
      </c>
      <c r="G636" s="16" t="s">
        <v>39</v>
      </c>
      <c r="H636" s="3">
        <v>60181002</v>
      </c>
      <c r="I636" s="12">
        <v>1</v>
      </c>
    </row>
    <row r="637" spans="2:9">
      <c r="B637" s="11">
        <f>1000000+INDEX(编号表!$B:$B,MATCH(C637,编号表!$A:$A,0))*1000+INDEX(编号表!$D:$D,MATCH(D637,编号表!$C:$C,0))*100+E637</f>
        <v>1019202</v>
      </c>
      <c r="C637" s="3" t="s">
        <v>213</v>
      </c>
      <c r="D637" s="11" t="s">
        <v>37</v>
      </c>
      <c r="E637" s="11">
        <f t="shared" si="16"/>
        <v>2</v>
      </c>
      <c r="F637" s="3" t="s">
        <v>214</v>
      </c>
      <c r="G637" s="16" t="s">
        <v>39</v>
      </c>
      <c r="H637" s="3">
        <v>60181000</v>
      </c>
      <c r="I637" s="12">
        <v>2</v>
      </c>
    </row>
    <row r="638" spans="2:9">
      <c r="B638" s="11">
        <f>1000000+INDEX(编号表!$B:$B,MATCH(C638,编号表!$A:$A,0))*1000+INDEX(编号表!$D:$D,MATCH(D638,编号表!$C:$C,0))*100+E638</f>
        <v>1019302</v>
      </c>
      <c r="C638" s="3" t="s">
        <v>213</v>
      </c>
      <c r="D638" s="11" t="s">
        <v>40</v>
      </c>
      <c r="E638" s="11">
        <f t="shared" si="16"/>
        <v>2</v>
      </c>
      <c r="F638" s="3" t="s">
        <v>215</v>
      </c>
      <c r="G638" s="16" t="s">
        <v>39</v>
      </c>
      <c r="H638" s="3">
        <v>60181001</v>
      </c>
      <c r="I638" s="12">
        <v>2</v>
      </c>
    </row>
    <row r="639" spans="2:9">
      <c r="B639" s="11">
        <f>1000000+INDEX(编号表!$B:$B,MATCH(C639,编号表!$A:$A,0))*1000+INDEX(编号表!$D:$D,MATCH(D639,编号表!$C:$C,0))*100+E639</f>
        <v>1019402</v>
      </c>
      <c r="C639" s="3" t="s">
        <v>213</v>
      </c>
      <c r="D639" s="11" t="s">
        <v>42</v>
      </c>
      <c r="E639" s="11">
        <f t="shared" si="16"/>
        <v>2</v>
      </c>
      <c r="F639" s="3" t="s">
        <v>216</v>
      </c>
      <c r="G639" s="16" t="s">
        <v>39</v>
      </c>
      <c r="H639" s="3">
        <v>60181002</v>
      </c>
      <c r="I639" s="12">
        <v>2</v>
      </c>
    </row>
    <row r="640" spans="2:9">
      <c r="B640" s="11">
        <f>1000000+INDEX(编号表!$B:$B,MATCH(C640,编号表!$A:$A,0))*1000+INDEX(编号表!$D:$D,MATCH(D640,编号表!$C:$C,0))*100+E640</f>
        <v>1019203</v>
      </c>
      <c r="C640" s="3" t="s">
        <v>213</v>
      </c>
      <c r="D640" s="11" t="s">
        <v>37</v>
      </c>
      <c r="E640" s="11">
        <f t="shared" si="16"/>
        <v>3</v>
      </c>
      <c r="F640" s="3" t="s">
        <v>214</v>
      </c>
      <c r="G640" s="16" t="s">
        <v>39</v>
      </c>
      <c r="H640" s="3">
        <v>60181000</v>
      </c>
      <c r="I640" s="12">
        <v>3</v>
      </c>
    </row>
    <row r="641" spans="2:9">
      <c r="B641" s="11">
        <f>1000000+INDEX(编号表!$B:$B,MATCH(C641,编号表!$A:$A,0))*1000+INDEX(编号表!$D:$D,MATCH(D641,编号表!$C:$C,0))*100+E641</f>
        <v>1019303</v>
      </c>
      <c r="C641" s="3" t="s">
        <v>213</v>
      </c>
      <c r="D641" s="11" t="s">
        <v>40</v>
      </c>
      <c r="E641" s="11">
        <f t="shared" si="16"/>
        <v>3</v>
      </c>
      <c r="F641" s="3" t="s">
        <v>215</v>
      </c>
      <c r="G641" s="16" t="s">
        <v>39</v>
      </c>
      <c r="H641" s="3">
        <v>60181001</v>
      </c>
      <c r="I641" s="12">
        <v>3</v>
      </c>
    </row>
    <row r="642" spans="2:9">
      <c r="B642" s="11">
        <f>1000000+INDEX(编号表!$B:$B,MATCH(C642,编号表!$A:$A,0))*1000+INDEX(编号表!$D:$D,MATCH(D642,编号表!$C:$C,0))*100+E642</f>
        <v>1019403</v>
      </c>
      <c r="C642" s="3" t="s">
        <v>213</v>
      </c>
      <c r="D642" s="11" t="s">
        <v>42</v>
      </c>
      <c r="E642" s="11">
        <f t="shared" si="16"/>
        <v>3</v>
      </c>
      <c r="F642" s="3" t="s">
        <v>216</v>
      </c>
      <c r="G642" s="16" t="s">
        <v>39</v>
      </c>
      <c r="H642" s="3">
        <v>60181002</v>
      </c>
      <c r="I642" s="12">
        <v>3</v>
      </c>
    </row>
    <row r="643" spans="2:9">
      <c r="B643" s="11">
        <f>1000000+INDEX(编号表!$B:$B,MATCH(C643,编号表!$A:$A,0))*1000+INDEX(编号表!$D:$D,MATCH(D643,编号表!$C:$C,0))*100+E643</f>
        <v>1019205</v>
      </c>
      <c r="C643" s="3" t="s">
        <v>213</v>
      </c>
      <c r="D643" s="11" t="s">
        <v>37</v>
      </c>
      <c r="E643" s="11">
        <f t="shared" si="16"/>
        <v>5</v>
      </c>
      <c r="F643" s="3" t="s">
        <v>214</v>
      </c>
      <c r="G643" s="16" t="s">
        <v>39</v>
      </c>
      <c r="H643" s="3">
        <v>60181000</v>
      </c>
      <c r="I643" s="12">
        <v>5</v>
      </c>
    </row>
    <row r="644" spans="2:9">
      <c r="B644" s="11">
        <f>1000000+INDEX(编号表!$B:$B,MATCH(C644,编号表!$A:$A,0))*1000+INDEX(编号表!$D:$D,MATCH(D644,编号表!$C:$C,0))*100+E644</f>
        <v>1019305</v>
      </c>
      <c r="C644" s="3" t="s">
        <v>213</v>
      </c>
      <c r="D644" s="11" t="s">
        <v>40</v>
      </c>
      <c r="E644" s="11">
        <f t="shared" si="16"/>
        <v>5</v>
      </c>
      <c r="F644" s="3" t="s">
        <v>215</v>
      </c>
      <c r="G644" s="16" t="s">
        <v>39</v>
      </c>
      <c r="H644" s="3">
        <v>60181001</v>
      </c>
      <c r="I644" s="12">
        <v>5</v>
      </c>
    </row>
    <row r="645" spans="2:9">
      <c r="B645" s="11">
        <f>1000000+INDEX(编号表!$B:$B,MATCH(C645,编号表!$A:$A,0))*1000+INDEX(编号表!$D:$D,MATCH(D645,编号表!$C:$C,0))*100+E645</f>
        <v>1019405</v>
      </c>
      <c r="C645" s="3" t="s">
        <v>213</v>
      </c>
      <c r="D645" s="11" t="s">
        <v>42</v>
      </c>
      <c r="E645" s="11">
        <f t="shared" si="16"/>
        <v>5</v>
      </c>
      <c r="F645" s="3" t="s">
        <v>216</v>
      </c>
      <c r="G645" s="16" t="s">
        <v>39</v>
      </c>
      <c r="H645" s="3">
        <v>60181002</v>
      </c>
      <c r="I645" s="12">
        <v>5</v>
      </c>
    </row>
    <row r="646" spans="2:9">
      <c r="B646" s="11">
        <f>1000000+INDEX(编号表!$B:$B,MATCH(C646,编号表!$A:$A,0))*1000+INDEX(编号表!$D:$D,MATCH(D646,编号表!$C:$C,0))*100+E646</f>
        <v>1019210</v>
      </c>
      <c r="C646" s="3" t="s">
        <v>213</v>
      </c>
      <c r="D646" s="11" t="s">
        <v>37</v>
      </c>
      <c r="E646" s="11">
        <f t="shared" si="16"/>
        <v>10</v>
      </c>
      <c r="F646" s="3" t="s">
        <v>214</v>
      </c>
      <c r="G646" s="16" t="s">
        <v>39</v>
      </c>
      <c r="H646" s="3">
        <v>60181000</v>
      </c>
      <c r="I646" s="12">
        <v>10</v>
      </c>
    </row>
    <row r="647" spans="2:9">
      <c r="B647" s="11">
        <f>1000000+INDEX(编号表!$B:$B,MATCH(C647,编号表!$A:$A,0))*1000+INDEX(编号表!$D:$D,MATCH(D647,编号表!$C:$C,0))*100+E647</f>
        <v>1019310</v>
      </c>
      <c r="C647" s="3" t="s">
        <v>213</v>
      </c>
      <c r="D647" s="11" t="s">
        <v>40</v>
      </c>
      <c r="E647" s="11">
        <f t="shared" si="16"/>
        <v>10</v>
      </c>
      <c r="F647" s="3" t="s">
        <v>215</v>
      </c>
      <c r="G647" s="16" t="s">
        <v>39</v>
      </c>
      <c r="H647" s="3">
        <v>60181001</v>
      </c>
      <c r="I647" s="12">
        <v>10</v>
      </c>
    </row>
    <row r="648" spans="2:9">
      <c r="B648" s="11">
        <f>1000000+INDEX(编号表!$B:$B,MATCH(C648,编号表!$A:$A,0))*1000+INDEX(编号表!$D:$D,MATCH(D648,编号表!$C:$C,0))*100+E648</f>
        <v>1019410</v>
      </c>
      <c r="C648" s="3" t="s">
        <v>213</v>
      </c>
      <c r="D648" s="11" t="s">
        <v>42</v>
      </c>
      <c r="E648" s="11">
        <f t="shared" si="16"/>
        <v>10</v>
      </c>
      <c r="F648" s="3" t="s">
        <v>216</v>
      </c>
      <c r="G648" s="16" t="s">
        <v>39</v>
      </c>
      <c r="H648" s="3">
        <v>60181002</v>
      </c>
      <c r="I648" s="12">
        <v>10</v>
      </c>
    </row>
    <row r="649" spans="2:9">
      <c r="B649" s="11">
        <f>1000000+INDEX(编号表!$B:$B,MATCH(C649,编号表!$A:$A,0))*1000+INDEX(编号表!$D:$D,MATCH(D649,编号表!$C:$C,0))*100+E649</f>
        <v>1019215</v>
      </c>
      <c r="C649" s="3" t="s">
        <v>213</v>
      </c>
      <c r="D649" s="11" t="s">
        <v>37</v>
      </c>
      <c r="E649" s="11">
        <f t="shared" si="16"/>
        <v>15</v>
      </c>
      <c r="F649" s="3" t="s">
        <v>214</v>
      </c>
      <c r="G649" s="16" t="s">
        <v>39</v>
      </c>
      <c r="H649" s="3">
        <v>60181000</v>
      </c>
      <c r="I649" s="12">
        <v>15</v>
      </c>
    </row>
    <row r="650" spans="2:9">
      <c r="B650" s="11">
        <f>1000000+INDEX(编号表!$B:$B,MATCH(C650,编号表!$A:$A,0))*1000+INDEX(编号表!$D:$D,MATCH(D650,编号表!$C:$C,0))*100+E650</f>
        <v>1019315</v>
      </c>
      <c r="C650" s="3" t="s">
        <v>213</v>
      </c>
      <c r="D650" s="11" t="s">
        <v>40</v>
      </c>
      <c r="E650" s="11">
        <f t="shared" si="16"/>
        <v>15</v>
      </c>
      <c r="F650" s="3" t="s">
        <v>215</v>
      </c>
      <c r="G650" s="16" t="s">
        <v>39</v>
      </c>
      <c r="H650" s="3">
        <v>60181001</v>
      </c>
      <c r="I650" s="12">
        <v>15</v>
      </c>
    </row>
    <row r="651" spans="2:9">
      <c r="B651" s="11">
        <f>1000000+INDEX(编号表!$B:$B,MATCH(C651,编号表!$A:$A,0))*1000+INDEX(编号表!$D:$D,MATCH(D651,编号表!$C:$C,0))*100+E651</f>
        <v>1019415</v>
      </c>
      <c r="C651" s="3" t="s">
        <v>213</v>
      </c>
      <c r="D651" s="11" t="s">
        <v>42</v>
      </c>
      <c r="E651" s="11">
        <f t="shared" si="16"/>
        <v>15</v>
      </c>
      <c r="F651" s="3" t="s">
        <v>216</v>
      </c>
      <c r="G651" s="16" t="s">
        <v>39</v>
      </c>
      <c r="H651" s="3">
        <v>60181002</v>
      </c>
      <c r="I651" s="12">
        <v>15</v>
      </c>
    </row>
    <row r="652" spans="2:9">
      <c r="B652" s="11">
        <f>1000000+INDEX(编号表!$B:$B,MATCH(C652,编号表!$A:$A,0))*1000+INDEX(编号表!$D:$D,MATCH(D652,编号表!$C:$C,0))*100+E652</f>
        <v>1020001</v>
      </c>
      <c r="C652" s="3" t="s">
        <v>217</v>
      </c>
      <c r="D652" s="11" t="s">
        <v>55</v>
      </c>
      <c r="E652" s="11">
        <v>1</v>
      </c>
      <c r="F652" s="17" t="s">
        <v>167</v>
      </c>
      <c r="G652" s="16" t="s">
        <v>57</v>
      </c>
      <c r="H652" s="11">
        <v>60194000</v>
      </c>
      <c r="I652" s="12">
        <v>1</v>
      </c>
    </row>
    <row r="653" spans="2:9">
      <c r="B653" s="11">
        <f>1000000+INDEX(编号表!$B:$B,MATCH(C653,编号表!$A:$A,0))*1000+INDEX(编号表!$D:$D,MATCH(D653,编号表!$C:$C,0))*100+E653</f>
        <v>1020101</v>
      </c>
      <c r="C653" s="3" t="s">
        <v>217</v>
      </c>
      <c r="D653" s="11" t="s">
        <v>58</v>
      </c>
      <c r="E653" s="11">
        <v>1</v>
      </c>
      <c r="F653" s="17" t="s">
        <v>59</v>
      </c>
      <c r="G653" s="16" t="s">
        <v>57</v>
      </c>
      <c r="H653" s="21">
        <v>60192000</v>
      </c>
      <c r="I653" s="12">
        <v>1</v>
      </c>
    </row>
    <row r="654" spans="2:9">
      <c r="B654" s="11">
        <f>1000000+INDEX(编号表!$B:$B,MATCH(C654,编号表!$A:$A,0))*1000+INDEX(编号表!$D:$D,MATCH(D654,编号表!$C:$C,0))*100+E654</f>
        <v>1020102</v>
      </c>
      <c r="C654" s="3" t="s">
        <v>217</v>
      </c>
      <c r="D654" s="11" t="s">
        <v>58</v>
      </c>
      <c r="E654" s="11">
        <v>2</v>
      </c>
      <c r="F654" s="17" t="s">
        <v>59</v>
      </c>
      <c r="G654" s="16" t="s">
        <v>57</v>
      </c>
      <c r="H654" s="21">
        <v>60192001</v>
      </c>
      <c r="I654" s="12">
        <v>1</v>
      </c>
    </row>
    <row r="655" spans="2:9">
      <c r="B655" s="11">
        <f>1000000+INDEX(编号表!$B:$B,MATCH(C655,编号表!$A:$A,0))*1000+INDEX(编号表!$D:$D,MATCH(D655,编号表!$C:$C,0))*100+E655</f>
        <v>1020201</v>
      </c>
      <c r="C655" s="3" t="s">
        <v>217</v>
      </c>
      <c r="D655" s="11" t="s">
        <v>37</v>
      </c>
      <c r="E655" s="11">
        <f t="shared" ref="E655:E664" si="17">I655+K655+M655+O655+Q655+S655+U655+W655+Y655+AA655</f>
        <v>1</v>
      </c>
      <c r="F655" s="21" t="s">
        <v>218</v>
      </c>
      <c r="G655" s="16" t="s">
        <v>39</v>
      </c>
      <c r="H655" s="21">
        <v>60191000</v>
      </c>
      <c r="I655" s="12">
        <v>1</v>
      </c>
    </row>
    <row r="656" spans="2:9">
      <c r="B656" s="11">
        <f>1000000+INDEX(编号表!$B:$B,MATCH(C656,编号表!$A:$A,0))*1000+INDEX(编号表!$D:$D,MATCH(D656,编号表!$C:$C,0))*100+E656</f>
        <v>1020301</v>
      </c>
      <c r="C656" s="3" t="s">
        <v>217</v>
      </c>
      <c r="D656" s="11" t="s">
        <v>40</v>
      </c>
      <c r="E656" s="11">
        <f t="shared" si="17"/>
        <v>1</v>
      </c>
      <c r="F656" s="21" t="s">
        <v>218</v>
      </c>
      <c r="G656" s="16" t="s">
        <v>39</v>
      </c>
      <c r="H656" s="21">
        <v>60191001</v>
      </c>
      <c r="I656" s="12">
        <v>1</v>
      </c>
    </row>
    <row r="657" spans="2:9">
      <c r="B657" s="11">
        <f>1000000+INDEX(编号表!$B:$B,MATCH(C657,编号表!$A:$A,0))*1000+INDEX(编号表!$D:$D,MATCH(D657,编号表!$C:$C,0))*100+E657</f>
        <v>1020202</v>
      </c>
      <c r="C657" s="3" t="s">
        <v>217</v>
      </c>
      <c r="D657" s="11" t="s">
        <v>37</v>
      </c>
      <c r="E657" s="11">
        <f t="shared" si="17"/>
        <v>2</v>
      </c>
      <c r="F657" s="21" t="s">
        <v>218</v>
      </c>
      <c r="G657" s="16" t="s">
        <v>39</v>
      </c>
      <c r="H657" s="21">
        <v>60191000</v>
      </c>
      <c r="I657" s="12">
        <v>2</v>
      </c>
    </row>
    <row r="658" spans="2:9">
      <c r="B658" s="11">
        <f>1000000+INDEX(编号表!$B:$B,MATCH(C658,编号表!$A:$A,0))*1000+INDEX(编号表!$D:$D,MATCH(D658,编号表!$C:$C,0))*100+E658</f>
        <v>1020302</v>
      </c>
      <c r="C658" s="3" t="s">
        <v>217</v>
      </c>
      <c r="D658" s="11" t="s">
        <v>40</v>
      </c>
      <c r="E658" s="11">
        <f t="shared" si="17"/>
        <v>2</v>
      </c>
      <c r="F658" s="21" t="s">
        <v>218</v>
      </c>
      <c r="G658" s="16" t="s">
        <v>39</v>
      </c>
      <c r="H658" s="21">
        <v>60191001</v>
      </c>
      <c r="I658" s="12">
        <v>2</v>
      </c>
    </row>
    <row r="659" spans="2:9">
      <c r="B659" s="11">
        <f>1000000+INDEX(编号表!$B:$B,MATCH(C659,编号表!$A:$A,0))*1000+INDEX(编号表!$D:$D,MATCH(D659,编号表!$C:$C,0))*100+E659</f>
        <v>1020203</v>
      </c>
      <c r="C659" s="3" t="s">
        <v>217</v>
      </c>
      <c r="D659" s="11" t="s">
        <v>37</v>
      </c>
      <c r="E659" s="11">
        <f t="shared" si="17"/>
        <v>3</v>
      </c>
      <c r="F659" s="21" t="s">
        <v>218</v>
      </c>
      <c r="G659" s="16" t="s">
        <v>39</v>
      </c>
      <c r="H659" s="21">
        <v>60191000</v>
      </c>
      <c r="I659" s="12">
        <v>3</v>
      </c>
    </row>
    <row r="660" spans="2:9">
      <c r="B660" s="11">
        <f>1000000+INDEX(编号表!$B:$B,MATCH(C660,编号表!$A:$A,0))*1000+INDEX(编号表!$D:$D,MATCH(D660,编号表!$C:$C,0))*100+E660</f>
        <v>1020303</v>
      </c>
      <c r="C660" s="3" t="s">
        <v>217</v>
      </c>
      <c r="D660" s="11" t="s">
        <v>40</v>
      </c>
      <c r="E660" s="11">
        <f t="shared" si="17"/>
        <v>3</v>
      </c>
      <c r="F660" s="21" t="s">
        <v>218</v>
      </c>
      <c r="G660" s="16" t="s">
        <v>39</v>
      </c>
      <c r="H660" s="21">
        <v>60191001</v>
      </c>
      <c r="I660" s="12">
        <v>3</v>
      </c>
    </row>
    <row r="661" spans="2:9">
      <c r="B661" s="11">
        <f>1000000+INDEX(编号表!$B:$B,MATCH(C661,编号表!$A:$A,0))*1000+INDEX(编号表!$D:$D,MATCH(D661,编号表!$C:$C,0))*100+E661</f>
        <v>1020205</v>
      </c>
      <c r="C661" s="3" t="s">
        <v>217</v>
      </c>
      <c r="D661" s="11" t="s">
        <v>37</v>
      </c>
      <c r="E661" s="11">
        <f t="shared" si="17"/>
        <v>5</v>
      </c>
      <c r="F661" s="21" t="s">
        <v>218</v>
      </c>
      <c r="G661" s="16" t="s">
        <v>39</v>
      </c>
      <c r="H661" s="21">
        <v>60191000</v>
      </c>
      <c r="I661" s="12">
        <v>5</v>
      </c>
    </row>
    <row r="662" spans="2:9">
      <c r="B662" s="11">
        <f>1000000+INDEX(编号表!$B:$B,MATCH(C662,编号表!$A:$A,0))*1000+INDEX(编号表!$D:$D,MATCH(D662,编号表!$C:$C,0))*100+E662</f>
        <v>1020305</v>
      </c>
      <c r="C662" s="3" t="s">
        <v>217</v>
      </c>
      <c r="D662" s="11" t="s">
        <v>40</v>
      </c>
      <c r="E662" s="11">
        <f t="shared" si="17"/>
        <v>5</v>
      </c>
      <c r="F662" s="21" t="s">
        <v>218</v>
      </c>
      <c r="G662" s="16" t="s">
        <v>39</v>
      </c>
      <c r="H662" s="21">
        <v>60191001</v>
      </c>
      <c r="I662" s="12">
        <v>5</v>
      </c>
    </row>
    <row r="663" spans="2:9">
      <c r="B663" s="11">
        <f>1000000+INDEX(编号表!$B:$B,MATCH(C663,编号表!$A:$A,0))*1000+INDEX(编号表!$D:$D,MATCH(D663,编号表!$C:$C,0))*100+E663</f>
        <v>1020210</v>
      </c>
      <c r="C663" s="3" t="s">
        <v>217</v>
      </c>
      <c r="D663" s="11" t="s">
        <v>37</v>
      </c>
      <c r="E663" s="11">
        <f t="shared" si="17"/>
        <v>10</v>
      </c>
      <c r="F663" s="21" t="s">
        <v>218</v>
      </c>
      <c r="G663" s="16" t="s">
        <v>39</v>
      </c>
      <c r="H663" s="21">
        <v>60191000</v>
      </c>
      <c r="I663" s="12">
        <v>10</v>
      </c>
    </row>
    <row r="664" spans="2:9">
      <c r="B664" s="11">
        <f>1000000+INDEX(编号表!$B:$B,MATCH(C664,编号表!$A:$A,0))*1000+INDEX(编号表!$D:$D,MATCH(D664,编号表!$C:$C,0))*100+E664</f>
        <v>1020310</v>
      </c>
      <c r="C664" s="3" t="s">
        <v>217</v>
      </c>
      <c r="D664" s="11" t="s">
        <v>40</v>
      </c>
      <c r="E664" s="11">
        <f t="shared" si="17"/>
        <v>10</v>
      </c>
      <c r="F664" s="21" t="s">
        <v>218</v>
      </c>
      <c r="G664" s="16" t="s">
        <v>39</v>
      </c>
      <c r="H664" s="21">
        <v>60191001</v>
      </c>
      <c r="I664" s="12">
        <v>10</v>
      </c>
    </row>
    <row r="665" spans="2:9">
      <c r="B665" s="11">
        <f>1000000+INDEX(编号表!$B:$B,MATCH(C665,编号表!$A:$A,0))*1000+INDEX(编号表!$D:$D,MATCH(D665,编号表!$C:$C,0))*100+E665</f>
        <v>1021001</v>
      </c>
      <c r="C665" s="3" t="s">
        <v>219</v>
      </c>
      <c r="D665" s="11" t="s">
        <v>55</v>
      </c>
      <c r="E665" s="11">
        <v>1</v>
      </c>
      <c r="F665" s="17" t="s">
        <v>167</v>
      </c>
      <c r="G665" s="16" t="s">
        <v>57</v>
      </c>
      <c r="H665" s="11">
        <v>60204000</v>
      </c>
      <c r="I665" s="12">
        <v>1</v>
      </c>
    </row>
    <row r="666" spans="2:9">
      <c r="B666" s="11">
        <f>1000000+INDEX(编号表!$B:$B,MATCH(C666,编号表!$A:$A,0))*1000+INDEX(编号表!$D:$D,MATCH(D666,编号表!$C:$C,0))*100+E666</f>
        <v>1021101</v>
      </c>
      <c r="C666" s="3" t="s">
        <v>219</v>
      </c>
      <c r="D666" s="11" t="s">
        <v>58</v>
      </c>
      <c r="E666" s="11">
        <v>1</v>
      </c>
      <c r="F666" s="17" t="s">
        <v>59</v>
      </c>
      <c r="G666" s="16" t="s">
        <v>57</v>
      </c>
      <c r="H666" s="3">
        <v>60202000</v>
      </c>
      <c r="I666" s="12">
        <v>1</v>
      </c>
    </row>
    <row r="667" spans="2:9">
      <c r="B667" s="11">
        <f>1000000+INDEX(编号表!$B:$B,MATCH(C667,编号表!$A:$A,0))*1000+INDEX(编号表!$D:$D,MATCH(D667,编号表!$C:$C,0))*100+E667</f>
        <v>1021201</v>
      </c>
      <c r="C667" s="3" t="s">
        <v>219</v>
      </c>
      <c r="D667" s="11" t="s">
        <v>37</v>
      </c>
      <c r="E667" s="11">
        <f t="shared" ref="E667:E690" si="18">I667+K667+M667+O667+Q667+S667+U667+W667+Y667+AA667</f>
        <v>1</v>
      </c>
      <c r="F667" s="3" t="s">
        <v>220</v>
      </c>
      <c r="G667" s="16" t="s">
        <v>39</v>
      </c>
      <c r="H667" s="3">
        <v>60201000</v>
      </c>
      <c r="I667" s="12">
        <v>1</v>
      </c>
    </row>
    <row r="668" spans="2:9">
      <c r="B668" s="11">
        <f>1000000+INDEX(编号表!$B:$B,MATCH(C668,编号表!$A:$A,0))*1000+INDEX(编号表!$D:$D,MATCH(D668,编号表!$C:$C,0))*100+E668</f>
        <v>1021301</v>
      </c>
      <c r="C668" s="3" t="s">
        <v>219</v>
      </c>
      <c r="D668" s="11" t="s">
        <v>40</v>
      </c>
      <c r="E668" s="11">
        <f t="shared" si="18"/>
        <v>1</v>
      </c>
      <c r="F668" s="3" t="s">
        <v>205</v>
      </c>
      <c r="G668" s="16" t="s">
        <v>39</v>
      </c>
      <c r="H668" s="3">
        <v>60201001</v>
      </c>
      <c r="I668" s="12">
        <v>1</v>
      </c>
    </row>
    <row r="669" spans="2:9">
      <c r="B669" s="11">
        <f>1000000+INDEX(编号表!$B:$B,MATCH(C669,编号表!$A:$A,0))*1000+INDEX(编号表!$D:$D,MATCH(D669,编号表!$C:$C,0))*100+E669</f>
        <v>1021401</v>
      </c>
      <c r="C669" s="3" t="s">
        <v>219</v>
      </c>
      <c r="D669" s="11" t="s">
        <v>42</v>
      </c>
      <c r="E669" s="11">
        <f t="shared" si="18"/>
        <v>1</v>
      </c>
      <c r="F669" s="3" t="s">
        <v>221</v>
      </c>
      <c r="G669" s="16" t="s">
        <v>39</v>
      </c>
      <c r="H669" s="3">
        <v>60201002</v>
      </c>
      <c r="I669" s="12">
        <v>1</v>
      </c>
    </row>
    <row r="670" spans="2:9">
      <c r="B670" s="11">
        <f>1000000+INDEX(编号表!$B:$B,MATCH(C670,编号表!$A:$A,0))*1000+INDEX(编号表!$D:$D,MATCH(D670,编号表!$C:$C,0))*100+E670</f>
        <v>1021501</v>
      </c>
      <c r="C670" s="3" t="s">
        <v>219</v>
      </c>
      <c r="D670" s="11" t="s">
        <v>44</v>
      </c>
      <c r="E670" s="11">
        <f t="shared" si="18"/>
        <v>1</v>
      </c>
      <c r="F670" s="3" t="s">
        <v>222</v>
      </c>
      <c r="G670" s="16" t="s">
        <v>39</v>
      </c>
      <c r="H670" s="3">
        <v>60201003</v>
      </c>
      <c r="I670" s="12">
        <v>1</v>
      </c>
    </row>
    <row r="671" spans="2:9">
      <c r="B671" s="11">
        <f>1000000+INDEX(编号表!$B:$B,MATCH(C671,编号表!$A:$A,0))*1000+INDEX(编号表!$D:$D,MATCH(D671,编号表!$C:$C,0))*100+E671</f>
        <v>1021202</v>
      </c>
      <c r="C671" s="3" t="s">
        <v>219</v>
      </c>
      <c r="D671" s="11" t="s">
        <v>37</v>
      </c>
      <c r="E671" s="11">
        <f t="shared" si="18"/>
        <v>2</v>
      </c>
      <c r="F671" s="3" t="s">
        <v>220</v>
      </c>
      <c r="G671" s="16" t="s">
        <v>39</v>
      </c>
      <c r="H671" s="3">
        <v>60201000</v>
      </c>
      <c r="I671" s="12">
        <v>2</v>
      </c>
    </row>
    <row r="672" spans="2:9">
      <c r="B672" s="11">
        <f>1000000+INDEX(编号表!$B:$B,MATCH(C672,编号表!$A:$A,0))*1000+INDEX(编号表!$D:$D,MATCH(D672,编号表!$C:$C,0))*100+E672</f>
        <v>1021302</v>
      </c>
      <c r="C672" s="3" t="s">
        <v>219</v>
      </c>
      <c r="D672" s="11" t="s">
        <v>40</v>
      </c>
      <c r="E672" s="11">
        <f t="shared" si="18"/>
        <v>2</v>
      </c>
      <c r="F672" s="3" t="s">
        <v>205</v>
      </c>
      <c r="G672" s="16" t="s">
        <v>39</v>
      </c>
      <c r="H672" s="3">
        <v>60201001</v>
      </c>
      <c r="I672" s="12">
        <v>2</v>
      </c>
    </row>
    <row r="673" spans="2:9">
      <c r="B673" s="11">
        <f>1000000+INDEX(编号表!$B:$B,MATCH(C673,编号表!$A:$A,0))*1000+INDEX(编号表!$D:$D,MATCH(D673,编号表!$C:$C,0))*100+E673</f>
        <v>1021402</v>
      </c>
      <c r="C673" s="3" t="s">
        <v>219</v>
      </c>
      <c r="D673" s="11" t="s">
        <v>42</v>
      </c>
      <c r="E673" s="11">
        <f t="shared" si="18"/>
        <v>2</v>
      </c>
      <c r="F673" s="3" t="s">
        <v>221</v>
      </c>
      <c r="G673" s="16" t="s">
        <v>39</v>
      </c>
      <c r="H673" s="3">
        <v>60201002</v>
      </c>
      <c r="I673" s="12">
        <v>2</v>
      </c>
    </row>
    <row r="674" spans="2:9">
      <c r="B674" s="11">
        <f>1000000+INDEX(编号表!$B:$B,MATCH(C674,编号表!$A:$A,0))*1000+INDEX(编号表!$D:$D,MATCH(D674,编号表!$C:$C,0))*100+E674</f>
        <v>1021502</v>
      </c>
      <c r="C674" s="3" t="s">
        <v>219</v>
      </c>
      <c r="D674" s="11" t="s">
        <v>44</v>
      </c>
      <c r="E674" s="11">
        <f t="shared" si="18"/>
        <v>2</v>
      </c>
      <c r="F674" s="3" t="s">
        <v>222</v>
      </c>
      <c r="G674" s="16" t="s">
        <v>39</v>
      </c>
      <c r="H674" s="3">
        <v>60201003</v>
      </c>
      <c r="I674" s="12">
        <v>2</v>
      </c>
    </row>
    <row r="675" spans="2:9">
      <c r="B675" s="11">
        <f>1000000+INDEX(编号表!$B:$B,MATCH(C675,编号表!$A:$A,0))*1000+INDEX(编号表!$D:$D,MATCH(D675,编号表!$C:$C,0))*100+E675</f>
        <v>1021203</v>
      </c>
      <c r="C675" s="3" t="s">
        <v>219</v>
      </c>
      <c r="D675" s="11" t="s">
        <v>37</v>
      </c>
      <c r="E675" s="11">
        <f t="shared" si="18"/>
        <v>3</v>
      </c>
      <c r="F675" s="3" t="s">
        <v>220</v>
      </c>
      <c r="G675" s="16" t="s">
        <v>39</v>
      </c>
      <c r="H675" s="3">
        <v>60201000</v>
      </c>
      <c r="I675" s="12">
        <v>3</v>
      </c>
    </row>
    <row r="676" spans="2:9">
      <c r="B676" s="11">
        <f>1000000+INDEX(编号表!$B:$B,MATCH(C676,编号表!$A:$A,0))*1000+INDEX(编号表!$D:$D,MATCH(D676,编号表!$C:$C,0))*100+E676</f>
        <v>1021303</v>
      </c>
      <c r="C676" s="3" t="s">
        <v>219</v>
      </c>
      <c r="D676" s="11" t="s">
        <v>40</v>
      </c>
      <c r="E676" s="11">
        <f t="shared" si="18"/>
        <v>3</v>
      </c>
      <c r="F676" s="3" t="s">
        <v>205</v>
      </c>
      <c r="G676" s="16" t="s">
        <v>39</v>
      </c>
      <c r="H676" s="3">
        <v>60201001</v>
      </c>
      <c r="I676" s="12">
        <v>3</v>
      </c>
    </row>
    <row r="677" spans="2:9">
      <c r="B677" s="11">
        <f>1000000+INDEX(编号表!$B:$B,MATCH(C677,编号表!$A:$A,0))*1000+INDEX(编号表!$D:$D,MATCH(D677,编号表!$C:$C,0))*100+E677</f>
        <v>1021403</v>
      </c>
      <c r="C677" s="3" t="s">
        <v>219</v>
      </c>
      <c r="D677" s="11" t="s">
        <v>42</v>
      </c>
      <c r="E677" s="11">
        <f t="shared" si="18"/>
        <v>3</v>
      </c>
      <c r="F677" s="3" t="s">
        <v>221</v>
      </c>
      <c r="G677" s="16" t="s">
        <v>39</v>
      </c>
      <c r="H677" s="3">
        <v>60201002</v>
      </c>
      <c r="I677" s="12">
        <v>3</v>
      </c>
    </row>
    <row r="678" spans="2:9">
      <c r="B678" s="11">
        <f>1000000+INDEX(编号表!$B:$B,MATCH(C678,编号表!$A:$A,0))*1000+INDEX(编号表!$D:$D,MATCH(D678,编号表!$C:$C,0))*100+E678</f>
        <v>1021503</v>
      </c>
      <c r="C678" s="3" t="s">
        <v>219</v>
      </c>
      <c r="D678" s="11" t="s">
        <v>44</v>
      </c>
      <c r="E678" s="11">
        <f t="shared" si="18"/>
        <v>3</v>
      </c>
      <c r="F678" s="3" t="s">
        <v>222</v>
      </c>
      <c r="G678" s="16" t="s">
        <v>39</v>
      </c>
      <c r="H678" s="3">
        <v>60201003</v>
      </c>
      <c r="I678" s="12">
        <v>3</v>
      </c>
    </row>
    <row r="679" spans="2:9">
      <c r="B679" s="11">
        <f>1000000+INDEX(编号表!$B:$B,MATCH(C679,编号表!$A:$A,0))*1000+INDEX(编号表!$D:$D,MATCH(D679,编号表!$C:$C,0))*100+E679</f>
        <v>1021205</v>
      </c>
      <c r="C679" s="3" t="s">
        <v>219</v>
      </c>
      <c r="D679" s="11" t="s">
        <v>37</v>
      </c>
      <c r="E679" s="11">
        <f t="shared" si="18"/>
        <v>5</v>
      </c>
      <c r="F679" s="3" t="s">
        <v>220</v>
      </c>
      <c r="G679" s="16" t="s">
        <v>39</v>
      </c>
      <c r="H679" s="3">
        <v>60201000</v>
      </c>
      <c r="I679" s="12">
        <v>5</v>
      </c>
    </row>
    <row r="680" spans="2:9">
      <c r="B680" s="11">
        <f>1000000+INDEX(编号表!$B:$B,MATCH(C680,编号表!$A:$A,0))*1000+INDEX(编号表!$D:$D,MATCH(D680,编号表!$C:$C,0))*100+E680</f>
        <v>1021305</v>
      </c>
      <c r="C680" s="3" t="s">
        <v>219</v>
      </c>
      <c r="D680" s="11" t="s">
        <v>40</v>
      </c>
      <c r="E680" s="11">
        <f t="shared" si="18"/>
        <v>5</v>
      </c>
      <c r="F680" s="3" t="s">
        <v>205</v>
      </c>
      <c r="G680" s="16" t="s">
        <v>39</v>
      </c>
      <c r="H680" s="3">
        <v>60201001</v>
      </c>
      <c r="I680" s="12">
        <v>5</v>
      </c>
    </row>
    <row r="681" spans="2:9">
      <c r="B681" s="11">
        <f>1000000+INDEX(编号表!$B:$B,MATCH(C681,编号表!$A:$A,0))*1000+INDEX(编号表!$D:$D,MATCH(D681,编号表!$C:$C,0))*100+E681</f>
        <v>1021405</v>
      </c>
      <c r="C681" s="3" t="s">
        <v>219</v>
      </c>
      <c r="D681" s="11" t="s">
        <v>42</v>
      </c>
      <c r="E681" s="11">
        <f t="shared" si="18"/>
        <v>5</v>
      </c>
      <c r="F681" s="3" t="s">
        <v>221</v>
      </c>
      <c r="G681" s="16" t="s">
        <v>39</v>
      </c>
      <c r="H681" s="3">
        <v>60201002</v>
      </c>
      <c r="I681" s="12">
        <v>5</v>
      </c>
    </row>
    <row r="682" spans="2:9">
      <c r="B682" s="11">
        <f>1000000+INDEX(编号表!$B:$B,MATCH(C682,编号表!$A:$A,0))*1000+INDEX(编号表!$D:$D,MATCH(D682,编号表!$C:$C,0))*100+E682</f>
        <v>1021505</v>
      </c>
      <c r="C682" s="3" t="s">
        <v>219</v>
      </c>
      <c r="D682" s="11" t="s">
        <v>44</v>
      </c>
      <c r="E682" s="11">
        <f t="shared" si="18"/>
        <v>5</v>
      </c>
      <c r="F682" s="3" t="s">
        <v>222</v>
      </c>
      <c r="G682" s="16" t="s">
        <v>39</v>
      </c>
      <c r="H682" s="3">
        <v>60201003</v>
      </c>
      <c r="I682" s="12">
        <v>5</v>
      </c>
    </row>
    <row r="683" spans="2:9">
      <c r="B683" s="11">
        <f>1000000+INDEX(编号表!$B:$B,MATCH(C683,编号表!$A:$A,0))*1000+INDEX(编号表!$D:$D,MATCH(D683,编号表!$C:$C,0))*100+E683</f>
        <v>1021210</v>
      </c>
      <c r="C683" s="3" t="s">
        <v>219</v>
      </c>
      <c r="D683" s="11" t="s">
        <v>37</v>
      </c>
      <c r="E683" s="11">
        <f t="shared" si="18"/>
        <v>10</v>
      </c>
      <c r="F683" s="3" t="s">
        <v>220</v>
      </c>
      <c r="G683" s="16" t="s">
        <v>39</v>
      </c>
      <c r="H683" s="3">
        <v>60201000</v>
      </c>
      <c r="I683" s="12">
        <v>10</v>
      </c>
    </row>
    <row r="684" spans="2:9">
      <c r="B684" s="11">
        <f>1000000+INDEX(编号表!$B:$B,MATCH(C684,编号表!$A:$A,0))*1000+INDEX(编号表!$D:$D,MATCH(D684,编号表!$C:$C,0))*100+E684</f>
        <v>1021310</v>
      </c>
      <c r="C684" s="3" t="s">
        <v>219</v>
      </c>
      <c r="D684" s="11" t="s">
        <v>40</v>
      </c>
      <c r="E684" s="11">
        <f t="shared" si="18"/>
        <v>10</v>
      </c>
      <c r="F684" s="3" t="s">
        <v>205</v>
      </c>
      <c r="G684" s="16" t="s">
        <v>39</v>
      </c>
      <c r="H684" s="3">
        <v>60201001</v>
      </c>
      <c r="I684" s="12">
        <v>10</v>
      </c>
    </row>
    <row r="685" spans="2:9">
      <c r="B685" s="11">
        <f>1000000+INDEX(编号表!$B:$B,MATCH(C685,编号表!$A:$A,0))*1000+INDEX(编号表!$D:$D,MATCH(D685,编号表!$C:$C,0))*100+E685</f>
        <v>1021410</v>
      </c>
      <c r="C685" s="3" t="s">
        <v>219</v>
      </c>
      <c r="D685" s="11" t="s">
        <v>42</v>
      </c>
      <c r="E685" s="11">
        <f t="shared" si="18"/>
        <v>10</v>
      </c>
      <c r="F685" s="3" t="s">
        <v>221</v>
      </c>
      <c r="G685" s="16" t="s">
        <v>39</v>
      </c>
      <c r="H685" s="3">
        <v>60201002</v>
      </c>
      <c r="I685" s="12">
        <v>10</v>
      </c>
    </row>
    <row r="686" spans="2:9">
      <c r="B686" s="11">
        <f>1000000+INDEX(编号表!$B:$B,MATCH(C686,编号表!$A:$A,0))*1000+INDEX(编号表!$D:$D,MATCH(D686,编号表!$C:$C,0))*100+E686</f>
        <v>1021510</v>
      </c>
      <c r="C686" s="3" t="s">
        <v>219</v>
      </c>
      <c r="D686" s="11" t="s">
        <v>44</v>
      </c>
      <c r="E686" s="11">
        <f t="shared" si="18"/>
        <v>10</v>
      </c>
      <c r="F686" s="3" t="s">
        <v>222</v>
      </c>
      <c r="G686" s="16" t="s">
        <v>39</v>
      </c>
      <c r="H686" s="3">
        <v>60201003</v>
      </c>
      <c r="I686" s="12">
        <v>10</v>
      </c>
    </row>
    <row r="687" spans="2:9">
      <c r="B687" s="11">
        <f>1000000+INDEX(编号表!$B:$B,MATCH(C687,编号表!$A:$A,0))*1000+INDEX(编号表!$D:$D,MATCH(D687,编号表!$C:$C,0))*100+E687</f>
        <v>1021215</v>
      </c>
      <c r="C687" s="3" t="s">
        <v>219</v>
      </c>
      <c r="D687" s="11" t="s">
        <v>37</v>
      </c>
      <c r="E687" s="11">
        <f t="shared" si="18"/>
        <v>15</v>
      </c>
      <c r="F687" s="3" t="s">
        <v>220</v>
      </c>
      <c r="G687" s="16" t="s">
        <v>39</v>
      </c>
      <c r="H687" s="3">
        <v>60201000</v>
      </c>
      <c r="I687" s="12">
        <v>15</v>
      </c>
    </row>
    <row r="688" spans="2:9">
      <c r="B688" s="11">
        <f>1000000+INDEX(编号表!$B:$B,MATCH(C688,编号表!$A:$A,0))*1000+INDEX(编号表!$D:$D,MATCH(D688,编号表!$C:$C,0))*100+E688</f>
        <v>1021315</v>
      </c>
      <c r="C688" s="3" t="s">
        <v>219</v>
      </c>
      <c r="D688" s="11" t="s">
        <v>40</v>
      </c>
      <c r="E688" s="11">
        <f t="shared" si="18"/>
        <v>15</v>
      </c>
      <c r="F688" s="3" t="s">
        <v>205</v>
      </c>
      <c r="G688" s="16" t="s">
        <v>39</v>
      </c>
      <c r="H688" s="3">
        <v>60201001</v>
      </c>
      <c r="I688" s="12">
        <v>15</v>
      </c>
    </row>
    <row r="689" spans="2:9">
      <c r="B689" s="11">
        <f>1000000+INDEX(编号表!$B:$B,MATCH(C689,编号表!$A:$A,0))*1000+INDEX(编号表!$D:$D,MATCH(D689,编号表!$C:$C,0))*100+E689</f>
        <v>1021415</v>
      </c>
      <c r="C689" s="3" t="s">
        <v>219</v>
      </c>
      <c r="D689" s="11" t="s">
        <v>42</v>
      </c>
      <c r="E689" s="11">
        <f t="shared" si="18"/>
        <v>15</v>
      </c>
      <c r="F689" s="3" t="s">
        <v>221</v>
      </c>
      <c r="G689" s="16" t="s">
        <v>39</v>
      </c>
      <c r="H689" s="3">
        <v>60201002</v>
      </c>
      <c r="I689" s="12">
        <v>15</v>
      </c>
    </row>
    <row r="690" spans="2:9">
      <c r="B690" s="11">
        <f>1000000+INDEX(编号表!$B:$B,MATCH(C690,编号表!$A:$A,0))*1000+INDEX(编号表!$D:$D,MATCH(D690,编号表!$C:$C,0))*100+E690</f>
        <v>1021515</v>
      </c>
      <c r="C690" s="3" t="s">
        <v>219</v>
      </c>
      <c r="D690" s="11" t="s">
        <v>44</v>
      </c>
      <c r="E690" s="11">
        <f t="shared" si="18"/>
        <v>15</v>
      </c>
      <c r="F690" s="3" t="s">
        <v>222</v>
      </c>
      <c r="G690" s="16" t="s">
        <v>39</v>
      </c>
      <c r="H690" s="3">
        <v>60201003</v>
      </c>
      <c r="I690" s="12">
        <v>15</v>
      </c>
    </row>
    <row r="691" spans="2:9">
      <c r="B691" s="11">
        <f>1000000+INDEX(编号表!$B:$B,MATCH(C691,编号表!$A:$A,0))*1000+INDEX(编号表!$D:$D,MATCH(D691,编号表!$C:$C,0))*100+E691</f>
        <v>1022001</v>
      </c>
      <c r="C691" s="3" t="s">
        <v>223</v>
      </c>
      <c r="D691" s="11" t="s">
        <v>55</v>
      </c>
      <c r="E691" s="11">
        <v>1</v>
      </c>
      <c r="F691" s="17" t="s">
        <v>167</v>
      </c>
      <c r="G691" s="16" t="s">
        <v>57</v>
      </c>
      <c r="H691" s="11">
        <v>60214000</v>
      </c>
      <c r="I691" s="12">
        <v>1</v>
      </c>
    </row>
    <row r="692" spans="2:9">
      <c r="B692" s="11">
        <f>1000000+INDEX(编号表!$B:$B,MATCH(C692,编号表!$A:$A,0))*1000+INDEX(编号表!$D:$D,MATCH(D692,编号表!$C:$C,0))*100+E692</f>
        <v>1022101</v>
      </c>
      <c r="C692" s="3" t="s">
        <v>223</v>
      </c>
      <c r="D692" s="11" t="s">
        <v>58</v>
      </c>
      <c r="E692" s="11">
        <v>1</v>
      </c>
      <c r="F692" s="17" t="s">
        <v>59</v>
      </c>
      <c r="G692" s="16" t="s">
        <v>57</v>
      </c>
      <c r="H692" s="3">
        <v>60212000</v>
      </c>
      <c r="I692" s="12">
        <v>1</v>
      </c>
    </row>
    <row r="693" spans="2:9">
      <c r="B693" s="11">
        <f>1000000+INDEX(编号表!$B:$B,MATCH(C693,编号表!$A:$A,0))*1000+INDEX(编号表!$D:$D,MATCH(D693,编号表!$C:$C,0))*100+E693</f>
        <v>1022201</v>
      </c>
      <c r="C693" s="3" t="s">
        <v>223</v>
      </c>
      <c r="D693" s="11" t="s">
        <v>37</v>
      </c>
      <c r="E693" s="11">
        <f t="shared" ref="E693:E716" si="19">I693+K693+M693+O693+Q693+S693+U693+W693+Y693+AA693</f>
        <v>1</v>
      </c>
      <c r="F693" s="3" t="s">
        <v>205</v>
      </c>
      <c r="G693" s="16" t="s">
        <v>39</v>
      </c>
      <c r="H693" s="3">
        <v>60211000</v>
      </c>
      <c r="I693" s="12">
        <v>1</v>
      </c>
    </row>
    <row r="694" spans="2:9">
      <c r="B694" s="11">
        <f>1000000+INDEX(编号表!$B:$B,MATCH(C694,编号表!$A:$A,0))*1000+INDEX(编号表!$D:$D,MATCH(D694,编号表!$C:$C,0))*100+E694</f>
        <v>1022301</v>
      </c>
      <c r="C694" s="3" t="s">
        <v>223</v>
      </c>
      <c r="D694" s="11" t="s">
        <v>40</v>
      </c>
      <c r="E694" s="11">
        <f t="shared" si="19"/>
        <v>1</v>
      </c>
      <c r="F694" s="3" t="s">
        <v>221</v>
      </c>
      <c r="G694" s="16" t="s">
        <v>39</v>
      </c>
      <c r="H694" s="3">
        <v>60211001</v>
      </c>
      <c r="I694" s="12">
        <v>1</v>
      </c>
    </row>
    <row r="695" spans="2:9">
      <c r="B695" s="11">
        <f>1000000+INDEX(编号表!$B:$B,MATCH(C695,编号表!$A:$A,0))*1000+INDEX(编号表!$D:$D,MATCH(D695,编号表!$C:$C,0))*100+E695</f>
        <v>1022401</v>
      </c>
      <c r="C695" s="3" t="s">
        <v>223</v>
      </c>
      <c r="D695" s="11" t="s">
        <v>42</v>
      </c>
      <c r="E695" s="11">
        <f t="shared" si="19"/>
        <v>1</v>
      </c>
      <c r="F695" s="3" t="s">
        <v>222</v>
      </c>
      <c r="G695" s="16" t="s">
        <v>39</v>
      </c>
      <c r="H695" s="3">
        <v>60211002</v>
      </c>
      <c r="I695" s="12">
        <v>1</v>
      </c>
    </row>
    <row r="696" spans="2:9">
      <c r="B696" s="11">
        <f>1000000+INDEX(编号表!$B:$B,MATCH(C696,编号表!$A:$A,0))*1000+INDEX(编号表!$D:$D,MATCH(D696,编号表!$C:$C,0))*100+E696</f>
        <v>1022501</v>
      </c>
      <c r="C696" s="3" t="s">
        <v>223</v>
      </c>
      <c r="D696" s="11" t="s">
        <v>44</v>
      </c>
      <c r="E696" s="11">
        <f t="shared" si="19"/>
        <v>1</v>
      </c>
      <c r="F696" s="3" t="s">
        <v>224</v>
      </c>
      <c r="G696" s="16" t="s">
        <v>39</v>
      </c>
      <c r="H696" s="3">
        <v>60211003</v>
      </c>
      <c r="I696" s="12">
        <v>1</v>
      </c>
    </row>
    <row r="697" spans="2:9">
      <c r="B697" s="11">
        <f>1000000+INDEX(编号表!$B:$B,MATCH(C697,编号表!$A:$A,0))*1000+INDEX(编号表!$D:$D,MATCH(D697,编号表!$C:$C,0))*100+E697</f>
        <v>1022202</v>
      </c>
      <c r="C697" s="3" t="s">
        <v>223</v>
      </c>
      <c r="D697" s="11" t="s">
        <v>37</v>
      </c>
      <c r="E697" s="11">
        <f t="shared" si="19"/>
        <v>2</v>
      </c>
      <c r="F697" s="3" t="s">
        <v>205</v>
      </c>
      <c r="G697" s="16" t="s">
        <v>39</v>
      </c>
      <c r="H697" s="3">
        <v>60211000</v>
      </c>
      <c r="I697" s="12">
        <v>2</v>
      </c>
    </row>
    <row r="698" spans="2:9">
      <c r="B698" s="11">
        <f>1000000+INDEX(编号表!$B:$B,MATCH(C698,编号表!$A:$A,0))*1000+INDEX(编号表!$D:$D,MATCH(D698,编号表!$C:$C,0))*100+E698</f>
        <v>1022302</v>
      </c>
      <c r="C698" s="3" t="s">
        <v>223</v>
      </c>
      <c r="D698" s="11" t="s">
        <v>40</v>
      </c>
      <c r="E698" s="11">
        <f t="shared" si="19"/>
        <v>2</v>
      </c>
      <c r="F698" s="3" t="s">
        <v>221</v>
      </c>
      <c r="G698" s="16" t="s">
        <v>39</v>
      </c>
      <c r="H698" s="3">
        <v>60211001</v>
      </c>
      <c r="I698" s="12">
        <v>2</v>
      </c>
    </row>
    <row r="699" spans="2:9">
      <c r="B699" s="11">
        <f>1000000+INDEX(编号表!$B:$B,MATCH(C699,编号表!$A:$A,0))*1000+INDEX(编号表!$D:$D,MATCH(D699,编号表!$C:$C,0))*100+E699</f>
        <v>1022402</v>
      </c>
      <c r="C699" s="3" t="s">
        <v>223</v>
      </c>
      <c r="D699" s="11" t="s">
        <v>42</v>
      </c>
      <c r="E699" s="11">
        <f t="shared" si="19"/>
        <v>2</v>
      </c>
      <c r="F699" s="3" t="s">
        <v>222</v>
      </c>
      <c r="G699" s="16" t="s">
        <v>39</v>
      </c>
      <c r="H699" s="3">
        <v>60211002</v>
      </c>
      <c r="I699" s="12">
        <v>2</v>
      </c>
    </row>
    <row r="700" spans="2:9">
      <c r="B700" s="11">
        <f>1000000+INDEX(编号表!$B:$B,MATCH(C700,编号表!$A:$A,0))*1000+INDEX(编号表!$D:$D,MATCH(D700,编号表!$C:$C,0))*100+E700</f>
        <v>1022502</v>
      </c>
      <c r="C700" s="3" t="s">
        <v>223</v>
      </c>
      <c r="D700" s="11" t="s">
        <v>44</v>
      </c>
      <c r="E700" s="11">
        <f t="shared" si="19"/>
        <v>2</v>
      </c>
      <c r="F700" s="3" t="s">
        <v>224</v>
      </c>
      <c r="G700" s="16" t="s">
        <v>39</v>
      </c>
      <c r="H700" s="3">
        <v>60211003</v>
      </c>
      <c r="I700" s="12">
        <v>2</v>
      </c>
    </row>
    <row r="701" spans="2:9">
      <c r="B701" s="11">
        <f>1000000+INDEX(编号表!$B:$B,MATCH(C701,编号表!$A:$A,0))*1000+INDEX(编号表!$D:$D,MATCH(D701,编号表!$C:$C,0))*100+E701</f>
        <v>1022203</v>
      </c>
      <c r="C701" s="3" t="s">
        <v>223</v>
      </c>
      <c r="D701" s="11" t="s">
        <v>37</v>
      </c>
      <c r="E701" s="11">
        <f t="shared" si="19"/>
        <v>3</v>
      </c>
      <c r="F701" s="3" t="s">
        <v>205</v>
      </c>
      <c r="G701" s="16" t="s">
        <v>39</v>
      </c>
      <c r="H701" s="3">
        <v>60211000</v>
      </c>
      <c r="I701" s="12">
        <v>3</v>
      </c>
    </row>
    <row r="702" spans="2:9">
      <c r="B702" s="11">
        <f>1000000+INDEX(编号表!$B:$B,MATCH(C702,编号表!$A:$A,0))*1000+INDEX(编号表!$D:$D,MATCH(D702,编号表!$C:$C,0))*100+E702</f>
        <v>1022303</v>
      </c>
      <c r="C702" s="3" t="s">
        <v>223</v>
      </c>
      <c r="D702" s="11" t="s">
        <v>40</v>
      </c>
      <c r="E702" s="11">
        <f t="shared" si="19"/>
        <v>3</v>
      </c>
      <c r="F702" s="3" t="s">
        <v>221</v>
      </c>
      <c r="G702" s="16" t="s">
        <v>39</v>
      </c>
      <c r="H702" s="3">
        <v>60211001</v>
      </c>
      <c r="I702" s="12">
        <v>3</v>
      </c>
    </row>
    <row r="703" spans="2:9">
      <c r="B703" s="11">
        <f>1000000+INDEX(编号表!$B:$B,MATCH(C703,编号表!$A:$A,0))*1000+INDEX(编号表!$D:$D,MATCH(D703,编号表!$C:$C,0))*100+E703</f>
        <v>1022403</v>
      </c>
      <c r="C703" s="3" t="s">
        <v>223</v>
      </c>
      <c r="D703" s="11" t="s">
        <v>42</v>
      </c>
      <c r="E703" s="11">
        <f t="shared" si="19"/>
        <v>3</v>
      </c>
      <c r="F703" s="3" t="s">
        <v>222</v>
      </c>
      <c r="G703" s="16" t="s">
        <v>39</v>
      </c>
      <c r="H703" s="3">
        <v>60211002</v>
      </c>
      <c r="I703" s="12">
        <v>3</v>
      </c>
    </row>
    <row r="704" spans="2:9">
      <c r="B704" s="11">
        <f>1000000+INDEX(编号表!$B:$B,MATCH(C704,编号表!$A:$A,0))*1000+INDEX(编号表!$D:$D,MATCH(D704,编号表!$C:$C,0))*100+E704</f>
        <v>1022503</v>
      </c>
      <c r="C704" s="3" t="s">
        <v>223</v>
      </c>
      <c r="D704" s="11" t="s">
        <v>44</v>
      </c>
      <c r="E704" s="11">
        <f t="shared" si="19"/>
        <v>3</v>
      </c>
      <c r="F704" s="3" t="s">
        <v>224</v>
      </c>
      <c r="G704" s="16" t="s">
        <v>39</v>
      </c>
      <c r="H704" s="3">
        <v>60211003</v>
      </c>
      <c r="I704" s="12">
        <v>3</v>
      </c>
    </row>
    <row r="705" spans="2:9">
      <c r="B705" s="11">
        <f>1000000+INDEX(编号表!$B:$B,MATCH(C705,编号表!$A:$A,0))*1000+INDEX(编号表!$D:$D,MATCH(D705,编号表!$C:$C,0))*100+E705</f>
        <v>1022205</v>
      </c>
      <c r="C705" s="3" t="s">
        <v>223</v>
      </c>
      <c r="D705" s="11" t="s">
        <v>37</v>
      </c>
      <c r="E705" s="11">
        <f t="shared" si="19"/>
        <v>5</v>
      </c>
      <c r="F705" s="3" t="s">
        <v>205</v>
      </c>
      <c r="G705" s="16" t="s">
        <v>39</v>
      </c>
      <c r="H705" s="3">
        <v>60211000</v>
      </c>
      <c r="I705" s="12">
        <v>5</v>
      </c>
    </row>
    <row r="706" spans="2:9">
      <c r="B706" s="11">
        <f>1000000+INDEX(编号表!$B:$B,MATCH(C706,编号表!$A:$A,0))*1000+INDEX(编号表!$D:$D,MATCH(D706,编号表!$C:$C,0))*100+E706</f>
        <v>1022305</v>
      </c>
      <c r="C706" s="3" t="s">
        <v>223</v>
      </c>
      <c r="D706" s="11" t="s">
        <v>40</v>
      </c>
      <c r="E706" s="11">
        <f t="shared" si="19"/>
        <v>5</v>
      </c>
      <c r="F706" s="3" t="s">
        <v>221</v>
      </c>
      <c r="G706" s="16" t="s">
        <v>39</v>
      </c>
      <c r="H706" s="3">
        <v>60211001</v>
      </c>
      <c r="I706" s="12">
        <v>5</v>
      </c>
    </row>
    <row r="707" spans="2:9">
      <c r="B707" s="11">
        <f>1000000+INDEX(编号表!$B:$B,MATCH(C707,编号表!$A:$A,0))*1000+INDEX(编号表!$D:$D,MATCH(D707,编号表!$C:$C,0))*100+E707</f>
        <v>1022405</v>
      </c>
      <c r="C707" s="3" t="s">
        <v>223</v>
      </c>
      <c r="D707" s="11" t="s">
        <v>42</v>
      </c>
      <c r="E707" s="11">
        <f t="shared" si="19"/>
        <v>5</v>
      </c>
      <c r="F707" s="3" t="s">
        <v>222</v>
      </c>
      <c r="G707" s="16" t="s">
        <v>39</v>
      </c>
      <c r="H707" s="3">
        <v>60211002</v>
      </c>
      <c r="I707" s="12">
        <v>5</v>
      </c>
    </row>
    <row r="708" spans="2:9">
      <c r="B708" s="11">
        <f>1000000+INDEX(编号表!$B:$B,MATCH(C708,编号表!$A:$A,0))*1000+INDEX(编号表!$D:$D,MATCH(D708,编号表!$C:$C,0))*100+E708</f>
        <v>1022505</v>
      </c>
      <c r="C708" s="3" t="s">
        <v>223</v>
      </c>
      <c r="D708" s="11" t="s">
        <v>44</v>
      </c>
      <c r="E708" s="11">
        <f t="shared" si="19"/>
        <v>5</v>
      </c>
      <c r="F708" s="3" t="s">
        <v>224</v>
      </c>
      <c r="G708" s="16" t="s">
        <v>39</v>
      </c>
      <c r="H708" s="3">
        <v>60211003</v>
      </c>
      <c r="I708" s="12">
        <v>5</v>
      </c>
    </row>
    <row r="709" spans="2:9">
      <c r="B709" s="11">
        <f>1000000+INDEX(编号表!$B:$B,MATCH(C709,编号表!$A:$A,0))*1000+INDEX(编号表!$D:$D,MATCH(D709,编号表!$C:$C,0))*100+E709</f>
        <v>1022210</v>
      </c>
      <c r="C709" s="3" t="s">
        <v>223</v>
      </c>
      <c r="D709" s="11" t="s">
        <v>37</v>
      </c>
      <c r="E709" s="11">
        <f t="shared" si="19"/>
        <v>10</v>
      </c>
      <c r="F709" s="3" t="s">
        <v>205</v>
      </c>
      <c r="G709" s="16" t="s">
        <v>39</v>
      </c>
      <c r="H709" s="3">
        <v>60211000</v>
      </c>
      <c r="I709" s="12">
        <v>10</v>
      </c>
    </row>
    <row r="710" spans="2:9">
      <c r="B710" s="11">
        <f>1000000+INDEX(编号表!$B:$B,MATCH(C710,编号表!$A:$A,0))*1000+INDEX(编号表!$D:$D,MATCH(D710,编号表!$C:$C,0))*100+E710</f>
        <v>1022310</v>
      </c>
      <c r="C710" s="3" t="s">
        <v>223</v>
      </c>
      <c r="D710" s="11" t="s">
        <v>40</v>
      </c>
      <c r="E710" s="11">
        <f t="shared" si="19"/>
        <v>10</v>
      </c>
      <c r="F710" s="3" t="s">
        <v>221</v>
      </c>
      <c r="G710" s="16" t="s">
        <v>39</v>
      </c>
      <c r="H710" s="3">
        <v>60211001</v>
      </c>
      <c r="I710" s="12">
        <v>10</v>
      </c>
    </row>
    <row r="711" spans="2:9">
      <c r="B711" s="11">
        <f>1000000+INDEX(编号表!$B:$B,MATCH(C711,编号表!$A:$A,0))*1000+INDEX(编号表!$D:$D,MATCH(D711,编号表!$C:$C,0))*100+E711</f>
        <v>1022410</v>
      </c>
      <c r="C711" s="3" t="s">
        <v>223</v>
      </c>
      <c r="D711" s="11" t="s">
        <v>42</v>
      </c>
      <c r="E711" s="11">
        <f t="shared" si="19"/>
        <v>10</v>
      </c>
      <c r="F711" s="3" t="s">
        <v>222</v>
      </c>
      <c r="G711" s="16" t="s">
        <v>39</v>
      </c>
      <c r="H711" s="3">
        <v>60211002</v>
      </c>
      <c r="I711" s="12">
        <v>10</v>
      </c>
    </row>
    <row r="712" spans="2:9">
      <c r="B712" s="11">
        <f>1000000+INDEX(编号表!$B:$B,MATCH(C712,编号表!$A:$A,0))*1000+INDEX(编号表!$D:$D,MATCH(D712,编号表!$C:$C,0))*100+E712</f>
        <v>1022510</v>
      </c>
      <c r="C712" s="3" t="s">
        <v>223</v>
      </c>
      <c r="D712" s="11" t="s">
        <v>44</v>
      </c>
      <c r="E712" s="11">
        <f t="shared" si="19"/>
        <v>10</v>
      </c>
      <c r="F712" s="3" t="s">
        <v>224</v>
      </c>
      <c r="G712" s="16" t="s">
        <v>39</v>
      </c>
      <c r="H712" s="3">
        <v>60211003</v>
      </c>
      <c r="I712" s="12">
        <v>10</v>
      </c>
    </row>
    <row r="713" spans="2:9">
      <c r="B713" s="11">
        <f>1000000+INDEX(编号表!$B:$B,MATCH(C713,编号表!$A:$A,0))*1000+INDEX(编号表!$D:$D,MATCH(D713,编号表!$C:$C,0))*100+E713</f>
        <v>1022215</v>
      </c>
      <c r="C713" s="3" t="s">
        <v>223</v>
      </c>
      <c r="D713" s="11" t="s">
        <v>37</v>
      </c>
      <c r="E713" s="11">
        <f t="shared" si="19"/>
        <v>15</v>
      </c>
      <c r="F713" s="3" t="s">
        <v>205</v>
      </c>
      <c r="G713" s="16" t="s">
        <v>39</v>
      </c>
      <c r="H713" s="3">
        <v>60211000</v>
      </c>
      <c r="I713" s="12">
        <v>15</v>
      </c>
    </row>
    <row r="714" spans="2:9">
      <c r="B714" s="11">
        <f>1000000+INDEX(编号表!$B:$B,MATCH(C714,编号表!$A:$A,0))*1000+INDEX(编号表!$D:$D,MATCH(D714,编号表!$C:$C,0))*100+E714</f>
        <v>1022315</v>
      </c>
      <c r="C714" s="3" t="s">
        <v>223</v>
      </c>
      <c r="D714" s="11" t="s">
        <v>40</v>
      </c>
      <c r="E714" s="11">
        <f t="shared" si="19"/>
        <v>15</v>
      </c>
      <c r="F714" s="3" t="s">
        <v>221</v>
      </c>
      <c r="G714" s="16" t="s">
        <v>39</v>
      </c>
      <c r="H714" s="3">
        <v>60211001</v>
      </c>
      <c r="I714" s="12">
        <v>15</v>
      </c>
    </row>
    <row r="715" spans="2:9">
      <c r="B715" s="11">
        <f>1000000+INDEX(编号表!$B:$B,MATCH(C715,编号表!$A:$A,0))*1000+INDEX(编号表!$D:$D,MATCH(D715,编号表!$C:$C,0))*100+E715</f>
        <v>1022415</v>
      </c>
      <c r="C715" s="3" t="s">
        <v>223</v>
      </c>
      <c r="D715" s="11" t="s">
        <v>42</v>
      </c>
      <c r="E715" s="11">
        <f t="shared" si="19"/>
        <v>15</v>
      </c>
      <c r="F715" s="3" t="s">
        <v>222</v>
      </c>
      <c r="G715" s="16" t="s">
        <v>39</v>
      </c>
      <c r="H715" s="3">
        <v>60211002</v>
      </c>
      <c r="I715" s="12">
        <v>15</v>
      </c>
    </row>
    <row r="716" spans="2:9">
      <c r="B716" s="11">
        <f>1000000+INDEX(编号表!$B:$B,MATCH(C716,编号表!$A:$A,0))*1000+INDEX(编号表!$D:$D,MATCH(D716,编号表!$C:$C,0))*100+E716</f>
        <v>1022515</v>
      </c>
      <c r="C716" s="3" t="s">
        <v>223</v>
      </c>
      <c r="D716" s="11" t="s">
        <v>44</v>
      </c>
      <c r="E716" s="11">
        <f t="shared" si="19"/>
        <v>15</v>
      </c>
      <c r="F716" s="3" t="s">
        <v>224</v>
      </c>
      <c r="G716" s="16" t="s">
        <v>39</v>
      </c>
      <c r="H716" s="3">
        <v>60211003</v>
      </c>
      <c r="I716" s="12">
        <v>15</v>
      </c>
    </row>
    <row r="717" spans="2:9">
      <c r="B717" s="11">
        <f>1000000+INDEX(编号表!$B:$B,MATCH(C717,编号表!$A:$A,0))*1000+INDEX(编号表!$D:$D,MATCH(D717,编号表!$C:$C,0))*100+E717</f>
        <v>1023001</v>
      </c>
      <c r="C717" s="3" t="s">
        <v>225</v>
      </c>
      <c r="D717" s="11" t="s">
        <v>55</v>
      </c>
      <c r="E717" s="11">
        <v>1</v>
      </c>
      <c r="F717" s="17" t="s">
        <v>167</v>
      </c>
      <c r="G717" s="16" t="s">
        <v>57</v>
      </c>
      <c r="H717" s="11">
        <v>60224000</v>
      </c>
      <c r="I717" s="12">
        <v>1</v>
      </c>
    </row>
    <row r="718" spans="2:9">
      <c r="B718" s="11">
        <f>1000000+INDEX(编号表!$B:$B,MATCH(C718,编号表!$A:$A,0))*1000+INDEX(编号表!$D:$D,MATCH(D718,编号表!$C:$C,0))*100+E718</f>
        <v>1023101</v>
      </c>
      <c r="C718" s="3" t="s">
        <v>225</v>
      </c>
      <c r="D718" s="11" t="s">
        <v>58</v>
      </c>
      <c r="E718" s="11">
        <v>1</v>
      </c>
      <c r="F718" s="17" t="s">
        <v>59</v>
      </c>
      <c r="G718" s="16" t="s">
        <v>57</v>
      </c>
      <c r="H718" s="3">
        <v>60222000</v>
      </c>
      <c r="I718" s="12">
        <v>1</v>
      </c>
    </row>
    <row r="719" spans="2:9">
      <c r="B719" s="11">
        <f>1000000+INDEX(编号表!$B:$B,MATCH(C719,编号表!$A:$A,0))*1000+INDEX(编号表!$D:$D,MATCH(D719,编号表!$C:$C,0))*100+E719</f>
        <v>1023201</v>
      </c>
      <c r="C719" s="3" t="s">
        <v>225</v>
      </c>
      <c r="D719" s="11" t="s">
        <v>37</v>
      </c>
      <c r="E719" s="11">
        <f t="shared" ref="E719:E742" si="20">I719+K820+M820+O820+Q820+S820+U820+W820+Y820+AA820</f>
        <v>1</v>
      </c>
      <c r="F719" s="3" t="s">
        <v>220</v>
      </c>
      <c r="G719" s="16" t="s">
        <v>39</v>
      </c>
      <c r="H719" s="3">
        <v>60221000</v>
      </c>
      <c r="I719" s="12">
        <v>1</v>
      </c>
    </row>
    <row r="720" spans="2:9">
      <c r="B720" s="11">
        <f>1000000+INDEX(编号表!$B:$B,MATCH(C720,编号表!$A:$A,0))*1000+INDEX(编号表!$D:$D,MATCH(D720,编号表!$C:$C,0))*100+E720</f>
        <v>1023301</v>
      </c>
      <c r="C720" s="3" t="s">
        <v>225</v>
      </c>
      <c r="D720" s="11" t="s">
        <v>40</v>
      </c>
      <c r="E720" s="11">
        <f t="shared" si="20"/>
        <v>1</v>
      </c>
      <c r="F720" s="3" t="s">
        <v>205</v>
      </c>
      <c r="G720" s="16" t="s">
        <v>39</v>
      </c>
      <c r="H720" s="3">
        <v>60221001</v>
      </c>
      <c r="I720" s="12">
        <v>1</v>
      </c>
    </row>
    <row r="721" spans="2:9">
      <c r="B721" s="11">
        <f>1000000+INDEX(编号表!$B:$B,MATCH(C721,编号表!$A:$A,0))*1000+INDEX(编号表!$D:$D,MATCH(D721,编号表!$C:$C,0))*100+E721</f>
        <v>1023401</v>
      </c>
      <c r="C721" s="3" t="s">
        <v>225</v>
      </c>
      <c r="D721" s="11" t="s">
        <v>42</v>
      </c>
      <c r="E721" s="11">
        <f t="shared" si="20"/>
        <v>1</v>
      </c>
      <c r="F721" s="3" t="s">
        <v>221</v>
      </c>
      <c r="G721" s="16" t="s">
        <v>39</v>
      </c>
      <c r="H721" s="3">
        <v>60221002</v>
      </c>
      <c r="I721" s="12">
        <v>1</v>
      </c>
    </row>
    <row r="722" spans="2:9">
      <c r="B722" s="11">
        <f>1000000+INDEX(编号表!$B:$B,MATCH(C722,编号表!$A:$A,0))*1000+INDEX(编号表!$D:$D,MATCH(D722,编号表!$C:$C,0))*100+E722</f>
        <v>1023501</v>
      </c>
      <c r="C722" s="3" t="s">
        <v>225</v>
      </c>
      <c r="D722" s="11" t="s">
        <v>44</v>
      </c>
      <c r="E722" s="11">
        <f t="shared" si="20"/>
        <v>1</v>
      </c>
      <c r="F722" s="3" t="s">
        <v>222</v>
      </c>
      <c r="G722" s="16" t="s">
        <v>39</v>
      </c>
      <c r="H722" s="3">
        <v>60221003</v>
      </c>
      <c r="I722" s="12">
        <v>1</v>
      </c>
    </row>
    <row r="723" spans="2:9">
      <c r="B723" s="11">
        <f>1000000+INDEX(编号表!$B:$B,MATCH(C723,编号表!$A:$A,0))*1000+INDEX(编号表!$D:$D,MATCH(D723,编号表!$C:$C,0))*100+E723</f>
        <v>1023601</v>
      </c>
      <c r="C723" s="3" t="s">
        <v>225</v>
      </c>
      <c r="D723" s="11" t="s">
        <v>46</v>
      </c>
      <c r="E723" s="11">
        <f t="shared" si="20"/>
        <v>1</v>
      </c>
      <c r="F723" s="3" t="s">
        <v>224</v>
      </c>
      <c r="G723" s="16" t="s">
        <v>39</v>
      </c>
      <c r="H723" s="3">
        <v>60221004</v>
      </c>
      <c r="I723" s="12">
        <v>1</v>
      </c>
    </row>
    <row r="724" spans="2:9">
      <c r="B724" s="11">
        <f>1000000+INDEX(编号表!$B:$B,MATCH(C724,编号表!$A:$A,0))*1000+INDEX(编号表!$D:$D,MATCH(D724,编号表!$C:$C,0))*100+E724</f>
        <v>1023202</v>
      </c>
      <c r="C724" s="3" t="s">
        <v>225</v>
      </c>
      <c r="D724" s="11" t="s">
        <v>37</v>
      </c>
      <c r="E724" s="11">
        <f t="shared" si="20"/>
        <v>2</v>
      </c>
      <c r="F724" s="3" t="s">
        <v>220</v>
      </c>
      <c r="G724" s="16" t="s">
        <v>39</v>
      </c>
      <c r="H724" s="3">
        <v>60221000</v>
      </c>
      <c r="I724" s="12">
        <v>2</v>
      </c>
    </row>
    <row r="725" spans="2:9">
      <c r="B725" s="11">
        <f>1000000+INDEX(编号表!$B:$B,MATCH(C725,编号表!$A:$A,0))*1000+INDEX(编号表!$D:$D,MATCH(D725,编号表!$C:$C,0))*100+E725</f>
        <v>1023302</v>
      </c>
      <c r="C725" s="3" t="s">
        <v>225</v>
      </c>
      <c r="D725" s="11" t="s">
        <v>40</v>
      </c>
      <c r="E725" s="11">
        <f t="shared" si="20"/>
        <v>2</v>
      </c>
      <c r="F725" s="3" t="s">
        <v>205</v>
      </c>
      <c r="G725" s="16" t="s">
        <v>39</v>
      </c>
      <c r="H725" s="3">
        <v>60221001</v>
      </c>
      <c r="I725" s="12">
        <v>2</v>
      </c>
    </row>
    <row r="726" spans="2:9">
      <c r="B726" s="11">
        <f>1000000+INDEX(编号表!$B:$B,MATCH(C726,编号表!$A:$A,0))*1000+INDEX(编号表!$D:$D,MATCH(D726,编号表!$C:$C,0))*100+E726</f>
        <v>1023402</v>
      </c>
      <c r="C726" s="3" t="s">
        <v>225</v>
      </c>
      <c r="D726" s="11" t="s">
        <v>42</v>
      </c>
      <c r="E726" s="11">
        <f t="shared" si="20"/>
        <v>2</v>
      </c>
      <c r="F726" s="3" t="s">
        <v>221</v>
      </c>
      <c r="G726" s="16" t="s">
        <v>39</v>
      </c>
      <c r="H726" s="3">
        <v>60221002</v>
      </c>
      <c r="I726" s="12">
        <v>2</v>
      </c>
    </row>
    <row r="727" spans="2:9">
      <c r="B727" s="11">
        <f>1000000+INDEX(编号表!$B:$B,MATCH(C727,编号表!$A:$A,0))*1000+INDEX(编号表!$D:$D,MATCH(D727,编号表!$C:$C,0))*100+E727</f>
        <v>1023502</v>
      </c>
      <c r="C727" s="3" t="s">
        <v>225</v>
      </c>
      <c r="D727" s="11" t="s">
        <v>44</v>
      </c>
      <c r="E727" s="11">
        <f t="shared" si="20"/>
        <v>2</v>
      </c>
      <c r="F727" s="3" t="s">
        <v>222</v>
      </c>
      <c r="G727" s="16" t="s">
        <v>39</v>
      </c>
      <c r="H727" s="3">
        <v>60221003</v>
      </c>
      <c r="I727" s="12">
        <v>2</v>
      </c>
    </row>
    <row r="728" spans="2:9">
      <c r="B728" s="11">
        <f>1000000+INDEX(编号表!$B:$B,MATCH(C728,编号表!$A:$A,0))*1000+INDEX(编号表!$D:$D,MATCH(D728,编号表!$C:$C,0))*100+E728</f>
        <v>1023602</v>
      </c>
      <c r="C728" s="3" t="s">
        <v>225</v>
      </c>
      <c r="D728" s="11" t="s">
        <v>46</v>
      </c>
      <c r="E728" s="11">
        <f t="shared" si="20"/>
        <v>2</v>
      </c>
      <c r="F728" s="3" t="s">
        <v>224</v>
      </c>
      <c r="G728" s="16" t="s">
        <v>39</v>
      </c>
      <c r="H728" s="3">
        <v>60221004</v>
      </c>
      <c r="I728" s="12">
        <v>2</v>
      </c>
    </row>
    <row r="729" spans="2:9">
      <c r="B729" s="11">
        <f>1000000+INDEX(编号表!$B:$B,MATCH(C729,编号表!$A:$A,0))*1000+INDEX(编号表!$D:$D,MATCH(D729,编号表!$C:$C,0))*100+E729</f>
        <v>1023203</v>
      </c>
      <c r="C729" s="3" t="s">
        <v>225</v>
      </c>
      <c r="D729" s="11" t="s">
        <v>37</v>
      </c>
      <c r="E729" s="11">
        <f t="shared" si="20"/>
        <v>3</v>
      </c>
      <c r="F729" s="3" t="s">
        <v>220</v>
      </c>
      <c r="G729" s="16" t="s">
        <v>39</v>
      </c>
      <c r="H729" s="3">
        <v>60221000</v>
      </c>
      <c r="I729" s="12">
        <v>3</v>
      </c>
    </row>
    <row r="730" spans="2:9">
      <c r="B730" s="11">
        <f>1000000+INDEX(编号表!$B:$B,MATCH(C730,编号表!$A:$A,0))*1000+INDEX(编号表!$D:$D,MATCH(D730,编号表!$C:$C,0))*100+E730</f>
        <v>1023303</v>
      </c>
      <c r="C730" s="3" t="s">
        <v>225</v>
      </c>
      <c r="D730" s="11" t="s">
        <v>40</v>
      </c>
      <c r="E730" s="11">
        <f t="shared" si="20"/>
        <v>3</v>
      </c>
      <c r="F730" s="3" t="s">
        <v>205</v>
      </c>
      <c r="G730" s="16" t="s">
        <v>39</v>
      </c>
      <c r="H730" s="3">
        <v>60221001</v>
      </c>
      <c r="I730" s="12">
        <v>3</v>
      </c>
    </row>
    <row r="731" spans="2:9">
      <c r="B731" s="11">
        <f>1000000+INDEX(编号表!$B:$B,MATCH(C731,编号表!$A:$A,0))*1000+INDEX(编号表!$D:$D,MATCH(D731,编号表!$C:$C,0))*100+E731</f>
        <v>1023403</v>
      </c>
      <c r="C731" s="3" t="s">
        <v>225</v>
      </c>
      <c r="D731" s="11" t="s">
        <v>42</v>
      </c>
      <c r="E731" s="11">
        <f t="shared" si="20"/>
        <v>3</v>
      </c>
      <c r="F731" s="3" t="s">
        <v>221</v>
      </c>
      <c r="G731" s="16" t="s">
        <v>39</v>
      </c>
      <c r="H731" s="3">
        <v>60221002</v>
      </c>
      <c r="I731" s="12">
        <v>3</v>
      </c>
    </row>
    <row r="732" spans="2:9">
      <c r="B732" s="11">
        <f>1000000+INDEX(编号表!$B:$B,MATCH(C732,编号表!$A:$A,0))*1000+INDEX(编号表!$D:$D,MATCH(D732,编号表!$C:$C,0))*100+E732</f>
        <v>1023503</v>
      </c>
      <c r="C732" s="3" t="s">
        <v>225</v>
      </c>
      <c r="D732" s="11" t="s">
        <v>44</v>
      </c>
      <c r="E732" s="11">
        <f t="shared" si="20"/>
        <v>3</v>
      </c>
      <c r="F732" s="3" t="s">
        <v>222</v>
      </c>
      <c r="G732" s="16" t="s">
        <v>39</v>
      </c>
      <c r="H732" s="3">
        <v>60221003</v>
      </c>
      <c r="I732" s="12">
        <v>3</v>
      </c>
    </row>
    <row r="733" spans="2:9">
      <c r="B733" s="11">
        <f>1000000+INDEX(编号表!$B:$B,MATCH(C733,编号表!$A:$A,0))*1000+INDEX(编号表!$D:$D,MATCH(D733,编号表!$C:$C,0))*100+E733</f>
        <v>1023603</v>
      </c>
      <c r="C733" s="3" t="s">
        <v>225</v>
      </c>
      <c r="D733" s="11" t="s">
        <v>46</v>
      </c>
      <c r="E733" s="11">
        <f t="shared" si="20"/>
        <v>3</v>
      </c>
      <c r="F733" s="3" t="s">
        <v>224</v>
      </c>
      <c r="G733" s="16" t="s">
        <v>39</v>
      </c>
      <c r="H733" s="3">
        <v>60221004</v>
      </c>
      <c r="I733" s="12">
        <v>3</v>
      </c>
    </row>
    <row r="734" spans="2:9">
      <c r="B734" s="11">
        <f>1000000+INDEX(编号表!$B:$B,MATCH(C734,编号表!$A:$A,0))*1000+INDEX(编号表!$D:$D,MATCH(D734,编号表!$C:$C,0))*100+E734</f>
        <v>1023205</v>
      </c>
      <c r="C734" s="3" t="s">
        <v>225</v>
      </c>
      <c r="D734" s="11" t="s">
        <v>37</v>
      </c>
      <c r="E734" s="11">
        <f t="shared" si="20"/>
        <v>5</v>
      </c>
      <c r="F734" s="3" t="s">
        <v>220</v>
      </c>
      <c r="G734" s="16" t="s">
        <v>39</v>
      </c>
      <c r="H734" s="3">
        <v>60221000</v>
      </c>
      <c r="I734" s="12">
        <v>5</v>
      </c>
    </row>
    <row r="735" spans="2:9">
      <c r="B735" s="11">
        <f>1000000+INDEX(编号表!$B:$B,MATCH(C735,编号表!$A:$A,0))*1000+INDEX(编号表!$D:$D,MATCH(D735,编号表!$C:$C,0))*100+E735</f>
        <v>1023305</v>
      </c>
      <c r="C735" s="3" t="s">
        <v>225</v>
      </c>
      <c r="D735" s="11" t="s">
        <v>40</v>
      </c>
      <c r="E735" s="11">
        <f t="shared" si="20"/>
        <v>5</v>
      </c>
      <c r="F735" s="3" t="s">
        <v>205</v>
      </c>
      <c r="G735" s="16" t="s">
        <v>39</v>
      </c>
      <c r="H735" s="3">
        <v>60221001</v>
      </c>
      <c r="I735" s="12">
        <v>5</v>
      </c>
    </row>
    <row r="736" spans="2:9">
      <c r="B736" s="11">
        <f>1000000+INDEX(编号表!$B:$B,MATCH(C736,编号表!$A:$A,0))*1000+INDEX(编号表!$D:$D,MATCH(D736,编号表!$C:$C,0))*100+E736</f>
        <v>1023405</v>
      </c>
      <c r="C736" s="3" t="s">
        <v>225</v>
      </c>
      <c r="D736" s="11" t="s">
        <v>42</v>
      </c>
      <c r="E736" s="11">
        <f t="shared" si="20"/>
        <v>5</v>
      </c>
      <c r="F736" s="3" t="s">
        <v>221</v>
      </c>
      <c r="G736" s="16" t="s">
        <v>39</v>
      </c>
      <c r="H736" s="3">
        <v>60221002</v>
      </c>
      <c r="I736" s="12">
        <v>5</v>
      </c>
    </row>
    <row r="737" spans="2:9">
      <c r="B737" s="11">
        <f>1000000+INDEX(编号表!$B:$B,MATCH(C737,编号表!$A:$A,0))*1000+INDEX(编号表!$D:$D,MATCH(D737,编号表!$C:$C,0))*100+E737</f>
        <v>1023505</v>
      </c>
      <c r="C737" s="3" t="s">
        <v>225</v>
      </c>
      <c r="D737" s="11" t="s">
        <v>44</v>
      </c>
      <c r="E737" s="11">
        <f t="shared" si="20"/>
        <v>5</v>
      </c>
      <c r="F737" s="3" t="s">
        <v>222</v>
      </c>
      <c r="G737" s="16" t="s">
        <v>39</v>
      </c>
      <c r="H737" s="3">
        <v>60221003</v>
      </c>
      <c r="I737" s="12">
        <v>5</v>
      </c>
    </row>
    <row r="738" spans="2:9">
      <c r="B738" s="11">
        <f>1000000+INDEX(编号表!$B:$B,MATCH(C738,编号表!$A:$A,0))*1000+INDEX(编号表!$D:$D,MATCH(D738,编号表!$C:$C,0))*100+E738</f>
        <v>1023605</v>
      </c>
      <c r="C738" s="3" t="s">
        <v>225</v>
      </c>
      <c r="D738" s="11" t="s">
        <v>46</v>
      </c>
      <c r="E738" s="11">
        <f t="shared" si="20"/>
        <v>5</v>
      </c>
      <c r="F738" s="3" t="s">
        <v>224</v>
      </c>
      <c r="G738" s="16" t="s">
        <v>39</v>
      </c>
      <c r="H738" s="3">
        <v>60221004</v>
      </c>
      <c r="I738" s="12">
        <v>5</v>
      </c>
    </row>
    <row r="739" spans="2:9">
      <c r="B739" s="11">
        <f>1000000+INDEX(编号表!$B:$B,MATCH(C739,编号表!$A:$A,0))*1000+INDEX(编号表!$D:$D,MATCH(D739,编号表!$C:$C,0))*100+E739</f>
        <v>1023210</v>
      </c>
      <c r="C739" s="3" t="s">
        <v>225</v>
      </c>
      <c r="D739" s="11" t="s">
        <v>37</v>
      </c>
      <c r="E739" s="11">
        <f t="shared" si="20"/>
        <v>10</v>
      </c>
      <c r="F739" s="3" t="s">
        <v>220</v>
      </c>
      <c r="G739" s="16" t="s">
        <v>39</v>
      </c>
      <c r="H739" s="3">
        <v>60221000</v>
      </c>
      <c r="I739" s="12">
        <v>10</v>
      </c>
    </row>
    <row r="740" spans="2:9">
      <c r="B740" s="11">
        <f>1000000+INDEX(编号表!$B:$B,MATCH(C740,编号表!$A:$A,0))*1000+INDEX(编号表!$D:$D,MATCH(D740,编号表!$C:$C,0))*100+E740</f>
        <v>1023310</v>
      </c>
      <c r="C740" s="3" t="s">
        <v>225</v>
      </c>
      <c r="D740" s="11" t="s">
        <v>40</v>
      </c>
      <c r="E740" s="11">
        <f t="shared" si="20"/>
        <v>10</v>
      </c>
      <c r="F740" s="3" t="s">
        <v>205</v>
      </c>
      <c r="G740" s="16" t="s">
        <v>39</v>
      </c>
      <c r="H740" s="3">
        <v>60221001</v>
      </c>
      <c r="I740" s="12">
        <v>10</v>
      </c>
    </row>
    <row r="741" spans="2:9">
      <c r="B741" s="11">
        <f>1000000+INDEX(编号表!$B:$B,MATCH(C741,编号表!$A:$A,0))*1000+INDEX(编号表!$D:$D,MATCH(D741,编号表!$C:$C,0))*100+E741</f>
        <v>1023410</v>
      </c>
      <c r="C741" s="3" t="s">
        <v>225</v>
      </c>
      <c r="D741" s="11" t="s">
        <v>42</v>
      </c>
      <c r="E741" s="11">
        <f t="shared" si="20"/>
        <v>10</v>
      </c>
      <c r="F741" s="3" t="s">
        <v>221</v>
      </c>
      <c r="G741" s="16" t="s">
        <v>39</v>
      </c>
      <c r="H741" s="3">
        <v>60221002</v>
      </c>
      <c r="I741" s="12">
        <v>10</v>
      </c>
    </row>
    <row r="742" spans="2:9">
      <c r="B742" s="11">
        <f>1000000+INDEX(编号表!$B:$B,MATCH(C742,编号表!$A:$A,0))*1000+INDEX(编号表!$D:$D,MATCH(D742,编号表!$C:$C,0))*100+E742</f>
        <v>1023510</v>
      </c>
      <c r="C742" s="3" t="s">
        <v>225</v>
      </c>
      <c r="D742" s="11" t="s">
        <v>44</v>
      </c>
      <c r="E742" s="11">
        <f t="shared" si="20"/>
        <v>10</v>
      </c>
      <c r="F742" s="3" t="s">
        <v>222</v>
      </c>
      <c r="G742" s="16" t="s">
        <v>39</v>
      </c>
      <c r="H742" s="3">
        <v>60221003</v>
      </c>
      <c r="I742" s="12">
        <v>10</v>
      </c>
    </row>
    <row r="743" spans="2:9">
      <c r="B743" s="11">
        <f>1000000+INDEX(编号表!$B:$B,MATCH(C743,编号表!$A:$A,0))*1000+INDEX(编号表!$D:$D,MATCH(D743,编号表!$C:$C,0))*100+E743</f>
        <v>1023610</v>
      </c>
      <c r="C743" s="3" t="s">
        <v>225</v>
      </c>
      <c r="D743" s="11" t="s">
        <v>46</v>
      </c>
      <c r="E743" s="11">
        <f t="shared" ref="E743:E748" si="21">I743+K856+M856+O856+Q856+S856+U856+W856+Y856+AA856</f>
        <v>10</v>
      </c>
      <c r="F743" s="3" t="s">
        <v>224</v>
      </c>
      <c r="G743" s="16" t="s">
        <v>39</v>
      </c>
      <c r="H743" s="3">
        <v>60221004</v>
      </c>
      <c r="I743" s="12">
        <v>10</v>
      </c>
    </row>
    <row r="744" spans="2:9">
      <c r="B744" s="11">
        <f>1000000+INDEX(编号表!$B:$B,MATCH(C744,编号表!$A:$A,0))*1000+INDEX(编号表!$D:$D,MATCH(D744,编号表!$C:$C,0))*100+E744</f>
        <v>1023215</v>
      </c>
      <c r="C744" s="3" t="s">
        <v>225</v>
      </c>
      <c r="D744" s="11" t="s">
        <v>37</v>
      </c>
      <c r="E744" s="11">
        <f t="shared" si="21"/>
        <v>15</v>
      </c>
      <c r="F744" s="3" t="s">
        <v>220</v>
      </c>
      <c r="G744" s="16" t="s">
        <v>39</v>
      </c>
      <c r="H744" s="3">
        <v>60221000</v>
      </c>
      <c r="I744" s="12">
        <v>15</v>
      </c>
    </row>
    <row r="745" spans="2:9">
      <c r="B745" s="11">
        <f>1000000+INDEX(编号表!$B:$B,MATCH(C745,编号表!$A:$A,0))*1000+INDEX(编号表!$D:$D,MATCH(D745,编号表!$C:$C,0))*100+E745</f>
        <v>1023315</v>
      </c>
      <c r="C745" s="3" t="s">
        <v>225</v>
      </c>
      <c r="D745" s="11" t="s">
        <v>40</v>
      </c>
      <c r="E745" s="11">
        <f t="shared" si="21"/>
        <v>15</v>
      </c>
      <c r="F745" s="3" t="s">
        <v>205</v>
      </c>
      <c r="G745" s="16" t="s">
        <v>39</v>
      </c>
      <c r="H745" s="3">
        <v>60221001</v>
      </c>
      <c r="I745" s="12">
        <v>15</v>
      </c>
    </row>
    <row r="746" spans="2:9">
      <c r="B746" s="11">
        <f>1000000+INDEX(编号表!$B:$B,MATCH(C746,编号表!$A:$A,0))*1000+INDEX(编号表!$D:$D,MATCH(D746,编号表!$C:$C,0))*100+E746</f>
        <v>1023415</v>
      </c>
      <c r="C746" s="3" t="s">
        <v>225</v>
      </c>
      <c r="D746" s="11" t="s">
        <v>42</v>
      </c>
      <c r="E746" s="11">
        <f t="shared" si="21"/>
        <v>15</v>
      </c>
      <c r="F746" s="3" t="s">
        <v>221</v>
      </c>
      <c r="G746" s="16" t="s">
        <v>39</v>
      </c>
      <c r="H746" s="3">
        <v>60221002</v>
      </c>
      <c r="I746" s="12">
        <v>15</v>
      </c>
    </row>
    <row r="747" spans="2:9">
      <c r="B747" s="11">
        <f>1000000+INDEX(编号表!$B:$B,MATCH(C747,编号表!$A:$A,0))*1000+INDEX(编号表!$D:$D,MATCH(D747,编号表!$C:$C,0))*100+E747</f>
        <v>1023515</v>
      </c>
      <c r="C747" s="3" t="s">
        <v>225</v>
      </c>
      <c r="D747" s="11" t="s">
        <v>44</v>
      </c>
      <c r="E747" s="11">
        <f t="shared" si="21"/>
        <v>15</v>
      </c>
      <c r="F747" s="3" t="s">
        <v>222</v>
      </c>
      <c r="G747" s="16" t="s">
        <v>39</v>
      </c>
      <c r="H747" s="3">
        <v>60221003</v>
      </c>
      <c r="I747" s="12">
        <v>15</v>
      </c>
    </row>
    <row r="748" spans="2:9">
      <c r="B748" s="11">
        <f>1000000+INDEX(编号表!$B:$B,MATCH(C748,编号表!$A:$A,0))*1000+INDEX(编号表!$D:$D,MATCH(D748,编号表!$C:$C,0))*100+E748</f>
        <v>1023615</v>
      </c>
      <c r="C748" s="3" t="s">
        <v>225</v>
      </c>
      <c r="D748" s="11" t="s">
        <v>46</v>
      </c>
      <c r="E748" s="11">
        <f t="shared" si="21"/>
        <v>15</v>
      </c>
      <c r="F748" s="3" t="s">
        <v>224</v>
      </c>
      <c r="G748" s="16" t="s">
        <v>39</v>
      </c>
      <c r="H748" s="3">
        <v>60221004</v>
      </c>
      <c r="I748" s="12">
        <v>15</v>
      </c>
    </row>
    <row r="749" spans="2:9">
      <c r="B749" s="11">
        <f>1000000+INDEX(编号表!$B:$B,MATCH(C749,编号表!$A:$A,0))*1000+INDEX(编号表!$D:$D,MATCH(D749,编号表!$C:$C,0))*100+E749</f>
        <v>1024001</v>
      </c>
      <c r="C749" s="3" t="s">
        <v>226</v>
      </c>
      <c r="D749" s="11" t="s">
        <v>55</v>
      </c>
      <c r="E749" s="11">
        <v>1</v>
      </c>
      <c r="F749" s="17" t="s">
        <v>167</v>
      </c>
      <c r="G749" s="16" t="s">
        <v>57</v>
      </c>
      <c r="H749" s="11">
        <v>60234000</v>
      </c>
      <c r="I749" s="12">
        <v>1</v>
      </c>
    </row>
    <row r="750" spans="2:9">
      <c r="B750" s="11">
        <f>1000000+INDEX(编号表!$B:$B,MATCH(C750,编号表!$A:$A,0))*1000+INDEX(编号表!$D:$D,MATCH(D750,编号表!$C:$C,0))*100+E750</f>
        <v>1024101</v>
      </c>
      <c r="C750" s="3" t="s">
        <v>226</v>
      </c>
      <c r="D750" s="11" t="s">
        <v>58</v>
      </c>
      <c r="E750" s="11">
        <v>1</v>
      </c>
      <c r="F750" s="17" t="s">
        <v>59</v>
      </c>
      <c r="G750" s="16" t="s">
        <v>57</v>
      </c>
      <c r="H750" s="3">
        <v>60232000</v>
      </c>
      <c r="I750" s="12">
        <v>1</v>
      </c>
    </row>
    <row r="751" spans="2:9">
      <c r="B751" s="11">
        <f>1000000+INDEX(编号表!$B:$B,MATCH(C751,编号表!$A:$A,0))*1000+INDEX(编号表!$D:$D,MATCH(D751,编号表!$C:$C,0))*100+E751</f>
        <v>1024201</v>
      </c>
      <c r="C751" s="3" t="s">
        <v>226</v>
      </c>
      <c r="D751" s="11" t="s">
        <v>37</v>
      </c>
      <c r="E751" s="11">
        <f t="shared" ref="E751:E774" si="22">I751+K751+M751+O751+Q751+S751+U751+W751+Y751+AA751</f>
        <v>1</v>
      </c>
      <c r="F751" s="3" t="s">
        <v>205</v>
      </c>
      <c r="G751" s="16" t="s">
        <v>39</v>
      </c>
      <c r="H751" s="3">
        <v>60231000</v>
      </c>
      <c r="I751" s="12">
        <v>1</v>
      </c>
    </row>
    <row r="752" spans="2:9">
      <c r="B752" s="11">
        <f>1000000+INDEX(编号表!$B:$B,MATCH(C752,编号表!$A:$A,0))*1000+INDEX(编号表!$D:$D,MATCH(D752,编号表!$C:$C,0))*100+E752</f>
        <v>1024301</v>
      </c>
      <c r="C752" s="3" t="s">
        <v>226</v>
      </c>
      <c r="D752" s="11" t="s">
        <v>40</v>
      </c>
      <c r="E752" s="11">
        <f t="shared" si="22"/>
        <v>1</v>
      </c>
      <c r="F752" s="3" t="s">
        <v>210</v>
      </c>
      <c r="G752" s="16" t="s">
        <v>39</v>
      </c>
      <c r="H752" s="3">
        <v>60231001</v>
      </c>
      <c r="I752" s="12">
        <v>1</v>
      </c>
    </row>
    <row r="753" spans="2:9">
      <c r="B753" s="11">
        <f>1000000+INDEX(编号表!$B:$B,MATCH(C753,编号表!$A:$A,0))*1000+INDEX(编号表!$D:$D,MATCH(D753,编号表!$C:$C,0))*100+E753</f>
        <v>1024401</v>
      </c>
      <c r="C753" s="3" t="s">
        <v>226</v>
      </c>
      <c r="D753" s="11" t="s">
        <v>42</v>
      </c>
      <c r="E753" s="11">
        <f t="shared" si="22"/>
        <v>1</v>
      </c>
      <c r="F753" s="3" t="s">
        <v>222</v>
      </c>
      <c r="G753" s="16" t="s">
        <v>39</v>
      </c>
      <c r="H753" s="3">
        <v>60231002</v>
      </c>
      <c r="I753" s="12">
        <v>1</v>
      </c>
    </row>
    <row r="754" spans="2:9">
      <c r="B754" s="11">
        <f>1000000+INDEX(编号表!$B:$B,MATCH(C754,编号表!$A:$A,0))*1000+INDEX(编号表!$D:$D,MATCH(D754,编号表!$C:$C,0))*100+E754</f>
        <v>1024501</v>
      </c>
      <c r="C754" s="3" t="s">
        <v>226</v>
      </c>
      <c r="D754" s="11" t="s">
        <v>44</v>
      </c>
      <c r="E754" s="11">
        <f t="shared" si="22"/>
        <v>1</v>
      </c>
      <c r="F754" s="3" t="s">
        <v>49</v>
      </c>
      <c r="G754" s="16" t="s">
        <v>39</v>
      </c>
      <c r="H754" s="3">
        <v>60231003</v>
      </c>
      <c r="I754" s="12">
        <v>1</v>
      </c>
    </row>
    <row r="755" spans="2:9">
      <c r="B755" s="11">
        <f>1000000+INDEX(编号表!$B:$B,MATCH(C755,编号表!$A:$A,0))*1000+INDEX(编号表!$D:$D,MATCH(D755,编号表!$C:$C,0))*100+E755</f>
        <v>1024202</v>
      </c>
      <c r="C755" s="3" t="s">
        <v>226</v>
      </c>
      <c r="D755" s="11" t="s">
        <v>37</v>
      </c>
      <c r="E755" s="11">
        <f t="shared" si="22"/>
        <v>2</v>
      </c>
      <c r="F755" s="3" t="s">
        <v>205</v>
      </c>
      <c r="G755" s="16" t="s">
        <v>39</v>
      </c>
      <c r="H755" s="3">
        <v>60231000</v>
      </c>
      <c r="I755" s="12">
        <v>2</v>
      </c>
    </row>
    <row r="756" spans="2:9">
      <c r="B756" s="11">
        <f>1000000+INDEX(编号表!$B:$B,MATCH(C756,编号表!$A:$A,0))*1000+INDEX(编号表!$D:$D,MATCH(D756,编号表!$C:$C,0))*100+E756</f>
        <v>1024302</v>
      </c>
      <c r="C756" s="3" t="s">
        <v>226</v>
      </c>
      <c r="D756" s="11" t="s">
        <v>40</v>
      </c>
      <c r="E756" s="11">
        <f t="shared" si="22"/>
        <v>2</v>
      </c>
      <c r="F756" s="3" t="s">
        <v>210</v>
      </c>
      <c r="G756" s="16" t="s">
        <v>39</v>
      </c>
      <c r="H756" s="3">
        <v>60231001</v>
      </c>
      <c r="I756" s="12">
        <v>2</v>
      </c>
    </row>
    <row r="757" spans="2:9">
      <c r="B757" s="11">
        <f>1000000+INDEX(编号表!$B:$B,MATCH(C757,编号表!$A:$A,0))*1000+INDEX(编号表!$D:$D,MATCH(D757,编号表!$C:$C,0))*100+E757</f>
        <v>1024402</v>
      </c>
      <c r="C757" s="3" t="s">
        <v>226</v>
      </c>
      <c r="D757" s="11" t="s">
        <v>42</v>
      </c>
      <c r="E757" s="11">
        <f t="shared" si="22"/>
        <v>2</v>
      </c>
      <c r="F757" s="3" t="s">
        <v>222</v>
      </c>
      <c r="G757" s="16" t="s">
        <v>39</v>
      </c>
      <c r="H757" s="3">
        <v>60231002</v>
      </c>
      <c r="I757" s="12">
        <v>2</v>
      </c>
    </row>
    <row r="758" spans="2:9">
      <c r="B758" s="11">
        <f>1000000+INDEX(编号表!$B:$B,MATCH(C758,编号表!$A:$A,0))*1000+INDEX(编号表!$D:$D,MATCH(D758,编号表!$C:$C,0))*100+E758</f>
        <v>1024502</v>
      </c>
      <c r="C758" s="3" t="s">
        <v>226</v>
      </c>
      <c r="D758" s="11" t="s">
        <v>44</v>
      </c>
      <c r="E758" s="11">
        <f t="shared" si="22"/>
        <v>2</v>
      </c>
      <c r="F758" s="3" t="s">
        <v>49</v>
      </c>
      <c r="G758" s="16" t="s">
        <v>39</v>
      </c>
      <c r="H758" s="3">
        <v>60231003</v>
      </c>
      <c r="I758" s="12">
        <v>2</v>
      </c>
    </row>
    <row r="759" spans="2:9">
      <c r="B759" s="11">
        <f>1000000+INDEX(编号表!$B:$B,MATCH(C759,编号表!$A:$A,0))*1000+INDEX(编号表!$D:$D,MATCH(D759,编号表!$C:$C,0))*100+E759</f>
        <v>1024203</v>
      </c>
      <c r="C759" s="3" t="s">
        <v>226</v>
      </c>
      <c r="D759" s="11" t="s">
        <v>37</v>
      </c>
      <c r="E759" s="11">
        <f t="shared" si="22"/>
        <v>3</v>
      </c>
      <c r="F759" s="3" t="s">
        <v>205</v>
      </c>
      <c r="G759" s="16" t="s">
        <v>39</v>
      </c>
      <c r="H759" s="3">
        <v>60231000</v>
      </c>
      <c r="I759" s="12">
        <v>3</v>
      </c>
    </row>
    <row r="760" spans="2:9">
      <c r="B760" s="11">
        <f>1000000+INDEX(编号表!$B:$B,MATCH(C760,编号表!$A:$A,0))*1000+INDEX(编号表!$D:$D,MATCH(D760,编号表!$C:$C,0))*100+E760</f>
        <v>1024303</v>
      </c>
      <c r="C760" s="3" t="s">
        <v>226</v>
      </c>
      <c r="D760" s="11" t="s">
        <v>40</v>
      </c>
      <c r="E760" s="11">
        <f t="shared" si="22"/>
        <v>3</v>
      </c>
      <c r="F760" s="3" t="s">
        <v>210</v>
      </c>
      <c r="G760" s="16" t="s">
        <v>39</v>
      </c>
      <c r="H760" s="3">
        <v>60231001</v>
      </c>
      <c r="I760" s="12">
        <v>3</v>
      </c>
    </row>
    <row r="761" spans="2:9">
      <c r="B761" s="11">
        <f>1000000+INDEX(编号表!$B:$B,MATCH(C761,编号表!$A:$A,0))*1000+INDEX(编号表!$D:$D,MATCH(D761,编号表!$C:$C,0))*100+E761</f>
        <v>1024403</v>
      </c>
      <c r="C761" s="3" t="s">
        <v>226</v>
      </c>
      <c r="D761" s="11" t="s">
        <v>42</v>
      </c>
      <c r="E761" s="11">
        <f t="shared" si="22"/>
        <v>3</v>
      </c>
      <c r="F761" s="3" t="s">
        <v>222</v>
      </c>
      <c r="G761" s="16" t="s">
        <v>39</v>
      </c>
      <c r="H761" s="3">
        <v>60231002</v>
      </c>
      <c r="I761" s="12">
        <v>3</v>
      </c>
    </row>
    <row r="762" spans="2:9">
      <c r="B762" s="11">
        <f>1000000+INDEX(编号表!$B:$B,MATCH(C762,编号表!$A:$A,0))*1000+INDEX(编号表!$D:$D,MATCH(D762,编号表!$C:$C,0))*100+E762</f>
        <v>1024503</v>
      </c>
      <c r="C762" s="3" t="s">
        <v>226</v>
      </c>
      <c r="D762" s="11" t="s">
        <v>44</v>
      </c>
      <c r="E762" s="11">
        <f t="shared" si="22"/>
        <v>3</v>
      </c>
      <c r="F762" s="3" t="s">
        <v>49</v>
      </c>
      <c r="G762" s="16" t="s">
        <v>39</v>
      </c>
      <c r="H762" s="3">
        <v>60231003</v>
      </c>
      <c r="I762" s="12">
        <v>3</v>
      </c>
    </row>
    <row r="763" spans="2:9">
      <c r="B763" s="11">
        <f>1000000+INDEX(编号表!$B:$B,MATCH(C763,编号表!$A:$A,0))*1000+INDEX(编号表!$D:$D,MATCH(D763,编号表!$C:$C,0))*100+E763</f>
        <v>1024205</v>
      </c>
      <c r="C763" s="3" t="s">
        <v>226</v>
      </c>
      <c r="D763" s="11" t="s">
        <v>37</v>
      </c>
      <c r="E763" s="11">
        <f t="shared" si="22"/>
        <v>5</v>
      </c>
      <c r="F763" s="3" t="s">
        <v>205</v>
      </c>
      <c r="G763" s="16" t="s">
        <v>39</v>
      </c>
      <c r="H763" s="3">
        <v>60231000</v>
      </c>
      <c r="I763" s="12">
        <v>5</v>
      </c>
    </row>
    <row r="764" spans="2:9">
      <c r="B764" s="11">
        <f>1000000+INDEX(编号表!$B:$B,MATCH(C764,编号表!$A:$A,0))*1000+INDEX(编号表!$D:$D,MATCH(D764,编号表!$C:$C,0))*100+E764</f>
        <v>1024305</v>
      </c>
      <c r="C764" s="3" t="s">
        <v>226</v>
      </c>
      <c r="D764" s="11" t="s">
        <v>40</v>
      </c>
      <c r="E764" s="11">
        <f t="shared" si="22"/>
        <v>5</v>
      </c>
      <c r="F764" s="3" t="s">
        <v>210</v>
      </c>
      <c r="G764" s="16" t="s">
        <v>39</v>
      </c>
      <c r="H764" s="3">
        <v>60231001</v>
      </c>
      <c r="I764" s="12">
        <v>5</v>
      </c>
    </row>
    <row r="765" spans="2:9">
      <c r="B765" s="11">
        <f>1000000+INDEX(编号表!$B:$B,MATCH(C765,编号表!$A:$A,0))*1000+INDEX(编号表!$D:$D,MATCH(D765,编号表!$C:$C,0))*100+E765</f>
        <v>1024405</v>
      </c>
      <c r="C765" s="3" t="s">
        <v>226</v>
      </c>
      <c r="D765" s="11" t="s">
        <v>42</v>
      </c>
      <c r="E765" s="11">
        <f t="shared" si="22"/>
        <v>5</v>
      </c>
      <c r="F765" s="3" t="s">
        <v>222</v>
      </c>
      <c r="G765" s="16" t="s">
        <v>39</v>
      </c>
      <c r="H765" s="3">
        <v>60231002</v>
      </c>
      <c r="I765" s="12">
        <v>5</v>
      </c>
    </row>
    <row r="766" spans="2:9">
      <c r="B766" s="11">
        <f>1000000+INDEX(编号表!$B:$B,MATCH(C766,编号表!$A:$A,0))*1000+INDEX(编号表!$D:$D,MATCH(D766,编号表!$C:$C,0))*100+E766</f>
        <v>1024505</v>
      </c>
      <c r="C766" s="3" t="s">
        <v>226</v>
      </c>
      <c r="D766" s="11" t="s">
        <v>44</v>
      </c>
      <c r="E766" s="11">
        <f t="shared" si="22"/>
        <v>5</v>
      </c>
      <c r="F766" s="3" t="s">
        <v>49</v>
      </c>
      <c r="G766" s="16" t="s">
        <v>39</v>
      </c>
      <c r="H766" s="3">
        <v>60231003</v>
      </c>
      <c r="I766" s="12">
        <v>5</v>
      </c>
    </row>
    <row r="767" spans="2:9">
      <c r="B767" s="11">
        <f>1000000+INDEX(编号表!$B:$B,MATCH(C767,编号表!$A:$A,0))*1000+INDEX(编号表!$D:$D,MATCH(D767,编号表!$C:$C,0))*100+E767</f>
        <v>1024210</v>
      </c>
      <c r="C767" s="3" t="s">
        <v>226</v>
      </c>
      <c r="D767" s="11" t="s">
        <v>37</v>
      </c>
      <c r="E767" s="11">
        <f t="shared" si="22"/>
        <v>10</v>
      </c>
      <c r="F767" s="3" t="s">
        <v>205</v>
      </c>
      <c r="G767" s="16" t="s">
        <v>39</v>
      </c>
      <c r="H767" s="3">
        <v>60231000</v>
      </c>
      <c r="I767" s="12">
        <v>10</v>
      </c>
    </row>
    <row r="768" spans="2:9">
      <c r="B768" s="11">
        <f>1000000+INDEX(编号表!$B:$B,MATCH(C768,编号表!$A:$A,0))*1000+INDEX(编号表!$D:$D,MATCH(D768,编号表!$C:$C,0))*100+E768</f>
        <v>1024310</v>
      </c>
      <c r="C768" s="3" t="s">
        <v>226</v>
      </c>
      <c r="D768" s="11" t="s">
        <v>40</v>
      </c>
      <c r="E768" s="11">
        <f t="shared" si="22"/>
        <v>10</v>
      </c>
      <c r="F768" s="3" t="s">
        <v>210</v>
      </c>
      <c r="G768" s="16" t="s">
        <v>39</v>
      </c>
      <c r="H768" s="3">
        <v>60231001</v>
      </c>
      <c r="I768" s="12">
        <v>10</v>
      </c>
    </row>
    <row r="769" spans="2:9">
      <c r="B769" s="11">
        <f>1000000+INDEX(编号表!$B:$B,MATCH(C769,编号表!$A:$A,0))*1000+INDEX(编号表!$D:$D,MATCH(D769,编号表!$C:$C,0))*100+E769</f>
        <v>1024410</v>
      </c>
      <c r="C769" s="3" t="s">
        <v>226</v>
      </c>
      <c r="D769" s="11" t="s">
        <v>42</v>
      </c>
      <c r="E769" s="11">
        <f t="shared" si="22"/>
        <v>10</v>
      </c>
      <c r="F769" s="3" t="s">
        <v>222</v>
      </c>
      <c r="G769" s="16" t="s">
        <v>39</v>
      </c>
      <c r="H769" s="3">
        <v>60231002</v>
      </c>
      <c r="I769" s="12">
        <v>10</v>
      </c>
    </row>
    <row r="770" spans="2:9">
      <c r="B770" s="11">
        <f>1000000+INDEX(编号表!$B:$B,MATCH(C770,编号表!$A:$A,0))*1000+INDEX(编号表!$D:$D,MATCH(D770,编号表!$C:$C,0))*100+E770</f>
        <v>1024510</v>
      </c>
      <c r="C770" s="3" t="s">
        <v>226</v>
      </c>
      <c r="D770" s="11" t="s">
        <v>44</v>
      </c>
      <c r="E770" s="11">
        <f t="shared" si="22"/>
        <v>10</v>
      </c>
      <c r="F770" s="3" t="s">
        <v>49</v>
      </c>
      <c r="G770" s="16" t="s">
        <v>39</v>
      </c>
      <c r="H770" s="3">
        <v>60231003</v>
      </c>
      <c r="I770" s="12">
        <v>10</v>
      </c>
    </row>
    <row r="771" spans="2:9">
      <c r="B771" s="11">
        <f>1000000+INDEX(编号表!$B:$B,MATCH(C771,编号表!$A:$A,0))*1000+INDEX(编号表!$D:$D,MATCH(D771,编号表!$C:$C,0))*100+E771</f>
        <v>1024215</v>
      </c>
      <c r="C771" s="3" t="s">
        <v>226</v>
      </c>
      <c r="D771" s="11" t="s">
        <v>37</v>
      </c>
      <c r="E771" s="11">
        <f t="shared" si="22"/>
        <v>15</v>
      </c>
      <c r="F771" s="3" t="s">
        <v>205</v>
      </c>
      <c r="G771" s="16" t="s">
        <v>39</v>
      </c>
      <c r="H771" s="3">
        <v>60231000</v>
      </c>
      <c r="I771" s="12">
        <v>15</v>
      </c>
    </row>
    <row r="772" spans="2:9">
      <c r="B772" s="11">
        <f>1000000+INDEX(编号表!$B:$B,MATCH(C772,编号表!$A:$A,0))*1000+INDEX(编号表!$D:$D,MATCH(D772,编号表!$C:$C,0))*100+E772</f>
        <v>1024315</v>
      </c>
      <c r="C772" s="3" t="s">
        <v>226</v>
      </c>
      <c r="D772" s="11" t="s">
        <v>40</v>
      </c>
      <c r="E772" s="11">
        <f t="shared" si="22"/>
        <v>15</v>
      </c>
      <c r="F772" s="3" t="s">
        <v>210</v>
      </c>
      <c r="G772" s="16" t="s">
        <v>39</v>
      </c>
      <c r="H772" s="3">
        <v>60231001</v>
      </c>
      <c r="I772" s="12">
        <v>15</v>
      </c>
    </row>
    <row r="773" spans="2:9">
      <c r="B773" s="11">
        <f>1000000+INDEX(编号表!$B:$B,MATCH(C773,编号表!$A:$A,0))*1000+INDEX(编号表!$D:$D,MATCH(D773,编号表!$C:$C,0))*100+E773</f>
        <v>1024415</v>
      </c>
      <c r="C773" s="3" t="s">
        <v>226</v>
      </c>
      <c r="D773" s="11" t="s">
        <v>42</v>
      </c>
      <c r="E773" s="11">
        <f t="shared" si="22"/>
        <v>15</v>
      </c>
      <c r="F773" s="3" t="s">
        <v>222</v>
      </c>
      <c r="G773" s="16" t="s">
        <v>39</v>
      </c>
      <c r="H773" s="3">
        <v>60231002</v>
      </c>
      <c r="I773" s="12">
        <v>15</v>
      </c>
    </row>
    <row r="774" spans="2:9">
      <c r="B774" s="11">
        <f>1000000+INDEX(编号表!$B:$B,MATCH(C774,编号表!$A:$A,0))*1000+INDEX(编号表!$D:$D,MATCH(D774,编号表!$C:$C,0))*100+E774</f>
        <v>1024515</v>
      </c>
      <c r="C774" s="3" t="s">
        <v>226</v>
      </c>
      <c r="D774" s="11" t="s">
        <v>44</v>
      </c>
      <c r="E774" s="11">
        <f t="shared" si="22"/>
        <v>15</v>
      </c>
      <c r="F774" s="3" t="s">
        <v>49</v>
      </c>
      <c r="G774" s="16" t="s">
        <v>39</v>
      </c>
      <c r="H774" s="3">
        <v>60231003</v>
      </c>
      <c r="I774" s="12">
        <v>15</v>
      </c>
    </row>
    <row r="775" spans="2:9">
      <c r="B775" s="11">
        <f>1000000+INDEX(编号表!$B:$B,MATCH(C775,编号表!$A:$A,0))*1000+INDEX(编号表!$D:$D,MATCH(D775,编号表!$C:$C,0))*100+E775</f>
        <v>1025001</v>
      </c>
      <c r="C775" s="3" t="s">
        <v>227</v>
      </c>
      <c r="D775" s="11" t="s">
        <v>55</v>
      </c>
      <c r="E775" s="11">
        <v>1</v>
      </c>
      <c r="F775" s="17" t="s">
        <v>167</v>
      </c>
      <c r="G775" s="16" t="s">
        <v>57</v>
      </c>
      <c r="H775" s="11">
        <v>60244000</v>
      </c>
      <c r="I775" s="12">
        <v>1</v>
      </c>
    </row>
    <row r="776" spans="2:9">
      <c r="B776" s="11">
        <f>1000000+INDEX(编号表!$B:$B,MATCH(C776,编号表!$A:$A,0))*1000+INDEX(编号表!$D:$D,MATCH(D776,编号表!$C:$C,0))*100+E776</f>
        <v>1025101</v>
      </c>
      <c r="C776" s="3" t="s">
        <v>227</v>
      </c>
      <c r="D776" s="11" t="s">
        <v>58</v>
      </c>
      <c r="E776" s="11">
        <v>1</v>
      </c>
      <c r="F776" s="17" t="s">
        <v>59</v>
      </c>
      <c r="G776" s="16" t="s">
        <v>57</v>
      </c>
      <c r="H776" s="3">
        <v>60242000</v>
      </c>
      <c r="I776" s="12">
        <v>1</v>
      </c>
    </row>
    <row r="777" spans="2:9">
      <c r="B777" s="11">
        <f>1000000+INDEX(编号表!$B:$B,MATCH(C777,编号表!$A:$A,0))*1000+INDEX(编号表!$D:$D,MATCH(D777,编号表!$C:$C,0))*100+E777</f>
        <v>1025201</v>
      </c>
      <c r="C777" s="3" t="s">
        <v>227</v>
      </c>
      <c r="D777" s="11" t="s">
        <v>37</v>
      </c>
      <c r="E777" s="11">
        <f t="shared" ref="E777:E812" si="23">I777+K777+M777+O777+Q777+S777+U777+W777+Y777+AA777</f>
        <v>1</v>
      </c>
      <c r="F777" s="3" t="s">
        <v>159</v>
      </c>
      <c r="G777" s="16" t="s">
        <v>39</v>
      </c>
      <c r="H777" s="3">
        <v>60241000</v>
      </c>
      <c r="I777" s="12">
        <v>1</v>
      </c>
    </row>
    <row r="778" spans="2:9">
      <c r="B778" s="11">
        <f>1000000+INDEX(编号表!$B:$B,MATCH(C778,编号表!$A:$A,0))*1000+INDEX(编号表!$D:$D,MATCH(D778,编号表!$C:$C,0))*100+E778</f>
        <v>1025301</v>
      </c>
      <c r="C778" s="3" t="s">
        <v>227</v>
      </c>
      <c r="D778" s="11" t="s">
        <v>40</v>
      </c>
      <c r="E778" s="11">
        <f t="shared" si="23"/>
        <v>1</v>
      </c>
      <c r="F778" s="3" t="s">
        <v>228</v>
      </c>
      <c r="G778" s="16" t="s">
        <v>39</v>
      </c>
      <c r="H778" s="3">
        <v>60241001</v>
      </c>
      <c r="I778" s="12">
        <v>1</v>
      </c>
    </row>
    <row r="779" spans="2:9">
      <c r="B779" s="11">
        <f>1000000+INDEX(编号表!$B:$B,MATCH(C779,编号表!$A:$A,0))*1000+INDEX(编号表!$D:$D,MATCH(D779,编号表!$C:$C,0))*100+E779</f>
        <v>1025401</v>
      </c>
      <c r="C779" s="3" t="s">
        <v>227</v>
      </c>
      <c r="D779" s="11" t="s">
        <v>42</v>
      </c>
      <c r="E779" s="11">
        <f t="shared" si="23"/>
        <v>1</v>
      </c>
      <c r="F779" s="3" t="s">
        <v>228</v>
      </c>
      <c r="G779" s="16" t="s">
        <v>39</v>
      </c>
      <c r="H779" s="3">
        <v>60241002</v>
      </c>
      <c r="I779" s="12">
        <v>1</v>
      </c>
    </row>
    <row r="780" spans="2:9">
      <c r="B780" s="11">
        <f>1000000+INDEX(编号表!$B:$B,MATCH(C780,编号表!$A:$A,0))*1000+INDEX(编号表!$D:$D,MATCH(D780,编号表!$C:$C,0))*100+E780</f>
        <v>1025501</v>
      </c>
      <c r="C780" s="3" t="s">
        <v>227</v>
      </c>
      <c r="D780" s="11" t="s">
        <v>44</v>
      </c>
      <c r="E780" s="11">
        <f t="shared" si="23"/>
        <v>1</v>
      </c>
      <c r="F780" s="3" t="s">
        <v>228</v>
      </c>
      <c r="G780" s="16" t="s">
        <v>39</v>
      </c>
      <c r="H780" s="3">
        <v>60241003</v>
      </c>
      <c r="I780" s="12">
        <v>1</v>
      </c>
    </row>
    <row r="781" spans="2:9">
      <c r="B781" s="11">
        <f>1000000+INDEX(编号表!$B:$B,MATCH(C781,编号表!$A:$A,0))*1000+INDEX(编号表!$D:$D,MATCH(D781,编号表!$C:$C,0))*100+E781</f>
        <v>1025601</v>
      </c>
      <c r="C781" s="3" t="s">
        <v>227</v>
      </c>
      <c r="D781" s="11" t="s">
        <v>46</v>
      </c>
      <c r="E781" s="11">
        <f t="shared" si="23"/>
        <v>1</v>
      </c>
      <c r="F781" s="3" t="s">
        <v>228</v>
      </c>
      <c r="G781" s="16" t="s">
        <v>39</v>
      </c>
      <c r="H781" s="3">
        <v>60241004</v>
      </c>
      <c r="I781" s="12">
        <v>1</v>
      </c>
    </row>
    <row r="782" spans="2:9">
      <c r="B782" s="11">
        <f>1000000+INDEX(编号表!$B:$B,MATCH(C782,编号表!$A:$A,0))*1000+INDEX(编号表!$D:$D,MATCH(D782,编号表!$C:$C,0))*100+E782</f>
        <v>1025701</v>
      </c>
      <c r="C782" s="3" t="s">
        <v>227</v>
      </c>
      <c r="D782" s="11" t="s">
        <v>48</v>
      </c>
      <c r="E782" s="11">
        <f t="shared" si="23"/>
        <v>1</v>
      </c>
      <c r="F782" s="3" t="s">
        <v>228</v>
      </c>
      <c r="G782" s="16" t="s">
        <v>39</v>
      </c>
      <c r="H782" s="3">
        <v>60241005</v>
      </c>
      <c r="I782" s="12">
        <v>1</v>
      </c>
    </row>
    <row r="783" spans="2:9">
      <c r="B783" s="11">
        <f>1000000+INDEX(编号表!$B:$B,MATCH(C783,编号表!$A:$A,0))*1000+INDEX(编号表!$D:$D,MATCH(D783,编号表!$C:$C,0))*100+E783</f>
        <v>1025202</v>
      </c>
      <c r="C783" s="3" t="s">
        <v>227</v>
      </c>
      <c r="D783" s="11" t="s">
        <v>37</v>
      </c>
      <c r="E783" s="11">
        <f t="shared" si="23"/>
        <v>2</v>
      </c>
      <c r="F783" s="3" t="s">
        <v>159</v>
      </c>
      <c r="G783" s="16" t="s">
        <v>39</v>
      </c>
      <c r="H783" s="3">
        <v>60241000</v>
      </c>
      <c r="I783" s="12">
        <v>2</v>
      </c>
    </row>
    <row r="784" spans="2:9">
      <c r="B784" s="11">
        <f>1000000+INDEX(编号表!$B:$B,MATCH(C784,编号表!$A:$A,0))*1000+INDEX(编号表!$D:$D,MATCH(D784,编号表!$C:$C,0))*100+E784</f>
        <v>1025302</v>
      </c>
      <c r="C784" s="3" t="s">
        <v>227</v>
      </c>
      <c r="D784" s="11" t="s">
        <v>40</v>
      </c>
      <c r="E784" s="11">
        <f t="shared" si="23"/>
        <v>2</v>
      </c>
      <c r="F784" s="3" t="s">
        <v>228</v>
      </c>
      <c r="G784" s="16" t="s">
        <v>39</v>
      </c>
      <c r="H784" s="3">
        <v>60241001</v>
      </c>
      <c r="I784" s="12">
        <v>2</v>
      </c>
    </row>
    <row r="785" spans="2:9">
      <c r="B785" s="11">
        <f>1000000+INDEX(编号表!$B:$B,MATCH(C785,编号表!$A:$A,0))*1000+INDEX(编号表!$D:$D,MATCH(D785,编号表!$C:$C,0))*100+E785</f>
        <v>1025402</v>
      </c>
      <c r="C785" s="3" t="s">
        <v>227</v>
      </c>
      <c r="D785" s="11" t="s">
        <v>42</v>
      </c>
      <c r="E785" s="11">
        <f t="shared" si="23"/>
        <v>2</v>
      </c>
      <c r="F785" s="3" t="s">
        <v>228</v>
      </c>
      <c r="G785" s="16" t="s">
        <v>39</v>
      </c>
      <c r="H785" s="3">
        <v>60241002</v>
      </c>
      <c r="I785" s="12">
        <v>2</v>
      </c>
    </row>
    <row r="786" spans="2:9">
      <c r="B786" s="11">
        <f>1000000+INDEX(编号表!$B:$B,MATCH(C786,编号表!$A:$A,0))*1000+INDEX(编号表!$D:$D,MATCH(D786,编号表!$C:$C,0))*100+E786</f>
        <v>1025502</v>
      </c>
      <c r="C786" s="3" t="s">
        <v>227</v>
      </c>
      <c r="D786" s="11" t="s">
        <v>44</v>
      </c>
      <c r="E786" s="11">
        <f t="shared" si="23"/>
        <v>2</v>
      </c>
      <c r="F786" s="3" t="s">
        <v>228</v>
      </c>
      <c r="G786" s="16" t="s">
        <v>39</v>
      </c>
      <c r="H786" s="3">
        <v>60241003</v>
      </c>
      <c r="I786" s="12">
        <v>2</v>
      </c>
    </row>
    <row r="787" spans="2:9">
      <c r="B787" s="11">
        <f>1000000+INDEX(编号表!$B:$B,MATCH(C787,编号表!$A:$A,0))*1000+INDEX(编号表!$D:$D,MATCH(D787,编号表!$C:$C,0))*100+E787</f>
        <v>1025602</v>
      </c>
      <c r="C787" s="3" t="s">
        <v>227</v>
      </c>
      <c r="D787" s="11" t="s">
        <v>46</v>
      </c>
      <c r="E787" s="11">
        <f t="shared" si="23"/>
        <v>2</v>
      </c>
      <c r="F787" s="3" t="s">
        <v>228</v>
      </c>
      <c r="G787" s="16" t="s">
        <v>39</v>
      </c>
      <c r="H787" s="3">
        <v>60241004</v>
      </c>
      <c r="I787" s="12">
        <v>2</v>
      </c>
    </row>
    <row r="788" spans="2:9">
      <c r="B788" s="11">
        <f>1000000+INDEX(编号表!$B:$B,MATCH(C788,编号表!$A:$A,0))*1000+INDEX(编号表!$D:$D,MATCH(D788,编号表!$C:$C,0))*100+E788</f>
        <v>1025702</v>
      </c>
      <c r="C788" s="3" t="s">
        <v>227</v>
      </c>
      <c r="D788" s="11" t="s">
        <v>48</v>
      </c>
      <c r="E788" s="11">
        <f t="shared" si="23"/>
        <v>2</v>
      </c>
      <c r="F788" s="3" t="s">
        <v>228</v>
      </c>
      <c r="G788" s="16" t="s">
        <v>39</v>
      </c>
      <c r="H788" s="3">
        <v>60241005</v>
      </c>
      <c r="I788" s="12">
        <v>2</v>
      </c>
    </row>
    <row r="789" spans="2:9">
      <c r="B789" s="11">
        <f>1000000+INDEX(编号表!$B:$B,MATCH(C789,编号表!$A:$A,0))*1000+INDEX(编号表!$D:$D,MATCH(D789,编号表!$C:$C,0))*100+E789</f>
        <v>1025203</v>
      </c>
      <c r="C789" s="3" t="s">
        <v>227</v>
      </c>
      <c r="D789" s="11" t="s">
        <v>37</v>
      </c>
      <c r="E789" s="11">
        <f t="shared" si="23"/>
        <v>3</v>
      </c>
      <c r="F789" s="3" t="s">
        <v>159</v>
      </c>
      <c r="G789" s="16" t="s">
        <v>39</v>
      </c>
      <c r="H789" s="3">
        <v>60241000</v>
      </c>
      <c r="I789" s="12">
        <v>3</v>
      </c>
    </row>
    <row r="790" spans="2:9">
      <c r="B790" s="11">
        <f>1000000+INDEX(编号表!$B:$B,MATCH(C790,编号表!$A:$A,0))*1000+INDEX(编号表!$D:$D,MATCH(D790,编号表!$C:$C,0))*100+E790</f>
        <v>1025303</v>
      </c>
      <c r="C790" s="3" t="s">
        <v>227</v>
      </c>
      <c r="D790" s="11" t="s">
        <v>40</v>
      </c>
      <c r="E790" s="11">
        <f t="shared" si="23"/>
        <v>3</v>
      </c>
      <c r="F790" s="3" t="s">
        <v>228</v>
      </c>
      <c r="G790" s="16" t="s">
        <v>39</v>
      </c>
      <c r="H790" s="3">
        <v>60241001</v>
      </c>
      <c r="I790" s="12">
        <v>3</v>
      </c>
    </row>
    <row r="791" spans="2:9">
      <c r="B791" s="11">
        <f>1000000+INDEX(编号表!$B:$B,MATCH(C791,编号表!$A:$A,0))*1000+INDEX(编号表!$D:$D,MATCH(D791,编号表!$C:$C,0))*100+E791</f>
        <v>1025403</v>
      </c>
      <c r="C791" s="3" t="s">
        <v>227</v>
      </c>
      <c r="D791" s="11" t="s">
        <v>42</v>
      </c>
      <c r="E791" s="11">
        <f t="shared" si="23"/>
        <v>3</v>
      </c>
      <c r="F791" s="3" t="s">
        <v>228</v>
      </c>
      <c r="G791" s="16" t="s">
        <v>39</v>
      </c>
      <c r="H791" s="3">
        <v>60241002</v>
      </c>
      <c r="I791" s="12">
        <v>3</v>
      </c>
    </row>
    <row r="792" spans="2:9">
      <c r="B792" s="11">
        <f>1000000+INDEX(编号表!$B:$B,MATCH(C792,编号表!$A:$A,0))*1000+INDEX(编号表!$D:$D,MATCH(D792,编号表!$C:$C,0))*100+E792</f>
        <v>1025503</v>
      </c>
      <c r="C792" s="3" t="s">
        <v>227</v>
      </c>
      <c r="D792" s="11" t="s">
        <v>44</v>
      </c>
      <c r="E792" s="11">
        <f t="shared" si="23"/>
        <v>3</v>
      </c>
      <c r="F792" s="3" t="s">
        <v>228</v>
      </c>
      <c r="G792" s="16" t="s">
        <v>39</v>
      </c>
      <c r="H792" s="3">
        <v>60241003</v>
      </c>
      <c r="I792" s="12">
        <v>3</v>
      </c>
    </row>
    <row r="793" spans="2:9">
      <c r="B793" s="11">
        <f>1000000+INDEX(编号表!$B:$B,MATCH(C793,编号表!$A:$A,0))*1000+INDEX(编号表!$D:$D,MATCH(D793,编号表!$C:$C,0))*100+E793</f>
        <v>1025603</v>
      </c>
      <c r="C793" s="3" t="s">
        <v>227</v>
      </c>
      <c r="D793" s="11" t="s">
        <v>46</v>
      </c>
      <c r="E793" s="11">
        <f t="shared" si="23"/>
        <v>3</v>
      </c>
      <c r="F793" s="3" t="s">
        <v>228</v>
      </c>
      <c r="G793" s="16" t="s">
        <v>39</v>
      </c>
      <c r="H793" s="3">
        <v>60241004</v>
      </c>
      <c r="I793" s="12">
        <v>3</v>
      </c>
    </row>
    <row r="794" spans="2:9">
      <c r="B794" s="11">
        <f>1000000+INDEX(编号表!$B:$B,MATCH(C794,编号表!$A:$A,0))*1000+INDEX(编号表!$D:$D,MATCH(D794,编号表!$C:$C,0))*100+E794</f>
        <v>1025703</v>
      </c>
      <c r="C794" s="3" t="s">
        <v>227</v>
      </c>
      <c r="D794" s="11" t="s">
        <v>48</v>
      </c>
      <c r="E794" s="11">
        <f t="shared" si="23"/>
        <v>3</v>
      </c>
      <c r="F794" s="3" t="s">
        <v>228</v>
      </c>
      <c r="G794" s="16" t="s">
        <v>39</v>
      </c>
      <c r="H794" s="3">
        <v>60241005</v>
      </c>
      <c r="I794" s="12">
        <v>3</v>
      </c>
    </row>
    <row r="795" spans="2:9">
      <c r="B795" s="11">
        <f>1000000+INDEX(编号表!$B:$B,MATCH(C795,编号表!$A:$A,0))*1000+INDEX(编号表!$D:$D,MATCH(D795,编号表!$C:$C,0))*100+E795</f>
        <v>1025205</v>
      </c>
      <c r="C795" s="3" t="s">
        <v>227</v>
      </c>
      <c r="D795" s="11" t="s">
        <v>37</v>
      </c>
      <c r="E795" s="11">
        <f t="shared" si="23"/>
        <v>5</v>
      </c>
      <c r="F795" s="3" t="s">
        <v>159</v>
      </c>
      <c r="G795" s="16" t="s">
        <v>39</v>
      </c>
      <c r="H795" s="3">
        <v>60241000</v>
      </c>
      <c r="I795" s="12">
        <v>5</v>
      </c>
    </row>
    <row r="796" spans="2:9">
      <c r="B796" s="11">
        <f>1000000+INDEX(编号表!$B:$B,MATCH(C796,编号表!$A:$A,0))*1000+INDEX(编号表!$D:$D,MATCH(D796,编号表!$C:$C,0))*100+E796</f>
        <v>1025305</v>
      </c>
      <c r="C796" s="3" t="s">
        <v>227</v>
      </c>
      <c r="D796" s="11" t="s">
        <v>40</v>
      </c>
      <c r="E796" s="11">
        <f t="shared" si="23"/>
        <v>5</v>
      </c>
      <c r="F796" s="3" t="s">
        <v>228</v>
      </c>
      <c r="G796" s="16" t="s">
        <v>39</v>
      </c>
      <c r="H796" s="3">
        <v>60241001</v>
      </c>
      <c r="I796" s="12">
        <v>5</v>
      </c>
    </row>
    <row r="797" spans="2:9">
      <c r="B797" s="11">
        <f>1000000+INDEX(编号表!$B:$B,MATCH(C797,编号表!$A:$A,0))*1000+INDEX(编号表!$D:$D,MATCH(D797,编号表!$C:$C,0))*100+E797</f>
        <v>1025405</v>
      </c>
      <c r="C797" s="3" t="s">
        <v>227</v>
      </c>
      <c r="D797" s="11" t="s">
        <v>42</v>
      </c>
      <c r="E797" s="11">
        <f t="shared" si="23"/>
        <v>5</v>
      </c>
      <c r="F797" s="3" t="s">
        <v>228</v>
      </c>
      <c r="G797" s="16" t="s">
        <v>39</v>
      </c>
      <c r="H797" s="3">
        <v>60241002</v>
      </c>
      <c r="I797" s="12">
        <v>5</v>
      </c>
    </row>
    <row r="798" spans="2:9">
      <c r="B798" s="11">
        <f>1000000+INDEX(编号表!$B:$B,MATCH(C798,编号表!$A:$A,0))*1000+INDEX(编号表!$D:$D,MATCH(D798,编号表!$C:$C,0))*100+E798</f>
        <v>1025505</v>
      </c>
      <c r="C798" s="3" t="s">
        <v>227</v>
      </c>
      <c r="D798" s="11" t="s">
        <v>44</v>
      </c>
      <c r="E798" s="11">
        <f t="shared" si="23"/>
        <v>5</v>
      </c>
      <c r="F798" s="3" t="s">
        <v>228</v>
      </c>
      <c r="G798" s="16" t="s">
        <v>39</v>
      </c>
      <c r="H798" s="3">
        <v>60241003</v>
      </c>
      <c r="I798" s="12">
        <v>5</v>
      </c>
    </row>
    <row r="799" spans="2:9">
      <c r="B799" s="11">
        <f>1000000+INDEX(编号表!$B:$B,MATCH(C799,编号表!$A:$A,0))*1000+INDEX(编号表!$D:$D,MATCH(D799,编号表!$C:$C,0))*100+E799</f>
        <v>1025605</v>
      </c>
      <c r="C799" s="3" t="s">
        <v>227</v>
      </c>
      <c r="D799" s="11" t="s">
        <v>46</v>
      </c>
      <c r="E799" s="11">
        <f t="shared" si="23"/>
        <v>5</v>
      </c>
      <c r="F799" s="3" t="s">
        <v>228</v>
      </c>
      <c r="G799" s="16" t="s">
        <v>39</v>
      </c>
      <c r="H799" s="3">
        <v>60241004</v>
      </c>
      <c r="I799" s="12">
        <v>5</v>
      </c>
    </row>
    <row r="800" spans="2:9">
      <c r="B800" s="11">
        <f>1000000+INDEX(编号表!$B:$B,MATCH(C800,编号表!$A:$A,0))*1000+INDEX(编号表!$D:$D,MATCH(D800,编号表!$C:$C,0))*100+E800</f>
        <v>1025705</v>
      </c>
      <c r="C800" s="3" t="s">
        <v>227</v>
      </c>
      <c r="D800" s="11" t="s">
        <v>48</v>
      </c>
      <c r="E800" s="11">
        <f t="shared" si="23"/>
        <v>5</v>
      </c>
      <c r="F800" s="3" t="s">
        <v>228</v>
      </c>
      <c r="G800" s="16" t="s">
        <v>39</v>
      </c>
      <c r="H800" s="3">
        <v>60241005</v>
      </c>
      <c r="I800" s="12">
        <v>5</v>
      </c>
    </row>
    <row r="801" spans="2:9">
      <c r="B801" s="11">
        <f>1000000+INDEX(编号表!$B:$B,MATCH(C801,编号表!$A:$A,0))*1000+INDEX(编号表!$D:$D,MATCH(D801,编号表!$C:$C,0))*100+E801</f>
        <v>1025210</v>
      </c>
      <c r="C801" s="3" t="s">
        <v>227</v>
      </c>
      <c r="D801" s="11" t="s">
        <v>37</v>
      </c>
      <c r="E801" s="11">
        <f t="shared" si="23"/>
        <v>10</v>
      </c>
      <c r="F801" s="3" t="s">
        <v>159</v>
      </c>
      <c r="G801" s="16" t="s">
        <v>39</v>
      </c>
      <c r="H801" s="3">
        <v>60241000</v>
      </c>
      <c r="I801" s="12">
        <v>10</v>
      </c>
    </row>
    <row r="802" spans="2:9">
      <c r="B802" s="11">
        <f>1000000+INDEX(编号表!$B:$B,MATCH(C802,编号表!$A:$A,0))*1000+INDEX(编号表!$D:$D,MATCH(D802,编号表!$C:$C,0))*100+E802</f>
        <v>1025310</v>
      </c>
      <c r="C802" s="3" t="s">
        <v>227</v>
      </c>
      <c r="D802" s="11" t="s">
        <v>40</v>
      </c>
      <c r="E802" s="11">
        <f t="shared" si="23"/>
        <v>10</v>
      </c>
      <c r="F802" s="3" t="s">
        <v>228</v>
      </c>
      <c r="G802" s="16" t="s">
        <v>39</v>
      </c>
      <c r="H802" s="3">
        <v>60241001</v>
      </c>
      <c r="I802" s="12">
        <v>10</v>
      </c>
    </row>
    <row r="803" spans="2:9">
      <c r="B803" s="11">
        <f>1000000+INDEX(编号表!$B:$B,MATCH(C803,编号表!$A:$A,0))*1000+INDEX(编号表!$D:$D,MATCH(D803,编号表!$C:$C,0))*100+E803</f>
        <v>1025410</v>
      </c>
      <c r="C803" s="3" t="s">
        <v>227</v>
      </c>
      <c r="D803" s="11" t="s">
        <v>42</v>
      </c>
      <c r="E803" s="11">
        <f t="shared" si="23"/>
        <v>10</v>
      </c>
      <c r="F803" s="3" t="s">
        <v>228</v>
      </c>
      <c r="G803" s="16" t="s">
        <v>39</v>
      </c>
      <c r="H803" s="3">
        <v>60241002</v>
      </c>
      <c r="I803" s="12">
        <v>10</v>
      </c>
    </row>
    <row r="804" spans="2:9">
      <c r="B804" s="11">
        <f>1000000+INDEX(编号表!$B:$B,MATCH(C804,编号表!$A:$A,0))*1000+INDEX(编号表!$D:$D,MATCH(D804,编号表!$C:$C,0))*100+E804</f>
        <v>1025510</v>
      </c>
      <c r="C804" s="3" t="s">
        <v>227</v>
      </c>
      <c r="D804" s="11" t="s">
        <v>44</v>
      </c>
      <c r="E804" s="11">
        <f t="shared" si="23"/>
        <v>10</v>
      </c>
      <c r="F804" s="3" t="s">
        <v>228</v>
      </c>
      <c r="G804" s="16" t="s">
        <v>39</v>
      </c>
      <c r="H804" s="3">
        <v>60241003</v>
      </c>
      <c r="I804" s="12">
        <v>10</v>
      </c>
    </row>
    <row r="805" spans="2:9">
      <c r="B805" s="11">
        <f>1000000+INDEX(编号表!$B:$B,MATCH(C805,编号表!$A:$A,0))*1000+INDEX(编号表!$D:$D,MATCH(D805,编号表!$C:$C,0))*100+E805</f>
        <v>1025610</v>
      </c>
      <c r="C805" s="3" t="s">
        <v>227</v>
      </c>
      <c r="D805" s="11" t="s">
        <v>46</v>
      </c>
      <c r="E805" s="11">
        <f t="shared" si="23"/>
        <v>10</v>
      </c>
      <c r="F805" s="3" t="s">
        <v>228</v>
      </c>
      <c r="G805" s="16" t="s">
        <v>39</v>
      </c>
      <c r="H805" s="3">
        <v>60241004</v>
      </c>
      <c r="I805" s="12">
        <v>10</v>
      </c>
    </row>
    <row r="806" spans="2:9">
      <c r="B806" s="11">
        <f>1000000+INDEX(编号表!$B:$B,MATCH(C806,编号表!$A:$A,0))*1000+INDEX(编号表!$D:$D,MATCH(D806,编号表!$C:$C,0))*100+E806</f>
        <v>1025710</v>
      </c>
      <c r="C806" s="3" t="s">
        <v>227</v>
      </c>
      <c r="D806" s="11" t="s">
        <v>48</v>
      </c>
      <c r="E806" s="11">
        <f t="shared" si="23"/>
        <v>10</v>
      </c>
      <c r="F806" s="3" t="s">
        <v>228</v>
      </c>
      <c r="G806" s="16" t="s">
        <v>39</v>
      </c>
      <c r="H806" s="3">
        <v>60241005</v>
      </c>
      <c r="I806" s="12">
        <v>10</v>
      </c>
    </row>
    <row r="807" spans="2:9">
      <c r="B807" s="11">
        <f>1000000+INDEX(编号表!$B:$B,MATCH(C807,编号表!$A:$A,0))*1000+INDEX(编号表!$D:$D,MATCH(D807,编号表!$C:$C,0))*100+E807</f>
        <v>1025215</v>
      </c>
      <c r="C807" s="3" t="s">
        <v>227</v>
      </c>
      <c r="D807" s="11" t="s">
        <v>37</v>
      </c>
      <c r="E807" s="11">
        <f t="shared" si="23"/>
        <v>15</v>
      </c>
      <c r="F807" s="3" t="s">
        <v>159</v>
      </c>
      <c r="G807" s="16" t="s">
        <v>39</v>
      </c>
      <c r="H807" s="3">
        <v>60241000</v>
      </c>
      <c r="I807" s="12">
        <v>15</v>
      </c>
    </row>
    <row r="808" spans="2:9">
      <c r="B808" s="11">
        <f>1000000+INDEX(编号表!$B:$B,MATCH(C808,编号表!$A:$A,0))*1000+INDEX(编号表!$D:$D,MATCH(D808,编号表!$C:$C,0))*100+E808</f>
        <v>1025315</v>
      </c>
      <c r="C808" s="3" t="s">
        <v>227</v>
      </c>
      <c r="D808" s="11" t="s">
        <v>40</v>
      </c>
      <c r="E808" s="11">
        <f t="shared" si="23"/>
        <v>15</v>
      </c>
      <c r="F808" s="3" t="s">
        <v>228</v>
      </c>
      <c r="G808" s="16" t="s">
        <v>39</v>
      </c>
      <c r="H808" s="3">
        <v>60241001</v>
      </c>
      <c r="I808" s="12">
        <v>15</v>
      </c>
    </row>
    <row r="809" spans="2:9">
      <c r="B809" s="11">
        <f>1000000+INDEX(编号表!$B:$B,MATCH(C809,编号表!$A:$A,0))*1000+INDEX(编号表!$D:$D,MATCH(D809,编号表!$C:$C,0))*100+E809</f>
        <v>1025415</v>
      </c>
      <c r="C809" s="3" t="s">
        <v>227</v>
      </c>
      <c r="D809" s="11" t="s">
        <v>42</v>
      </c>
      <c r="E809" s="11">
        <f t="shared" si="23"/>
        <v>15</v>
      </c>
      <c r="F809" s="3" t="s">
        <v>228</v>
      </c>
      <c r="G809" s="16" t="s">
        <v>39</v>
      </c>
      <c r="H809" s="3">
        <v>60241002</v>
      </c>
      <c r="I809" s="12">
        <v>15</v>
      </c>
    </row>
    <row r="810" spans="2:9">
      <c r="B810" s="11">
        <f>1000000+INDEX(编号表!$B:$B,MATCH(C810,编号表!$A:$A,0))*1000+INDEX(编号表!$D:$D,MATCH(D810,编号表!$C:$C,0))*100+E810</f>
        <v>1025515</v>
      </c>
      <c r="C810" s="3" t="s">
        <v>227</v>
      </c>
      <c r="D810" s="11" t="s">
        <v>44</v>
      </c>
      <c r="E810" s="11">
        <f t="shared" si="23"/>
        <v>15</v>
      </c>
      <c r="F810" s="3" t="s">
        <v>228</v>
      </c>
      <c r="G810" s="16" t="s">
        <v>39</v>
      </c>
      <c r="H810" s="3">
        <v>60241003</v>
      </c>
      <c r="I810" s="12">
        <v>15</v>
      </c>
    </row>
    <row r="811" spans="2:9">
      <c r="B811" s="11">
        <f>1000000+INDEX(编号表!$B:$B,MATCH(C811,编号表!$A:$A,0))*1000+INDEX(编号表!$D:$D,MATCH(D811,编号表!$C:$C,0))*100+E811</f>
        <v>1025615</v>
      </c>
      <c r="C811" s="3" t="s">
        <v>227</v>
      </c>
      <c r="D811" s="11" t="s">
        <v>46</v>
      </c>
      <c r="E811" s="11">
        <f t="shared" si="23"/>
        <v>15</v>
      </c>
      <c r="F811" s="3" t="s">
        <v>228</v>
      </c>
      <c r="G811" s="16" t="s">
        <v>39</v>
      </c>
      <c r="H811" s="3">
        <v>60241004</v>
      </c>
      <c r="I811" s="12">
        <v>15</v>
      </c>
    </row>
    <row r="812" spans="2:9">
      <c r="B812" s="11">
        <f>1000000+INDEX(编号表!$B:$B,MATCH(C812,编号表!$A:$A,0))*1000+INDEX(编号表!$D:$D,MATCH(D812,编号表!$C:$C,0))*100+E812</f>
        <v>1025715</v>
      </c>
      <c r="C812" s="3" t="s">
        <v>227</v>
      </c>
      <c r="D812" s="11" t="s">
        <v>48</v>
      </c>
      <c r="E812" s="11">
        <f t="shared" si="23"/>
        <v>15</v>
      </c>
      <c r="F812" s="3" t="s">
        <v>228</v>
      </c>
      <c r="G812" s="16" t="s">
        <v>39</v>
      </c>
      <c r="H812" s="3">
        <v>60241005</v>
      </c>
      <c r="I812" s="12">
        <v>15</v>
      </c>
    </row>
    <row r="813" spans="2:9">
      <c r="B813" s="11">
        <f>1000000+INDEX(编号表!$B:$B,MATCH(C813,编号表!$A:$A,0))*1000+INDEX(编号表!$D:$D,MATCH(D813,编号表!$C:$C,0))*100+E813</f>
        <v>1026001</v>
      </c>
      <c r="C813" s="3" t="s">
        <v>229</v>
      </c>
      <c r="D813" s="11" t="s">
        <v>55</v>
      </c>
      <c r="E813" s="11">
        <v>1</v>
      </c>
      <c r="F813" s="17" t="s">
        <v>167</v>
      </c>
      <c r="G813" s="16" t="s">
        <v>57</v>
      </c>
      <c r="H813" s="11">
        <v>60254000</v>
      </c>
      <c r="I813" s="12">
        <v>1</v>
      </c>
    </row>
    <row r="814" spans="2:9">
      <c r="B814" s="11">
        <f>1000000+INDEX(编号表!$B:$B,MATCH(C814,编号表!$A:$A,0))*1000+INDEX(编号表!$D:$D,MATCH(D814,编号表!$C:$C,0))*100+E814</f>
        <v>1026101</v>
      </c>
      <c r="C814" s="3" t="s">
        <v>229</v>
      </c>
      <c r="D814" s="11" t="s">
        <v>58</v>
      </c>
      <c r="E814" s="11">
        <v>1</v>
      </c>
      <c r="F814" s="17" t="s">
        <v>59</v>
      </c>
      <c r="G814" s="16" t="s">
        <v>57</v>
      </c>
      <c r="H814" s="3">
        <v>60252000</v>
      </c>
      <c r="I814" s="12">
        <v>1</v>
      </c>
    </row>
    <row r="815" spans="2:9">
      <c r="B815" s="11">
        <f>1000000+INDEX(编号表!$B:$B,MATCH(C815,编号表!$A:$A,0))*1000+INDEX(编号表!$D:$D,MATCH(D815,编号表!$C:$C,0))*100+E815</f>
        <v>1026102</v>
      </c>
      <c r="C815" s="3" t="s">
        <v>229</v>
      </c>
      <c r="D815" s="11" t="s">
        <v>58</v>
      </c>
      <c r="E815" s="11">
        <v>2</v>
      </c>
      <c r="F815" s="17" t="s">
        <v>59</v>
      </c>
      <c r="G815" s="16" t="s">
        <v>57</v>
      </c>
      <c r="H815" s="3">
        <v>60252001</v>
      </c>
      <c r="I815" s="12">
        <v>1</v>
      </c>
    </row>
    <row r="816" spans="2:9">
      <c r="B816" s="11">
        <f>1000000+INDEX(编号表!$B:$B,MATCH(C816,编号表!$A:$A,0))*1000+INDEX(编号表!$D:$D,MATCH(D816,编号表!$C:$C,0))*100+E816</f>
        <v>1026201</v>
      </c>
      <c r="C816" s="3" t="s">
        <v>229</v>
      </c>
      <c r="D816" s="11" t="s">
        <v>37</v>
      </c>
      <c r="E816" s="11">
        <f t="shared" ref="E816:E863" si="24">I816+K816+M816+O816+Q816+S816+U816+W816+Y816+AA816</f>
        <v>1</v>
      </c>
      <c r="F816" s="3" t="s">
        <v>205</v>
      </c>
      <c r="G816" s="16" t="s">
        <v>39</v>
      </c>
      <c r="H816" s="3">
        <v>60251000</v>
      </c>
      <c r="I816" s="12">
        <v>1</v>
      </c>
    </row>
    <row r="817" spans="2:9">
      <c r="B817" s="11">
        <f>1000000+INDEX(编号表!$B:$B,MATCH(C817,编号表!$A:$A,0))*1000+INDEX(编号表!$D:$D,MATCH(D817,编号表!$C:$C,0))*100+E817</f>
        <v>1026301</v>
      </c>
      <c r="C817" s="3" t="s">
        <v>229</v>
      </c>
      <c r="D817" s="11" t="s">
        <v>40</v>
      </c>
      <c r="E817" s="11">
        <f t="shared" si="24"/>
        <v>1</v>
      </c>
      <c r="F817" s="3" t="s">
        <v>207</v>
      </c>
      <c r="G817" s="16" t="s">
        <v>39</v>
      </c>
      <c r="H817" s="3">
        <v>60251001</v>
      </c>
      <c r="I817" s="12">
        <v>1</v>
      </c>
    </row>
    <row r="818" spans="2:9">
      <c r="B818" s="11">
        <f>1000000+INDEX(编号表!$B:$B,MATCH(C818,编号表!$A:$A,0))*1000+INDEX(编号表!$D:$D,MATCH(D818,编号表!$C:$C,0))*100+E818</f>
        <v>1026401</v>
      </c>
      <c r="C818" s="3" t="s">
        <v>229</v>
      </c>
      <c r="D818" s="11" t="s">
        <v>42</v>
      </c>
      <c r="E818" s="11">
        <f t="shared" si="24"/>
        <v>1</v>
      </c>
      <c r="F818" s="3" t="s">
        <v>206</v>
      </c>
      <c r="G818" s="16" t="s">
        <v>39</v>
      </c>
      <c r="H818" s="3">
        <v>60251002</v>
      </c>
      <c r="I818" s="12">
        <v>1</v>
      </c>
    </row>
    <row r="819" spans="2:9">
      <c r="B819" s="11">
        <f>1000000+INDEX(编号表!$B:$B,MATCH(C819,编号表!$A:$A,0))*1000+INDEX(编号表!$D:$D,MATCH(D819,编号表!$C:$C,0))*100+E819</f>
        <v>1026501</v>
      </c>
      <c r="C819" s="3" t="s">
        <v>229</v>
      </c>
      <c r="D819" s="11" t="s">
        <v>44</v>
      </c>
      <c r="E819" s="11">
        <f t="shared" si="24"/>
        <v>1</v>
      </c>
      <c r="F819" s="3" t="s">
        <v>191</v>
      </c>
      <c r="G819" s="16" t="s">
        <v>39</v>
      </c>
      <c r="H819" s="3">
        <v>60251003</v>
      </c>
      <c r="I819" s="12">
        <v>1</v>
      </c>
    </row>
    <row r="820" spans="2:9">
      <c r="B820" s="11">
        <f>1000000+INDEX(编号表!$B:$B,MATCH(C820,编号表!$A:$A,0))*1000+INDEX(编号表!$D:$D,MATCH(D820,编号表!$C:$C,0))*100+E820</f>
        <v>1026601</v>
      </c>
      <c r="C820" s="3" t="s">
        <v>229</v>
      </c>
      <c r="D820" s="11" t="s">
        <v>46</v>
      </c>
      <c r="E820" s="11">
        <f t="shared" si="24"/>
        <v>1</v>
      </c>
      <c r="F820" s="3" t="s">
        <v>209</v>
      </c>
      <c r="G820" s="16" t="s">
        <v>39</v>
      </c>
      <c r="H820" s="3">
        <v>60251004</v>
      </c>
      <c r="I820" s="12">
        <v>1</v>
      </c>
    </row>
    <row r="821" spans="2:9">
      <c r="B821" s="11">
        <f>1000000+INDEX(编号表!$B:$B,MATCH(C821,编号表!$A:$A,0))*1000+INDEX(编号表!$D:$D,MATCH(D821,编号表!$C:$C,0))*100+E821</f>
        <v>1026701</v>
      </c>
      <c r="C821" s="3" t="s">
        <v>229</v>
      </c>
      <c r="D821" s="11" t="s">
        <v>48</v>
      </c>
      <c r="E821" s="11">
        <f t="shared" si="24"/>
        <v>1</v>
      </c>
      <c r="F821" s="3" t="s">
        <v>222</v>
      </c>
      <c r="G821" s="16" t="s">
        <v>39</v>
      </c>
      <c r="H821" s="3">
        <v>60251005</v>
      </c>
      <c r="I821" s="12">
        <v>1</v>
      </c>
    </row>
    <row r="822" spans="2:9">
      <c r="B822" s="11">
        <f>1000000+INDEX(编号表!$B:$B,MATCH(C822,编号表!$A:$A,0))*1000+INDEX(编号表!$D:$D,MATCH(D822,编号表!$C:$C,0))*100+E822</f>
        <v>1026801</v>
      </c>
      <c r="C822" s="3" t="s">
        <v>229</v>
      </c>
      <c r="D822" s="11" t="s">
        <v>50</v>
      </c>
      <c r="E822" s="11">
        <f t="shared" si="24"/>
        <v>1</v>
      </c>
      <c r="F822" s="3" t="s">
        <v>221</v>
      </c>
      <c r="G822" s="16" t="s">
        <v>39</v>
      </c>
      <c r="H822" s="3">
        <v>60251006</v>
      </c>
      <c r="I822" s="12">
        <v>1</v>
      </c>
    </row>
    <row r="823" spans="2:9">
      <c r="B823" s="11">
        <f>1000000+INDEX(编号表!$B:$B,MATCH(C823,编号表!$A:$A,0))*1000+INDEX(编号表!$D:$D,MATCH(D823,编号表!$C:$C,0))*100+E823</f>
        <v>1026901</v>
      </c>
      <c r="C823" s="3" t="s">
        <v>229</v>
      </c>
      <c r="D823" s="11" t="s">
        <v>52</v>
      </c>
      <c r="E823" s="11">
        <f t="shared" si="24"/>
        <v>1</v>
      </c>
      <c r="F823" s="3" t="s">
        <v>224</v>
      </c>
      <c r="G823" s="16" t="s">
        <v>39</v>
      </c>
      <c r="H823" s="3">
        <v>60251007</v>
      </c>
      <c r="I823" s="12">
        <v>1</v>
      </c>
    </row>
    <row r="824" spans="2:9">
      <c r="B824" s="11">
        <f>1000000+INDEX(编号表!$B:$B,MATCH(C824,编号表!$A:$A,0))*1000+INDEX(编号表!$D:$D,MATCH(D824,编号表!$C:$C,0))*100+E824</f>
        <v>1026202</v>
      </c>
      <c r="C824" s="3" t="s">
        <v>229</v>
      </c>
      <c r="D824" s="11" t="s">
        <v>37</v>
      </c>
      <c r="E824" s="11">
        <f t="shared" si="24"/>
        <v>2</v>
      </c>
      <c r="F824" s="3" t="s">
        <v>205</v>
      </c>
      <c r="G824" s="16" t="s">
        <v>39</v>
      </c>
      <c r="H824" s="3">
        <v>60251000</v>
      </c>
      <c r="I824" s="12">
        <v>2</v>
      </c>
    </row>
    <row r="825" spans="2:9">
      <c r="B825" s="11">
        <f>1000000+INDEX(编号表!$B:$B,MATCH(C825,编号表!$A:$A,0))*1000+INDEX(编号表!$D:$D,MATCH(D825,编号表!$C:$C,0))*100+E825</f>
        <v>1026302</v>
      </c>
      <c r="C825" s="3" t="s">
        <v>229</v>
      </c>
      <c r="D825" s="11" t="s">
        <v>40</v>
      </c>
      <c r="E825" s="11">
        <f t="shared" si="24"/>
        <v>2</v>
      </c>
      <c r="F825" s="3" t="s">
        <v>207</v>
      </c>
      <c r="G825" s="16" t="s">
        <v>39</v>
      </c>
      <c r="H825" s="3">
        <v>60251001</v>
      </c>
      <c r="I825" s="12">
        <v>2</v>
      </c>
    </row>
    <row r="826" spans="2:9">
      <c r="B826" s="11">
        <f>1000000+INDEX(编号表!$B:$B,MATCH(C826,编号表!$A:$A,0))*1000+INDEX(编号表!$D:$D,MATCH(D826,编号表!$C:$C,0))*100+E826</f>
        <v>1026402</v>
      </c>
      <c r="C826" s="3" t="s">
        <v>229</v>
      </c>
      <c r="D826" s="11" t="s">
        <v>42</v>
      </c>
      <c r="E826" s="11">
        <f t="shared" si="24"/>
        <v>2</v>
      </c>
      <c r="F826" s="3" t="s">
        <v>206</v>
      </c>
      <c r="G826" s="16" t="s">
        <v>39</v>
      </c>
      <c r="H826" s="3">
        <v>60251002</v>
      </c>
      <c r="I826" s="12">
        <v>2</v>
      </c>
    </row>
    <row r="827" spans="2:9">
      <c r="B827" s="11">
        <f>1000000+INDEX(编号表!$B:$B,MATCH(C827,编号表!$A:$A,0))*1000+INDEX(编号表!$D:$D,MATCH(D827,编号表!$C:$C,0))*100+E827</f>
        <v>1026502</v>
      </c>
      <c r="C827" s="3" t="s">
        <v>229</v>
      </c>
      <c r="D827" s="11" t="s">
        <v>44</v>
      </c>
      <c r="E827" s="11">
        <f t="shared" si="24"/>
        <v>2</v>
      </c>
      <c r="F827" s="3" t="s">
        <v>191</v>
      </c>
      <c r="G827" s="16" t="s">
        <v>39</v>
      </c>
      <c r="H827" s="3">
        <v>60251003</v>
      </c>
      <c r="I827" s="12">
        <v>2</v>
      </c>
    </row>
    <row r="828" spans="2:9">
      <c r="B828" s="11">
        <f>1000000+INDEX(编号表!$B:$B,MATCH(C828,编号表!$A:$A,0))*1000+INDEX(编号表!$D:$D,MATCH(D828,编号表!$C:$C,0))*100+E828</f>
        <v>1026602</v>
      </c>
      <c r="C828" s="3" t="s">
        <v>229</v>
      </c>
      <c r="D828" s="11" t="s">
        <v>46</v>
      </c>
      <c r="E828" s="11">
        <f t="shared" si="24"/>
        <v>2</v>
      </c>
      <c r="F828" s="3" t="s">
        <v>209</v>
      </c>
      <c r="G828" s="16" t="s">
        <v>39</v>
      </c>
      <c r="H828" s="3">
        <v>60251004</v>
      </c>
      <c r="I828" s="12">
        <v>2</v>
      </c>
    </row>
    <row r="829" spans="2:9">
      <c r="B829" s="11">
        <f>1000000+INDEX(编号表!$B:$B,MATCH(C829,编号表!$A:$A,0))*1000+INDEX(编号表!$D:$D,MATCH(D829,编号表!$C:$C,0))*100+E829</f>
        <v>1026702</v>
      </c>
      <c r="C829" s="3" t="s">
        <v>229</v>
      </c>
      <c r="D829" s="11" t="s">
        <v>48</v>
      </c>
      <c r="E829" s="11">
        <f t="shared" si="24"/>
        <v>2</v>
      </c>
      <c r="F829" s="3" t="s">
        <v>222</v>
      </c>
      <c r="G829" s="16" t="s">
        <v>39</v>
      </c>
      <c r="H829" s="3">
        <v>60251005</v>
      </c>
      <c r="I829" s="12">
        <v>2</v>
      </c>
    </row>
    <row r="830" spans="2:9">
      <c r="B830" s="11">
        <f>1000000+INDEX(编号表!$B:$B,MATCH(C830,编号表!$A:$A,0))*1000+INDEX(编号表!$D:$D,MATCH(D830,编号表!$C:$C,0))*100+E830</f>
        <v>1026802</v>
      </c>
      <c r="C830" s="3" t="s">
        <v>229</v>
      </c>
      <c r="D830" s="11" t="s">
        <v>50</v>
      </c>
      <c r="E830" s="11">
        <f t="shared" si="24"/>
        <v>2</v>
      </c>
      <c r="F830" s="3" t="s">
        <v>221</v>
      </c>
      <c r="G830" s="16" t="s">
        <v>39</v>
      </c>
      <c r="H830" s="3">
        <v>60251006</v>
      </c>
      <c r="I830" s="12">
        <v>2</v>
      </c>
    </row>
    <row r="831" spans="2:9">
      <c r="B831" s="11">
        <f>1000000+INDEX(编号表!$B:$B,MATCH(C831,编号表!$A:$A,0))*1000+INDEX(编号表!$D:$D,MATCH(D831,编号表!$C:$C,0))*100+E831</f>
        <v>1026902</v>
      </c>
      <c r="C831" s="3" t="s">
        <v>229</v>
      </c>
      <c r="D831" s="11" t="s">
        <v>52</v>
      </c>
      <c r="E831" s="11">
        <f t="shared" si="24"/>
        <v>2</v>
      </c>
      <c r="F831" s="3" t="s">
        <v>224</v>
      </c>
      <c r="G831" s="16" t="s">
        <v>39</v>
      </c>
      <c r="H831" s="3">
        <v>60251007</v>
      </c>
      <c r="I831" s="12">
        <v>2</v>
      </c>
    </row>
    <row r="832" spans="2:9">
      <c r="B832" s="11">
        <f>1000000+INDEX(编号表!$B:$B,MATCH(C832,编号表!$A:$A,0))*1000+INDEX(编号表!$D:$D,MATCH(D832,编号表!$C:$C,0))*100+E832</f>
        <v>1026203</v>
      </c>
      <c r="C832" s="3" t="s">
        <v>229</v>
      </c>
      <c r="D832" s="11" t="s">
        <v>37</v>
      </c>
      <c r="E832" s="11">
        <f t="shared" si="24"/>
        <v>3</v>
      </c>
      <c r="F832" s="3" t="s">
        <v>205</v>
      </c>
      <c r="G832" s="16" t="s">
        <v>39</v>
      </c>
      <c r="H832" s="3">
        <v>60251000</v>
      </c>
      <c r="I832" s="12">
        <v>3</v>
      </c>
    </row>
    <row r="833" spans="2:9">
      <c r="B833" s="11">
        <f>1000000+INDEX(编号表!$B:$B,MATCH(C833,编号表!$A:$A,0))*1000+INDEX(编号表!$D:$D,MATCH(D833,编号表!$C:$C,0))*100+E833</f>
        <v>1026303</v>
      </c>
      <c r="C833" s="3" t="s">
        <v>229</v>
      </c>
      <c r="D833" s="11" t="s">
        <v>40</v>
      </c>
      <c r="E833" s="11">
        <f t="shared" si="24"/>
        <v>3</v>
      </c>
      <c r="F833" s="3" t="s">
        <v>207</v>
      </c>
      <c r="G833" s="16" t="s">
        <v>39</v>
      </c>
      <c r="H833" s="3">
        <v>60251001</v>
      </c>
      <c r="I833" s="12">
        <v>3</v>
      </c>
    </row>
    <row r="834" spans="2:9">
      <c r="B834" s="11">
        <f>1000000+INDEX(编号表!$B:$B,MATCH(C834,编号表!$A:$A,0))*1000+INDEX(编号表!$D:$D,MATCH(D834,编号表!$C:$C,0))*100+E834</f>
        <v>1026403</v>
      </c>
      <c r="C834" s="3" t="s">
        <v>229</v>
      </c>
      <c r="D834" s="11" t="s">
        <v>42</v>
      </c>
      <c r="E834" s="11">
        <f t="shared" si="24"/>
        <v>3</v>
      </c>
      <c r="F834" s="3" t="s">
        <v>206</v>
      </c>
      <c r="G834" s="16" t="s">
        <v>39</v>
      </c>
      <c r="H834" s="3">
        <v>60251002</v>
      </c>
      <c r="I834" s="12">
        <v>3</v>
      </c>
    </row>
    <row r="835" spans="2:9">
      <c r="B835" s="11">
        <f>1000000+INDEX(编号表!$B:$B,MATCH(C835,编号表!$A:$A,0))*1000+INDEX(编号表!$D:$D,MATCH(D835,编号表!$C:$C,0))*100+E835</f>
        <v>1026503</v>
      </c>
      <c r="C835" s="3" t="s">
        <v>229</v>
      </c>
      <c r="D835" s="11" t="s">
        <v>44</v>
      </c>
      <c r="E835" s="11">
        <f t="shared" si="24"/>
        <v>3</v>
      </c>
      <c r="F835" s="3" t="s">
        <v>191</v>
      </c>
      <c r="G835" s="16" t="s">
        <v>39</v>
      </c>
      <c r="H835" s="3">
        <v>60251003</v>
      </c>
      <c r="I835" s="12">
        <v>3</v>
      </c>
    </row>
    <row r="836" spans="2:9">
      <c r="B836" s="11">
        <f>1000000+INDEX(编号表!$B:$B,MATCH(C836,编号表!$A:$A,0))*1000+INDEX(编号表!$D:$D,MATCH(D836,编号表!$C:$C,0))*100+E836</f>
        <v>1026603</v>
      </c>
      <c r="C836" s="3" t="s">
        <v>229</v>
      </c>
      <c r="D836" s="11" t="s">
        <v>46</v>
      </c>
      <c r="E836" s="11">
        <f t="shared" si="24"/>
        <v>3</v>
      </c>
      <c r="F836" s="3" t="s">
        <v>209</v>
      </c>
      <c r="G836" s="16" t="s">
        <v>39</v>
      </c>
      <c r="H836" s="3">
        <v>60251004</v>
      </c>
      <c r="I836" s="12">
        <v>3</v>
      </c>
    </row>
    <row r="837" spans="2:9">
      <c r="B837" s="11">
        <f>1000000+INDEX(编号表!$B:$B,MATCH(C837,编号表!$A:$A,0))*1000+INDEX(编号表!$D:$D,MATCH(D837,编号表!$C:$C,0))*100+E837</f>
        <v>1026703</v>
      </c>
      <c r="C837" s="3" t="s">
        <v>229</v>
      </c>
      <c r="D837" s="11" t="s">
        <v>48</v>
      </c>
      <c r="E837" s="11">
        <f t="shared" si="24"/>
        <v>3</v>
      </c>
      <c r="F837" s="3" t="s">
        <v>222</v>
      </c>
      <c r="G837" s="16" t="s">
        <v>39</v>
      </c>
      <c r="H837" s="3">
        <v>60251005</v>
      </c>
      <c r="I837" s="12">
        <v>3</v>
      </c>
    </row>
    <row r="838" spans="2:9">
      <c r="B838" s="11">
        <f>1000000+INDEX(编号表!$B:$B,MATCH(C838,编号表!$A:$A,0))*1000+INDEX(编号表!$D:$D,MATCH(D838,编号表!$C:$C,0))*100+E838</f>
        <v>1026803</v>
      </c>
      <c r="C838" s="3" t="s">
        <v>229</v>
      </c>
      <c r="D838" s="11" t="s">
        <v>50</v>
      </c>
      <c r="E838" s="11">
        <f t="shared" si="24"/>
        <v>3</v>
      </c>
      <c r="F838" s="3" t="s">
        <v>221</v>
      </c>
      <c r="G838" s="16" t="s">
        <v>39</v>
      </c>
      <c r="H838" s="3">
        <v>60251006</v>
      </c>
      <c r="I838" s="12">
        <v>3</v>
      </c>
    </row>
    <row r="839" spans="2:9">
      <c r="B839" s="11">
        <f>1000000+INDEX(编号表!$B:$B,MATCH(C839,编号表!$A:$A,0))*1000+INDEX(编号表!$D:$D,MATCH(D839,编号表!$C:$C,0))*100+E839</f>
        <v>1026903</v>
      </c>
      <c r="C839" s="3" t="s">
        <v>229</v>
      </c>
      <c r="D839" s="11" t="s">
        <v>52</v>
      </c>
      <c r="E839" s="11">
        <f t="shared" si="24"/>
        <v>3</v>
      </c>
      <c r="F839" s="3" t="s">
        <v>224</v>
      </c>
      <c r="G839" s="16" t="s">
        <v>39</v>
      </c>
      <c r="H839" s="3">
        <v>60251007</v>
      </c>
      <c r="I839" s="12">
        <v>3</v>
      </c>
    </row>
    <row r="840" spans="2:9">
      <c r="B840" s="11">
        <f>1000000+INDEX(编号表!$B:$B,MATCH(C840,编号表!$A:$A,0))*1000+INDEX(编号表!$D:$D,MATCH(D840,编号表!$C:$C,0))*100+E840</f>
        <v>1026205</v>
      </c>
      <c r="C840" s="3" t="s">
        <v>229</v>
      </c>
      <c r="D840" s="11" t="s">
        <v>37</v>
      </c>
      <c r="E840" s="11">
        <f t="shared" si="24"/>
        <v>5</v>
      </c>
      <c r="F840" s="3" t="s">
        <v>205</v>
      </c>
      <c r="G840" s="16" t="s">
        <v>39</v>
      </c>
      <c r="H840" s="3">
        <v>60251000</v>
      </c>
      <c r="I840" s="12">
        <v>5</v>
      </c>
    </row>
    <row r="841" spans="2:9">
      <c r="B841" s="11">
        <f>1000000+INDEX(编号表!$B:$B,MATCH(C841,编号表!$A:$A,0))*1000+INDEX(编号表!$D:$D,MATCH(D841,编号表!$C:$C,0))*100+E841</f>
        <v>1026305</v>
      </c>
      <c r="C841" s="3" t="s">
        <v>229</v>
      </c>
      <c r="D841" s="11" t="s">
        <v>40</v>
      </c>
      <c r="E841" s="11">
        <f t="shared" si="24"/>
        <v>5</v>
      </c>
      <c r="F841" s="3" t="s">
        <v>207</v>
      </c>
      <c r="G841" s="16" t="s">
        <v>39</v>
      </c>
      <c r="H841" s="3">
        <v>60251001</v>
      </c>
      <c r="I841" s="12">
        <v>5</v>
      </c>
    </row>
    <row r="842" spans="2:9">
      <c r="B842" s="11">
        <f>1000000+INDEX(编号表!$B:$B,MATCH(C842,编号表!$A:$A,0))*1000+INDEX(编号表!$D:$D,MATCH(D842,编号表!$C:$C,0))*100+E842</f>
        <v>1026405</v>
      </c>
      <c r="C842" s="3" t="s">
        <v>229</v>
      </c>
      <c r="D842" s="11" t="s">
        <v>42</v>
      </c>
      <c r="E842" s="11">
        <f t="shared" si="24"/>
        <v>5</v>
      </c>
      <c r="F842" s="3" t="s">
        <v>206</v>
      </c>
      <c r="G842" s="16" t="s">
        <v>39</v>
      </c>
      <c r="H842" s="3">
        <v>60251002</v>
      </c>
      <c r="I842" s="12">
        <v>5</v>
      </c>
    </row>
    <row r="843" spans="2:9">
      <c r="B843" s="11">
        <f>1000000+INDEX(编号表!$B:$B,MATCH(C843,编号表!$A:$A,0))*1000+INDEX(编号表!$D:$D,MATCH(D843,编号表!$C:$C,0))*100+E843</f>
        <v>1026505</v>
      </c>
      <c r="C843" s="3" t="s">
        <v>229</v>
      </c>
      <c r="D843" s="11" t="s">
        <v>44</v>
      </c>
      <c r="E843" s="11">
        <f t="shared" si="24"/>
        <v>5</v>
      </c>
      <c r="F843" s="3" t="s">
        <v>191</v>
      </c>
      <c r="G843" s="16" t="s">
        <v>39</v>
      </c>
      <c r="H843" s="3">
        <v>60251003</v>
      </c>
      <c r="I843" s="12">
        <v>5</v>
      </c>
    </row>
    <row r="844" spans="2:9">
      <c r="B844" s="11">
        <f>1000000+INDEX(编号表!$B:$B,MATCH(C844,编号表!$A:$A,0))*1000+INDEX(编号表!$D:$D,MATCH(D844,编号表!$C:$C,0))*100+E844</f>
        <v>1026605</v>
      </c>
      <c r="C844" s="3" t="s">
        <v>229</v>
      </c>
      <c r="D844" s="11" t="s">
        <v>46</v>
      </c>
      <c r="E844" s="11">
        <f t="shared" si="24"/>
        <v>5</v>
      </c>
      <c r="F844" s="3" t="s">
        <v>209</v>
      </c>
      <c r="G844" s="16" t="s">
        <v>39</v>
      </c>
      <c r="H844" s="3">
        <v>60251004</v>
      </c>
      <c r="I844" s="12">
        <v>5</v>
      </c>
    </row>
    <row r="845" spans="2:9">
      <c r="B845" s="11">
        <f>1000000+INDEX(编号表!$B:$B,MATCH(C845,编号表!$A:$A,0))*1000+INDEX(编号表!$D:$D,MATCH(D845,编号表!$C:$C,0))*100+E845</f>
        <v>1026705</v>
      </c>
      <c r="C845" s="3" t="s">
        <v>229</v>
      </c>
      <c r="D845" s="11" t="s">
        <v>48</v>
      </c>
      <c r="E845" s="11">
        <f t="shared" si="24"/>
        <v>5</v>
      </c>
      <c r="F845" s="3" t="s">
        <v>222</v>
      </c>
      <c r="G845" s="16" t="s">
        <v>39</v>
      </c>
      <c r="H845" s="3">
        <v>60251005</v>
      </c>
      <c r="I845" s="12">
        <v>5</v>
      </c>
    </row>
    <row r="846" spans="2:9">
      <c r="B846" s="11">
        <f>1000000+INDEX(编号表!$B:$B,MATCH(C846,编号表!$A:$A,0))*1000+INDEX(编号表!$D:$D,MATCH(D846,编号表!$C:$C,0))*100+E846</f>
        <v>1026805</v>
      </c>
      <c r="C846" s="3" t="s">
        <v>229</v>
      </c>
      <c r="D846" s="11" t="s">
        <v>50</v>
      </c>
      <c r="E846" s="11">
        <f t="shared" si="24"/>
        <v>5</v>
      </c>
      <c r="F846" s="3" t="s">
        <v>221</v>
      </c>
      <c r="G846" s="16" t="s">
        <v>39</v>
      </c>
      <c r="H846" s="3">
        <v>60251006</v>
      </c>
      <c r="I846" s="12">
        <v>5</v>
      </c>
    </row>
    <row r="847" spans="2:9">
      <c r="B847" s="11">
        <f>1000000+INDEX(编号表!$B:$B,MATCH(C847,编号表!$A:$A,0))*1000+INDEX(编号表!$D:$D,MATCH(D847,编号表!$C:$C,0))*100+E847</f>
        <v>1026905</v>
      </c>
      <c r="C847" s="3" t="s">
        <v>229</v>
      </c>
      <c r="D847" s="11" t="s">
        <v>52</v>
      </c>
      <c r="E847" s="11">
        <f t="shared" si="24"/>
        <v>5</v>
      </c>
      <c r="F847" s="3" t="s">
        <v>224</v>
      </c>
      <c r="G847" s="16" t="s">
        <v>39</v>
      </c>
      <c r="H847" s="3">
        <v>60251007</v>
      </c>
      <c r="I847" s="12">
        <v>5</v>
      </c>
    </row>
    <row r="848" spans="2:9">
      <c r="B848" s="11">
        <f>1000000+INDEX(编号表!$B:$B,MATCH(C848,编号表!$A:$A,0))*1000+INDEX(编号表!$D:$D,MATCH(D848,编号表!$C:$C,0))*100+E848</f>
        <v>1026210</v>
      </c>
      <c r="C848" s="3" t="s">
        <v>229</v>
      </c>
      <c r="D848" s="11" t="s">
        <v>37</v>
      </c>
      <c r="E848" s="11">
        <f t="shared" si="24"/>
        <v>10</v>
      </c>
      <c r="F848" s="3" t="s">
        <v>205</v>
      </c>
      <c r="G848" s="16" t="s">
        <v>39</v>
      </c>
      <c r="H848" s="3">
        <v>60251000</v>
      </c>
      <c r="I848" s="12">
        <v>10</v>
      </c>
    </row>
    <row r="849" spans="2:9">
      <c r="B849" s="11">
        <f>1000000+INDEX(编号表!$B:$B,MATCH(C849,编号表!$A:$A,0))*1000+INDEX(编号表!$D:$D,MATCH(D849,编号表!$C:$C,0))*100+E849</f>
        <v>1026310</v>
      </c>
      <c r="C849" s="3" t="s">
        <v>229</v>
      </c>
      <c r="D849" s="11" t="s">
        <v>40</v>
      </c>
      <c r="E849" s="11">
        <f t="shared" si="24"/>
        <v>10</v>
      </c>
      <c r="F849" s="3" t="s">
        <v>207</v>
      </c>
      <c r="G849" s="16" t="s">
        <v>39</v>
      </c>
      <c r="H849" s="3">
        <v>60251001</v>
      </c>
      <c r="I849" s="12">
        <v>10</v>
      </c>
    </row>
    <row r="850" spans="2:9">
      <c r="B850" s="11">
        <f>1000000+INDEX(编号表!$B:$B,MATCH(C850,编号表!$A:$A,0))*1000+INDEX(编号表!$D:$D,MATCH(D850,编号表!$C:$C,0))*100+E850</f>
        <v>1026410</v>
      </c>
      <c r="C850" s="3" t="s">
        <v>229</v>
      </c>
      <c r="D850" s="11" t="s">
        <v>42</v>
      </c>
      <c r="E850" s="11">
        <f t="shared" si="24"/>
        <v>10</v>
      </c>
      <c r="F850" s="3" t="s">
        <v>206</v>
      </c>
      <c r="G850" s="16" t="s">
        <v>39</v>
      </c>
      <c r="H850" s="3">
        <v>60251002</v>
      </c>
      <c r="I850" s="12">
        <v>10</v>
      </c>
    </row>
    <row r="851" spans="2:9">
      <c r="B851" s="11">
        <f>1000000+INDEX(编号表!$B:$B,MATCH(C851,编号表!$A:$A,0))*1000+INDEX(编号表!$D:$D,MATCH(D851,编号表!$C:$C,0))*100+E851</f>
        <v>1026510</v>
      </c>
      <c r="C851" s="3" t="s">
        <v>229</v>
      </c>
      <c r="D851" s="11" t="s">
        <v>44</v>
      </c>
      <c r="E851" s="11">
        <f t="shared" si="24"/>
        <v>10</v>
      </c>
      <c r="F851" s="3" t="s">
        <v>191</v>
      </c>
      <c r="G851" s="16" t="s">
        <v>39</v>
      </c>
      <c r="H851" s="3">
        <v>60251003</v>
      </c>
      <c r="I851" s="12">
        <v>10</v>
      </c>
    </row>
    <row r="852" spans="2:9">
      <c r="B852" s="11">
        <f>1000000+INDEX(编号表!$B:$B,MATCH(C852,编号表!$A:$A,0))*1000+INDEX(编号表!$D:$D,MATCH(D852,编号表!$C:$C,0))*100+E852</f>
        <v>1026610</v>
      </c>
      <c r="C852" s="3" t="s">
        <v>229</v>
      </c>
      <c r="D852" s="11" t="s">
        <v>46</v>
      </c>
      <c r="E852" s="11">
        <f t="shared" si="24"/>
        <v>10</v>
      </c>
      <c r="F852" s="3" t="s">
        <v>209</v>
      </c>
      <c r="G852" s="16" t="s">
        <v>39</v>
      </c>
      <c r="H852" s="3">
        <v>60251004</v>
      </c>
      <c r="I852" s="12">
        <v>10</v>
      </c>
    </row>
    <row r="853" spans="2:9">
      <c r="B853" s="11">
        <f>1000000+INDEX(编号表!$B:$B,MATCH(C853,编号表!$A:$A,0))*1000+INDEX(编号表!$D:$D,MATCH(D853,编号表!$C:$C,0))*100+E853</f>
        <v>1026710</v>
      </c>
      <c r="C853" s="3" t="s">
        <v>229</v>
      </c>
      <c r="D853" s="11" t="s">
        <v>48</v>
      </c>
      <c r="E853" s="11">
        <f t="shared" si="24"/>
        <v>10</v>
      </c>
      <c r="F853" s="3" t="s">
        <v>222</v>
      </c>
      <c r="G853" s="16" t="s">
        <v>39</v>
      </c>
      <c r="H853" s="3">
        <v>60251005</v>
      </c>
      <c r="I853" s="12">
        <v>10</v>
      </c>
    </row>
    <row r="854" spans="2:9">
      <c r="B854" s="11">
        <f>1000000+INDEX(编号表!$B:$B,MATCH(C854,编号表!$A:$A,0))*1000+INDEX(编号表!$D:$D,MATCH(D854,编号表!$C:$C,0))*100+E854</f>
        <v>1026810</v>
      </c>
      <c r="C854" s="3" t="s">
        <v>229</v>
      </c>
      <c r="D854" s="11" t="s">
        <v>50</v>
      </c>
      <c r="E854" s="11">
        <f t="shared" si="24"/>
        <v>10</v>
      </c>
      <c r="F854" s="3" t="s">
        <v>221</v>
      </c>
      <c r="G854" s="16" t="s">
        <v>39</v>
      </c>
      <c r="H854" s="3">
        <v>60251006</v>
      </c>
      <c r="I854" s="12">
        <v>10</v>
      </c>
    </row>
    <row r="855" spans="2:9">
      <c r="B855" s="11">
        <f>1000000+INDEX(编号表!$B:$B,MATCH(C855,编号表!$A:$A,0))*1000+INDEX(编号表!$D:$D,MATCH(D855,编号表!$C:$C,0))*100+E855</f>
        <v>1026910</v>
      </c>
      <c r="C855" s="3" t="s">
        <v>229</v>
      </c>
      <c r="D855" s="11" t="s">
        <v>52</v>
      </c>
      <c r="E855" s="11">
        <f t="shared" si="24"/>
        <v>10</v>
      </c>
      <c r="F855" s="3" t="s">
        <v>224</v>
      </c>
      <c r="G855" s="16" t="s">
        <v>39</v>
      </c>
      <c r="H855" s="3">
        <v>60251007</v>
      </c>
      <c r="I855" s="12">
        <v>10</v>
      </c>
    </row>
    <row r="856" spans="2:9">
      <c r="B856" s="11">
        <f>1000000+INDEX(编号表!$B:$B,MATCH(C856,编号表!$A:$A,0))*1000+INDEX(编号表!$D:$D,MATCH(D856,编号表!$C:$C,0))*100+E856</f>
        <v>1026215</v>
      </c>
      <c r="C856" s="3" t="s">
        <v>229</v>
      </c>
      <c r="D856" s="11" t="s">
        <v>37</v>
      </c>
      <c r="E856" s="11">
        <f t="shared" si="24"/>
        <v>15</v>
      </c>
      <c r="F856" s="3" t="s">
        <v>205</v>
      </c>
      <c r="G856" s="16" t="s">
        <v>39</v>
      </c>
      <c r="H856" s="3">
        <v>60251000</v>
      </c>
      <c r="I856" s="12">
        <v>15</v>
      </c>
    </row>
    <row r="857" spans="2:9">
      <c r="B857" s="11">
        <f>1000000+INDEX(编号表!$B:$B,MATCH(C857,编号表!$A:$A,0))*1000+INDEX(编号表!$D:$D,MATCH(D857,编号表!$C:$C,0))*100+E857</f>
        <v>1026315</v>
      </c>
      <c r="C857" s="3" t="s">
        <v>229</v>
      </c>
      <c r="D857" s="11" t="s">
        <v>40</v>
      </c>
      <c r="E857" s="11">
        <f t="shared" si="24"/>
        <v>15</v>
      </c>
      <c r="F857" s="3" t="s">
        <v>207</v>
      </c>
      <c r="G857" s="16" t="s">
        <v>39</v>
      </c>
      <c r="H857" s="3">
        <v>60251001</v>
      </c>
      <c r="I857" s="12">
        <v>15</v>
      </c>
    </row>
    <row r="858" spans="2:9">
      <c r="B858" s="11">
        <f>1000000+INDEX(编号表!$B:$B,MATCH(C858,编号表!$A:$A,0))*1000+INDEX(编号表!$D:$D,MATCH(D858,编号表!$C:$C,0))*100+E858</f>
        <v>1026415</v>
      </c>
      <c r="C858" s="3" t="s">
        <v>229</v>
      </c>
      <c r="D858" s="11" t="s">
        <v>42</v>
      </c>
      <c r="E858" s="11">
        <f t="shared" si="24"/>
        <v>15</v>
      </c>
      <c r="F858" s="3" t="s">
        <v>206</v>
      </c>
      <c r="G858" s="16" t="s">
        <v>39</v>
      </c>
      <c r="H858" s="3">
        <v>60251002</v>
      </c>
      <c r="I858" s="12">
        <v>15</v>
      </c>
    </row>
    <row r="859" spans="2:9">
      <c r="B859" s="11">
        <f>1000000+INDEX(编号表!$B:$B,MATCH(C859,编号表!$A:$A,0))*1000+INDEX(编号表!$D:$D,MATCH(D859,编号表!$C:$C,0))*100+E859</f>
        <v>1026515</v>
      </c>
      <c r="C859" s="3" t="s">
        <v>229</v>
      </c>
      <c r="D859" s="11" t="s">
        <v>44</v>
      </c>
      <c r="E859" s="11">
        <f t="shared" si="24"/>
        <v>15</v>
      </c>
      <c r="F859" s="3" t="s">
        <v>191</v>
      </c>
      <c r="G859" s="16" t="s">
        <v>39</v>
      </c>
      <c r="H859" s="3">
        <v>60251003</v>
      </c>
      <c r="I859" s="12">
        <v>15</v>
      </c>
    </row>
    <row r="860" spans="2:9">
      <c r="B860" s="11">
        <f>1000000+INDEX(编号表!$B:$B,MATCH(C860,编号表!$A:$A,0))*1000+INDEX(编号表!$D:$D,MATCH(D860,编号表!$C:$C,0))*100+E860</f>
        <v>1026615</v>
      </c>
      <c r="C860" s="3" t="s">
        <v>229</v>
      </c>
      <c r="D860" s="11" t="s">
        <v>46</v>
      </c>
      <c r="E860" s="11">
        <f t="shared" si="24"/>
        <v>15</v>
      </c>
      <c r="F860" s="3" t="s">
        <v>209</v>
      </c>
      <c r="G860" s="16" t="s">
        <v>39</v>
      </c>
      <c r="H860" s="3">
        <v>60251004</v>
      </c>
      <c r="I860" s="12">
        <v>15</v>
      </c>
    </row>
    <row r="861" spans="2:9">
      <c r="B861" s="11">
        <f>1000000+INDEX(编号表!$B:$B,MATCH(C861,编号表!$A:$A,0))*1000+INDEX(编号表!$D:$D,MATCH(D861,编号表!$C:$C,0))*100+E861</f>
        <v>1026715</v>
      </c>
      <c r="C861" s="3" t="s">
        <v>229</v>
      </c>
      <c r="D861" s="11" t="s">
        <v>48</v>
      </c>
      <c r="E861" s="11">
        <f t="shared" si="24"/>
        <v>15</v>
      </c>
      <c r="F861" s="3" t="s">
        <v>222</v>
      </c>
      <c r="G861" s="16" t="s">
        <v>39</v>
      </c>
      <c r="H861" s="3">
        <v>60251005</v>
      </c>
      <c r="I861" s="12">
        <v>15</v>
      </c>
    </row>
    <row r="862" spans="2:9">
      <c r="B862" s="11">
        <f>1000000+INDEX(编号表!$B:$B,MATCH(C862,编号表!$A:$A,0))*1000+INDEX(编号表!$D:$D,MATCH(D862,编号表!$C:$C,0))*100+E862</f>
        <v>1026815</v>
      </c>
      <c r="C862" s="3" t="s">
        <v>229</v>
      </c>
      <c r="D862" s="11" t="s">
        <v>50</v>
      </c>
      <c r="E862" s="11">
        <f t="shared" si="24"/>
        <v>15</v>
      </c>
      <c r="F862" s="3" t="s">
        <v>221</v>
      </c>
      <c r="G862" s="16" t="s">
        <v>39</v>
      </c>
      <c r="H862" s="3">
        <v>60251006</v>
      </c>
      <c r="I862" s="12">
        <v>15</v>
      </c>
    </row>
    <row r="863" spans="2:9">
      <c r="B863" s="11">
        <f>1000000+INDEX(编号表!$B:$B,MATCH(C863,编号表!$A:$A,0))*1000+INDEX(编号表!$D:$D,MATCH(D863,编号表!$C:$C,0))*100+E863</f>
        <v>1026915</v>
      </c>
      <c r="C863" s="3" t="s">
        <v>229</v>
      </c>
      <c r="D863" s="11" t="s">
        <v>52</v>
      </c>
      <c r="E863" s="11">
        <f t="shared" si="24"/>
        <v>15</v>
      </c>
      <c r="F863" s="3" t="s">
        <v>224</v>
      </c>
      <c r="G863" s="16" t="s">
        <v>39</v>
      </c>
      <c r="H863" s="3">
        <v>60251007</v>
      </c>
      <c r="I863" s="12">
        <v>15</v>
      </c>
    </row>
    <row r="864" spans="2:9">
      <c r="B864" s="11">
        <f>1000000+INDEX(编号表!$B:$B,MATCH(C864,编号表!$A:$A,0))*1000+INDEX(编号表!$D:$D,MATCH(D864,编号表!$C:$C,0))*100+E864</f>
        <v>1027001</v>
      </c>
      <c r="C864" s="3" t="s">
        <v>230</v>
      </c>
      <c r="D864" s="11" t="s">
        <v>55</v>
      </c>
      <c r="E864" s="11">
        <v>1</v>
      </c>
      <c r="F864" s="17" t="s">
        <v>167</v>
      </c>
      <c r="G864" s="16" t="s">
        <v>57</v>
      </c>
      <c r="H864" s="11">
        <v>60264000</v>
      </c>
      <c r="I864" s="12">
        <v>1</v>
      </c>
    </row>
    <row r="865" spans="2:9">
      <c r="B865" s="11">
        <f>1000000+INDEX(编号表!$B:$B,MATCH(C865,编号表!$A:$A,0))*1000+INDEX(编号表!$D:$D,MATCH(D865,编号表!$C:$C,0))*100+E865</f>
        <v>1027002</v>
      </c>
      <c r="C865" s="3" t="s">
        <v>230</v>
      </c>
      <c r="D865" s="11" t="s">
        <v>55</v>
      </c>
      <c r="E865" s="11">
        <v>2</v>
      </c>
      <c r="F865" s="17" t="s">
        <v>167</v>
      </c>
      <c r="G865" s="16" t="s">
        <v>57</v>
      </c>
      <c r="H865" s="11">
        <v>60264001</v>
      </c>
      <c r="I865" s="12">
        <v>1</v>
      </c>
    </row>
    <row r="866" spans="2:9">
      <c r="B866" s="11">
        <f>1000000+INDEX(编号表!$B:$B,MATCH(C866,编号表!$A:$A,0))*1000+INDEX(编号表!$D:$D,MATCH(D866,编号表!$C:$C,0))*100+E866</f>
        <v>1027003</v>
      </c>
      <c r="C866" s="3" t="s">
        <v>230</v>
      </c>
      <c r="D866" s="11" t="s">
        <v>55</v>
      </c>
      <c r="E866" s="11">
        <v>3</v>
      </c>
      <c r="F866" s="17" t="s">
        <v>167</v>
      </c>
      <c r="G866" s="16" t="s">
        <v>57</v>
      </c>
      <c r="H866" s="11">
        <v>60264002</v>
      </c>
      <c r="I866" s="12">
        <v>1</v>
      </c>
    </row>
    <row r="867" spans="2:9">
      <c r="B867" s="11">
        <f>1000000+INDEX(编号表!$B:$B,MATCH(C867,编号表!$A:$A,0))*1000+INDEX(编号表!$D:$D,MATCH(D867,编号表!$C:$C,0))*100+E867</f>
        <v>1027101</v>
      </c>
      <c r="C867" s="3" t="s">
        <v>230</v>
      </c>
      <c r="D867" s="11" t="s">
        <v>58</v>
      </c>
      <c r="E867" s="11">
        <v>1</v>
      </c>
      <c r="F867" s="17" t="s">
        <v>59</v>
      </c>
      <c r="G867" s="16" t="s">
        <v>57</v>
      </c>
      <c r="H867" s="21">
        <v>60262000</v>
      </c>
      <c r="I867" s="12">
        <v>1</v>
      </c>
    </row>
    <row r="868" spans="2:9">
      <c r="B868" s="11">
        <f>1000000+INDEX(编号表!$B:$B,MATCH(C868,编号表!$A:$A,0))*1000+INDEX(编号表!$D:$D,MATCH(D868,编号表!$C:$C,0))*100+E868</f>
        <v>1027102</v>
      </c>
      <c r="C868" s="3" t="s">
        <v>230</v>
      </c>
      <c r="D868" s="11" t="s">
        <v>58</v>
      </c>
      <c r="E868" s="11">
        <v>2</v>
      </c>
      <c r="F868" s="17" t="s">
        <v>59</v>
      </c>
      <c r="G868" s="16" t="s">
        <v>57</v>
      </c>
      <c r="H868" s="21">
        <v>60262001</v>
      </c>
      <c r="I868" s="12">
        <v>1</v>
      </c>
    </row>
    <row r="869" spans="2:9">
      <c r="B869" s="11">
        <f>1000000+INDEX(编号表!$B:$B,MATCH(C869,编号表!$A:$A,0))*1000+INDEX(编号表!$D:$D,MATCH(D869,编号表!$C:$C,0))*100+E869</f>
        <v>1027103</v>
      </c>
      <c r="C869" s="3" t="s">
        <v>230</v>
      </c>
      <c r="D869" s="11" t="s">
        <v>58</v>
      </c>
      <c r="E869" s="11">
        <v>3</v>
      </c>
      <c r="F869" s="17" t="s">
        <v>59</v>
      </c>
      <c r="G869" s="16" t="s">
        <v>57</v>
      </c>
      <c r="H869" s="21">
        <v>60262002</v>
      </c>
      <c r="I869" s="12">
        <v>1</v>
      </c>
    </row>
    <row r="870" spans="2:9">
      <c r="B870" s="11">
        <f>1000000+INDEX(编号表!$B:$B,MATCH(C870,编号表!$A:$A,0))*1000+INDEX(编号表!$D:$D,MATCH(D870,编号表!$C:$C,0))*100+E870</f>
        <v>1027201</v>
      </c>
      <c r="C870" s="3" t="s">
        <v>230</v>
      </c>
      <c r="D870" s="11" t="s">
        <v>37</v>
      </c>
      <c r="E870" s="11">
        <f t="shared" ref="E870:E911" si="25">I870+K870+M870+O870+Q870+S870+U870+W870+Y870+AA870</f>
        <v>1</v>
      </c>
      <c r="F870" s="3" t="s">
        <v>207</v>
      </c>
      <c r="G870" s="16" t="s">
        <v>39</v>
      </c>
      <c r="H870" s="3">
        <v>60261000</v>
      </c>
      <c r="I870" s="12">
        <v>1</v>
      </c>
    </row>
    <row r="871" spans="2:9">
      <c r="B871" s="11">
        <f>1000000+INDEX(编号表!$B:$B,MATCH(C871,编号表!$A:$A,0))*1000+INDEX(编号表!$D:$D,MATCH(D871,编号表!$C:$C,0))*100+E871</f>
        <v>1027301</v>
      </c>
      <c r="C871" s="3" t="s">
        <v>230</v>
      </c>
      <c r="D871" s="11" t="s">
        <v>40</v>
      </c>
      <c r="E871" s="11">
        <f t="shared" si="25"/>
        <v>1</v>
      </c>
      <c r="F871" s="3" t="s">
        <v>206</v>
      </c>
      <c r="G871" s="16" t="s">
        <v>39</v>
      </c>
      <c r="H871" s="3">
        <v>60261001</v>
      </c>
      <c r="I871" s="12">
        <v>1</v>
      </c>
    </row>
    <row r="872" spans="2:9">
      <c r="B872" s="11">
        <f>1000000+INDEX(编号表!$B:$B,MATCH(C872,编号表!$A:$A,0))*1000+INDEX(编号表!$D:$D,MATCH(D872,编号表!$C:$C,0))*100+E872</f>
        <v>1027401</v>
      </c>
      <c r="C872" s="3" t="s">
        <v>230</v>
      </c>
      <c r="D872" s="11" t="s">
        <v>42</v>
      </c>
      <c r="E872" s="11">
        <f t="shared" si="25"/>
        <v>1</v>
      </c>
      <c r="F872" s="3" t="s">
        <v>191</v>
      </c>
      <c r="G872" s="16" t="s">
        <v>39</v>
      </c>
      <c r="H872" s="3">
        <v>60261002</v>
      </c>
      <c r="I872" s="12">
        <v>1</v>
      </c>
    </row>
    <row r="873" spans="2:9">
      <c r="B873" s="11">
        <f>1000000+INDEX(编号表!$B:$B,MATCH(C873,编号表!$A:$A,0))*1000+INDEX(编号表!$D:$D,MATCH(D873,编号表!$C:$C,0))*100+E873</f>
        <v>1027501</v>
      </c>
      <c r="C873" s="3" t="s">
        <v>230</v>
      </c>
      <c r="D873" s="11" t="s">
        <v>44</v>
      </c>
      <c r="E873" s="11">
        <f t="shared" si="25"/>
        <v>1</v>
      </c>
      <c r="F873" s="3" t="s">
        <v>209</v>
      </c>
      <c r="G873" s="16" t="s">
        <v>39</v>
      </c>
      <c r="H873" s="3">
        <v>60261003</v>
      </c>
      <c r="I873" s="12">
        <v>1</v>
      </c>
    </row>
    <row r="874" spans="2:9">
      <c r="B874" s="11">
        <f>1000000+INDEX(编号表!$B:$B,MATCH(C874,编号表!$A:$A,0))*1000+INDEX(编号表!$D:$D,MATCH(D874,编号表!$C:$C,0))*100+E874</f>
        <v>1027601</v>
      </c>
      <c r="C874" s="3" t="s">
        <v>230</v>
      </c>
      <c r="D874" s="11" t="s">
        <v>46</v>
      </c>
      <c r="E874" s="11">
        <f t="shared" si="25"/>
        <v>1</v>
      </c>
      <c r="F874" s="3" t="s">
        <v>222</v>
      </c>
      <c r="G874" s="16" t="s">
        <v>39</v>
      </c>
      <c r="H874" s="3">
        <v>60261004</v>
      </c>
      <c r="I874" s="12">
        <v>1</v>
      </c>
    </row>
    <row r="875" spans="2:9">
      <c r="B875" s="11">
        <f>1000000+INDEX(编号表!$B:$B,MATCH(C875,编号表!$A:$A,0))*1000+INDEX(编号表!$D:$D,MATCH(D875,编号表!$C:$C,0))*100+E875</f>
        <v>1027701</v>
      </c>
      <c r="C875" s="3" t="s">
        <v>230</v>
      </c>
      <c r="D875" s="11" t="s">
        <v>48</v>
      </c>
      <c r="E875" s="11">
        <f t="shared" si="25"/>
        <v>1</v>
      </c>
      <c r="F875" s="3" t="s">
        <v>221</v>
      </c>
      <c r="G875" s="16" t="s">
        <v>39</v>
      </c>
      <c r="H875" s="3">
        <v>60261005</v>
      </c>
      <c r="I875" s="12">
        <v>1</v>
      </c>
    </row>
    <row r="876" spans="2:9">
      <c r="B876" s="11">
        <f>1000000+INDEX(编号表!$B:$B,MATCH(C876,编号表!$A:$A,0))*1000+INDEX(编号表!$D:$D,MATCH(D876,编号表!$C:$C,0))*100+E876</f>
        <v>1027801</v>
      </c>
      <c r="C876" s="3" t="s">
        <v>230</v>
      </c>
      <c r="D876" s="11" t="s">
        <v>50</v>
      </c>
      <c r="E876" s="11">
        <f t="shared" si="25"/>
        <v>1</v>
      </c>
      <c r="F876" s="3" t="s">
        <v>224</v>
      </c>
      <c r="G876" s="16" t="s">
        <v>39</v>
      </c>
      <c r="H876" s="3">
        <v>60261006</v>
      </c>
      <c r="I876" s="12">
        <v>1</v>
      </c>
    </row>
    <row r="877" spans="2:9">
      <c r="B877" s="11">
        <f>1000000+INDEX(编号表!$B:$B,MATCH(C877,编号表!$A:$A,0))*1000+INDEX(编号表!$D:$D,MATCH(D877,编号表!$C:$C,0))*100+E877</f>
        <v>1027202</v>
      </c>
      <c r="C877" s="3" t="s">
        <v>230</v>
      </c>
      <c r="D877" s="11" t="s">
        <v>37</v>
      </c>
      <c r="E877" s="11">
        <f t="shared" si="25"/>
        <v>2</v>
      </c>
      <c r="F877" s="3" t="s">
        <v>207</v>
      </c>
      <c r="G877" s="16" t="s">
        <v>39</v>
      </c>
      <c r="H877" s="3">
        <v>60261000</v>
      </c>
      <c r="I877" s="12">
        <v>2</v>
      </c>
    </row>
    <row r="878" spans="2:9">
      <c r="B878" s="11">
        <f>1000000+INDEX(编号表!$B:$B,MATCH(C878,编号表!$A:$A,0))*1000+INDEX(编号表!$D:$D,MATCH(D878,编号表!$C:$C,0))*100+E878</f>
        <v>1027302</v>
      </c>
      <c r="C878" s="3" t="s">
        <v>230</v>
      </c>
      <c r="D878" s="11" t="s">
        <v>40</v>
      </c>
      <c r="E878" s="11">
        <f t="shared" si="25"/>
        <v>2</v>
      </c>
      <c r="F878" s="3" t="s">
        <v>206</v>
      </c>
      <c r="G878" s="16" t="s">
        <v>39</v>
      </c>
      <c r="H878" s="3">
        <v>60261001</v>
      </c>
      <c r="I878" s="12">
        <v>2</v>
      </c>
    </row>
    <row r="879" spans="2:9">
      <c r="B879" s="11">
        <f>1000000+INDEX(编号表!$B:$B,MATCH(C879,编号表!$A:$A,0))*1000+INDEX(编号表!$D:$D,MATCH(D879,编号表!$C:$C,0))*100+E879</f>
        <v>1027402</v>
      </c>
      <c r="C879" s="3" t="s">
        <v>230</v>
      </c>
      <c r="D879" s="11" t="s">
        <v>42</v>
      </c>
      <c r="E879" s="11">
        <f t="shared" si="25"/>
        <v>2</v>
      </c>
      <c r="F879" s="3" t="s">
        <v>191</v>
      </c>
      <c r="G879" s="16" t="s">
        <v>39</v>
      </c>
      <c r="H879" s="3">
        <v>60261002</v>
      </c>
      <c r="I879" s="12">
        <v>2</v>
      </c>
    </row>
    <row r="880" spans="2:9">
      <c r="B880" s="11">
        <f>1000000+INDEX(编号表!$B:$B,MATCH(C880,编号表!$A:$A,0))*1000+INDEX(编号表!$D:$D,MATCH(D880,编号表!$C:$C,0))*100+E880</f>
        <v>1027502</v>
      </c>
      <c r="C880" s="3" t="s">
        <v>230</v>
      </c>
      <c r="D880" s="11" t="s">
        <v>44</v>
      </c>
      <c r="E880" s="11">
        <f t="shared" si="25"/>
        <v>2</v>
      </c>
      <c r="F880" s="3" t="s">
        <v>209</v>
      </c>
      <c r="G880" s="16" t="s">
        <v>39</v>
      </c>
      <c r="H880" s="3">
        <v>60261003</v>
      </c>
      <c r="I880" s="12">
        <v>2</v>
      </c>
    </row>
    <row r="881" spans="2:9">
      <c r="B881" s="11">
        <f>1000000+INDEX(编号表!$B:$B,MATCH(C881,编号表!$A:$A,0))*1000+INDEX(编号表!$D:$D,MATCH(D881,编号表!$C:$C,0))*100+E881</f>
        <v>1027602</v>
      </c>
      <c r="C881" s="3" t="s">
        <v>230</v>
      </c>
      <c r="D881" s="11" t="s">
        <v>46</v>
      </c>
      <c r="E881" s="11">
        <f t="shared" si="25"/>
        <v>2</v>
      </c>
      <c r="F881" s="3" t="s">
        <v>222</v>
      </c>
      <c r="G881" s="16" t="s">
        <v>39</v>
      </c>
      <c r="H881" s="3">
        <v>60261004</v>
      </c>
      <c r="I881" s="12">
        <v>2</v>
      </c>
    </row>
    <row r="882" spans="2:9">
      <c r="B882" s="11">
        <f>1000000+INDEX(编号表!$B:$B,MATCH(C882,编号表!$A:$A,0))*1000+INDEX(编号表!$D:$D,MATCH(D882,编号表!$C:$C,0))*100+E882</f>
        <v>1027702</v>
      </c>
      <c r="C882" s="3" t="s">
        <v>230</v>
      </c>
      <c r="D882" s="11" t="s">
        <v>48</v>
      </c>
      <c r="E882" s="11">
        <f t="shared" si="25"/>
        <v>2</v>
      </c>
      <c r="F882" s="3" t="s">
        <v>221</v>
      </c>
      <c r="G882" s="16" t="s">
        <v>39</v>
      </c>
      <c r="H882" s="3">
        <v>60261005</v>
      </c>
      <c r="I882" s="12">
        <v>2</v>
      </c>
    </row>
    <row r="883" spans="2:9">
      <c r="B883" s="11">
        <f>1000000+INDEX(编号表!$B:$B,MATCH(C883,编号表!$A:$A,0))*1000+INDEX(编号表!$D:$D,MATCH(D883,编号表!$C:$C,0))*100+E883</f>
        <v>1027802</v>
      </c>
      <c r="C883" s="3" t="s">
        <v>230</v>
      </c>
      <c r="D883" s="11" t="s">
        <v>50</v>
      </c>
      <c r="E883" s="11">
        <f t="shared" si="25"/>
        <v>2</v>
      </c>
      <c r="F883" s="3" t="s">
        <v>224</v>
      </c>
      <c r="G883" s="16" t="s">
        <v>39</v>
      </c>
      <c r="H883" s="3">
        <v>60261006</v>
      </c>
      <c r="I883" s="12">
        <v>2</v>
      </c>
    </row>
    <row r="884" spans="2:9">
      <c r="B884" s="11">
        <f>1000000+INDEX(编号表!$B:$B,MATCH(C884,编号表!$A:$A,0))*1000+INDEX(编号表!$D:$D,MATCH(D884,编号表!$C:$C,0))*100+E884</f>
        <v>1027203</v>
      </c>
      <c r="C884" s="3" t="s">
        <v>230</v>
      </c>
      <c r="D884" s="11" t="s">
        <v>37</v>
      </c>
      <c r="E884" s="11">
        <f t="shared" si="25"/>
        <v>3</v>
      </c>
      <c r="F884" s="3" t="s">
        <v>207</v>
      </c>
      <c r="G884" s="16" t="s">
        <v>39</v>
      </c>
      <c r="H884" s="3">
        <v>60261000</v>
      </c>
      <c r="I884" s="12">
        <v>3</v>
      </c>
    </row>
    <row r="885" spans="2:9">
      <c r="B885" s="11">
        <f>1000000+INDEX(编号表!$B:$B,MATCH(C885,编号表!$A:$A,0))*1000+INDEX(编号表!$D:$D,MATCH(D885,编号表!$C:$C,0))*100+E885</f>
        <v>1027303</v>
      </c>
      <c r="C885" s="3" t="s">
        <v>230</v>
      </c>
      <c r="D885" s="11" t="s">
        <v>40</v>
      </c>
      <c r="E885" s="11">
        <f t="shared" si="25"/>
        <v>3</v>
      </c>
      <c r="F885" s="3" t="s">
        <v>206</v>
      </c>
      <c r="G885" s="16" t="s">
        <v>39</v>
      </c>
      <c r="H885" s="3">
        <v>60261001</v>
      </c>
      <c r="I885" s="12">
        <v>3</v>
      </c>
    </row>
    <row r="886" spans="2:9">
      <c r="B886" s="11">
        <f>1000000+INDEX(编号表!$B:$B,MATCH(C886,编号表!$A:$A,0))*1000+INDEX(编号表!$D:$D,MATCH(D886,编号表!$C:$C,0))*100+E886</f>
        <v>1027403</v>
      </c>
      <c r="C886" s="3" t="s">
        <v>230</v>
      </c>
      <c r="D886" s="11" t="s">
        <v>42</v>
      </c>
      <c r="E886" s="11">
        <f t="shared" si="25"/>
        <v>3</v>
      </c>
      <c r="F886" s="3" t="s">
        <v>191</v>
      </c>
      <c r="G886" s="16" t="s">
        <v>39</v>
      </c>
      <c r="H886" s="3">
        <v>60261002</v>
      </c>
      <c r="I886" s="12">
        <v>3</v>
      </c>
    </row>
    <row r="887" spans="2:9">
      <c r="B887" s="11">
        <f>1000000+INDEX(编号表!$B:$B,MATCH(C887,编号表!$A:$A,0))*1000+INDEX(编号表!$D:$D,MATCH(D887,编号表!$C:$C,0))*100+E887</f>
        <v>1027503</v>
      </c>
      <c r="C887" s="3" t="s">
        <v>230</v>
      </c>
      <c r="D887" s="11" t="s">
        <v>44</v>
      </c>
      <c r="E887" s="11">
        <f t="shared" si="25"/>
        <v>3</v>
      </c>
      <c r="F887" s="3" t="s">
        <v>209</v>
      </c>
      <c r="G887" s="16" t="s">
        <v>39</v>
      </c>
      <c r="H887" s="3">
        <v>60261003</v>
      </c>
      <c r="I887" s="12">
        <v>3</v>
      </c>
    </row>
    <row r="888" spans="2:9">
      <c r="B888" s="11">
        <f>1000000+INDEX(编号表!$B:$B,MATCH(C888,编号表!$A:$A,0))*1000+INDEX(编号表!$D:$D,MATCH(D888,编号表!$C:$C,0))*100+E888</f>
        <v>1027603</v>
      </c>
      <c r="C888" s="3" t="s">
        <v>230</v>
      </c>
      <c r="D888" s="11" t="s">
        <v>46</v>
      </c>
      <c r="E888" s="11">
        <f t="shared" si="25"/>
        <v>3</v>
      </c>
      <c r="F888" s="3" t="s">
        <v>222</v>
      </c>
      <c r="G888" s="16" t="s">
        <v>39</v>
      </c>
      <c r="H888" s="3">
        <v>60261004</v>
      </c>
      <c r="I888" s="12">
        <v>3</v>
      </c>
    </row>
    <row r="889" spans="2:9">
      <c r="B889" s="11">
        <f>1000000+INDEX(编号表!$B:$B,MATCH(C889,编号表!$A:$A,0))*1000+INDEX(编号表!$D:$D,MATCH(D889,编号表!$C:$C,0))*100+E889</f>
        <v>1027703</v>
      </c>
      <c r="C889" s="3" t="s">
        <v>230</v>
      </c>
      <c r="D889" s="11" t="s">
        <v>48</v>
      </c>
      <c r="E889" s="11">
        <f t="shared" si="25"/>
        <v>3</v>
      </c>
      <c r="F889" s="3" t="s">
        <v>221</v>
      </c>
      <c r="G889" s="16" t="s">
        <v>39</v>
      </c>
      <c r="H889" s="3">
        <v>60261005</v>
      </c>
      <c r="I889" s="12">
        <v>3</v>
      </c>
    </row>
    <row r="890" spans="2:9">
      <c r="B890" s="11">
        <f>1000000+INDEX(编号表!$B:$B,MATCH(C890,编号表!$A:$A,0))*1000+INDEX(编号表!$D:$D,MATCH(D890,编号表!$C:$C,0))*100+E890</f>
        <v>1027803</v>
      </c>
      <c r="C890" s="3" t="s">
        <v>230</v>
      </c>
      <c r="D890" s="11" t="s">
        <v>50</v>
      </c>
      <c r="E890" s="11">
        <f t="shared" si="25"/>
        <v>3</v>
      </c>
      <c r="F890" s="3" t="s">
        <v>224</v>
      </c>
      <c r="G890" s="16" t="s">
        <v>39</v>
      </c>
      <c r="H890" s="3">
        <v>60261006</v>
      </c>
      <c r="I890" s="12">
        <v>3</v>
      </c>
    </row>
    <row r="891" spans="2:9">
      <c r="B891" s="11">
        <f>1000000+INDEX(编号表!$B:$B,MATCH(C891,编号表!$A:$A,0))*1000+INDEX(编号表!$D:$D,MATCH(D891,编号表!$C:$C,0))*100+E891</f>
        <v>1027205</v>
      </c>
      <c r="C891" s="3" t="s">
        <v>230</v>
      </c>
      <c r="D891" s="11" t="s">
        <v>37</v>
      </c>
      <c r="E891" s="11">
        <f t="shared" si="25"/>
        <v>5</v>
      </c>
      <c r="F891" s="3" t="s">
        <v>207</v>
      </c>
      <c r="G891" s="16" t="s">
        <v>39</v>
      </c>
      <c r="H891" s="3">
        <v>60261000</v>
      </c>
      <c r="I891" s="12">
        <v>5</v>
      </c>
    </row>
    <row r="892" spans="2:9">
      <c r="B892" s="11">
        <f>1000000+INDEX(编号表!$B:$B,MATCH(C892,编号表!$A:$A,0))*1000+INDEX(编号表!$D:$D,MATCH(D892,编号表!$C:$C,0))*100+E892</f>
        <v>1027305</v>
      </c>
      <c r="C892" s="3" t="s">
        <v>230</v>
      </c>
      <c r="D892" s="11" t="s">
        <v>40</v>
      </c>
      <c r="E892" s="11">
        <f t="shared" si="25"/>
        <v>5</v>
      </c>
      <c r="F892" s="3" t="s">
        <v>206</v>
      </c>
      <c r="G892" s="16" t="s">
        <v>39</v>
      </c>
      <c r="H892" s="3">
        <v>60261001</v>
      </c>
      <c r="I892" s="12">
        <v>5</v>
      </c>
    </row>
    <row r="893" spans="2:9">
      <c r="B893" s="11">
        <f>1000000+INDEX(编号表!$B:$B,MATCH(C893,编号表!$A:$A,0))*1000+INDEX(编号表!$D:$D,MATCH(D893,编号表!$C:$C,0))*100+E893</f>
        <v>1027405</v>
      </c>
      <c r="C893" s="3" t="s">
        <v>230</v>
      </c>
      <c r="D893" s="11" t="s">
        <v>42</v>
      </c>
      <c r="E893" s="11">
        <f t="shared" si="25"/>
        <v>5</v>
      </c>
      <c r="F893" s="3" t="s">
        <v>191</v>
      </c>
      <c r="G893" s="16" t="s">
        <v>39</v>
      </c>
      <c r="H893" s="3">
        <v>60261002</v>
      </c>
      <c r="I893" s="12">
        <v>5</v>
      </c>
    </row>
    <row r="894" spans="2:9">
      <c r="B894" s="11">
        <f>1000000+INDEX(编号表!$B:$B,MATCH(C894,编号表!$A:$A,0))*1000+INDEX(编号表!$D:$D,MATCH(D894,编号表!$C:$C,0))*100+E894</f>
        <v>1027505</v>
      </c>
      <c r="C894" s="3" t="s">
        <v>230</v>
      </c>
      <c r="D894" s="11" t="s">
        <v>44</v>
      </c>
      <c r="E894" s="11">
        <f t="shared" si="25"/>
        <v>5</v>
      </c>
      <c r="F894" s="3" t="s">
        <v>209</v>
      </c>
      <c r="G894" s="16" t="s">
        <v>39</v>
      </c>
      <c r="H894" s="3">
        <v>60261003</v>
      </c>
      <c r="I894" s="12">
        <v>5</v>
      </c>
    </row>
    <row r="895" spans="2:9">
      <c r="B895" s="11">
        <f>1000000+INDEX(编号表!$B:$B,MATCH(C895,编号表!$A:$A,0))*1000+INDEX(编号表!$D:$D,MATCH(D895,编号表!$C:$C,0))*100+E895</f>
        <v>1027605</v>
      </c>
      <c r="C895" s="3" t="s">
        <v>230</v>
      </c>
      <c r="D895" s="11" t="s">
        <v>46</v>
      </c>
      <c r="E895" s="11">
        <f t="shared" si="25"/>
        <v>5</v>
      </c>
      <c r="F895" s="3" t="s">
        <v>222</v>
      </c>
      <c r="G895" s="16" t="s">
        <v>39</v>
      </c>
      <c r="H895" s="3">
        <v>60261004</v>
      </c>
      <c r="I895" s="12">
        <v>5</v>
      </c>
    </row>
    <row r="896" spans="2:9">
      <c r="B896" s="11">
        <f>1000000+INDEX(编号表!$B:$B,MATCH(C896,编号表!$A:$A,0))*1000+INDEX(编号表!$D:$D,MATCH(D896,编号表!$C:$C,0))*100+E896</f>
        <v>1027705</v>
      </c>
      <c r="C896" s="3" t="s">
        <v>230</v>
      </c>
      <c r="D896" s="11" t="s">
        <v>48</v>
      </c>
      <c r="E896" s="11">
        <f t="shared" si="25"/>
        <v>5</v>
      </c>
      <c r="F896" s="3" t="s">
        <v>221</v>
      </c>
      <c r="G896" s="16" t="s">
        <v>39</v>
      </c>
      <c r="H896" s="3">
        <v>60261005</v>
      </c>
      <c r="I896" s="12">
        <v>5</v>
      </c>
    </row>
    <row r="897" spans="2:9">
      <c r="B897" s="11">
        <f>1000000+INDEX(编号表!$B:$B,MATCH(C897,编号表!$A:$A,0))*1000+INDEX(编号表!$D:$D,MATCH(D897,编号表!$C:$C,0))*100+E897</f>
        <v>1027805</v>
      </c>
      <c r="C897" s="3" t="s">
        <v>230</v>
      </c>
      <c r="D897" s="11" t="s">
        <v>50</v>
      </c>
      <c r="E897" s="11">
        <f t="shared" si="25"/>
        <v>5</v>
      </c>
      <c r="F897" s="3" t="s">
        <v>224</v>
      </c>
      <c r="G897" s="16" t="s">
        <v>39</v>
      </c>
      <c r="H897" s="3">
        <v>60261006</v>
      </c>
      <c r="I897" s="12">
        <v>5</v>
      </c>
    </row>
    <row r="898" spans="2:9">
      <c r="B898" s="11">
        <f>1000000+INDEX(编号表!$B:$B,MATCH(C898,编号表!$A:$A,0))*1000+INDEX(编号表!$D:$D,MATCH(D898,编号表!$C:$C,0))*100+E898</f>
        <v>1027210</v>
      </c>
      <c r="C898" s="3" t="s">
        <v>230</v>
      </c>
      <c r="D898" s="11" t="s">
        <v>37</v>
      </c>
      <c r="E898" s="11">
        <f t="shared" si="25"/>
        <v>10</v>
      </c>
      <c r="F898" s="3" t="s">
        <v>207</v>
      </c>
      <c r="G898" s="16" t="s">
        <v>39</v>
      </c>
      <c r="H898" s="3">
        <v>60261000</v>
      </c>
      <c r="I898" s="12">
        <v>10</v>
      </c>
    </row>
    <row r="899" spans="2:9">
      <c r="B899" s="11">
        <f>1000000+INDEX(编号表!$B:$B,MATCH(C899,编号表!$A:$A,0))*1000+INDEX(编号表!$D:$D,MATCH(D899,编号表!$C:$C,0))*100+E899</f>
        <v>1027310</v>
      </c>
      <c r="C899" s="3" t="s">
        <v>230</v>
      </c>
      <c r="D899" s="11" t="s">
        <v>40</v>
      </c>
      <c r="E899" s="11">
        <f t="shared" si="25"/>
        <v>10</v>
      </c>
      <c r="F899" s="3" t="s">
        <v>206</v>
      </c>
      <c r="G899" s="16" t="s">
        <v>39</v>
      </c>
      <c r="H899" s="3">
        <v>60261001</v>
      </c>
      <c r="I899" s="12">
        <v>10</v>
      </c>
    </row>
    <row r="900" spans="2:9">
      <c r="B900" s="11">
        <f>1000000+INDEX(编号表!$B:$B,MATCH(C900,编号表!$A:$A,0))*1000+INDEX(编号表!$D:$D,MATCH(D900,编号表!$C:$C,0))*100+E900</f>
        <v>1027410</v>
      </c>
      <c r="C900" s="3" t="s">
        <v>230</v>
      </c>
      <c r="D900" s="11" t="s">
        <v>42</v>
      </c>
      <c r="E900" s="11">
        <f t="shared" si="25"/>
        <v>10</v>
      </c>
      <c r="F900" s="3" t="s">
        <v>191</v>
      </c>
      <c r="G900" s="16" t="s">
        <v>39</v>
      </c>
      <c r="H900" s="3">
        <v>60261002</v>
      </c>
      <c r="I900" s="12">
        <v>10</v>
      </c>
    </row>
    <row r="901" spans="2:9">
      <c r="B901" s="11">
        <f>1000000+INDEX(编号表!$B:$B,MATCH(C901,编号表!$A:$A,0))*1000+INDEX(编号表!$D:$D,MATCH(D901,编号表!$C:$C,0))*100+E901</f>
        <v>1027510</v>
      </c>
      <c r="C901" s="3" t="s">
        <v>230</v>
      </c>
      <c r="D901" s="11" t="s">
        <v>44</v>
      </c>
      <c r="E901" s="11">
        <f t="shared" si="25"/>
        <v>10</v>
      </c>
      <c r="F901" s="3" t="s">
        <v>209</v>
      </c>
      <c r="G901" s="16" t="s">
        <v>39</v>
      </c>
      <c r="H901" s="3">
        <v>60261003</v>
      </c>
      <c r="I901" s="12">
        <v>10</v>
      </c>
    </row>
    <row r="902" spans="2:9">
      <c r="B902" s="11">
        <f>1000000+INDEX(编号表!$B:$B,MATCH(C902,编号表!$A:$A,0))*1000+INDEX(编号表!$D:$D,MATCH(D902,编号表!$C:$C,0))*100+E902</f>
        <v>1027610</v>
      </c>
      <c r="C902" s="3" t="s">
        <v>230</v>
      </c>
      <c r="D902" s="11" t="s">
        <v>46</v>
      </c>
      <c r="E902" s="11">
        <f t="shared" si="25"/>
        <v>10</v>
      </c>
      <c r="F902" s="3" t="s">
        <v>222</v>
      </c>
      <c r="G902" s="16" t="s">
        <v>39</v>
      </c>
      <c r="H902" s="3">
        <v>60261004</v>
      </c>
      <c r="I902" s="12">
        <v>10</v>
      </c>
    </row>
    <row r="903" spans="2:9">
      <c r="B903" s="11">
        <f>1000000+INDEX(编号表!$B:$B,MATCH(C903,编号表!$A:$A,0))*1000+INDEX(编号表!$D:$D,MATCH(D903,编号表!$C:$C,0))*100+E903</f>
        <v>1027710</v>
      </c>
      <c r="C903" s="3" t="s">
        <v>230</v>
      </c>
      <c r="D903" s="11" t="s">
        <v>48</v>
      </c>
      <c r="E903" s="11">
        <f t="shared" si="25"/>
        <v>10</v>
      </c>
      <c r="F903" s="3" t="s">
        <v>221</v>
      </c>
      <c r="G903" s="16" t="s">
        <v>39</v>
      </c>
      <c r="H903" s="3">
        <v>60261005</v>
      </c>
      <c r="I903" s="12">
        <v>10</v>
      </c>
    </row>
    <row r="904" spans="2:9">
      <c r="B904" s="11">
        <f>1000000+INDEX(编号表!$B:$B,MATCH(C904,编号表!$A:$A,0))*1000+INDEX(编号表!$D:$D,MATCH(D904,编号表!$C:$C,0))*100+E904</f>
        <v>1027810</v>
      </c>
      <c r="C904" s="3" t="s">
        <v>230</v>
      </c>
      <c r="D904" s="11" t="s">
        <v>50</v>
      </c>
      <c r="E904" s="11">
        <f t="shared" si="25"/>
        <v>10</v>
      </c>
      <c r="F904" s="3" t="s">
        <v>224</v>
      </c>
      <c r="G904" s="16" t="s">
        <v>39</v>
      </c>
      <c r="H904" s="3">
        <v>60261006</v>
      </c>
      <c r="I904" s="12">
        <v>10</v>
      </c>
    </row>
    <row r="905" spans="2:9">
      <c r="B905" s="11">
        <f>1000000+INDEX(编号表!$B:$B,MATCH(C905,编号表!$A:$A,0))*1000+INDEX(编号表!$D:$D,MATCH(D905,编号表!$C:$C,0))*100+E905</f>
        <v>1027215</v>
      </c>
      <c r="C905" s="3" t="s">
        <v>230</v>
      </c>
      <c r="D905" s="11" t="s">
        <v>37</v>
      </c>
      <c r="E905" s="11">
        <f t="shared" si="25"/>
        <v>15</v>
      </c>
      <c r="F905" s="3" t="s">
        <v>207</v>
      </c>
      <c r="G905" s="16" t="s">
        <v>39</v>
      </c>
      <c r="H905" s="3">
        <v>60261000</v>
      </c>
      <c r="I905" s="12">
        <v>15</v>
      </c>
    </row>
    <row r="906" spans="2:9">
      <c r="B906" s="11">
        <f>1000000+INDEX(编号表!$B:$B,MATCH(C906,编号表!$A:$A,0))*1000+INDEX(编号表!$D:$D,MATCH(D906,编号表!$C:$C,0))*100+E906</f>
        <v>1027315</v>
      </c>
      <c r="C906" s="3" t="s">
        <v>230</v>
      </c>
      <c r="D906" s="11" t="s">
        <v>40</v>
      </c>
      <c r="E906" s="11">
        <f t="shared" si="25"/>
        <v>15</v>
      </c>
      <c r="F906" s="3" t="s">
        <v>206</v>
      </c>
      <c r="G906" s="16" t="s">
        <v>39</v>
      </c>
      <c r="H906" s="3">
        <v>60261001</v>
      </c>
      <c r="I906" s="12">
        <v>15</v>
      </c>
    </row>
    <row r="907" spans="2:9">
      <c r="B907" s="11">
        <f>1000000+INDEX(编号表!$B:$B,MATCH(C907,编号表!$A:$A,0))*1000+INDEX(编号表!$D:$D,MATCH(D907,编号表!$C:$C,0))*100+E907</f>
        <v>1027415</v>
      </c>
      <c r="C907" s="3" t="s">
        <v>230</v>
      </c>
      <c r="D907" s="11" t="s">
        <v>42</v>
      </c>
      <c r="E907" s="11">
        <f t="shared" si="25"/>
        <v>15</v>
      </c>
      <c r="F907" s="3" t="s">
        <v>191</v>
      </c>
      <c r="G907" s="16" t="s">
        <v>39</v>
      </c>
      <c r="H907" s="3">
        <v>60261002</v>
      </c>
      <c r="I907" s="12">
        <v>15</v>
      </c>
    </row>
    <row r="908" spans="2:9">
      <c r="B908" s="11">
        <f>1000000+INDEX(编号表!$B:$B,MATCH(C908,编号表!$A:$A,0))*1000+INDEX(编号表!$D:$D,MATCH(D908,编号表!$C:$C,0))*100+E908</f>
        <v>1027515</v>
      </c>
      <c r="C908" s="3" t="s">
        <v>230</v>
      </c>
      <c r="D908" s="11" t="s">
        <v>44</v>
      </c>
      <c r="E908" s="11">
        <f t="shared" si="25"/>
        <v>15</v>
      </c>
      <c r="F908" s="3" t="s">
        <v>209</v>
      </c>
      <c r="G908" s="16" t="s">
        <v>39</v>
      </c>
      <c r="H908" s="3">
        <v>60261003</v>
      </c>
      <c r="I908" s="12">
        <v>15</v>
      </c>
    </row>
    <row r="909" spans="2:9">
      <c r="B909" s="11">
        <f>1000000+INDEX(编号表!$B:$B,MATCH(C909,编号表!$A:$A,0))*1000+INDEX(编号表!$D:$D,MATCH(D909,编号表!$C:$C,0))*100+E909</f>
        <v>1027615</v>
      </c>
      <c r="C909" s="3" t="s">
        <v>230</v>
      </c>
      <c r="D909" s="11" t="s">
        <v>46</v>
      </c>
      <c r="E909" s="11">
        <f t="shared" si="25"/>
        <v>15</v>
      </c>
      <c r="F909" s="3" t="s">
        <v>222</v>
      </c>
      <c r="G909" s="16" t="s">
        <v>39</v>
      </c>
      <c r="H909" s="3">
        <v>60261004</v>
      </c>
      <c r="I909" s="12">
        <v>15</v>
      </c>
    </row>
    <row r="910" spans="2:9">
      <c r="B910" s="11">
        <f>1000000+INDEX(编号表!$B:$B,MATCH(C910,编号表!$A:$A,0))*1000+INDEX(编号表!$D:$D,MATCH(D910,编号表!$C:$C,0))*100+E910</f>
        <v>1027715</v>
      </c>
      <c r="C910" s="3" t="s">
        <v>230</v>
      </c>
      <c r="D910" s="11" t="s">
        <v>48</v>
      </c>
      <c r="E910" s="11">
        <f t="shared" si="25"/>
        <v>15</v>
      </c>
      <c r="F910" s="3" t="s">
        <v>221</v>
      </c>
      <c r="G910" s="16" t="s">
        <v>39</v>
      </c>
      <c r="H910" s="3">
        <v>60261005</v>
      </c>
      <c r="I910" s="12">
        <v>15</v>
      </c>
    </row>
    <row r="911" spans="2:9">
      <c r="B911" s="11">
        <f>1000000+INDEX(编号表!$B:$B,MATCH(C911,编号表!$A:$A,0))*1000+INDEX(编号表!$D:$D,MATCH(D911,编号表!$C:$C,0))*100+E911</f>
        <v>1027815</v>
      </c>
      <c r="C911" s="3" t="s">
        <v>230</v>
      </c>
      <c r="D911" s="11" t="s">
        <v>50</v>
      </c>
      <c r="E911" s="11">
        <f t="shared" si="25"/>
        <v>15</v>
      </c>
      <c r="F911" s="3" t="s">
        <v>224</v>
      </c>
      <c r="G911" s="16" t="s">
        <v>39</v>
      </c>
      <c r="H911" s="3">
        <v>60261006</v>
      </c>
      <c r="I911" s="12">
        <v>15</v>
      </c>
    </row>
    <row r="912" spans="2:9">
      <c r="B912" s="11">
        <f>1000000+INDEX(编号表!$B:$B,MATCH(C912,编号表!$A:$A,0))*1000+INDEX(编号表!$D:$D,MATCH(D912,编号表!$C:$C,0))*100+E912</f>
        <v>1028001</v>
      </c>
      <c r="C912" s="3" t="s">
        <v>231</v>
      </c>
      <c r="D912" s="11" t="s">
        <v>55</v>
      </c>
      <c r="E912" s="11">
        <v>1</v>
      </c>
      <c r="F912" s="17" t="s">
        <v>167</v>
      </c>
      <c r="G912" s="16" t="s">
        <v>57</v>
      </c>
      <c r="H912" s="11">
        <v>60274000</v>
      </c>
      <c r="I912" s="12">
        <v>1</v>
      </c>
    </row>
    <row r="913" spans="2:9">
      <c r="B913" s="11">
        <f>1000000+INDEX(编号表!$B:$B,MATCH(C913,编号表!$A:$A,0))*1000+INDEX(编号表!$D:$D,MATCH(D913,编号表!$C:$C,0))*100+E913</f>
        <v>1028101</v>
      </c>
      <c r="C913" s="3" t="s">
        <v>231</v>
      </c>
      <c r="D913" s="11" t="s">
        <v>58</v>
      </c>
      <c r="E913" s="11">
        <v>1</v>
      </c>
      <c r="F913" s="17" t="s">
        <v>59</v>
      </c>
      <c r="G913" s="16" t="s">
        <v>57</v>
      </c>
      <c r="H913" s="3">
        <v>60272000</v>
      </c>
      <c r="I913" s="12">
        <v>1</v>
      </c>
    </row>
    <row r="914" spans="2:9">
      <c r="B914" s="11">
        <f>1000000+INDEX(编号表!$B:$B,MATCH(C914,编号表!$A:$A,0))*1000+INDEX(编号表!$D:$D,MATCH(D914,编号表!$C:$C,0))*100+E914</f>
        <v>1028201</v>
      </c>
      <c r="C914" s="3" t="s">
        <v>231</v>
      </c>
      <c r="D914" s="11" t="s">
        <v>37</v>
      </c>
      <c r="E914" s="11">
        <f t="shared" ref="E914:E925" si="26">I914+K914+M914+O914+Q914+S914+U914+W914+Y914+AA914</f>
        <v>1</v>
      </c>
      <c r="F914" s="3" t="s">
        <v>232</v>
      </c>
      <c r="G914" s="16" t="s">
        <v>39</v>
      </c>
      <c r="H914" s="3">
        <v>60271000</v>
      </c>
      <c r="I914" s="12">
        <v>1</v>
      </c>
    </row>
    <row r="915" spans="2:9">
      <c r="B915" s="11">
        <f>1000000+INDEX(编号表!$B:$B,MATCH(C915,编号表!$A:$A,0))*1000+INDEX(编号表!$D:$D,MATCH(D915,编号表!$C:$C,0))*100+E915</f>
        <v>1028301</v>
      </c>
      <c r="C915" s="3" t="s">
        <v>231</v>
      </c>
      <c r="D915" s="11" t="s">
        <v>40</v>
      </c>
      <c r="E915" s="11">
        <f t="shared" si="26"/>
        <v>1</v>
      </c>
      <c r="F915" s="3" t="s">
        <v>233</v>
      </c>
      <c r="G915" s="16" t="s">
        <v>39</v>
      </c>
      <c r="H915" s="3">
        <v>60271001</v>
      </c>
      <c r="I915" s="12">
        <v>1</v>
      </c>
    </row>
    <row r="916" spans="2:9">
      <c r="B916" s="11">
        <f>1000000+INDEX(编号表!$B:$B,MATCH(C916,编号表!$A:$A,0))*1000+INDEX(编号表!$D:$D,MATCH(D916,编号表!$C:$C,0))*100+E916</f>
        <v>1028202</v>
      </c>
      <c r="C916" s="3" t="s">
        <v>231</v>
      </c>
      <c r="D916" s="11" t="s">
        <v>37</v>
      </c>
      <c r="E916" s="11">
        <f t="shared" si="26"/>
        <v>2</v>
      </c>
      <c r="F916" s="3" t="s">
        <v>232</v>
      </c>
      <c r="G916" s="16" t="s">
        <v>39</v>
      </c>
      <c r="H916" s="3">
        <v>60271000</v>
      </c>
      <c r="I916" s="12">
        <v>2</v>
      </c>
    </row>
    <row r="917" spans="2:9">
      <c r="B917" s="11">
        <f>1000000+INDEX(编号表!$B:$B,MATCH(C917,编号表!$A:$A,0))*1000+INDEX(编号表!$D:$D,MATCH(D917,编号表!$C:$C,0))*100+E917</f>
        <v>1028302</v>
      </c>
      <c r="C917" s="3" t="s">
        <v>231</v>
      </c>
      <c r="D917" s="11" t="s">
        <v>40</v>
      </c>
      <c r="E917" s="11">
        <f t="shared" si="26"/>
        <v>2</v>
      </c>
      <c r="F917" s="3" t="s">
        <v>233</v>
      </c>
      <c r="G917" s="16" t="s">
        <v>39</v>
      </c>
      <c r="H917" s="3">
        <v>60271001</v>
      </c>
      <c r="I917" s="12">
        <v>2</v>
      </c>
    </row>
    <row r="918" spans="2:9">
      <c r="B918" s="11">
        <f>1000000+INDEX(编号表!$B:$B,MATCH(C918,编号表!$A:$A,0))*1000+INDEX(编号表!$D:$D,MATCH(D918,编号表!$C:$C,0))*100+E918</f>
        <v>1028203</v>
      </c>
      <c r="C918" s="3" t="s">
        <v>231</v>
      </c>
      <c r="D918" s="11" t="s">
        <v>37</v>
      </c>
      <c r="E918" s="11">
        <f t="shared" si="26"/>
        <v>3</v>
      </c>
      <c r="F918" s="3" t="s">
        <v>232</v>
      </c>
      <c r="G918" s="16" t="s">
        <v>39</v>
      </c>
      <c r="H918" s="3">
        <v>60271000</v>
      </c>
      <c r="I918" s="12">
        <v>3</v>
      </c>
    </row>
    <row r="919" spans="2:9">
      <c r="B919" s="11">
        <f>1000000+INDEX(编号表!$B:$B,MATCH(C919,编号表!$A:$A,0))*1000+INDEX(编号表!$D:$D,MATCH(D919,编号表!$C:$C,0))*100+E919</f>
        <v>1028303</v>
      </c>
      <c r="C919" s="3" t="s">
        <v>231</v>
      </c>
      <c r="D919" s="11" t="s">
        <v>40</v>
      </c>
      <c r="E919" s="11">
        <f t="shared" si="26"/>
        <v>3</v>
      </c>
      <c r="F919" s="3" t="s">
        <v>233</v>
      </c>
      <c r="G919" s="16" t="s">
        <v>39</v>
      </c>
      <c r="H919" s="3">
        <v>60271001</v>
      </c>
      <c r="I919" s="12">
        <v>3</v>
      </c>
    </row>
    <row r="920" spans="2:9">
      <c r="B920" s="11">
        <f>1000000+INDEX(编号表!$B:$B,MATCH(C920,编号表!$A:$A,0))*1000+INDEX(编号表!$D:$D,MATCH(D920,编号表!$C:$C,0))*100+E920</f>
        <v>1028205</v>
      </c>
      <c r="C920" s="3" t="s">
        <v>231</v>
      </c>
      <c r="D920" s="11" t="s">
        <v>37</v>
      </c>
      <c r="E920" s="11">
        <f t="shared" si="26"/>
        <v>5</v>
      </c>
      <c r="F920" s="3" t="s">
        <v>232</v>
      </c>
      <c r="G920" s="16" t="s">
        <v>39</v>
      </c>
      <c r="H920" s="3">
        <v>60271000</v>
      </c>
      <c r="I920" s="12">
        <v>5</v>
      </c>
    </row>
    <row r="921" spans="2:9">
      <c r="B921" s="11">
        <f>1000000+INDEX(编号表!$B:$B,MATCH(C921,编号表!$A:$A,0))*1000+INDEX(编号表!$D:$D,MATCH(D921,编号表!$C:$C,0))*100+E921</f>
        <v>1028305</v>
      </c>
      <c r="C921" s="3" t="s">
        <v>231</v>
      </c>
      <c r="D921" s="11" t="s">
        <v>40</v>
      </c>
      <c r="E921" s="11">
        <f t="shared" si="26"/>
        <v>5</v>
      </c>
      <c r="F921" s="3" t="s">
        <v>233</v>
      </c>
      <c r="G921" s="16" t="s">
        <v>39</v>
      </c>
      <c r="H921" s="3">
        <v>60271001</v>
      </c>
      <c r="I921" s="12">
        <v>5</v>
      </c>
    </row>
    <row r="922" spans="2:9">
      <c r="B922" s="11">
        <f>1000000+INDEX(编号表!$B:$B,MATCH(C922,编号表!$A:$A,0))*1000+INDEX(编号表!$D:$D,MATCH(D922,编号表!$C:$C,0))*100+E922</f>
        <v>1028210</v>
      </c>
      <c r="C922" s="3" t="s">
        <v>231</v>
      </c>
      <c r="D922" s="11" t="s">
        <v>37</v>
      </c>
      <c r="E922" s="11">
        <f t="shared" si="26"/>
        <v>10</v>
      </c>
      <c r="F922" s="3" t="s">
        <v>232</v>
      </c>
      <c r="G922" s="16" t="s">
        <v>39</v>
      </c>
      <c r="H922" s="3">
        <v>60271000</v>
      </c>
      <c r="I922" s="12">
        <v>10</v>
      </c>
    </row>
    <row r="923" spans="2:9">
      <c r="B923" s="11">
        <f>1000000+INDEX(编号表!$B:$B,MATCH(C923,编号表!$A:$A,0))*1000+INDEX(编号表!$D:$D,MATCH(D923,编号表!$C:$C,0))*100+E923</f>
        <v>1028310</v>
      </c>
      <c r="C923" s="3" t="s">
        <v>231</v>
      </c>
      <c r="D923" s="11" t="s">
        <v>40</v>
      </c>
      <c r="E923" s="11">
        <f t="shared" si="26"/>
        <v>10</v>
      </c>
      <c r="F923" s="3" t="s">
        <v>233</v>
      </c>
      <c r="G923" s="16" t="s">
        <v>39</v>
      </c>
      <c r="H923" s="3">
        <v>60271001</v>
      </c>
      <c r="I923" s="12">
        <v>10</v>
      </c>
    </row>
    <row r="924" spans="2:9">
      <c r="B924" s="11">
        <f>1000000+INDEX(编号表!$B:$B,MATCH(C924,编号表!$A:$A,0))*1000+INDEX(编号表!$D:$D,MATCH(D924,编号表!$C:$C,0))*100+E924</f>
        <v>1028215</v>
      </c>
      <c r="C924" s="3" t="s">
        <v>231</v>
      </c>
      <c r="D924" s="11" t="s">
        <v>37</v>
      </c>
      <c r="E924" s="11">
        <f t="shared" si="26"/>
        <v>15</v>
      </c>
      <c r="F924" s="3" t="s">
        <v>232</v>
      </c>
      <c r="G924" s="16" t="s">
        <v>39</v>
      </c>
      <c r="H924" s="3">
        <v>60271000</v>
      </c>
      <c r="I924" s="12">
        <v>15</v>
      </c>
    </row>
    <row r="925" spans="2:9">
      <c r="B925" s="11">
        <f>1000000+INDEX(编号表!$B:$B,MATCH(C925,编号表!$A:$A,0))*1000+INDEX(编号表!$D:$D,MATCH(D925,编号表!$C:$C,0))*100+E925</f>
        <v>1028315</v>
      </c>
      <c r="C925" s="3" t="s">
        <v>231</v>
      </c>
      <c r="D925" s="11" t="s">
        <v>40</v>
      </c>
      <c r="E925" s="11">
        <f t="shared" si="26"/>
        <v>15</v>
      </c>
      <c r="F925" s="3" t="s">
        <v>233</v>
      </c>
      <c r="G925" s="16" t="s">
        <v>39</v>
      </c>
      <c r="H925" s="3">
        <v>60271001</v>
      </c>
      <c r="I925" s="12">
        <v>15</v>
      </c>
    </row>
    <row r="926" spans="2:9">
      <c r="B926" s="11">
        <f>1000000+INDEX(编号表!$B:$B,MATCH(C926,编号表!$A:$A,0))*1000+INDEX(编号表!$D:$D,MATCH(D926,编号表!$C:$C,0))*100+E926</f>
        <v>1029001</v>
      </c>
      <c r="C926" s="3" t="s">
        <v>234</v>
      </c>
      <c r="D926" s="11" t="s">
        <v>55</v>
      </c>
      <c r="E926" s="11">
        <v>1</v>
      </c>
      <c r="F926" s="17" t="s">
        <v>167</v>
      </c>
      <c r="G926" s="16" t="s">
        <v>57</v>
      </c>
      <c r="H926" s="11">
        <v>60284000</v>
      </c>
      <c r="I926" s="12">
        <v>1</v>
      </c>
    </row>
    <row r="927" spans="2:9">
      <c r="B927" s="11">
        <f>1000000+INDEX(编号表!$B:$B,MATCH(C927,编号表!$A:$A,0))*1000+INDEX(编号表!$D:$D,MATCH(D927,编号表!$C:$C,0))*100+E927</f>
        <v>1029101</v>
      </c>
      <c r="C927" s="3" t="s">
        <v>234</v>
      </c>
      <c r="D927" s="11" t="s">
        <v>58</v>
      </c>
      <c r="E927" s="11">
        <v>1</v>
      </c>
      <c r="F927" s="17" t="s">
        <v>59</v>
      </c>
      <c r="G927" s="16" t="s">
        <v>57</v>
      </c>
      <c r="H927" s="3">
        <v>60282000</v>
      </c>
      <c r="I927" s="12">
        <v>1</v>
      </c>
    </row>
    <row r="928" spans="2:9">
      <c r="B928" s="11">
        <f>1000000+INDEX(编号表!$B:$B,MATCH(C928,编号表!$A:$A,0))*1000+INDEX(编号表!$D:$D,MATCH(D928,编号表!$C:$C,0))*100+E928</f>
        <v>1029201</v>
      </c>
      <c r="C928" s="3" t="s">
        <v>234</v>
      </c>
      <c r="D928" s="11" t="s">
        <v>37</v>
      </c>
      <c r="E928" s="11">
        <f t="shared" ref="E928:E939" si="27">I928+K928+M928+O928+Q928+S928+U928+W928+Y928+AA928</f>
        <v>1</v>
      </c>
      <c r="F928" s="3" t="s">
        <v>232</v>
      </c>
      <c r="G928" s="16" t="s">
        <v>39</v>
      </c>
      <c r="H928" s="3">
        <v>60281000</v>
      </c>
      <c r="I928" s="12">
        <v>1</v>
      </c>
    </row>
    <row r="929" spans="2:9">
      <c r="B929" s="11">
        <f>1000000+INDEX(编号表!$B:$B,MATCH(C929,编号表!$A:$A,0))*1000+INDEX(编号表!$D:$D,MATCH(D929,编号表!$C:$C,0))*100+E929</f>
        <v>1029301</v>
      </c>
      <c r="C929" s="3" t="s">
        <v>234</v>
      </c>
      <c r="D929" s="11" t="s">
        <v>40</v>
      </c>
      <c r="E929" s="11">
        <f t="shared" si="27"/>
        <v>1</v>
      </c>
      <c r="F929" s="3" t="s">
        <v>233</v>
      </c>
      <c r="G929" s="16" t="s">
        <v>39</v>
      </c>
      <c r="H929" s="3">
        <v>60281001</v>
      </c>
      <c r="I929" s="12">
        <v>1</v>
      </c>
    </row>
    <row r="930" spans="2:9">
      <c r="B930" s="11">
        <f>1000000+INDEX(编号表!$B:$B,MATCH(C930,编号表!$A:$A,0))*1000+INDEX(编号表!$D:$D,MATCH(D930,编号表!$C:$C,0))*100+E930</f>
        <v>1029202</v>
      </c>
      <c r="C930" s="3" t="s">
        <v>234</v>
      </c>
      <c r="D930" s="11" t="s">
        <v>37</v>
      </c>
      <c r="E930" s="11">
        <f t="shared" si="27"/>
        <v>2</v>
      </c>
      <c r="F930" s="3" t="s">
        <v>232</v>
      </c>
      <c r="G930" s="16" t="s">
        <v>39</v>
      </c>
      <c r="H930" s="3">
        <v>60281000</v>
      </c>
      <c r="I930" s="12">
        <v>2</v>
      </c>
    </row>
    <row r="931" spans="2:9">
      <c r="B931" s="11">
        <f>1000000+INDEX(编号表!$B:$B,MATCH(C931,编号表!$A:$A,0))*1000+INDEX(编号表!$D:$D,MATCH(D931,编号表!$C:$C,0))*100+E931</f>
        <v>1029302</v>
      </c>
      <c r="C931" s="3" t="s">
        <v>234</v>
      </c>
      <c r="D931" s="11" t="s">
        <v>40</v>
      </c>
      <c r="E931" s="11">
        <f t="shared" si="27"/>
        <v>2</v>
      </c>
      <c r="F931" s="3" t="s">
        <v>233</v>
      </c>
      <c r="G931" s="16" t="s">
        <v>39</v>
      </c>
      <c r="H931" s="3">
        <v>60281001</v>
      </c>
      <c r="I931" s="12">
        <v>2</v>
      </c>
    </row>
    <row r="932" spans="2:9">
      <c r="B932" s="11">
        <f>1000000+INDEX(编号表!$B:$B,MATCH(C932,编号表!$A:$A,0))*1000+INDEX(编号表!$D:$D,MATCH(D932,编号表!$C:$C,0))*100+E932</f>
        <v>1029203</v>
      </c>
      <c r="C932" s="3" t="s">
        <v>234</v>
      </c>
      <c r="D932" s="11" t="s">
        <v>37</v>
      </c>
      <c r="E932" s="11">
        <f t="shared" si="27"/>
        <v>3</v>
      </c>
      <c r="F932" s="3" t="s">
        <v>232</v>
      </c>
      <c r="G932" s="16" t="s">
        <v>39</v>
      </c>
      <c r="H932" s="3">
        <v>60281000</v>
      </c>
      <c r="I932" s="12">
        <v>3</v>
      </c>
    </row>
    <row r="933" spans="2:9">
      <c r="B933" s="11">
        <f>1000000+INDEX(编号表!$B:$B,MATCH(C933,编号表!$A:$A,0))*1000+INDEX(编号表!$D:$D,MATCH(D933,编号表!$C:$C,0))*100+E933</f>
        <v>1029303</v>
      </c>
      <c r="C933" s="3" t="s">
        <v>234</v>
      </c>
      <c r="D933" s="11" t="s">
        <v>40</v>
      </c>
      <c r="E933" s="11">
        <f t="shared" si="27"/>
        <v>3</v>
      </c>
      <c r="F933" s="3" t="s">
        <v>233</v>
      </c>
      <c r="G933" s="16" t="s">
        <v>39</v>
      </c>
      <c r="H933" s="3">
        <v>60281001</v>
      </c>
      <c r="I933" s="12">
        <v>3</v>
      </c>
    </row>
    <row r="934" spans="2:9">
      <c r="B934" s="11">
        <f>1000000+INDEX(编号表!$B:$B,MATCH(C934,编号表!$A:$A,0))*1000+INDEX(编号表!$D:$D,MATCH(D934,编号表!$C:$C,0))*100+E934</f>
        <v>1029205</v>
      </c>
      <c r="C934" s="3" t="s">
        <v>234</v>
      </c>
      <c r="D934" s="11" t="s">
        <v>37</v>
      </c>
      <c r="E934" s="11">
        <f t="shared" si="27"/>
        <v>5</v>
      </c>
      <c r="F934" s="3" t="s">
        <v>232</v>
      </c>
      <c r="G934" s="16" t="s">
        <v>39</v>
      </c>
      <c r="H934" s="3">
        <v>60281000</v>
      </c>
      <c r="I934" s="12">
        <v>5</v>
      </c>
    </row>
    <row r="935" spans="2:9">
      <c r="B935" s="11">
        <f>1000000+INDEX(编号表!$B:$B,MATCH(C935,编号表!$A:$A,0))*1000+INDEX(编号表!$D:$D,MATCH(D935,编号表!$C:$C,0))*100+E935</f>
        <v>1029305</v>
      </c>
      <c r="C935" s="3" t="s">
        <v>234</v>
      </c>
      <c r="D935" s="11" t="s">
        <v>40</v>
      </c>
      <c r="E935" s="11">
        <f t="shared" si="27"/>
        <v>5</v>
      </c>
      <c r="F935" s="3" t="s">
        <v>233</v>
      </c>
      <c r="G935" s="16" t="s">
        <v>39</v>
      </c>
      <c r="H935" s="3">
        <v>60281001</v>
      </c>
      <c r="I935" s="12">
        <v>5</v>
      </c>
    </row>
    <row r="936" spans="2:9">
      <c r="B936" s="11">
        <f>1000000+INDEX(编号表!$B:$B,MATCH(C936,编号表!$A:$A,0))*1000+INDEX(编号表!$D:$D,MATCH(D936,编号表!$C:$C,0))*100+E936</f>
        <v>1029210</v>
      </c>
      <c r="C936" s="3" t="s">
        <v>234</v>
      </c>
      <c r="D936" s="11" t="s">
        <v>37</v>
      </c>
      <c r="E936" s="11">
        <f t="shared" si="27"/>
        <v>10</v>
      </c>
      <c r="F936" s="3" t="s">
        <v>232</v>
      </c>
      <c r="G936" s="16" t="s">
        <v>39</v>
      </c>
      <c r="H936" s="3">
        <v>60281000</v>
      </c>
      <c r="I936" s="12">
        <v>10</v>
      </c>
    </row>
    <row r="937" spans="2:9">
      <c r="B937" s="11">
        <f>1000000+INDEX(编号表!$B:$B,MATCH(C937,编号表!$A:$A,0))*1000+INDEX(编号表!$D:$D,MATCH(D937,编号表!$C:$C,0))*100+E937</f>
        <v>1029310</v>
      </c>
      <c r="C937" s="3" t="s">
        <v>234</v>
      </c>
      <c r="D937" s="11" t="s">
        <v>40</v>
      </c>
      <c r="E937" s="11">
        <f t="shared" si="27"/>
        <v>10</v>
      </c>
      <c r="F937" s="3" t="s">
        <v>233</v>
      </c>
      <c r="G937" s="16" t="s">
        <v>39</v>
      </c>
      <c r="H937" s="3">
        <v>60281001</v>
      </c>
      <c r="I937" s="12">
        <v>10</v>
      </c>
    </row>
    <row r="938" spans="2:9">
      <c r="B938" s="11">
        <f>1000000+INDEX(编号表!$B:$B,MATCH(C938,编号表!$A:$A,0))*1000+INDEX(编号表!$D:$D,MATCH(D938,编号表!$C:$C,0))*100+E938</f>
        <v>1029215</v>
      </c>
      <c r="C938" s="3" t="s">
        <v>234</v>
      </c>
      <c r="D938" s="11" t="s">
        <v>37</v>
      </c>
      <c r="E938" s="11">
        <f t="shared" si="27"/>
        <v>15</v>
      </c>
      <c r="F938" s="3" t="s">
        <v>232</v>
      </c>
      <c r="G938" s="16" t="s">
        <v>39</v>
      </c>
      <c r="H938" s="3">
        <v>60281000</v>
      </c>
      <c r="I938" s="12">
        <v>15</v>
      </c>
    </row>
    <row r="939" spans="2:9">
      <c r="B939" s="11">
        <f>1000000+INDEX(编号表!$B:$B,MATCH(C939,编号表!$A:$A,0))*1000+INDEX(编号表!$D:$D,MATCH(D939,编号表!$C:$C,0))*100+E939</f>
        <v>1029315</v>
      </c>
      <c r="C939" s="3" t="s">
        <v>234</v>
      </c>
      <c r="D939" s="11" t="s">
        <v>40</v>
      </c>
      <c r="E939" s="11">
        <f t="shared" si="27"/>
        <v>15</v>
      </c>
      <c r="F939" s="3" t="s">
        <v>233</v>
      </c>
      <c r="G939" s="16" t="s">
        <v>39</v>
      </c>
      <c r="H939" s="3">
        <v>60281001</v>
      </c>
      <c r="I939" s="12">
        <v>15</v>
      </c>
    </row>
    <row r="940" spans="2:9">
      <c r="B940" s="11">
        <f>1000000+INDEX(编号表!$B:$B,MATCH(C940,编号表!$A:$A,0))*1000+INDEX(编号表!$D:$D,MATCH(D940,编号表!$C:$C,0))*100+E940</f>
        <v>1030001</v>
      </c>
      <c r="C940" s="3" t="s">
        <v>235</v>
      </c>
      <c r="D940" s="11" t="s">
        <v>55</v>
      </c>
      <c r="E940" s="11">
        <v>1</v>
      </c>
      <c r="F940" s="17" t="s">
        <v>167</v>
      </c>
      <c r="G940" s="16" t="s">
        <v>57</v>
      </c>
      <c r="H940" s="11">
        <v>60294000</v>
      </c>
      <c r="I940" s="12">
        <v>1</v>
      </c>
    </row>
    <row r="941" spans="2:9">
      <c r="B941" s="11">
        <f>1000000+INDEX(编号表!$B:$B,MATCH(C941,编号表!$A:$A,0))*1000+INDEX(编号表!$D:$D,MATCH(D941,编号表!$C:$C,0))*100+E941</f>
        <v>1030101</v>
      </c>
      <c r="C941" s="3" t="s">
        <v>235</v>
      </c>
      <c r="D941" s="11" t="s">
        <v>58</v>
      </c>
      <c r="E941" s="11">
        <v>1</v>
      </c>
      <c r="F941" s="17" t="s">
        <v>59</v>
      </c>
      <c r="G941" s="16" t="s">
        <v>57</v>
      </c>
      <c r="H941" s="3">
        <v>60292000</v>
      </c>
      <c r="I941" s="12">
        <v>1</v>
      </c>
    </row>
    <row r="942" spans="2:9">
      <c r="B942" s="11">
        <f>1000000+INDEX(编号表!$B:$B,MATCH(C942,编号表!$A:$A,0))*1000+INDEX(编号表!$D:$D,MATCH(D942,编号表!$C:$C,0))*100+E942</f>
        <v>1030201</v>
      </c>
      <c r="C942" s="3" t="s">
        <v>235</v>
      </c>
      <c r="D942" s="11" t="s">
        <v>37</v>
      </c>
      <c r="E942" s="11">
        <f t="shared" ref="E942:E965" si="28">I942+K942+M942+O942+Q942+S942+U942+W942+Y942+AA942</f>
        <v>1</v>
      </c>
      <c r="F942" s="3" t="s">
        <v>236</v>
      </c>
      <c r="G942" s="16" t="s">
        <v>39</v>
      </c>
      <c r="H942" s="3">
        <v>60291000</v>
      </c>
      <c r="I942" s="12">
        <v>1</v>
      </c>
    </row>
    <row r="943" spans="2:9">
      <c r="B943" s="11">
        <f>1000000+INDEX(编号表!$B:$B,MATCH(C943,编号表!$A:$A,0))*1000+INDEX(编号表!$D:$D,MATCH(D943,编号表!$C:$C,0))*100+E943</f>
        <v>1030301</v>
      </c>
      <c r="C943" s="3" t="s">
        <v>235</v>
      </c>
      <c r="D943" s="11" t="s">
        <v>40</v>
      </c>
      <c r="E943" s="11">
        <f t="shared" si="28"/>
        <v>1</v>
      </c>
      <c r="F943" s="3" t="s">
        <v>237</v>
      </c>
      <c r="G943" s="16" t="s">
        <v>39</v>
      </c>
      <c r="H943" s="3">
        <v>60291001</v>
      </c>
      <c r="I943" s="12">
        <v>1</v>
      </c>
    </row>
    <row r="944" spans="2:9">
      <c r="B944" s="11">
        <f>1000000+INDEX(编号表!$B:$B,MATCH(C944,编号表!$A:$A,0))*1000+INDEX(编号表!$D:$D,MATCH(D944,编号表!$C:$C,0))*100+E944</f>
        <v>1030401</v>
      </c>
      <c r="C944" s="3" t="s">
        <v>235</v>
      </c>
      <c r="D944" s="11" t="s">
        <v>42</v>
      </c>
      <c r="E944" s="11">
        <f t="shared" si="28"/>
        <v>1</v>
      </c>
      <c r="F944" s="3" t="s">
        <v>238</v>
      </c>
      <c r="G944" s="16" t="s">
        <v>39</v>
      </c>
      <c r="H944" s="3">
        <v>60291002</v>
      </c>
      <c r="I944" s="12">
        <v>1</v>
      </c>
    </row>
    <row r="945" spans="2:9">
      <c r="B945" s="11">
        <f>1000000+INDEX(编号表!$B:$B,MATCH(C945,编号表!$A:$A,0))*1000+INDEX(编号表!$D:$D,MATCH(D945,编号表!$C:$C,0))*100+E945</f>
        <v>1030501</v>
      </c>
      <c r="C945" s="3" t="s">
        <v>235</v>
      </c>
      <c r="D945" s="11" t="s">
        <v>44</v>
      </c>
      <c r="E945" s="11">
        <f t="shared" si="28"/>
        <v>1</v>
      </c>
      <c r="F945" s="3" t="s">
        <v>239</v>
      </c>
      <c r="G945" s="16" t="s">
        <v>39</v>
      </c>
      <c r="H945" s="3">
        <v>60291003</v>
      </c>
      <c r="I945" s="12">
        <v>1</v>
      </c>
    </row>
    <row r="946" spans="2:9">
      <c r="B946" s="11">
        <f>1000000+INDEX(编号表!$B:$B,MATCH(C946,编号表!$A:$A,0))*1000+INDEX(编号表!$D:$D,MATCH(D946,编号表!$C:$C,0))*100+E946</f>
        <v>1030202</v>
      </c>
      <c r="C946" s="3" t="s">
        <v>235</v>
      </c>
      <c r="D946" s="11" t="s">
        <v>37</v>
      </c>
      <c r="E946" s="11">
        <f t="shared" si="28"/>
        <v>2</v>
      </c>
      <c r="F946" s="3" t="s">
        <v>236</v>
      </c>
      <c r="G946" s="16" t="s">
        <v>39</v>
      </c>
      <c r="H946" s="3">
        <v>60291000</v>
      </c>
      <c r="I946" s="12">
        <v>2</v>
      </c>
    </row>
    <row r="947" spans="2:9">
      <c r="B947" s="11">
        <f>1000000+INDEX(编号表!$B:$B,MATCH(C947,编号表!$A:$A,0))*1000+INDEX(编号表!$D:$D,MATCH(D947,编号表!$C:$C,0))*100+E947</f>
        <v>1030302</v>
      </c>
      <c r="C947" s="3" t="s">
        <v>235</v>
      </c>
      <c r="D947" s="11" t="s">
        <v>40</v>
      </c>
      <c r="E947" s="11">
        <f t="shared" si="28"/>
        <v>2</v>
      </c>
      <c r="F947" s="3" t="s">
        <v>237</v>
      </c>
      <c r="G947" s="16" t="s">
        <v>39</v>
      </c>
      <c r="H947" s="3">
        <v>60291001</v>
      </c>
      <c r="I947" s="12">
        <v>2</v>
      </c>
    </row>
    <row r="948" spans="2:9">
      <c r="B948" s="11">
        <f>1000000+INDEX(编号表!$B:$B,MATCH(C948,编号表!$A:$A,0))*1000+INDEX(编号表!$D:$D,MATCH(D948,编号表!$C:$C,0))*100+E948</f>
        <v>1030402</v>
      </c>
      <c r="C948" s="3" t="s">
        <v>235</v>
      </c>
      <c r="D948" s="11" t="s">
        <v>42</v>
      </c>
      <c r="E948" s="11">
        <f t="shared" si="28"/>
        <v>2</v>
      </c>
      <c r="F948" s="3" t="s">
        <v>238</v>
      </c>
      <c r="G948" s="16" t="s">
        <v>39</v>
      </c>
      <c r="H948" s="3">
        <v>60291002</v>
      </c>
      <c r="I948" s="12">
        <v>2</v>
      </c>
    </row>
    <row r="949" spans="2:9">
      <c r="B949" s="11">
        <f>1000000+INDEX(编号表!$B:$B,MATCH(C949,编号表!$A:$A,0))*1000+INDEX(编号表!$D:$D,MATCH(D949,编号表!$C:$C,0))*100+E949</f>
        <v>1030502</v>
      </c>
      <c r="C949" s="3" t="s">
        <v>235</v>
      </c>
      <c r="D949" s="11" t="s">
        <v>44</v>
      </c>
      <c r="E949" s="11">
        <f t="shared" si="28"/>
        <v>2</v>
      </c>
      <c r="F949" s="3" t="s">
        <v>239</v>
      </c>
      <c r="G949" s="16" t="s">
        <v>39</v>
      </c>
      <c r="H949" s="3">
        <v>60291003</v>
      </c>
      <c r="I949" s="12">
        <v>2</v>
      </c>
    </row>
    <row r="950" spans="2:9">
      <c r="B950" s="11">
        <f>1000000+INDEX(编号表!$B:$B,MATCH(C950,编号表!$A:$A,0))*1000+INDEX(编号表!$D:$D,MATCH(D950,编号表!$C:$C,0))*100+E950</f>
        <v>1030203</v>
      </c>
      <c r="C950" s="3" t="s">
        <v>235</v>
      </c>
      <c r="D950" s="11" t="s">
        <v>37</v>
      </c>
      <c r="E950" s="11">
        <f t="shared" si="28"/>
        <v>3</v>
      </c>
      <c r="F950" s="3" t="s">
        <v>236</v>
      </c>
      <c r="G950" s="16" t="s">
        <v>39</v>
      </c>
      <c r="H950" s="3">
        <v>60291000</v>
      </c>
      <c r="I950" s="12">
        <v>3</v>
      </c>
    </row>
    <row r="951" spans="2:9">
      <c r="B951" s="11">
        <f>1000000+INDEX(编号表!$B:$B,MATCH(C951,编号表!$A:$A,0))*1000+INDEX(编号表!$D:$D,MATCH(D951,编号表!$C:$C,0))*100+E951</f>
        <v>1030303</v>
      </c>
      <c r="C951" s="3" t="s">
        <v>235</v>
      </c>
      <c r="D951" s="11" t="s">
        <v>40</v>
      </c>
      <c r="E951" s="11">
        <f t="shared" si="28"/>
        <v>3</v>
      </c>
      <c r="F951" s="3" t="s">
        <v>237</v>
      </c>
      <c r="G951" s="16" t="s">
        <v>39</v>
      </c>
      <c r="H951" s="3">
        <v>60291001</v>
      </c>
      <c r="I951" s="12">
        <v>3</v>
      </c>
    </row>
    <row r="952" spans="2:9">
      <c r="B952" s="11">
        <f>1000000+INDEX(编号表!$B:$B,MATCH(C952,编号表!$A:$A,0))*1000+INDEX(编号表!$D:$D,MATCH(D952,编号表!$C:$C,0))*100+E952</f>
        <v>1030403</v>
      </c>
      <c r="C952" s="3" t="s">
        <v>235</v>
      </c>
      <c r="D952" s="11" t="s">
        <v>42</v>
      </c>
      <c r="E952" s="11">
        <f t="shared" si="28"/>
        <v>3</v>
      </c>
      <c r="F952" s="3" t="s">
        <v>238</v>
      </c>
      <c r="G952" s="16" t="s">
        <v>39</v>
      </c>
      <c r="H952" s="3">
        <v>60291002</v>
      </c>
      <c r="I952" s="12">
        <v>3</v>
      </c>
    </row>
    <row r="953" spans="2:9">
      <c r="B953" s="11">
        <f>1000000+INDEX(编号表!$B:$B,MATCH(C953,编号表!$A:$A,0))*1000+INDEX(编号表!$D:$D,MATCH(D953,编号表!$C:$C,0))*100+E953</f>
        <v>1030503</v>
      </c>
      <c r="C953" s="3" t="s">
        <v>235</v>
      </c>
      <c r="D953" s="11" t="s">
        <v>44</v>
      </c>
      <c r="E953" s="11">
        <f t="shared" si="28"/>
        <v>3</v>
      </c>
      <c r="F953" s="3" t="s">
        <v>239</v>
      </c>
      <c r="G953" s="16" t="s">
        <v>39</v>
      </c>
      <c r="H953" s="3">
        <v>60291003</v>
      </c>
      <c r="I953" s="12">
        <v>3</v>
      </c>
    </row>
    <row r="954" spans="2:9">
      <c r="B954" s="11">
        <f>1000000+INDEX(编号表!$B:$B,MATCH(C954,编号表!$A:$A,0))*1000+INDEX(编号表!$D:$D,MATCH(D954,编号表!$C:$C,0))*100+E954</f>
        <v>1030205</v>
      </c>
      <c r="C954" s="3" t="s">
        <v>235</v>
      </c>
      <c r="D954" s="11" t="s">
        <v>37</v>
      </c>
      <c r="E954" s="11">
        <f t="shared" si="28"/>
        <v>5</v>
      </c>
      <c r="F954" s="3" t="s">
        <v>236</v>
      </c>
      <c r="G954" s="16" t="s">
        <v>39</v>
      </c>
      <c r="H954" s="3">
        <v>60291000</v>
      </c>
      <c r="I954" s="12">
        <v>5</v>
      </c>
    </row>
    <row r="955" spans="2:9">
      <c r="B955" s="11">
        <f>1000000+INDEX(编号表!$B:$B,MATCH(C955,编号表!$A:$A,0))*1000+INDEX(编号表!$D:$D,MATCH(D955,编号表!$C:$C,0))*100+E955</f>
        <v>1030305</v>
      </c>
      <c r="C955" s="3" t="s">
        <v>235</v>
      </c>
      <c r="D955" s="11" t="s">
        <v>40</v>
      </c>
      <c r="E955" s="11">
        <f t="shared" si="28"/>
        <v>5</v>
      </c>
      <c r="F955" s="3" t="s">
        <v>237</v>
      </c>
      <c r="G955" s="16" t="s">
        <v>39</v>
      </c>
      <c r="H955" s="3">
        <v>60291001</v>
      </c>
      <c r="I955" s="12">
        <v>5</v>
      </c>
    </row>
    <row r="956" spans="2:9">
      <c r="B956" s="11">
        <f>1000000+INDEX(编号表!$B:$B,MATCH(C956,编号表!$A:$A,0))*1000+INDEX(编号表!$D:$D,MATCH(D956,编号表!$C:$C,0))*100+E956</f>
        <v>1030405</v>
      </c>
      <c r="C956" s="3" t="s">
        <v>235</v>
      </c>
      <c r="D956" s="11" t="s">
        <v>42</v>
      </c>
      <c r="E956" s="11">
        <f t="shared" si="28"/>
        <v>5</v>
      </c>
      <c r="F956" s="3" t="s">
        <v>238</v>
      </c>
      <c r="G956" s="16" t="s">
        <v>39</v>
      </c>
      <c r="H956" s="3">
        <v>60291002</v>
      </c>
      <c r="I956" s="12">
        <v>5</v>
      </c>
    </row>
    <row r="957" spans="2:9">
      <c r="B957" s="11">
        <f>1000000+INDEX(编号表!$B:$B,MATCH(C957,编号表!$A:$A,0))*1000+INDEX(编号表!$D:$D,MATCH(D957,编号表!$C:$C,0))*100+E957</f>
        <v>1030505</v>
      </c>
      <c r="C957" s="3" t="s">
        <v>235</v>
      </c>
      <c r="D957" s="11" t="s">
        <v>44</v>
      </c>
      <c r="E957" s="11">
        <f t="shared" si="28"/>
        <v>5</v>
      </c>
      <c r="F957" s="3" t="s">
        <v>239</v>
      </c>
      <c r="G957" s="16" t="s">
        <v>39</v>
      </c>
      <c r="H957" s="3">
        <v>60291003</v>
      </c>
      <c r="I957" s="12">
        <v>5</v>
      </c>
    </row>
    <row r="958" spans="2:9">
      <c r="B958" s="11">
        <f>1000000+INDEX(编号表!$B:$B,MATCH(C958,编号表!$A:$A,0))*1000+INDEX(编号表!$D:$D,MATCH(D958,编号表!$C:$C,0))*100+E958</f>
        <v>1030210</v>
      </c>
      <c r="C958" s="3" t="s">
        <v>235</v>
      </c>
      <c r="D958" s="11" t="s">
        <v>37</v>
      </c>
      <c r="E958" s="11">
        <f t="shared" si="28"/>
        <v>10</v>
      </c>
      <c r="F958" s="3" t="s">
        <v>236</v>
      </c>
      <c r="G958" s="16" t="s">
        <v>39</v>
      </c>
      <c r="H958" s="3">
        <v>60291000</v>
      </c>
      <c r="I958" s="12">
        <v>10</v>
      </c>
    </row>
    <row r="959" spans="2:9">
      <c r="B959" s="11">
        <f>1000000+INDEX(编号表!$B:$B,MATCH(C959,编号表!$A:$A,0))*1000+INDEX(编号表!$D:$D,MATCH(D959,编号表!$C:$C,0))*100+E959</f>
        <v>1030310</v>
      </c>
      <c r="C959" s="3" t="s">
        <v>235</v>
      </c>
      <c r="D959" s="11" t="s">
        <v>40</v>
      </c>
      <c r="E959" s="11">
        <f t="shared" si="28"/>
        <v>10</v>
      </c>
      <c r="F959" s="3" t="s">
        <v>237</v>
      </c>
      <c r="G959" s="16" t="s">
        <v>39</v>
      </c>
      <c r="H959" s="3">
        <v>60291001</v>
      </c>
      <c r="I959" s="12">
        <v>10</v>
      </c>
    </row>
    <row r="960" spans="2:9">
      <c r="B960" s="11">
        <f>1000000+INDEX(编号表!$B:$B,MATCH(C960,编号表!$A:$A,0))*1000+INDEX(编号表!$D:$D,MATCH(D960,编号表!$C:$C,0))*100+E960</f>
        <v>1030410</v>
      </c>
      <c r="C960" s="3" t="s">
        <v>235</v>
      </c>
      <c r="D960" s="11" t="s">
        <v>42</v>
      </c>
      <c r="E960" s="11">
        <f t="shared" si="28"/>
        <v>10</v>
      </c>
      <c r="F960" s="3" t="s">
        <v>238</v>
      </c>
      <c r="G960" s="16" t="s">
        <v>39</v>
      </c>
      <c r="H960" s="3">
        <v>60291002</v>
      </c>
      <c r="I960" s="12">
        <v>10</v>
      </c>
    </row>
    <row r="961" spans="2:9">
      <c r="B961" s="11">
        <f>1000000+INDEX(编号表!$B:$B,MATCH(C961,编号表!$A:$A,0))*1000+INDEX(编号表!$D:$D,MATCH(D961,编号表!$C:$C,0))*100+E961</f>
        <v>1030510</v>
      </c>
      <c r="C961" s="3" t="s">
        <v>235</v>
      </c>
      <c r="D961" s="11" t="s">
        <v>44</v>
      </c>
      <c r="E961" s="11">
        <f t="shared" si="28"/>
        <v>10</v>
      </c>
      <c r="F961" s="3" t="s">
        <v>239</v>
      </c>
      <c r="G961" s="16" t="s">
        <v>39</v>
      </c>
      <c r="H961" s="3">
        <v>60291003</v>
      </c>
      <c r="I961" s="12">
        <v>10</v>
      </c>
    </row>
    <row r="962" spans="2:9">
      <c r="B962" s="11">
        <f>1000000+INDEX(编号表!$B:$B,MATCH(C962,编号表!$A:$A,0))*1000+INDEX(编号表!$D:$D,MATCH(D962,编号表!$C:$C,0))*100+E962</f>
        <v>1030215</v>
      </c>
      <c r="C962" s="3" t="s">
        <v>235</v>
      </c>
      <c r="D962" s="11" t="s">
        <v>37</v>
      </c>
      <c r="E962" s="11">
        <f t="shared" si="28"/>
        <v>15</v>
      </c>
      <c r="F962" s="3" t="s">
        <v>236</v>
      </c>
      <c r="G962" s="16" t="s">
        <v>39</v>
      </c>
      <c r="H962" s="3">
        <v>60291000</v>
      </c>
      <c r="I962" s="12">
        <v>15</v>
      </c>
    </row>
    <row r="963" spans="2:9">
      <c r="B963" s="11">
        <f>1000000+INDEX(编号表!$B:$B,MATCH(C963,编号表!$A:$A,0))*1000+INDEX(编号表!$D:$D,MATCH(D963,编号表!$C:$C,0))*100+E963</f>
        <v>1030315</v>
      </c>
      <c r="C963" s="3" t="s">
        <v>235</v>
      </c>
      <c r="D963" s="11" t="s">
        <v>40</v>
      </c>
      <c r="E963" s="11">
        <f t="shared" si="28"/>
        <v>15</v>
      </c>
      <c r="F963" s="3" t="s">
        <v>237</v>
      </c>
      <c r="G963" s="16" t="s">
        <v>39</v>
      </c>
      <c r="H963" s="3">
        <v>60291001</v>
      </c>
      <c r="I963" s="12">
        <v>15</v>
      </c>
    </row>
    <row r="964" spans="2:9">
      <c r="B964" s="11">
        <f>1000000+INDEX(编号表!$B:$B,MATCH(C964,编号表!$A:$A,0))*1000+INDEX(编号表!$D:$D,MATCH(D964,编号表!$C:$C,0))*100+E964</f>
        <v>1030415</v>
      </c>
      <c r="C964" s="3" t="s">
        <v>235</v>
      </c>
      <c r="D964" s="11" t="s">
        <v>42</v>
      </c>
      <c r="E964" s="11">
        <f t="shared" si="28"/>
        <v>15</v>
      </c>
      <c r="F964" s="3" t="s">
        <v>238</v>
      </c>
      <c r="G964" s="16" t="s">
        <v>39</v>
      </c>
      <c r="H964" s="3">
        <v>60291002</v>
      </c>
      <c r="I964" s="12">
        <v>15</v>
      </c>
    </row>
    <row r="965" spans="2:9">
      <c r="B965" s="11">
        <f>1000000+INDEX(编号表!$B:$B,MATCH(C965,编号表!$A:$A,0))*1000+INDEX(编号表!$D:$D,MATCH(D965,编号表!$C:$C,0))*100+E965</f>
        <v>1030515</v>
      </c>
      <c r="C965" s="3" t="s">
        <v>235</v>
      </c>
      <c r="D965" s="11" t="s">
        <v>44</v>
      </c>
      <c r="E965" s="11">
        <f t="shared" si="28"/>
        <v>15</v>
      </c>
      <c r="F965" s="3" t="s">
        <v>239</v>
      </c>
      <c r="G965" s="16" t="s">
        <v>39</v>
      </c>
      <c r="H965" s="3">
        <v>60291003</v>
      </c>
      <c r="I965" s="12">
        <v>15</v>
      </c>
    </row>
    <row r="966" spans="2:9">
      <c r="B966" s="11">
        <f>1000000+INDEX(编号表!$B:$B,MATCH(C966,编号表!$A:$A,0))*1000+INDEX(编号表!$D:$D,MATCH(D966,编号表!$C:$C,0))*100+E966</f>
        <v>1031001</v>
      </c>
      <c r="C966" s="3" t="s">
        <v>240</v>
      </c>
      <c r="D966" s="11" t="s">
        <v>55</v>
      </c>
      <c r="E966" s="11">
        <v>1</v>
      </c>
      <c r="F966" s="17" t="s">
        <v>167</v>
      </c>
      <c r="G966" s="16" t="s">
        <v>57</v>
      </c>
      <c r="H966" s="11">
        <v>60304000</v>
      </c>
      <c r="I966" s="12">
        <v>1</v>
      </c>
    </row>
    <row r="967" spans="2:9">
      <c r="B967" s="11">
        <f>1000000+INDEX(编号表!$B:$B,MATCH(C967,编号表!$A:$A,0))*1000+INDEX(编号表!$D:$D,MATCH(D967,编号表!$C:$C,0))*100+E967</f>
        <v>1031101</v>
      </c>
      <c r="C967" s="3" t="s">
        <v>240</v>
      </c>
      <c r="D967" s="11" t="s">
        <v>58</v>
      </c>
      <c r="E967" s="11">
        <v>1</v>
      </c>
      <c r="F967" s="17" t="s">
        <v>59</v>
      </c>
      <c r="G967" s="16" t="s">
        <v>57</v>
      </c>
      <c r="H967" s="3">
        <v>60302000</v>
      </c>
      <c r="I967" s="12">
        <v>1</v>
      </c>
    </row>
    <row r="968" spans="2:9">
      <c r="B968" s="11">
        <f>1000000+INDEX(编号表!$B:$B,MATCH(C968,编号表!$A:$A,0))*1000+INDEX(编号表!$D:$D,MATCH(D968,编号表!$C:$C,0))*100+E968</f>
        <v>1031201</v>
      </c>
      <c r="C968" s="3" t="s">
        <v>240</v>
      </c>
      <c r="D968" s="11" t="s">
        <v>37</v>
      </c>
      <c r="E968" s="11">
        <f t="shared" ref="E968:E991" si="29">I968+K968+M968+O968+Q968+S968+U968+W968+Y968+AA968</f>
        <v>1</v>
      </c>
      <c r="F968" s="3" t="s">
        <v>236</v>
      </c>
      <c r="G968" s="16" t="s">
        <v>39</v>
      </c>
      <c r="H968" s="3">
        <v>60301000</v>
      </c>
      <c r="I968" s="12">
        <v>1</v>
      </c>
    </row>
    <row r="969" spans="2:9">
      <c r="B969" s="11">
        <f>1000000+INDEX(编号表!$B:$B,MATCH(C969,编号表!$A:$A,0))*1000+INDEX(编号表!$D:$D,MATCH(D969,编号表!$C:$C,0))*100+E969</f>
        <v>1031301</v>
      </c>
      <c r="C969" s="3" t="s">
        <v>240</v>
      </c>
      <c r="D969" s="11" t="s">
        <v>40</v>
      </c>
      <c r="E969" s="11">
        <f t="shared" si="29"/>
        <v>1</v>
      </c>
      <c r="F969" s="3" t="s">
        <v>237</v>
      </c>
      <c r="G969" s="16" t="s">
        <v>39</v>
      </c>
      <c r="H969" s="3">
        <v>60301001</v>
      </c>
      <c r="I969" s="12">
        <v>1</v>
      </c>
    </row>
    <row r="970" spans="2:9">
      <c r="B970" s="11">
        <f>1000000+INDEX(编号表!$B:$B,MATCH(C970,编号表!$A:$A,0))*1000+INDEX(编号表!$D:$D,MATCH(D970,编号表!$C:$C,0))*100+E970</f>
        <v>1031401</v>
      </c>
      <c r="C970" s="3" t="s">
        <v>240</v>
      </c>
      <c r="D970" s="11" t="s">
        <v>42</v>
      </c>
      <c r="E970" s="11">
        <f t="shared" si="29"/>
        <v>1</v>
      </c>
      <c r="F970" s="3" t="s">
        <v>238</v>
      </c>
      <c r="G970" s="16" t="s">
        <v>39</v>
      </c>
      <c r="H970" s="3">
        <v>60301002</v>
      </c>
      <c r="I970" s="12">
        <v>1</v>
      </c>
    </row>
    <row r="971" spans="2:9">
      <c r="B971" s="11">
        <f>1000000+INDEX(编号表!$B:$B,MATCH(C971,编号表!$A:$A,0))*1000+INDEX(编号表!$D:$D,MATCH(D971,编号表!$C:$C,0))*100+E971</f>
        <v>1031501</v>
      </c>
      <c r="C971" s="3" t="s">
        <v>240</v>
      </c>
      <c r="D971" s="11" t="s">
        <v>44</v>
      </c>
      <c r="E971" s="11">
        <f t="shared" si="29"/>
        <v>1</v>
      </c>
      <c r="F971" s="3" t="s">
        <v>239</v>
      </c>
      <c r="G971" s="16" t="s">
        <v>39</v>
      </c>
      <c r="H971" s="3">
        <v>60301003</v>
      </c>
      <c r="I971" s="12">
        <v>1</v>
      </c>
    </row>
    <row r="972" spans="2:9">
      <c r="B972" s="11">
        <f>1000000+INDEX(编号表!$B:$B,MATCH(C972,编号表!$A:$A,0))*1000+INDEX(编号表!$D:$D,MATCH(D972,编号表!$C:$C,0))*100+E972</f>
        <v>1031202</v>
      </c>
      <c r="C972" s="3" t="s">
        <v>240</v>
      </c>
      <c r="D972" s="11" t="s">
        <v>37</v>
      </c>
      <c r="E972" s="11">
        <f t="shared" si="29"/>
        <v>2</v>
      </c>
      <c r="F972" s="3" t="s">
        <v>236</v>
      </c>
      <c r="G972" s="16" t="s">
        <v>39</v>
      </c>
      <c r="H972" s="3">
        <v>60301000</v>
      </c>
      <c r="I972" s="12">
        <v>2</v>
      </c>
    </row>
    <row r="973" spans="2:9">
      <c r="B973" s="11">
        <f>1000000+INDEX(编号表!$B:$B,MATCH(C973,编号表!$A:$A,0))*1000+INDEX(编号表!$D:$D,MATCH(D973,编号表!$C:$C,0))*100+E973</f>
        <v>1031302</v>
      </c>
      <c r="C973" s="3" t="s">
        <v>240</v>
      </c>
      <c r="D973" s="11" t="s">
        <v>40</v>
      </c>
      <c r="E973" s="11">
        <f t="shared" si="29"/>
        <v>2</v>
      </c>
      <c r="F973" s="3" t="s">
        <v>237</v>
      </c>
      <c r="G973" s="16" t="s">
        <v>39</v>
      </c>
      <c r="H973" s="3">
        <v>60301001</v>
      </c>
      <c r="I973" s="12">
        <v>2</v>
      </c>
    </row>
    <row r="974" spans="2:9">
      <c r="B974" s="11">
        <f>1000000+INDEX(编号表!$B:$B,MATCH(C974,编号表!$A:$A,0))*1000+INDEX(编号表!$D:$D,MATCH(D974,编号表!$C:$C,0))*100+E974</f>
        <v>1031402</v>
      </c>
      <c r="C974" s="3" t="s">
        <v>240</v>
      </c>
      <c r="D974" s="11" t="s">
        <v>42</v>
      </c>
      <c r="E974" s="11">
        <f t="shared" si="29"/>
        <v>2</v>
      </c>
      <c r="F974" s="3" t="s">
        <v>238</v>
      </c>
      <c r="G974" s="16" t="s">
        <v>39</v>
      </c>
      <c r="H974" s="3">
        <v>60301002</v>
      </c>
      <c r="I974" s="12">
        <v>2</v>
      </c>
    </row>
    <row r="975" spans="2:9">
      <c r="B975" s="11">
        <f>1000000+INDEX(编号表!$B:$B,MATCH(C975,编号表!$A:$A,0))*1000+INDEX(编号表!$D:$D,MATCH(D975,编号表!$C:$C,0))*100+E975</f>
        <v>1031502</v>
      </c>
      <c r="C975" s="3" t="s">
        <v>240</v>
      </c>
      <c r="D975" s="11" t="s">
        <v>44</v>
      </c>
      <c r="E975" s="11">
        <f t="shared" si="29"/>
        <v>2</v>
      </c>
      <c r="F975" s="3" t="s">
        <v>239</v>
      </c>
      <c r="G975" s="16" t="s">
        <v>39</v>
      </c>
      <c r="H975" s="3">
        <v>60301003</v>
      </c>
      <c r="I975" s="12">
        <v>2</v>
      </c>
    </row>
    <row r="976" spans="2:9">
      <c r="B976" s="11">
        <f>1000000+INDEX(编号表!$B:$B,MATCH(C976,编号表!$A:$A,0))*1000+INDEX(编号表!$D:$D,MATCH(D976,编号表!$C:$C,0))*100+E976</f>
        <v>1031203</v>
      </c>
      <c r="C976" s="3" t="s">
        <v>240</v>
      </c>
      <c r="D976" s="11" t="s">
        <v>37</v>
      </c>
      <c r="E976" s="11">
        <f t="shared" si="29"/>
        <v>3</v>
      </c>
      <c r="F976" s="3" t="s">
        <v>236</v>
      </c>
      <c r="G976" s="16" t="s">
        <v>39</v>
      </c>
      <c r="H976" s="3">
        <v>60301000</v>
      </c>
      <c r="I976" s="12">
        <v>3</v>
      </c>
    </row>
    <row r="977" spans="2:9">
      <c r="B977" s="11">
        <f>1000000+INDEX(编号表!$B:$B,MATCH(C977,编号表!$A:$A,0))*1000+INDEX(编号表!$D:$D,MATCH(D977,编号表!$C:$C,0))*100+E977</f>
        <v>1031303</v>
      </c>
      <c r="C977" s="3" t="s">
        <v>240</v>
      </c>
      <c r="D977" s="11" t="s">
        <v>40</v>
      </c>
      <c r="E977" s="11">
        <f t="shared" si="29"/>
        <v>3</v>
      </c>
      <c r="F977" s="3" t="s">
        <v>237</v>
      </c>
      <c r="G977" s="16" t="s">
        <v>39</v>
      </c>
      <c r="H977" s="3">
        <v>60301001</v>
      </c>
      <c r="I977" s="12">
        <v>3</v>
      </c>
    </row>
    <row r="978" spans="2:9">
      <c r="B978" s="11">
        <f>1000000+INDEX(编号表!$B:$B,MATCH(C978,编号表!$A:$A,0))*1000+INDEX(编号表!$D:$D,MATCH(D978,编号表!$C:$C,0))*100+E978</f>
        <v>1031403</v>
      </c>
      <c r="C978" s="3" t="s">
        <v>240</v>
      </c>
      <c r="D978" s="11" t="s">
        <v>42</v>
      </c>
      <c r="E978" s="11">
        <f t="shared" si="29"/>
        <v>3</v>
      </c>
      <c r="F978" s="3" t="s">
        <v>238</v>
      </c>
      <c r="G978" s="16" t="s">
        <v>39</v>
      </c>
      <c r="H978" s="3">
        <v>60301002</v>
      </c>
      <c r="I978" s="12">
        <v>3</v>
      </c>
    </row>
    <row r="979" spans="2:9">
      <c r="B979" s="11">
        <f>1000000+INDEX(编号表!$B:$B,MATCH(C979,编号表!$A:$A,0))*1000+INDEX(编号表!$D:$D,MATCH(D979,编号表!$C:$C,0))*100+E979</f>
        <v>1031503</v>
      </c>
      <c r="C979" s="3" t="s">
        <v>240</v>
      </c>
      <c r="D979" s="11" t="s">
        <v>44</v>
      </c>
      <c r="E979" s="11">
        <f t="shared" si="29"/>
        <v>3</v>
      </c>
      <c r="F979" s="3" t="s">
        <v>239</v>
      </c>
      <c r="G979" s="16" t="s">
        <v>39</v>
      </c>
      <c r="H979" s="3">
        <v>60301003</v>
      </c>
      <c r="I979" s="12">
        <v>3</v>
      </c>
    </row>
    <row r="980" spans="2:9">
      <c r="B980" s="11">
        <f>1000000+INDEX(编号表!$B:$B,MATCH(C980,编号表!$A:$A,0))*1000+INDEX(编号表!$D:$D,MATCH(D980,编号表!$C:$C,0))*100+E980</f>
        <v>1031205</v>
      </c>
      <c r="C980" s="3" t="s">
        <v>240</v>
      </c>
      <c r="D980" s="11" t="s">
        <v>37</v>
      </c>
      <c r="E980" s="11">
        <f t="shared" si="29"/>
        <v>5</v>
      </c>
      <c r="F980" s="3" t="s">
        <v>236</v>
      </c>
      <c r="G980" s="16" t="s">
        <v>39</v>
      </c>
      <c r="H980" s="3">
        <v>60301000</v>
      </c>
      <c r="I980" s="12">
        <v>5</v>
      </c>
    </row>
    <row r="981" spans="2:9">
      <c r="B981" s="11">
        <f>1000000+INDEX(编号表!$B:$B,MATCH(C981,编号表!$A:$A,0))*1000+INDEX(编号表!$D:$D,MATCH(D981,编号表!$C:$C,0))*100+E981</f>
        <v>1031305</v>
      </c>
      <c r="C981" s="3" t="s">
        <v>240</v>
      </c>
      <c r="D981" s="11" t="s">
        <v>40</v>
      </c>
      <c r="E981" s="11">
        <f t="shared" si="29"/>
        <v>5</v>
      </c>
      <c r="F981" s="3" t="s">
        <v>237</v>
      </c>
      <c r="G981" s="16" t="s">
        <v>39</v>
      </c>
      <c r="H981" s="3">
        <v>60301001</v>
      </c>
      <c r="I981" s="12">
        <v>5</v>
      </c>
    </row>
    <row r="982" spans="2:9">
      <c r="B982" s="11">
        <f>1000000+INDEX(编号表!$B:$B,MATCH(C982,编号表!$A:$A,0))*1000+INDEX(编号表!$D:$D,MATCH(D982,编号表!$C:$C,0))*100+E982</f>
        <v>1031405</v>
      </c>
      <c r="C982" s="3" t="s">
        <v>240</v>
      </c>
      <c r="D982" s="11" t="s">
        <v>42</v>
      </c>
      <c r="E982" s="11">
        <f t="shared" si="29"/>
        <v>5</v>
      </c>
      <c r="F982" s="3" t="s">
        <v>238</v>
      </c>
      <c r="G982" s="16" t="s">
        <v>39</v>
      </c>
      <c r="H982" s="3">
        <v>60301002</v>
      </c>
      <c r="I982" s="12">
        <v>5</v>
      </c>
    </row>
    <row r="983" spans="2:9">
      <c r="B983" s="11">
        <f>1000000+INDEX(编号表!$B:$B,MATCH(C983,编号表!$A:$A,0))*1000+INDEX(编号表!$D:$D,MATCH(D983,编号表!$C:$C,0))*100+E983</f>
        <v>1031505</v>
      </c>
      <c r="C983" s="3" t="s">
        <v>240</v>
      </c>
      <c r="D983" s="11" t="s">
        <v>44</v>
      </c>
      <c r="E983" s="11">
        <f t="shared" si="29"/>
        <v>5</v>
      </c>
      <c r="F983" s="3" t="s">
        <v>239</v>
      </c>
      <c r="G983" s="16" t="s">
        <v>39</v>
      </c>
      <c r="H983" s="3">
        <v>60301003</v>
      </c>
      <c r="I983" s="12">
        <v>5</v>
      </c>
    </row>
    <row r="984" spans="2:9">
      <c r="B984" s="11">
        <f>1000000+INDEX(编号表!$B:$B,MATCH(C984,编号表!$A:$A,0))*1000+INDEX(编号表!$D:$D,MATCH(D984,编号表!$C:$C,0))*100+E984</f>
        <v>1031210</v>
      </c>
      <c r="C984" s="3" t="s">
        <v>240</v>
      </c>
      <c r="D984" s="11" t="s">
        <v>37</v>
      </c>
      <c r="E984" s="11">
        <f t="shared" si="29"/>
        <v>10</v>
      </c>
      <c r="F984" s="3" t="s">
        <v>236</v>
      </c>
      <c r="G984" s="16" t="s">
        <v>39</v>
      </c>
      <c r="H984" s="3">
        <v>60301000</v>
      </c>
      <c r="I984" s="12">
        <v>10</v>
      </c>
    </row>
    <row r="985" spans="2:9">
      <c r="B985" s="11">
        <f>1000000+INDEX(编号表!$B:$B,MATCH(C985,编号表!$A:$A,0))*1000+INDEX(编号表!$D:$D,MATCH(D985,编号表!$C:$C,0))*100+E985</f>
        <v>1031310</v>
      </c>
      <c r="C985" s="3" t="s">
        <v>240</v>
      </c>
      <c r="D985" s="11" t="s">
        <v>40</v>
      </c>
      <c r="E985" s="11">
        <f t="shared" si="29"/>
        <v>10</v>
      </c>
      <c r="F985" s="3" t="s">
        <v>237</v>
      </c>
      <c r="G985" s="16" t="s">
        <v>39</v>
      </c>
      <c r="H985" s="3">
        <v>60301001</v>
      </c>
      <c r="I985" s="12">
        <v>10</v>
      </c>
    </row>
    <row r="986" spans="2:9">
      <c r="B986" s="11">
        <f>1000000+INDEX(编号表!$B:$B,MATCH(C986,编号表!$A:$A,0))*1000+INDEX(编号表!$D:$D,MATCH(D986,编号表!$C:$C,0))*100+E986</f>
        <v>1031410</v>
      </c>
      <c r="C986" s="3" t="s">
        <v>240</v>
      </c>
      <c r="D986" s="11" t="s">
        <v>42</v>
      </c>
      <c r="E986" s="11">
        <f t="shared" si="29"/>
        <v>10</v>
      </c>
      <c r="F986" s="3" t="s">
        <v>238</v>
      </c>
      <c r="G986" s="16" t="s">
        <v>39</v>
      </c>
      <c r="H986" s="3">
        <v>60301002</v>
      </c>
      <c r="I986" s="12">
        <v>10</v>
      </c>
    </row>
    <row r="987" spans="2:9">
      <c r="B987" s="11">
        <f>1000000+INDEX(编号表!$B:$B,MATCH(C987,编号表!$A:$A,0))*1000+INDEX(编号表!$D:$D,MATCH(D987,编号表!$C:$C,0))*100+E987</f>
        <v>1031510</v>
      </c>
      <c r="C987" s="3" t="s">
        <v>240</v>
      </c>
      <c r="D987" s="11" t="s">
        <v>44</v>
      </c>
      <c r="E987" s="11">
        <f t="shared" si="29"/>
        <v>10</v>
      </c>
      <c r="F987" s="3" t="s">
        <v>239</v>
      </c>
      <c r="G987" s="16" t="s">
        <v>39</v>
      </c>
      <c r="H987" s="3">
        <v>60301003</v>
      </c>
      <c r="I987" s="12">
        <v>10</v>
      </c>
    </row>
    <row r="988" spans="2:9">
      <c r="B988" s="11">
        <f>1000000+INDEX(编号表!$B:$B,MATCH(C988,编号表!$A:$A,0))*1000+INDEX(编号表!$D:$D,MATCH(D988,编号表!$C:$C,0))*100+E988</f>
        <v>1031215</v>
      </c>
      <c r="C988" s="3" t="s">
        <v>240</v>
      </c>
      <c r="D988" s="11" t="s">
        <v>37</v>
      </c>
      <c r="E988" s="11">
        <f t="shared" si="29"/>
        <v>15</v>
      </c>
      <c r="F988" s="3" t="s">
        <v>236</v>
      </c>
      <c r="G988" s="16" t="s">
        <v>39</v>
      </c>
      <c r="H988" s="3">
        <v>60301000</v>
      </c>
      <c r="I988" s="12">
        <v>15</v>
      </c>
    </row>
    <row r="989" spans="2:9">
      <c r="B989" s="11">
        <f>1000000+INDEX(编号表!$B:$B,MATCH(C989,编号表!$A:$A,0))*1000+INDEX(编号表!$D:$D,MATCH(D989,编号表!$C:$C,0))*100+E989</f>
        <v>1031315</v>
      </c>
      <c r="C989" s="3" t="s">
        <v>240</v>
      </c>
      <c r="D989" s="11" t="s">
        <v>40</v>
      </c>
      <c r="E989" s="11">
        <f t="shared" si="29"/>
        <v>15</v>
      </c>
      <c r="F989" s="3" t="s">
        <v>237</v>
      </c>
      <c r="G989" s="16" t="s">
        <v>39</v>
      </c>
      <c r="H989" s="3">
        <v>60301001</v>
      </c>
      <c r="I989" s="12">
        <v>15</v>
      </c>
    </row>
    <row r="990" spans="2:9">
      <c r="B990" s="11">
        <f>1000000+INDEX(编号表!$B:$B,MATCH(C990,编号表!$A:$A,0))*1000+INDEX(编号表!$D:$D,MATCH(D990,编号表!$C:$C,0))*100+E990</f>
        <v>1031415</v>
      </c>
      <c r="C990" s="3" t="s">
        <v>240</v>
      </c>
      <c r="D990" s="11" t="s">
        <v>42</v>
      </c>
      <c r="E990" s="11">
        <f t="shared" si="29"/>
        <v>15</v>
      </c>
      <c r="F990" s="3" t="s">
        <v>238</v>
      </c>
      <c r="G990" s="16" t="s">
        <v>39</v>
      </c>
      <c r="H990" s="3">
        <v>60301002</v>
      </c>
      <c r="I990" s="12">
        <v>15</v>
      </c>
    </row>
    <row r="991" spans="2:9">
      <c r="B991" s="11">
        <f>1000000+INDEX(编号表!$B:$B,MATCH(C991,编号表!$A:$A,0))*1000+INDEX(编号表!$D:$D,MATCH(D991,编号表!$C:$C,0))*100+E991</f>
        <v>1031515</v>
      </c>
      <c r="C991" s="3" t="s">
        <v>240</v>
      </c>
      <c r="D991" s="11" t="s">
        <v>44</v>
      </c>
      <c r="E991" s="11">
        <f t="shared" si="29"/>
        <v>15</v>
      </c>
      <c r="F991" s="3" t="s">
        <v>239</v>
      </c>
      <c r="G991" s="16" t="s">
        <v>39</v>
      </c>
      <c r="H991" s="3">
        <v>60301003</v>
      </c>
      <c r="I991" s="12">
        <v>15</v>
      </c>
    </row>
    <row r="992" spans="2:9">
      <c r="B992" s="11">
        <f>1000000+INDEX(编号表!$B:$B,MATCH(C992,编号表!$A:$A,0))*1000+INDEX(编号表!$D:$D,MATCH(D992,编号表!$C:$C,0))*100+E992</f>
        <v>1032001</v>
      </c>
      <c r="C992" s="3" t="s">
        <v>241</v>
      </c>
      <c r="D992" s="11" t="s">
        <v>55</v>
      </c>
      <c r="E992" s="11">
        <v>1</v>
      </c>
      <c r="F992" s="17" t="s">
        <v>167</v>
      </c>
      <c r="G992" s="16" t="s">
        <v>57</v>
      </c>
      <c r="H992" s="11">
        <v>60314000</v>
      </c>
      <c r="I992" s="12">
        <v>1</v>
      </c>
    </row>
    <row r="993" spans="2:9">
      <c r="B993" s="11">
        <f>1000000+INDEX(编号表!$B:$B,MATCH(C993,编号表!$A:$A,0))*1000+INDEX(编号表!$D:$D,MATCH(D993,编号表!$C:$C,0))*100+E993</f>
        <v>1032101</v>
      </c>
      <c r="C993" s="3" t="s">
        <v>241</v>
      </c>
      <c r="D993" s="11" t="s">
        <v>58</v>
      </c>
      <c r="E993" s="11">
        <v>1</v>
      </c>
      <c r="F993" s="17" t="s">
        <v>59</v>
      </c>
      <c r="G993" s="16" t="s">
        <v>57</v>
      </c>
      <c r="H993" s="3">
        <v>60312000</v>
      </c>
      <c r="I993" s="12">
        <v>1</v>
      </c>
    </row>
    <row r="994" spans="2:9">
      <c r="B994" s="11">
        <f>1000000+INDEX(编号表!$B:$B,MATCH(C994,编号表!$A:$A,0))*1000+INDEX(编号表!$D:$D,MATCH(D994,编号表!$C:$C,0))*100+E994</f>
        <v>1032201</v>
      </c>
      <c r="C994" s="3" t="s">
        <v>241</v>
      </c>
      <c r="D994" s="11" t="s">
        <v>37</v>
      </c>
      <c r="E994" s="11">
        <f t="shared" ref="E994:E1023" si="30">I994+K994+M994+O994+Q994+S994+U994+W994+Y994+AA994</f>
        <v>1</v>
      </c>
      <c r="F994" s="3" t="s">
        <v>242</v>
      </c>
      <c r="G994" s="16" t="s">
        <v>39</v>
      </c>
      <c r="H994" s="3">
        <v>60311000</v>
      </c>
      <c r="I994" s="12">
        <v>1</v>
      </c>
    </row>
    <row r="995" spans="2:9">
      <c r="B995" s="11">
        <f>1000000+INDEX(编号表!$B:$B,MATCH(C995,编号表!$A:$A,0))*1000+INDEX(编号表!$D:$D,MATCH(D995,编号表!$C:$C,0))*100+E995</f>
        <v>1032301</v>
      </c>
      <c r="C995" s="3" t="s">
        <v>241</v>
      </c>
      <c r="D995" s="11" t="s">
        <v>40</v>
      </c>
      <c r="E995" s="11">
        <f t="shared" si="30"/>
        <v>1</v>
      </c>
      <c r="F995" s="3" t="s">
        <v>243</v>
      </c>
      <c r="G995" s="16" t="s">
        <v>39</v>
      </c>
      <c r="H995" s="3">
        <v>60311001</v>
      </c>
      <c r="I995" s="12">
        <v>1</v>
      </c>
    </row>
    <row r="996" spans="2:9">
      <c r="B996" s="11">
        <f>1000000+INDEX(编号表!$B:$B,MATCH(C996,编号表!$A:$A,0))*1000+INDEX(编号表!$D:$D,MATCH(D996,编号表!$C:$C,0))*100+E996</f>
        <v>1032401</v>
      </c>
      <c r="C996" s="3" t="s">
        <v>241</v>
      </c>
      <c r="D996" s="11" t="s">
        <v>42</v>
      </c>
      <c r="E996" s="11">
        <f t="shared" si="30"/>
        <v>1</v>
      </c>
      <c r="F996" s="3" t="s">
        <v>244</v>
      </c>
      <c r="G996" s="16" t="s">
        <v>39</v>
      </c>
      <c r="H996" s="3">
        <v>60311002</v>
      </c>
      <c r="I996" s="12">
        <v>1</v>
      </c>
    </row>
    <row r="997" spans="2:9">
      <c r="B997" s="11">
        <f>1000000+INDEX(编号表!$B:$B,MATCH(C997,编号表!$A:$A,0))*1000+INDEX(编号表!$D:$D,MATCH(D997,编号表!$C:$C,0))*100+E997</f>
        <v>1032501</v>
      </c>
      <c r="C997" s="3" t="s">
        <v>241</v>
      </c>
      <c r="D997" s="11" t="s">
        <v>44</v>
      </c>
      <c r="E997" s="11">
        <f t="shared" si="30"/>
        <v>1</v>
      </c>
      <c r="F997" s="3" t="s">
        <v>245</v>
      </c>
      <c r="G997" s="16" t="s">
        <v>39</v>
      </c>
      <c r="H997" s="3">
        <v>60311003</v>
      </c>
      <c r="I997" s="12">
        <v>1</v>
      </c>
    </row>
    <row r="998" spans="2:9">
      <c r="B998" s="11">
        <f>1000000+INDEX(编号表!$B:$B,MATCH(C998,编号表!$A:$A,0))*1000+INDEX(编号表!$D:$D,MATCH(D998,编号表!$C:$C,0))*100+E998</f>
        <v>1032601</v>
      </c>
      <c r="C998" s="3" t="s">
        <v>241</v>
      </c>
      <c r="D998" s="11" t="s">
        <v>46</v>
      </c>
      <c r="E998" s="11">
        <f t="shared" si="30"/>
        <v>1</v>
      </c>
      <c r="F998" s="3" t="s">
        <v>246</v>
      </c>
      <c r="G998" s="16" t="s">
        <v>39</v>
      </c>
      <c r="H998" s="3">
        <v>60311004</v>
      </c>
      <c r="I998" s="12">
        <v>1</v>
      </c>
    </row>
    <row r="999" spans="2:9">
      <c r="B999" s="11">
        <f>1000000+INDEX(编号表!$B:$B,MATCH(C999,编号表!$A:$A,0))*1000+INDEX(编号表!$D:$D,MATCH(D999,编号表!$C:$C,0))*100+E999</f>
        <v>1032202</v>
      </c>
      <c r="C999" s="3" t="s">
        <v>241</v>
      </c>
      <c r="D999" s="11" t="s">
        <v>37</v>
      </c>
      <c r="E999" s="11">
        <f t="shared" si="30"/>
        <v>2</v>
      </c>
      <c r="F999" s="3" t="s">
        <v>242</v>
      </c>
      <c r="G999" s="16" t="s">
        <v>39</v>
      </c>
      <c r="H999" s="3">
        <v>60311000</v>
      </c>
      <c r="I999" s="12">
        <v>2</v>
      </c>
    </row>
    <row r="1000" spans="2:9">
      <c r="B1000" s="11">
        <f>1000000+INDEX(编号表!$B:$B,MATCH(C1000,编号表!$A:$A,0))*1000+INDEX(编号表!$D:$D,MATCH(D1000,编号表!$C:$C,0))*100+E1000</f>
        <v>1032302</v>
      </c>
      <c r="C1000" s="3" t="s">
        <v>241</v>
      </c>
      <c r="D1000" s="11" t="s">
        <v>40</v>
      </c>
      <c r="E1000" s="11">
        <f t="shared" si="30"/>
        <v>2</v>
      </c>
      <c r="F1000" s="3" t="s">
        <v>243</v>
      </c>
      <c r="G1000" s="16" t="s">
        <v>39</v>
      </c>
      <c r="H1000" s="3">
        <v>60311001</v>
      </c>
      <c r="I1000" s="12">
        <v>2</v>
      </c>
    </row>
    <row r="1001" spans="2:9">
      <c r="B1001" s="11">
        <f>1000000+INDEX(编号表!$B:$B,MATCH(C1001,编号表!$A:$A,0))*1000+INDEX(编号表!$D:$D,MATCH(D1001,编号表!$C:$C,0))*100+E1001</f>
        <v>1032402</v>
      </c>
      <c r="C1001" s="3" t="s">
        <v>241</v>
      </c>
      <c r="D1001" s="11" t="s">
        <v>42</v>
      </c>
      <c r="E1001" s="11">
        <f t="shared" si="30"/>
        <v>2</v>
      </c>
      <c r="F1001" s="3" t="s">
        <v>244</v>
      </c>
      <c r="G1001" s="16" t="s">
        <v>39</v>
      </c>
      <c r="H1001" s="3">
        <v>60311002</v>
      </c>
      <c r="I1001" s="12">
        <v>2</v>
      </c>
    </row>
    <row r="1002" spans="2:9">
      <c r="B1002" s="11">
        <f>1000000+INDEX(编号表!$B:$B,MATCH(C1002,编号表!$A:$A,0))*1000+INDEX(编号表!$D:$D,MATCH(D1002,编号表!$C:$C,0))*100+E1002</f>
        <v>1032502</v>
      </c>
      <c r="C1002" s="3" t="s">
        <v>241</v>
      </c>
      <c r="D1002" s="11" t="s">
        <v>44</v>
      </c>
      <c r="E1002" s="11">
        <f t="shared" si="30"/>
        <v>2</v>
      </c>
      <c r="F1002" s="3" t="s">
        <v>245</v>
      </c>
      <c r="G1002" s="16" t="s">
        <v>39</v>
      </c>
      <c r="H1002" s="3">
        <v>60311003</v>
      </c>
      <c r="I1002" s="12">
        <v>2</v>
      </c>
    </row>
    <row r="1003" spans="2:9">
      <c r="B1003" s="11">
        <f>1000000+INDEX(编号表!$B:$B,MATCH(C1003,编号表!$A:$A,0))*1000+INDEX(编号表!$D:$D,MATCH(D1003,编号表!$C:$C,0))*100+E1003</f>
        <v>1032602</v>
      </c>
      <c r="C1003" s="3" t="s">
        <v>241</v>
      </c>
      <c r="D1003" s="11" t="s">
        <v>46</v>
      </c>
      <c r="E1003" s="11">
        <f t="shared" si="30"/>
        <v>2</v>
      </c>
      <c r="F1003" s="3" t="s">
        <v>246</v>
      </c>
      <c r="G1003" s="16" t="s">
        <v>39</v>
      </c>
      <c r="H1003" s="3">
        <v>60311004</v>
      </c>
      <c r="I1003" s="12">
        <v>2</v>
      </c>
    </row>
    <row r="1004" spans="2:9">
      <c r="B1004" s="11">
        <f>1000000+INDEX(编号表!$B:$B,MATCH(C1004,编号表!$A:$A,0))*1000+INDEX(编号表!$D:$D,MATCH(D1004,编号表!$C:$C,0))*100+E1004</f>
        <v>1032203</v>
      </c>
      <c r="C1004" s="3" t="s">
        <v>241</v>
      </c>
      <c r="D1004" s="11" t="s">
        <v>37</v>
      </c>
      <c r="E1004" s="11">
        <f t="shared" si="30"/>
        <v>3</v>
      </c>
      <c r="F1004" s="3" t="s">
        <v>242</v>
      </c>
      <c r="G1004" s="16" t="s">
        <v>39</v>
      </c>
      <c r="H1004" s="3">
        <v>60311000</v>
      </c>
      <c r="I1004" s="12">
        <v>3</v>
      </c>
    </row>
    <row r="1005" spans="2:9">
      <c r="B1005" s="11">
        <f>1000000+INDEX(编号表!$B:$B,MATCH(C1005,编号表!$A:$A,0))*1000+INDEX(编号表!$D:$D,MATCH(D1005,编号表!$C:$C,0))*100+E1005</f>
        <v>1032303</v>
      </c>
      <c r="C1005" s="3" t="s">
        <v>241</v>
      </c>
      <c r="D1005" s="11" t="s">
        <v>40</v>
      </c>
      <c r="E1005" s="11">
        <f t="shared" si="30"/>
        <v>3</v>
      </c>
      <c r="F1005" s="3" t="s">
        <v>243</v>
      </c>
      <c r="G1005" s="16" t="s">
        <v>39</v>
      </c>
      <c r="H1005" s="3">
        <v>60311001</v>
      </c>
      <c r="I1005" s="12">
        <v>3</v>
      </c>
    </row>
    <row r="1006" spans="2:9">
      <c r="B1006" s="11">
        <f>1000000+INDEX(编号表!$B:$B,MATCH(C1006,编号表!$A:$A,0))*1000+INDEX(编号表!$D:$D,MATCH(D1006,编号表!$C:$C,0))*100+E1006</f>
        <v>1032403</v>
      </c>
      <c r="C1006" s="3" t="s">
        <v>241</v>
      </c>
      <c r="D1006" s="11" t="s">
        <v>42</v>
      </c>
      <c r="E1006" s="11">
        <f t="shared" si="30"/>
        <v>3</v>
      </c>
      <c r="F1006" s="3" t="s">
        <v>244</v>
      </c>
      <c r="G1006" s="16" t="s">
        <v>39</v>
      </c>
      <c r="H1006" s="3">
        <v>60311002</v>
      </c>
      <c r="I1006" s="12">
        <v>3</v>
      </c>
    </row>
    <row r="1007" spans="2:9">
      <c r="B1007" s="11">
        <f>1000000+INDEX(编号表!$B:$B,MATCH(C1007,编号表!$A:$A,0))*1000+INDEX(编号表!$D:$D,MATCH(D1007,编号表!$C:$C,0))*100+E1007</f>
        <v>1032503</v>
      </c>
      <c r="C1007" s="3" t="s">
        <v>241</v>
      </c>
      <c r="D1007" s="11" t="s">
        <v>44</v>
      </c>
      <c r="E1007" s="11">
        <f t="shared" si="30"/>
        <v>3</v>
      </c>
      <c r="F1007" s="3" t="s">
        <v>245</v>
      </c>
      <c r="G1007" s="16" t="s">
        <v>39</v>
      </c>
      <c r="H1007" s="3">
        <v>60311003</v>
      </c>
      <c r="I1007" s="12">
        <v>3</v>
      </c>
    </row>
    <row r="1008" spans="2:9">
      <c r="B1008" s="11">
        <f>1000000+INDEX(编号表!$B:$B,MATCH(C1008,编号表!$A:$A,0))*1000+INDEX(编号表!$D:$D,MATCH(D1008,编号表!$C:$C,0))*100+E1008</f>
        <v>1032603</v>
      </c>
      <c r="C1008" s="3" t="s">
        <v>241</v>
      </c>
      <c r="D1008" s="11" t="s">
        <v>46</v>
      </c>
      <c r="E1008" s="11">
        <f t="shared" si="30"/>
        <v>3</v>
      </c>
      <c r="F1008" s="3" t="s">
        <v>246</v>
      </c>
      <c r="G1008" s="16" t="s">
        <v>39</v>
      </c>
      <c r="H1008" s="3">
        <v>60311004</v>
      </c>
      <c r="I1008" s="12">
        <v>3</v>
      </c>
    </row>
    <row r="1009" spans="2:9">
      <c r="B1009" s="11">
        <f>1000000+INDEX(编号表!$B:$B,MATCH(C1009,编号表!$A:$A,0))*1000+INDEX(编号表!$D:$D,MATCH(D1009,编号表!$C:$C,0))*100+E1009</f>
        <v>1032205</v>
      </c>
      <c r="C1009" s="3" t="s">
        <v>241</v>
      </c>
      <c r="D1009" s="11" t="s">
        <v>37</v>
      </c>
      <c r="E1009" s="11">
        <f t="shared" si="30"/>
        <v>5</v>
      </c>
      <c r="F1009" s="3" t="s">
        <v>242</v>
      </c>
      <c r="G1009" s="16" t="s">
        <v>39</v>
      </c>
      <c r="H1009" s="3">
        <v>60311000</v>
      </c>
      <c r="I1009" s="12">
        <v>5</v>
      </c>
    </row>
    <row r="1010" spans="2:9">
      <c r="B1010" s="11">
        <f>1000000+INDEX(编号表!$B:$B,MATCH(C1010,编号表!$A:$A,0))*1000+INDEX(编号表!$D:$D,MATCH(D1010,编号表!$C:$C,0))*100+E1010</f>
        <v>1032305</v>
      </c>
      <c r="C1010" s="3" t="s">
        <v>241</v>
      </c>
      <c r="D1010" s="11" t="s">
        <v>40</v>
      </c>
      <c r="E1010" s="11">
        <f t="shared" si="30"/>
        <v>5</v>
      </c>
      <c r="F1010" s="3" t="s">
        <v>243</v>
      </c>
      <c r="G1010" s="16" t="s">
        <v>39</v>
      </c>
      <c r="H1010" s="3">
        <v>60311001</v>
      </c>
      <c r="I1010" s="12">
        <v>5</v>
      </c>
    </row>
    <row r="1011" spans="2:9">
      <c r="B1011" s="11">
        <f>1000000+INDEX(编号表!$B:$B,MATCH(C1011,编号表!$A:$A,0))*1000+INDEX(编号表!$D:$D,MATCH(D1011,编号表!$C:$C,0))*100+E1011</f>
        <v>1032405</v>
      </c>
      <c r="C1011" s="3" t="s">
        <v>241</v>
      </c>
      <c r="D1011" s="11" t="s">
        <v>42</v>
      </c>
      <c r="E1011" s="11">
        <f t="shared" si="30"/>
        <v>5</v>
      </c>
      <c r="F1011" s="3" t="s">
        <v>244</v>
      </c>
      <c r="G1011" s="16" t="s">
        <v>39</v>
      </c>
      <c r="H1011" s="3">
        <v>60311002</v>
      </c>
      <c r="I1011" s="12">
        <v>5</v>
      </c>
    </row>
    <row r="1012" spans="2:9">
      <c r="B1012" s="11">
        <f>1000000+INDEX(编号表!$B:$B,MATCH(C1012,编号表!$A:$A,0))*1000+INDEX(编号表!$D:$D,MATCH(D1012,编号表!$C:$C,0))*100+E1012</f>
        <v>1032505</v>
      </c>
      <c r="C1012" s="3" t="s">
        <v>241</v>
      </c>
      <c r="D1012" s="11" t="s">
        <v>44</v>
      </c>
      <c r="E1012" s="11">
        <f t="shared" si="30"/>
        <v>5</v>
      </c>
      <c r="F1012" s="3" t="s">
        <v>245</v>
      </c>
      <c r="G1012" s="16" t="s">
        <v>39</v>
      </c>
      <c r="H1012" s="3">
        <v>60311003</v>
      </c>
      <c r="I1012" s="12">
        <v>5</v>
      </c>
    </row>
    <row r="1013" spans="2:9">
      <c r="B1013" s="11">
        <f>1000000+INDEX(编号表!$B:$B,MATCH(C1013,编号表!$A:$A,0))*1000+INDEX(编号表!$D:$D,MATCH(D1013,编号表!$C:$C,0))*100+E1013</f>
        <v>1032605</v>
      </c>
      <c r="C1013" s="3" t="s">
        <v>241</v>
      </c>
      <c r="D1013" s="11" t="s">
        <v>46</v>
      </c>
      <c r="E1013" s="11">
        <f t="shared" si="30"/>
        <v>5</v>
      </c>
      <c r="F1013" s="3" t="s">
        <v>246</v>
      </c>
      <c r="G1013" s="16" t="s">
        <v>39</v>
      </c>
      <c r="H1013" s="3">
        <v>60311004</v>
      </c>
      <c r="I1013" s="12">
        <v>5</v>
      </c>
    </row>
    <row r="1014" spans="2:9">
      <c r="B1014" s="11">
        <f>1000000+INDEX(编号表!$B:$B,MATCH(C1014,编号表!$A:$A,0))*1000+INDEX(编号表!$D:$D,MATCH(D1014,编号表!$C:$C,0))*100+E1014</f>
        <v>1032210</v>
      </c>
      <c r="C1014" s="3" t="s">
        <v>241</v>
      </c>
      <c r="D1014" s="11" t="s">
        <v>37</v>
      </c>
      <c r="E1014" s="11">
        <f t="shared" si="30"/>
        <v>10</v>
      </c>
      <c r="F1014" s="3" t="s">
        <v>242</v>
      </c>
      <c r="G1014" s="16" t="s">
        <v>39</v>
      </c>
      <c r="H1014" s="3">
        <v>60311000</v>
      </c>
      <c r="I1014" s="12">
        <v>10</v>
      </c>
    </row>
    <row r="1015" spans="2:9">
      <c r="B1015" s="11">
        <f>1000000+INDEX(编号表!$B:$B,MATCH(C1015,编号表!$A:$A,0))*1000+INDEX(编号表!$D:$D,MATCH(D1015,编号表!$C:$C,0))*100+E1015</f>
        <v>1032310</v>
      </c>
      <c r="C1015" s="3" t="s">
        <v>241</v>
      </c>
      <c r="D1015" s="11" t="s">
        <v>40</v>
      </c>
      <c r="E1015" s="11">
        <f t="shared" si="30"/>
        <v>10</v>
      </c>
      <c r="F1015" s="3" t="s">
        <v>243</v>
      </c>
      <c r="G1015" s="16" t="s">
        <v>39</v>
      </c>
      <c r="H1015" s="3">
        <v>60311001</v>
      </c>
      <c r="I1015" s="12">
        <v>10</v>
      </c>
    </row>
    <row r="1016" spans="2:9">
      <c r="B1016" s="11">
        <f>1000000+INDEX(编号表!$B:$B,MATCH(C1016,编号表!$A:$A,0))*1000+INDEX(编号表!$D:$D,MATCH(D1016,编号表!$C:$C,0))*100+E1016</f>
        <v>1032410</v>
      </c>
      <c r="C1016" s="3" t="s">
        <v>241</v>
      </c>
      <c r="D1016" s="11" t="s">
        <v>42</v>
      </c>
      <c r="E1016" s="11">
        <f t="shared" si="30"/>
        <v>10</v>
      </c>
      <c r="F1016" s="3" t="s">
        <v>244</v>
      </c>
      <c r="G1016" s="16" t="s">
        <v>39</v>
      </c>
      <c r="H1016" s="3">
        <v>60311002</v>
      </c>
      <c r="I1016" s="12">
        <v>10</v>
      </c>
    </row>
    <row r="1017" spans="2:9">
      <c r="B1017" s="11">
        <f>1000000+INDEX(编号表!$B:$B,MATCH(C1017,编号表!$A:$A,0))*1000+INDEX(编号表!$D:$D,MATCH(D1017,编号表!$C:$C,0))*100+E1017</f>
        <v>1032510</v>
      </c>
      <c r="C1017" s="3" t="s">
        <v>241</v>
      </c>
      <c r="D1017" s="11" t="s">
        <v>44</v>
      </c>
      <c r="E1017" s="11">
        <f t="shared" si="30"/>
        <v>10</v>
      </c>
      <c r="F1017" s="3" t="s">
        <v>245</v>
      </c>
      <c r="G1017" s="16" t="s">
        <v>39</v>
      </c>
      <c r="H1017" s="3">
        <v>60311003</v>
      </c>
      <c r="I1017" s="12">
        <v>10</v>
      </c>
    </row>
    <row r="1018" spans="2:9">
      <c r="B1018" s="11">
        <f>1000000+INDEX(编号表!$B:$B,MATCH(C1018,编号表!$A:$A,0))*1000+INDEX(编号表!$D:$D,MATCH(D1018,编号表!$C:$C,0))*100+E1018</f>
        <v>1032610</v>
      </c>
      <c r="C1018" s="3" t="s">
        <v>241</v>
      </c>
      <c r="D1018" s="11" t="s">
        <v>46</v>
      </c>
      <c r="E1018" s="11">
        <f t="shared" si="30"/>
        <v>10</v>
      </c>
      <c r="F1018" s="3" t="s">
        <v>246</v>
      </c>
      <c r="G1018" s="16" t="s">
        <v>39</v>
      </c>
      <c r="H1018" s="3">
        <v>60311004</v>
      </c>
      <c r="I1018" s="12">
        <v>10</v>
      </c>
    </row>
    <row r="1019" spans="2:9">
      <c r="B1019" s="11">
        <f>1000000+INDEX(编号表!$B:$B,MATCH(C1019,编号表!$A:$A,0))*1000+INDEX(编号表!$D:$D,MATCH(D1019,编号表!$C:$C,0))*100+E1019</f>
        <v>1032215</v>
      </c>
      <c r="C1019" s="3" t="s">
        <v>241</v>
      </c>
      <c r="D1019" s="11" t="s">
        <v>37</v>
      </c>
      <c r="E1019" s="11">
        <f t="shared" si="30"/>
        <v>15</v>
      </c>
      <c r="F1019" s="3" t="s">
        <v>242</v>
      </c>
      <c r="G1019" s="16" t="s">
        <v>39</v>
      </c>
      <c r="H1019" s="3">
        <v>60311000</v>
      </c>
      <c r="I1019" s="12">
        <v>15</v>
      </c>
    </row>
    <row r="1020" spans="2:9">
      <c r="B1020" s="11">
        <f>1000000+INDEX(编号表!$B:$B,MATCH(C1020,编号表!$A:$A,0))*1000+INDEX(编号表!$D:$D,MATCH(D1020,编号表!$C:$C,0))*100+E1020</f>
        <v>1032315</v>
      </c>
      <c r="C1020" s="3" t="s">
        <v>241</v>
      </c>
      <c r="D1020" s="11" t="s">
        <v>40</v>
      </c>
      <c r="E1020" s="11">
        <f t="shared" si="30"/>
        <v>15</v>
      </c>
      <c r="F1020" s="3" t="s">
        <v>243</v>
      </c>
      <c r="G1020" s="16" t="s">
        <v>39</v>
      </c>
      <c r="H1020" s="3">
        <v>60311001</v>
      </c>
      <c r="I1020" s="12">
        <v>15</v>
      </c>
    </row>
    <row r="1021" spans="2:9">
      <c r="B1021" s="11">
        <f>1000000+INDEX(编号表!$B:$B,MATCH(C1021,编号表!$A:$A,0))*1000+INDEX(编号表!$D:$D,MATCH(D1021,编号表!$C:$C,0))*100+E1021</f>
        <v>1032415</v>
      </c>
      <c r="C1021" s="3" t="s">
        <v>241</v>
      </c>
      <c r="D1021" s="11" t="s">
        <v>42</v>
      </c>
      <c r="E1021" s="11">
        <f t="shared" si="30"/>
        <v>15</v>
      </c>
      <c r="F1021" s="3" t="s">
        <v>244</v>
      </c>
      <c r="G1021" s="16" t="s">
        <v>39</v>
      </c>
      <c r="H1021" s="3">
        <v>60311002</v>
      </c>
      <c r="I1021" s="12">
        <v>15</v>
      </c>
    </row>
    <row r="1022" spans="2:9">
      <c r="B1022" s="11">
        <f>1000000+INDEX(编号表!$B:$B,MATCH(C1022,编号表!$A:$A,0))*1000+INDEX(编号表!$D:$D,MATCH(D1022,编号表!$C:$C,0))*100+E1022</f>
        <v>1032515</v>
      </c>
      <c r="C1022" s="3" t="s">
        <v>241</v>
      </c>
      <c r="D1022" s="11" t="s">
        <v>44</v>
      </c>
      <c r="E1022" s="11">
        <f t="shared" si="30"/>
        <v>15</v>
      </c>
      <c r="F1022" s="3" t="s">
        <v>245</v>
      </c>
      <c r="G1022" s="16" t="s">
        <v>39</v>
      </c>
      <c r="H1022" s="3">
        <v>60311003</v>
      </c>
      <c r="I1022" s="12">
        <v>15</v>
      </c>
    </row>
    <row r="1023" spans="2:9">
      <c r="B1023" s="11">
        <f>1000000+INDEX(编号表!$B:$B,MATCH(C1023,编号表!$A:$A,0))*1000+INDEX(编号表!$D:$D,MATCH(D1023,编号表!$C:$C,0))*100+E1023</f>
        <v>1032615</v>
      </c>
      <c r="C1023" s="3" t="s">
        <v>241</v>
      </c>
      <c r="D1023" s="11" t="s">
        <v>46</v>
      </c>
      <c r="E1023" s="11">
        <f t="shared" si="30"/>
        <v>15</v>
      </c>
      <c r="F1023" s="3" t="s">
        <v>246</v>
      </c>
      <c r="G1023" s="16" t="s">
        <v>39</v>
      </c>
      <c r="H1023" s="3">
        <v>60311004</v>
      </c>
      <c r="I1023" s="12">
        <v>15</v>
      </c>
    </row>
    <row r="1024" spans="2:9">
      <c r="B1024" s="11">
        <f>1000000+INDEX(编号表!$B:$B,MATCH(C1024,编号表!$A:$A,0))*1000+INDEX(编号表!$D:$D,MATCH(D1024,编号表!$C:$C,0))*100+E1024</f>
        <v>1033001</v>
      </c>
      <c r="C1024" s="3" t="s">
        <v>247</v>
      </c>
      <c r="D1024" s="11" t="s">
        <v>55</v>
      </c>
      <c r="E1024" s="11">
        <v>1</v>
      </c>
      <c r="F1024" s="17" t="s">
        <v>167</v>
      </c>
      <c r="G1024" s="16" t="s">
        <v>57</v>
      </c>
      <c r="H1024" s="11">
        <v>60324000</v>
      </c>
      <c r="I1024" s="12">
        <v>1</v>
      </c>
    </row>
    <row r="1025" spans="2:9">
      <c r="B1025" s="11">
        <f>1000000+INDEX(编号表!$B:$B,MATCH(C1025,编号表!$A:$A,0))*1000+INDEX(编号表!$D:$D,MATCH(D1025,编号表!$C:$C,0))*100+E1025</f>
        <v>1033101</v>
      </c>
      <c r="C1025" s="3" t="s">
        <v>247</v>
      </c>
      <c r="D1025" s="11" t="s">
        <v>58</v>
      </c>
      <c r="E1025" s="11">
        <v>1</v>
      </c>
      <c r="F1025" s="17" t="s">
        <v>59</v>
      </c>
      <c r="G1025" s="16" t="s">
        <v>57</v>
      </c>
      <c r="H1025" s="3">
        <v>60322000</v>
      </c>
      <c r="I1025" s="12">
        <v>1</v>
      </c>
    </row>
    <row r="1026" spans="2:9">
      <c r="B1026" s="11">
        <f>1000000+INDEX(编号表!$B:$B,MATCH(C1026,编号表!$A:$A,0))*1000+INDEX(编号表!$D:$D,MATCH(D1026,编号表!$C:$C,0))*100+E1026</f>
        <v>1033102</v>
      </c>
      <c r="C1026" s="3" t="s">
        <v>247</v>
      </c>
      <c r="D1026" s="11" t="s">
        <v>58</v>
      </c>
      <c r="E1026" s="11">
        <v>2</v>
      </c>
      <c r="F1026" s="17" t="s">
        <v>59</v>
      </c>
      <c r="G1026" s="16" t="s">
        <v>57</v>
      </c>
      <c r="H1026" s="3">
        <v>60322001</v>
      </c>
      <c r="I1026" s="12">
        <v>1</v>
      </c>
    </row>
    <row r="1027" spans="2:9">
      <c r="B1027" s="11">
        <f>1000000+INDEX(编号表!$B:$B,MATCH(C1027,编号表!$A:$A,0))*1000+INDEX(编号表!$D:$D,MATCH(D1027,编号表!$C:$C,0))*100+E1027</f>
        <v>1033201</v>
      </c>
      <c r="C1027" s="3" t="s">
        <v>247</v>
      </c>
      <c r="D1027" s="11" t="s">
        <v>37</v>
      </c>
      <c r="E1027" s="11">
        <f t="shared" ref="E1027:E1062" si="31">I1027+K1027+M1027+O1027+Q1027+S1027+U1027+W1027+Y1027+AA1027</f>
        <v>1</v>
      </c>
      <c r="F1027" s="3" t="s">
        <v>243</v>
      </c>
      <c r="G1027" s="16" t="s">
        <v>39</v>
      </c>
      <c r="H1027" s="3">
        <v>60321000</v>
      </c>
      <c r="I1027" s="12">
        <v>1</v>
      </c>
    </row>
    <row r="1028" spans="2:9">
      <c r="B1028" s="11">
        <f>1000000+INDEX(编号表!$B:$B,MATCH(C1028,编号表!$A:$A,0))*1000+INDEX(编号表!$D:$D,MATCH(D1028,编号表!$C:$C,0))*100+E1028</f>
        <v>1033301</v>
      </c>
      <c r="C1028" s="3" t="s">
        <v>247</v>
      </c>
      <c r="D1028" s="11" t="s">
        <v>40</v>
      </c>
      <c r="E1028" s="11">
        <f t="shared" si="31"/>
        <v>1</v>
      </c>
      <c r="F1028" s="3" t="s">
        <v>244</v>
      </c>
      <c r="G1028" s="16" t="s">
        <v>39</v>
      </c>
      <c r="H1028" s="3">
        <v>60321001</v>
      </c>
      <c r="I1028" s="12">
        <v>1</v>
      </c>
    </row>
    <row r="1029" spans="2:9">
      <c r="B1029" s="11">
        <f>1000000+INDEX(编号表!$B:$B,MATCH(C1029,编号表!$A:$A,0))*1000+INDEX(编号表!$D:$D,MATCH(D1029,编号表!$C:$C,0))*100+E1029</f>
        <v>1033401</v>
      </c>
      <c r="C1029" s="3" t="s">
        <v>247</v>
      </c>
      <c r="D1029" s="11" t="s">
        <v>42</v>
      </c>
      <c r="E1029" s="11">
        <f t="shared" si="31"/>
        <v>1</v>
      </c>
      <c r="F1029" s="3" t="s">
        <v>245</v>
      </c>
      <c r="G1029" s="16" t="s">
        <v>39</v>
      </c>
      <c r="H1029" s="3">
        <v>60321002</v>
      </c>
      <c r="I1029" s="12">
        <v>1</v>
      </c>
    </row>
    <row r="1030" spans="2:9">
      <c r="B1030" s="11">
        <f>1000000+INDEX(编号表!$B:$B,MATCH(C1030,编号表!$A:$A,0))*1000+INDEX(编号表!$D:$D,MATCH(D1030,编号表!$C:$C,0))*100+E1030</f>
        <v>1033501</v>
      </c>
      <c r="C1030" s="3" t="s">
        <v>247</v>
      </c>
      <c r="D1030" s="11" t="s">
        <v>44</v>
      </c>
      <c r="E1030" s="11">
        <f t="shared" si="31"/>
        <v>1</v>
      </c>
      <c r="F1030" s="3" t="s">
        <v>246</v>
      </c>
      <c r="G1030" s="16" t="s">
        <v>39</v>
      </c>
      <c r="H1030" s="3">
        <v>60321003</v>
      </c>
      <c r="I1030" s="12">
        <v>1</v>
      </c>
    </row>
    <row r="1031" spans="2:9">
      <c r="B1031" s="11">
        <f>1000000+INDEX(编号表!$B:$B,MATCH(C1031,编号表!$A:$A,0))*1000+INDEX(编号表!$D:$D,MATCH(D1031,编号表!$C:$C,0))*100+E1031</f>
        <v>1033601</v>
      </c>
      <c r="C1031" s="3" t="s">
        <v>247</v>
      </c>
      <c r="D1031" s="11" t="s">
        <v>46</v>
      </c>
      <c r="E1031" s="11">
        <f t="shared" si="31"/>
        <v>1</v>
      </c>
      <c r="F1031" s="3" t="s">
        <v>248</v>
      </c>
      <c r="G1031" s="16" t="s">
        <v>39</v>
      </c>
      <c r="H1031" s="3">
        <v>60321004</v>
      </c>
      <c r="I1031" s="12">
        <v>1</v>
      </c>
    </row>
    <row r="1032" spans="2:9">
      <c r="B1032" s="11">
        <f>1000000+INDEX(编号表!$B:$B,MATCH(C1032,编号表!$A:$A,0))*1000+INDEX(编号表!$D:$D,MATCH(D1032,编号表!$C:$C,0))*100+E1032</f>
        <v>1033701</v>
      </c>
      <c r="C1032" s="3" t="s">
        <v>247</v>
      </c>
      <c r="D1032" s="11" t="s">
        <v>48</v>
      </c>
      <c r="E1032" s="11">
        <f t="shared" si="31"/>
        <v>1</v>
      </c>
      <c r="F1032" s="3" t="s">
        <v>249</v>
      </c>
      <c r="G1032" s="16" t="s">
        <v>39</v>
      </c>
      <c r="H1032" s="3">
        <v>60321005</v>
      </c>
      <c r="I1032" s="12">
        <v>1</v>
      </c>
    </row>
    <row r="1033" spans="2:9">
      <c r="B1033" s="11">
        <f>1000000+INDEX(编号表!$B:$B,MATCH(C1033,编号表!$A:$A,0))*1000+INDEX(编号表!$D:$D,MATCH(D1033,编号表!$C:$C,0))*100+E1033</f>
        <v>1033202</v>
      </c>
      <c r="C1033" s="3" t="s">
        <v>247</v>
      </c>
      <c r="D1033" s="11" t="s">
        <v>37</v>
      </c>
      <c r="E1033" s="11">
        <f t="shared" si="31"/>
        <v>2</v>
      </c>
      <c r="F1033" s="3" t="s">
        <v>243</v>
      </c>
      <c r="G1033" s="16" t="s">
        <v>39</v>
      </c>
      <c r="H1033" s="3">
        <v>60321000</v>
      </c>
      <c r="I1033" s="12">
        <v>2</v>
      </c>
    </row>
    <row r="1034" spans="2:9">
      <c r="B1034" s="11">
        <f>1000000+INDEX(编号表!$B:$B,MATCH(C1034,编号表!$A:$A,0))*1000+INDEX(编号表!$D:$D,MATCH(D1034,编号表!$C:$C,0))*100+E1034</f>
        <v>1033302</v>
      </c>
      <c r="C1034" s="3" t="s">
        <v>247</v>
      </c>
      <c r="D1034" s="11" t="s">
        <v>40</v>
      </c>
      <c r="E1034" s="11">
        <f t="shared" si="31"/>
        <v>2</v>
      </c>
      <c r="F1034" s="3" t="s">
        <v>244</v>
      </c>
      <c r="G1034" s="16" t="s">
        <v>39</v>
      </c>
      <c r="H1034" s="3">
        <v>60321001</v>
      </c>
      <c r="I1034" s="12">
        <v>2</v>
      </c>
    </row>
    <row r="1035" spans="2:9">
      <c r="B1035" s="11">
        <f>1000000+INDEX(编号表!$B:$B,MATCH(C1035,编号表!$A:$A,0))*1000+INDEX(编号表!$D:$D,MATCH(D1035,编号表!$C:$C,0))*100+E1035</f>
        <v>1033402</v>
      </c>
      <c r="C1035" s="3" t="s">
        <v>247</v>
      </c>
      <c r="D1035" s="11" t="s">
        <v>42</v>
      </c>
      <c r="E1035" s="11">
        <f t="shared" si="31"/>
        <v>2</v>
      </c>
      <c r="F1035" s="3" t="s">
        <v>245</v>
      </c>
      <c r="G1035" s="16" t="s">
        <v>39</v>
      </c>
      <c r="H1035" s="3">
        <v>60321002</v>
      </c>
      <c r="I1035" s="12">
        <v>2</v>
      </c>
    </row>
    <row r="1036" spans="2:9">
      <c r="B1036" s="11">
        <f>1000000+INDEX(编号表!$B:$B,MATCH(C1036,编号表!$A:$A,0))*1000+INDEX(编号表!$D:$D,MATCH(D1036,编号表!$C:$C,0))*100+E1036</f>
        <v>1033502</v>
      </c>
      <c r="C1036" s="3" t="s">
        <v>247</v>
      </c>
      <c r="D1036" s="11" t="s">
        <v>44</v>
      </c>
      <c r="E1036" s="11">
        <f t="shared" si="31"/>
        <v>2</v>
      </c>
      <c r="F1036" s="3" t="s">
        <v>246</v>
      </c>
      <c r="G1036" s="16" t="s">
        <v>39</v>
      </c>
      <c r="H1036" s="3">
        <v>60321003</v>
      </c>
      <c r="I1036" s="12">
        <v>2</v>
      </c>
    </row>
    <row r="1037" spans="2:9">
      <c r="B1037" s="11">
        <f>1000000+INDEX(编号表!$B:$B,MATCH(C1037,编号表!$A:$A,0))*1000+INDEX(编号表!$D:$D,MATCH(D1037,编号表!$C:$C,0))*100+E1037</f>
        <v>1033602</v>
      </c>
      <c r="C1037" s="3" t="s">
        <v>247</v>
      </c>
      <c r="D1037" s="11" t="s">
        <v>46</v>
      </c>
      <c r="E1037" s="11">
        <f t="shared" si="31"/>
        <v>2</v>
      </c>
      <c r="F1037" s="3" t="s">
        <v>248</v>
      </c>
      <c r="G1037" s="16" t="s">
        <v>39</v>
      </c>
      <c r="H1037" s="3">
        <v>60321004</v>
      </c>
      <c r="I1037" s="12">
        <v>2</v>
      </c>
    </row>
    <row r="1038" spans="2:9">
      <c r="B1038" s="11">
        <f>1000000+INDEX(编号表!$B:$B,MATCH(C1038,编号表!$A:$A,0))*1000+INDEX(编号表!$D:$D,MATCH(D1038,编号表!$C:$C,0))*100+E1038</f>
        <v>1033702</v>
      </c>
      <c r="C1038" s="3" t="s">
        <v>247</v>
      </c>
      <c r="D1038" s="11" t="s">
        <v>48</v>
      </c>
      <c r="E1038" s="11">
        <f t="shared" si="31"/>
        <v>2</v>
      </c>
      <c r="F1038" s="3" t="s">
        <v>249</v>
      </c>
      <c r="G1038" s="16" t="s">
        <v>39</v>
      </c>
      <c r="H1038" s="3">
        <v>60321005</v>
      </c>
      <c r="I1038" s="12">
        <v>2</v>
      </c>
    </row>
    <row r="1039" spans="2:9">
      <c r="B1039" s="11">
        <f>1000000+INDEX(编号表!$B:$B,MATCH(C1039,编号表!$A:$A,0))*1000+INDEX(编号表!$D:$D,MATCH(D1039,编号表!$C:$C,0))*100+E1039</f>
        <v>1033203</v>
      </c>
      <c r="C1039" s="3" t="s">
        <v>247</v>
      </c>
      <c r="D1039" s="11" t="s">
        <v>37</v>
      </c>
      <c r="E1039" s="11">
        <f t="shared" si="31"/>
        <v>3</v>
      </c>
      <c r="F1039" s="3" t="s">
        <v>243</v>
      </c>
      <c r="G1039" s="16" t="s">
        <v>39</v>
      </c>
      <c r="H1039" s="3">
        <v>60321000</v>
      </c>
      <c r="I1039" s="12">
        <v>3</v>
      </c>
    </row>
    <row r="1040" spans="2:9">
      <c r="B1040" s="11">
        <f>1000000+INDEX(编号表!$B:$B,MATCH(C1040,编号表!$A:$A,0))*1000+INDEX(编号表!$D:$D,MATCH(D1040,编号表!$C:$C,0))*100+E1040</f>
        <v>1033303</v>
      </c>
      <c r="C1040" s="3" t="s">
        <v>247</v>
      </c>
      <c r="D1040" s="11" t="s">
        <v>40</v>
      </c>
      <c r="E1040" s="11">
        <f t="shared" si="31"/>
        <v>3</v>
      </c>
      <c r="F1040" s="3" t="s">
        <v>244</v>
      </c>
      <c r="G1040" s="16" t="s">
        <v>39</v>
      </c>
      <c r="H1040" s="3">
        <v>60321001</v>
      </c>
      <c r="I1040" s="12">
        <v>3</v>
      </c>
    </row>
    <row r="1041" spans="1:9">
      <c r="B1041" s="11">
        <f>1000000+INDEX(编号表!$B:$B,MATCH(C1041,编号表!$A:$A,0))*1000+INDEX(编号表!$D:$D,MATCH(D1041,编号表!$C:$C,0))*100+E1041</f>
        <v>1033403</v>
      </c>
      <c r="C1041" s="3" t="s">
        <v>247</v>
      </c>
      <c r="D1041" s="11" t="s">
        <v>42</v>
      </c>
      <c r="E1041" s="11">
        <f t="shared" si="31"/>
        <v>3</v>
      </c>
      <c r="F1041" s="3" t="s">
        <v>245</v>
      </c>
      <c r="G1041" s="16" t="s">
        <v>39</v>
      </c>
      <c r="H1041" s="3">
        <v>60321002</v>
      </c>
      <c r="I1041" s="12">
        <v>3</v>
      </c>
    </row>
    <row r="1042" spans="1:9">
      <c r="B1042" s="11">
        <f>1000000+INDEX(编号表!$B:$B,MATCH(C1042,编号表!$A:$A,0))*1000+INDEX(编号表!$D:$D,MATCH(D1042,编号表!$C:$C,0))*100+E1042</f>
        <v>1033503</v>
      </c>
      <c r="C1042" s="3" t="s">
        <v>247</v>
      </c>
      <c r="D1042" s="11" t="s">
        <v>44</v>
      </c>
      <c r="E1042" s="11">
        <f t="shared" si="31"/>
        <v>3</v>
      </c>
      <c r="F1042" s="3" t="s">
        <v>246</v>
      </c>
      <c r="G1042" s="16" t="s">
        <v>39</v>
      </c>
      <c r="H1042" s="3">
        <v>60321003</v>
      </c>
      <c r="I1042" s="12">
        <v>3</v>
      </c>
    </row>
    <row r="1043" spans="1:9">
      <c r="B1043" s="11">
        <f>1000000+INDEX(编号表!$B:$B,MATCH(C1043,编号表!$A:$A,0))*1000+INDEX(编号表!$D:$D,MATCH(D1043,编号表!$C:$C,0))*100+E1043</f>
        <v>1033603</v>
      </c>
      <c r="C1043" s="3" t="s">
        <v>247</v>
      </c>
      <c r="D1043" s="11" t="s">
        <v>46</v>
      </c>
      <c r="E1043" s="11">
        <f t="shared" si="31"/>
        <v>3</v>
      </c>
      <c r="F1043" s="3" t="s">
        <v>248</v>
      </c>
      <c r="G1043" s="16" t="s">
        <v>39</v>
      </c>
      <c r="H1043" s="3">
        <v>60321004</v>
      </c>
      <c r="I1043" s="12">
        <v>3</v>
      </c>
    </row>
    <row r="1044" spans="1:9">
      <c r="B1044" s="11">
        <f>1000000+INDEX(编号表!$B:$B,MATCH(C1044,编号表!$A:$A,0))*1000+INDEX(编号表!$D:$D,MATCH(D1044,编号表!$C:$C,0))*100+E1044</f>
        <v>1033703</v>
      </c>
      <c r="C1044" s="3" t="s">
        <v>247</v>
      </c>
      <c r="D1044" s="11" t="s">
        <v>48</v>
      </c>
      <c r="E1044" s="11">
        <f t="shared" si="31"/>
        <v>3</v>
      </c>
      <c r="F1044" s="3" t="s">
        <v>249</v>
      </c>
      <c r="G1044" s="16" t="s">
        <v>39</v>
      </c>
      <c r="H1044" s="3">
        <v>60321005</v>
      </c>
      <c r="I1044" s="12">
        <v>3</v>
      </c>
    </row>
    <row r="1045" spans="1:9">
      <c r="B1045" s="11">
        <f>1000000+INDEX(编号表!$B:$B,MATCH(C1045,编号表!$A:$A,0))*1000+INDEX(编号表!$D:$D,MATCH(D1045,编号表!$C:$C,0))*100+E1045</f>
        <v>1033205</v>
      </c>
      <c r="C1045" s="3" t="s">
        <v>247</v>
      </c>
      <c r="D1045" s="11" t="s">
        <v>37</v>
      </c>
      <c r="E1045" s="11">
        <f t="shared" si="31"/>
        <v>5</v>
      </c>
      <c r="F1045" s="3" t="s">
        <v>243</v>
      </c>
      <c r="G1045" s="16" t="s">
        <v>39</v>
      </c>
      <c r="H1045" s="3">
        <v>60321000</v>
      </c>
      <c r="I1045" s="12">
        <v>5</v>
      </c>
    </row>
    <row r="1046" spans="1:9">
      <c r="B1046" s="11">
        <f>1000000+INDEX(编号表!$B:$B,MATCH(C1046,编号表!$A:$A,0))*1000+INDEX(编号表!$D:$D,MATCH(D1046,编号表!$C:$C,0))*100+E1046</f>
        <v>1033305</v>
      </c>
      <c r="C1046" s="3" t="s">
        <v>247</v>
      </c>
      <c r="D1046" s="11" t="s">
        <v>40</v>
      </c>
      <c r="E1046" s="11">
        <f t="shared" si="31"/>
        <v>5</v>
      </c>
      <c r="F1046" s="3" t="s">
        <v>244</v>
      </c>
      <c r="G1046" s="16" t="s">
        <v>39</v>
      </c>
      <c r="H1046" s="3">
        <v>60321001</v>
      </c>
      <c r="I1046" s="12">
        <v>5</v>
      </c>
    </row>
    <row r="1047" spans="1:9">
      <c r="B1047" s="11">
        <f>1000000+INDEX(编号表!$B:$B,MATCH(C1047,编号表!$A:$A,0))*1000+INDEX(编号表!$D:$D,MATCH(D1047,编号表!$C:$C,0))*100+E1047</f>
        <v>1033405</v>
      </c>
      <c r="C1047" s="3" t="s">
        <v>247</v>
      </c>
      <c r="D1047" s="11" t="s">
        <v>42</v>
      </c>
      <c r="E1047" s="11">
        <f t="shared" si="31"/>
        <v>5</v>
      </c>
      <c r="F1047" s="3" t="s">
        <v>245</v>
      </c>
      <c r="G1047" s="16" t="s">
        <v>39</v>
      </c>
      <c r="H1047" s="3">
        <v>60321002</v>
      </c>
      <c r="I1047" s="12">
        <v>5</v>
      </c>
    </row>
    <row r="1048" spans="1:9">
      <c r="B1048" s="11">
        <f>1000000+INDEX(编号表!$B:$B,MATCH(C1048,编号表!$A:$A,0))*1000+INDEX(编号表!$D:$D,MATCH(D1048,编号表!$C:$C,0))*100+E1048</f>
        <v>1033505</v>
      </c>
      <c r="C1048" s="3" t="s">
        <v>247</v>
      </c>
      <c r="D1048" s="11" t="s">
        <v>44</v>
      </c>
      <c r="E1048" s="11">
        <f t="shared" si="31"/>
        <v>5</v>
      </c>
      <c r="F1048" s="3" t="s">
        <v>246</v>
      </c>
      <c r="G1048" s="16" t="s">
        <v>39</v>
      </c>
      <c r="H1048" s="3">
        <v>60321003</v>
      </c>
      <c r="I1048" s="12">
        <v>5</v>
      </c>
    </row>
    <row r="1049" spans="1:9">
      <c r="B1049" s="11">
        <f>1000000+INDEX(编号表!$B:$B,MATCH(C1049,编号表!$A:$A,0))*1000+INDEX(编号表!$D:$D,MATCH(D1049,编号表!$C:$C,0))*100+E1049</f>
        <v>1033605</v>
      </c>
      <c r="C1049" s="3" t="s">
        <v>247</v>
      </c>
      <c r="D1049" s="11" t="s">
        <v>46</v>
      </c>
      <c r="E1049" s="11">
        <f t="shared" si="31"/>
        <v>5</v>
      </c>
      <c r="F1049" s="3" t="s">
        <v>248</v>
      </c>
      <c r="G1049" s="16" t="s">
        <v>39</v>
      </c>
      <c r="H1049" s="3">
        <v>60321004</v>
      </c>
      <c r="I1049" s="12">
        <v>5</v>
      </c>
    </row>
    <row r="1050" spans="1:9">
      <c r="B1050" s="11">
        <f>1000000+INDEX(编号表!$B:$B,MATCH(C1050,编号表!$A:$A,0))*1000+INDEX(编号表!$D:$D,MATCH(D1050,编号表!$C:$C,0))*100+E1050</f>
        <v>1033705</v>
      </c>
      <c r="C1050" s="3" t="s">
        <v>247</v>
      </c>
      <c r="D1050" s="11" t="s">
        <v>48</v>
      </c>
      <c r="E1050" s="11">
        <f t="shared" si="31"/>
        <v>5</v>
      </c>
      <c r="F1050" s="3" t="s">
        <v>249</v>
      </c>
      <c r="G1050" s="16" t="s">
        <v>39</v>
      </c>
      <c r="H1050" s="3">
        <v>60321005</v>
      </c>
      <c r="I1050" s="12">
        <v>5</v>
      </c>
    </row>
    <row r="1051" spans="1:9">
      <c r="A1051" s="11" t="s">
        <v>9</v>
      </c>
      <c r="B1051" s="11">
        <f>1000000+INDEX(编号表!$B:$B,MATCH(C1051,编号表!$A:$A,0))*1000+INDEX(编号表!$D:$D,MATCH(D1051,编号表!$C:$C,0))*100+E1051</f>
        <v>1033205</v>
      </c>
      <c r="C1051" s="3" t="s">
        <v>247</v>
      </c>
      <c r="D1051" s="11" t="s">
        <v>37</v>
      </c>
      <c r="E1051" s="11">
        <f t="shared" si="31"/>
        <v>5</v>
      </c>
      <c r="F1051" s="3" t="s">
        <v>243</v>
      </c>
      <c r="G1051" s="16" t="s">
        <v>39</v>
      </c>
      <c r="H1051" s="3">
        <v>60321000</v>
      </c>
      <c r="I1051" s="12">
        <v>5</v>
      </c>
    </row>
    <row r="1052" spans="1:9">
      <c r="B1052" s="11">
        <f>1000000+INDEX(编号表!$B:$B,MATCH(C1052,编号表!$A:$A,0))*1000+INDEX(编号表!$D:$D,MATCH(D1052,编号表!$C:$C,0))*100+E1052</f>
        <v>1033310</v>
      </c>
      <c r="C1052" s="3" t="s">
        <v>247</v>
      </c>
      <c r="D1052" s="11" t="s">
        <v>40</v>
      </c>
      <c r="E1052" s="11">
        <f t="shared" si="31"/>
        <v>10</v>
      </c>
      <c r="F1052" s="3" t="s">
        <v>244</v>
      </c>
      <c r="G1052" s="16" t="s">
        <v>39</v>
      </c>
      <c r="H1052" s="3">
        <v>60321001</v>
      </c>
      <c r="I1052" s="12">
        <v>10</v>
      </c>
    </row>
    <row r="1053" spans="1:9">
      <c r="B1053" s="11">
        <f>1000000+INDEX(编号表!$B:$B,MATCH(C1053,编号表!$A:$A,0))*1000+INDEX(编号表!$D:$D,MATCH(D1053,编号表!$C:$C,0))*100+E1053</f>
        <v>1033410</v>
      </c>
      <c r="C1053" s="3" t="s">
        <v>247</v>
      </c>
      <c r="D1053" s="11" t="s">
        <v>42</v>
      </c>
      <c r="E1053" s="11">
        <f t="shared" si="31"/>
        <v>10</v>
      </c>
      <c r="F1053" s="3" t="s">
        <v>245</v>
      </c>
      <c r="G1053" s="16" t="s">
        <v>39</v>
      </c>
      <c r="H1053" s="3">
        <v>60321002</v>
      </c>
      <c r="I1053" s="12">
        <v>10</v>
      </c>
    </row>
    <row r="1054" spans="1:9">
      <c r="B1054" s="11">
        <f>1000000+INDEX(编号表!$B:$B,MATCH(C1054,编号表!$A:$A,0))*1000+INDEX(编号表!$D:$D,MATCH(D1054,编号表!$C:$C,0))*100+E1054</f>
        <v>1033510</v>
      </c>
      <c r="C1054" s="3" t="s">
        <v>247</v>
      </c>
      <c r="D1054" s="11" t="s">
        <v>44</v>
      </c>
      <c r="E1054" s="11">
        <f t="shared" si="31"/>
        <v>10</v>
      </c>
      <c r="F1054" s="3" t="s">
        <v>246</v>
      </c>
      <c r="G1054" s="16" t="s">
        <v>39</v>
      </c>
      <c r="H1054" s="3">
        <v>60321003</v>
      </c>
      <c r="I1054" s="12">
        <v>10</v>
      </c>
    </row>
    <row r="1055" spans="1:9">
      <c r="B1055" s="11">
        <f>1000000+INDEX(编号表!$B:$B,MATCH(C1055,编号表!$A:$A,0))*1000+INDEX(编号表!$D:$D,MATCH(D1055,编号表!$C:$C,0))*100+E1055</f>
        <v>1033610</v>
      </c>
      <c r="C1055" s="3" t="s">
        <v>247</v>
      </c>
      <c r="D1055" s="11" t="s">
        <v>46</v>
      </c>
      <c r="E1055" s="11">
        <f t="shared" si="31"/>
        <v>10</v>
      </c>
      <c r="F1055" s="3" t="s">
        <v>248</v>
      </c>
      <c r="G1055" s="16" t="s">
        <v>39</v>
      </c>
      <c r="H1055" s="3">
        <v>60321004</v>
      </c>
      <c r="I1055" s="12">
        <v>10</v>
      </c>
    </row>
    <row r="1056" spans="1:9">
      <c r="B1056" s="11">
        <f>1000000+INDEX(编号表!$B:$B,MATCH(C1056,编号表!$A:$A,0))*1000+INDEX(编号表!$D:$D,MATCH(D1056,编号表!$C:$C,0))*100+E1056</f>
        <v>1033710</v>
      </c>
      <c r="C1056" s="3" t="s">
        <v>247</v>
      </c>
      <c r="D1056" s="11" t="s">
        <v>48</v>
      </c>
      <c r="E1056" s="11">
        <f t="shared" si="31"/>
        <v>10</v>
      </c>
      <c r="F1056" s="3" t="s">
        <v>249</v>
      </c>
      <c r="G1056" s="16" t="s">
        <v>39</v>
      </c>
      <c r="H1056" s="3">
        <v>60321005</v>
      </c>
      <c r="I1056" s="12">
        <v>10</v>
      </c>
    </row>
    <row r="1057" spans="2:9">
      <c r="B1057" s="11">
        <f>1000000+INDEX(编号表!$B:$B,MATCH(C1057,编号表!$A:$A,0))*1000+INDEX(编号表!$D:$D,MATCH(D1057,编号表!$C:$C,0))*100+E1057</f>
        <v>1033210</v>
      </c>
      <c r="C1057" s="3" t="s">
        <v>247</v>
      </c>
      <c r="D1057" s="11" t="s">
        <v>37</v>
      </c>
      <c r="E1057" s="11">
        <f t="shared" si="31"/>
        <v>10</v>
      </c>
      <c r="F1057" s="3" t="s">
        <v>243</v>
      </c>
      <c r="G1057" s="16" t="s">
        <v>39</v>
      </c>
      <c r="H1057" s="3">
        <v>60321000</v>
      </c>
      <c r="I1057" s="12">
        <v>10</v>
      </c>
    </row>
    <row r="1058" spans="2:9">
      <c r="B1058" s="11">
        <f>1000000+INDEX(编号表!$B:$B,MATCH(C1058,编号表!$A:$A,0))*1000+INDEX(编号表!$D:$D,MATCH(D1058,编号表!$C:$C,0))*100+E1058</f>
        <v>1033315</v>
      </c>
      <c r="C1058" s="3" t="s">
        <v>247</v>
      </c>
      <c r="D1058" s="11" t="s">
        <v>40</v>
      </c>
      <c r="E1058" s="11">
        <f t="shared" si="31"/>
        <v>15</v>
      </c>
      <c r="F1058" s="3" t="s">
        <v>244</v>
      </c>
      <c r="G1058" s="16" t="s">
        <v>39</v>
      </c>
      <c r="H1058" s="3">
        <v>60321001</v>
      </c>
      <c r="I1058" s="12">
        <v>15</v>
      </c>
    </row>
    <row r="1059" spans="2:9">
      <c r="B1059" s="11">
        <f>1000000+INDEX(编号表!$B:$B,MATCH(C1059,编号表!$A:$A,0))*1000+INDEX(编号表!$D:$D,MATCH(D1059,编号表!$C:$C,0))*100+E1059</f>
        <v>1033415</v>
      </c>
      <c r="C1059" s="3" t="s">
        <v>247</v>
      </c>
      <c r="D1059" s="11" t="s">
        <v>42</v>
      </c>
      <c r="E1059" s="11">
        <f t="shared" si="31"/>
        <v>15</v>
      </c>
      <c r="F1059" s="3" t="s">
        <v>245</v>
      </c>
      <c r="G1059" s="16" t="s">
        <v>39</v>
      </c>
      <c r="H1059" s="3">
        <v>60321002</v>
      </c>
      <c r="I1059" s="12">
        <v>15</v>
      </c>
    </row>
    <row r="1060" spans="2:9">
      <c r="B1060" s="11">
        <f>1000000+INDEX(编号表!$B:$B,MATCH(C1060,编号表!$A:$A,0))*1000+INDEX(编号表!$D:$D,MATCH(D1060,编号表!$C:$C,0))*100+E1060</f>
        <v>1033515</v>
      </c>
      <c r="C1060" s="3" t="s">
        <v>247</v>
      </c>
      <c r="D1060" s="11" t="s">
        <v>44</v>
      </c>
      <c r="E1060" s="11">
        <f t="shared" si="31"/>
        <v>15</v>
      </c>
      <c r="F1060" s="3" t="s">
        <v>246</v>
      </c>
      <c r="G1060" s="16" t="s">
        <v>39</v>
      </c>
      <c r="H1060" s="3">
        <v>60321003</v>
      </c>
      <c r="I1060" s="12">
        <v>15</v>
      </c>
    </row>
    <row r="1061" spans="2:9">
      <c r="B1061" s="11">
        <f>1000000+INDEX(编号表!$B:$B,MATCH(C1061,编号表!$A:$A,0))*1000+INDEX(编号表!$D:$D,MATCH(D1061,编号表!$C:$C,0))*100+E1061</f>
        <v>1033615</v>
      </c>
      <c r="C1061" s="3" t="s">
        <v>247</v>
      </c>
      <c r="D1061" s="11" t="s">
        <v>46</v>
      </c>
      <c r="E1061" s="11">
        <f t="shared" si="31"/>
        <v>15</v>
      </c>
      <c r="F1061" s="3" t="s">
        <v>248</v>
      </c>
      <c r="G1061" s="16" t="s">
        <v>39</v>
      </c>
      <c r="H1061" s="3">
        <v>60321004</v>
      </c>
      <c r="I1061" s="12">
        <v>15</v>
      </c>
    </row>
    <row r="1062" spans="2:9">
      <c r="B1062" s="11">
        <f>1000000+INDEX(编号表!$B:$B,MATCH(C1062,编号表!$A:$A,0))*1000+INDEX(编号表!$D:$D,MATCH(D1062,编号表!$C:$C,0))*100+E1062</f>
        <v>1033715</v>
      </c>
      <c r="C1062" s="3" t="s">
        <v>247</v>
      </c>
      <c r="D1062" s="11" t="s">
        <v>48</v>
      </c>
      <c r="E1062" s="11">
        <f t="shared" si="31"/>
        <v>15</v>
      </c>
      <c r="F1062" s="3" t="s">
        <v>249</v>
      </c>
      <c r="G1062" s="16" t="s">
        <v>39</v>
      </c>
      <c r="H1062" s="3">
        <v>60321005</v>
      </c>
      <c r="I1062" s="12">
        <v>15</v>
      </c>
    </row>
    <row r="1063" spans="2:9">
      <c r="B1063" s="11">
        <f>1000000+INDEX(编号表!$B:$B,MATCH(C1063,编号表!$A:$A,0))*1000+INDEX(编号表!$D:$D,MATCH(D1063,编号表!$C:$C,0))*100+E1063</f>
        <v>1034001</v>
      </c>
      <c r="C1063" s="3" t="s">
        <v>250</v>
      </c>
      <c r="D1063" s="11" t="s">
        <v>55</v>
      </c>
      <c r="E1063" s="11">
        <v>1</v>
      </c>
      <c r="F1063" s="17" t="s">
        <v>167</v>
      </c>
      <c r="G1063" s="16" t="s">
        <v>57</v>
      </c>
      <c r="H1063" s="11">
        <v>60334000</v>
      </c>
      <c r="I1063" s="12">
        <v>1</v>
      </c>
    </row>
    <row r="1064" spans="2:9">
      <c r="B1064" s="11">
        <f>1000000+INDEX(编号表!$B:$B,MATCH(C1064,编号表!$A:$A,0))*1000+INDEX(编号表!$D:$D,MATCH(D1064,编号表!$C:$C,0))*100+E1064</f>
        <v>1034101</v>
      </c>
      <c r="C1064" s="3" t="s">
        <v>250</v>
      </c>
      <c r="D1064" s="11" t="s">
        <v>58</v>
      </c>
      <c r="E1064" s="11">
        <v>1</v>
      </c>
      <c r="F1064" s="17" t="s">
        <v>59</v>
      </c>
      <c r="G1064" s="16" t="s">
        <v>57</v>
      </c>
      <c r="H1064" s="3">
        <v>60332000</v>
      </c>
      <c r="I1064" s="12">
        <v>1</v>
      </c>
    </row>
    <row r="1065" spans="2:9">
      <c r="B1065" s="11">
        <f>1000000+INDEX(编号表!$B:$B,MATCH(C1065,编号表!$A:$A,0))*1000+INDEX(编号表!$D:$D,MATCH(D1065,编号表!$C:$C,0))*100+E1065</f>
        <v>1034102</v>
      </c>
      <c r="C1065" s="3" t="s">
        <v>250</v>
      </c>
      <c r="D1065" s="11" t="s">
        <v>58</v>
      </c>
      <c r="E1065" s="11">
        <v>2</v>
      </c>
      <c r="F1065" s="17" t="s">
        <v>59</v>
      </c>
      <c r="G1065" s="16" t="s">
        <v>57</v>
      </c>
      <c r="H1065" s="3">
        <v>60332001</v>
      </c>
      <c r="I1065" s="12">
        <v>1</v>
      </c>
    </row>
    <row r="1066" spans="2:9">
      <c r="B1066" s="11">
        <f>1000000+INDEX(编号表!$B:$B,MATCH(C1066,编号表!$A:$A,0))*1000+INDEX(编号表!$D:$D,MATCH(D1066,编号表!$C:$C,0))*100+E1066</f>
        <v>1034201</v>
      </c>
      <c r="C1066" s="3" t="s">
        <v>250</v>
      </c>
      <c r="D1066" s="11" t="s">
        <v>37</v>
      </c>
      <c r="E1066" s="11">
        <f t="shared" ref="E1066:E1101" si="32">I1066+K1066+M1066+O1066+Q1066+S1066+U1066+W1066+Y1066+AA1066</f>
        <v>1</v>
      </c>
      <c r="F1066" s="3" t="s">
        <v>243</v>
      </c>
      <c r="G1066" s="16" t="s">
        <v>39</v>
      </c>
      <c r="H1066" s="3">
        <v>60331000</v>
      </c>
      <c r="I1066" s="12">
        <v>1</v>
      </c>
    </row>
    <row r="1067" spans="2:9">
      <c r="B1067" s="11">
        <f>1000000+INDEX(编号表!$B:$B,MATCH(C1067,编号表!$A:$A,0))*1000+INDEX(编号表!$D:$D,MATCH(D1067,编号表!$C:$C,0))*100+E1067</f>
        <v>1034301</v>
      </c>
      <c r="C1067" s="3" t="s">
        <v>250</v>
      </c>
      <c r="D1067" s="11" t="s">
        <v>40</v>
      </c>
      <c r="E1067" s="11">
        <f t="shared" si="32"/>
        <v>1</v>
      </c>
      <c r="F1067" s="3" t="s">
        <v>244</v>
      </c>
      <c r="G1067" s="16" t="s">
        <v>39</v>
      </c>
      <c r="H1067" s="3">
        <v>60331001</v>
      </c>
      <c r="I1067" s="12">
        <v>1</v>
      </c>
    </row>
    <row r="1068" spans="2:9">
      <c r="B1068" s="11">
        <f>1000000+INDEX(编号表!$B:$B,MATCH(C1068,编号表!$A:$A,0))*1000+INDEX(编号表!$D:$D,MATCH(D1068,编号表!$C:$C,0))*100+E1068</f>
        <v>1034401</v>
      </c>
      <c r="C1068" s="3" t="s">
        <v>250</v>
      </c>
      <c r="D1068" s="11" t="s">
        <v>42</v>
      </c>
      <c r="E1068" s="11">
        <f t="shared" si="32"/>
        <v>1</v>
      </c>
      <c r="F1068" s="3" t="s">
        <v>245</v>
      </c>
      <c r="G1068" s="16" t="s">
        <v>39</v>
      </c>
      <c r="H1068" s="3">
        <v>60331002</v>
      </c>
      <c r="I1068" s="12">
        <v>1</v>
      </c>
    </row>
    <row r="1069" spans="2:9">
      <c r="B1069" s="11">
        <f>1000000+INDEX(编号表!$B:$B,MATCH(C1069,编号表!$A:$A,0))*1000+INDEX(编号表!$D:$D,MATCH(D1069,编号表!$C:$C,0))*100+E1069</f>
        <v>1034501</v>
      </c>
      <c r="C1069" s="3" t="s">
        <v>250</v>
      </c>
      <c r="D1069" s="11" t="s">
        <v>44</v>
      </c>
      <c r="E1069" s="11">
        <f t="shared" si="32"/>
        <v>1</v>
      </c>
      <c r="F1069" s="3" t="s">
        <v>246</v>
      </c>
      <c r="G1069" s="16" t="s">
        <v>39</v>
      </c>
      <c r="H1069" s="3">
        <v>60331003</v>
      </c>
      <c r="I1069" s="12">
        <v>1</v>
      </c>
    </row>
    <row r="1070" spans="2:9">
      <c r="B1070" s="11">
        <f>1000000+INDEX(编号表!$B:$B,MATCH(C1070,编号表!$A:$A,0))*1000+INDEX(编号表!$D:$D,MATCH(D1070,编号表!$C:$C,0))*100+E1070</f>
        <v>1034601</v>
      </c>
      <c r="C1070" s="3" t="s">
        <v>250</v>
      </c>
      <c r="D1070" s="11" t="s">
        <v>46</v>
      </c>
      <c r="E1070" s="11">
        <f t="shared" si="32"/>
        <v>1</v>
      </c>
      <c r="F1070" s="3" t="s">
        <v>248</v>
      </c>
      <c r="G1070" s="16" t="s">
        <v>39</v>
      </c>
      <c r="H1070" s="3">
        <v>60331004</v>
      </c>
      <c r="I1070" s="12">
        <v>1</v>
      </c>
    </row>
    <row r="1071" spans="2:9">
      <c r="B1071" s="11">
        <f>1000000+INDEX(编号表!$B:$B,MATCH(C1071,编号表!$A:$A,0))*1000+INDEX(编号表!$D:$D,MATCH(D1071,编号表!$C:$C,0))*100+E1071</f>
        <v>1034701</v>
      </c>
      <c r="C1071" s="3" t="s">
        <v>250</v>
      </c>
      <c r="D1071" s="11" t="s">
        <v>48</v>
      </c>
      <c r="E1071" s="11">
        <f t="shared" si="32"/>
        <v>1</v>
      </c>
      <c r="F1071" s="3" t="s">
        <v>249</v>
      </c>
      <c r="G1071" s="16" t="s">
        <v>39</v>
      </c>
      <c r="H1071" s="3">
        <v>60331005</v>
      </c>
      <c r="I1071" s="12">
        <v>1</v>
      </c>
    </row>
    <row r="1072" spans="2:9">
      <c r="B1072" s="11">
        <f>1000000+INDEX(编号表!$B:$B,MATCH(C1072,编号表!$A:$A,0))*1000+INDEX(编号表!$D:$D,MATCH(D1072,编号表!$C:$C,0))*100+E1072</f>
        <v>1034202</v>
      </c>
      <c r="C1072" s="3" t="s">
        <v>250</v>
      </c>
      <c r="D1072" s="11" t="s">
        <v>37</v>
      </c>
      <c r="E1072" s="11">
        <f t="shared" si="32"/>
        <v>2</v>
      </c>
      <c r="F1072" s="3" t="s">
        <v>243</v>
      </c>
      <c r="G1072" s="16" t="s">
        <v>39</v>
      </c>
      <c r="H1072" s="3">
        <v>60331000</v>
      </c>
      <c r="I1072" s="12">
        <v>2</v>
      </c>
    </row>
    <row r="1073" spans="1:9">
      <c r="B1073" s="11">
        <f>1000000+INDEX(编号表!$B:$B,MATCH(C1073,编号表!$A:$A,0))*1000+INDEX(编号表!$D:$D,MATCH(D1073,编号表!$C:$C,0))*100+E1073</f>
        <v>1034302</v>
      </c>
      <c r="C1073" s="3" t="s">
        <v>250</v>
      </c>
      <c r="D1073" s="11" t="s">
        <v>40</v>
      </c>
      <c r="E1073" s="11">
        <f t="shared" si="32"/>
        <v>2</v>
      </c>
      <c r="F1073" s="3" t="s">
        <v>244</v>
      </c>
      <c r="G1073" s="16" t="s">
        <v>39</v>
      </c>
      <c r="H1073" s="3">
        <v>60331001</v>
      </c>
      <c r="I1073" s="12">
        <v>2</v>
      </c>
    </row>
    <row r="1074" spans="1:9">
      <c r="B1074" s="11">
        <f>1000000+INDEX(编号表!$B:$B,MATCH(C1074,编号表!$A:$A,0))*1000+INDEX(编号表!$D:$D,MATCH(D1074,编号表!$C:$C,0))*100+E1074</f>
        <v>1034402</v>
      </c>
      <c r="C1074" s="3" t="s">
        <v>250</v>
      </c>
      <c r="D1074" s="11" t="s">
        <v>42</v>
      </c>
      <c r="E1074" s="11">
        <f t="shared" si="32"/>
        <v>2</v>
      </c>
      <c r="F1074" s="3" t="s">
        <v>245</v>
      </c>
      <c r="G1074" s="16" t="s">
        <v>39</v>
      </c>
      <c r="H1074" s="3">
        <v>60331002</v>
      </c>
      <c r="I1074" s="12">
        <v>2</v>
      </c>
    </row>
    <row r="1075" spans="1:9">
      <c r="B1075" s="11">
        <f>1000000+INDEX(编号表!$B:$B,MATCH(C1075,编号表!$A:$A,0))*1000+INDEX(编号表!$D:$D,MATCH(D1075,编号表!$C:$C,0))*100+E1075</f>
        <v>1034502</v>
      </c>
      <c r="C1075" s="3" t="s">
        <v>250</v>
      </c>
      <c r="D1075" s="11" t="s">
        <v>44</v>
      </c>
      <c r="E1075" s="11">
        <f t="shared" si="32"/>
        <v>2</v>
      </c>
      <c r="F1075" s="3" t="s">
        <v>246</v>
      </c>
      <c r="G1075" s="16" t="s">
        <v>39</v>
      </c>
      <c r="H1075" s="3">
        <v>60331003</v>
      </c>
      <c r="I1075" s="12">
        <v>2</v>
      </c>
    </row>
    <row r="1076" spans="1:9">
      <c r="B1076" s="11">
        <f>1000000+INDEX(编号表!$B:$B,MATCH(C1076,编号表!$A:$A,0))*1000+INDEX(编号表!$D:$D,MATCH(D1076,编号表!$C:$C,0))*100+E1076</f>
        <v>1034602</v>
      </c>
      <c r="C1076" s="3" t="s">
        <v>250</v>
      </c>
      <c r="D1076" s="11" t="s">
        <v>46</v>
      </c>
      <c r="E1076" s="11">
        <f t="shared" si="32"/>
        <v>2</v>
      </c>
      <c r="F1076" s="3" t="s">
        <v>248</v>
      </c>
      <c r="G1076" s="16" t="s">
        <v>39</v>
      </c>
      <c r="H1076" s="3">
        <v>60331004</v>
      </c>
      <c r="I1076" s="12">
        <v>2</v>
      </c>
    </row>
    <row r="1077" spans="1:9">
      <c r="B1077" s="11">
        <f>1000000+INDEX(编号表!$B:$B,MATCH(C1077,编号表!$A:$A,0))*1000+INDEX(编号表!$D:$D,MATCH(D1077,编号表!$C:$C,0))*100+E1077</f>
        <v>1034702</v>
      </c>
      <c r="C1077" s="3" t="s">
        <v>250</v>
      </c>
      <c r="D1077" s="11" t="s">
        <v>48</v>
      </c>
      <c r="E1077" s="11">
        <f t="shared" si="32"/>
        <v>2</v>
      </c>
      <c r="F1077" s="3" t="s">
        <v>249</v>
      </c>
      <c r="G1077" s="16" t="s">
        <v>39</v>
      </c>
      <c r="H1077" s="3">
        <v>60331005</v>
      </c>
      <c r="I1077" s="12">
        <v>2</v>
      </c>
    </row>
    <row r="1078" spans="1:9">
      <c r="B1078" s="11">
        <f>1000000+INDEX(编号表!$B:$B,MATCH(C1078,编号表!$A:$A,0))*1000+INDEX(编号表!$D:$D,MATCH(D1078,编号表!$C:$C,0))*100+E1078</f>
        <v>1034203</v>
      </c>
      <c r="C1078" s="3" t="s">
        <v>250</v>
      </c>
      <c r="D1078" s="11" t="s">
        <v>37</v>
      </c>
      <c r="E1078" s="11">
        <f t="shared" si="32"/>
        <v>3</v>
      </c>
      <c r="F1078" s="3" t="s">
        <v>243</v>
      </c>
      <c r="G1078" s="16" t="s">
        <v>39</v>
      </c>
      <c r="H1078" s="3">
        <v>60331000</v>
      </c>
      <c r="I1078" s="12">
        <v>3</v>
      </c>
    </row>
    <row r="1079" spans="1:9">
      <c r="B1079" s="11">
        <f>1000000+INDEX(编号表!$B:$B,MATCH(C1079,编号表!$A:$A,0))*1000+INDEX(编号表!$D:$D,MATCH(D1079,编号表!$C:$C,0))*100+E1079</f>
        <v>1034303</v>
      </c>
      <c r="C1079" s="3" t="s">
        <v>250</v>
      </c>
      <c r="D1079" s="11" t="s">
        <v>40</v>
      </c>
      <c r="E1079" s="11">
        <f t="shared" si="32"/>
        <v>3</v>
      </c>
      <c r="F1079" s="3" t="s">
        <v>244</v>
      </c>
      <c r="G1079" s="16" t="s">
        <v>39</v>
      </c>
      <c r="H1079" s="3">
        <v>60331001</v>
      </c>
      <c r="I1079" s="12">
        <v>3</v>
      </c>
    </row>
    <row r="1080" spans="1:9">
      <c r="B1080" s="11">
        <f>1000000+INDEX(编号表!$B:$B,MATCH(C1080,编号表!$A:$A,0))*1000+INDEX(编号表!$D:$D,MATCH(D1080,编号表!$C:$C,0))*100+E1080</f>
        <v>1034403</v>
      </c>
      <c r="C1080" s="3" t="s">
        <v>250</v>
      </c>
      <c r="D1080" s="11" t="s">
        <v>42</v>
      </c>
      <c r="E1080" s="11">
        <f t="shared" si="32"/>
        <v>3</v>
      </c>
      <c r="F1080" s="3" t="s">
        <v>245</v>
      </c>
      <c r="G1080" s="16" t="s">
        <v>39</v>
      </c>
      <c r="H1080" s="3">
        <v>60331002</v>
      </c>
      <c r="I1080" s="12">
        <v>3</v>
      </c>
    </row>
    <row r="1081" spans="1:9">
      <c r="B1081" s="11">
        <f>1000000+INDEX(编号表!$B:$B,MATCH(C1081,编号表!$A:$A,0))*1000+INDEX(编号表!$D:$D,MATCH(D1081,编号表!$C:$C,0))*100+E1081</f>
        <v>1034503</v>
      </c>
      <c r="C1081" s="3" t="s">
        <v>250</v>
      </c>
      <c r="D1081" s="11" t="s">
        <v>44</v>
      </c>
      <c r="E1081" s="11">
        <f t="shared" si="32"/>
        <v>3</v>
      </c>
      <c r="F1081" s="3" t="s">
        <v>246</v>
      </c>
      <c r="G1081" s="16" t="s">
        <v>39</v>
      </c>
      <c r="H1081" s="3">
        <v>60331003</v>
      </c>
      <c r="I1081" s="12">
        <v>3</v>
      </c>
    </row>
    <row r="1082" spans="1:9">
      <c r="B1082" s="11">
        <f>1000000+INDEX(编号表!$B:$B,MATCH(C1082,编号表!$A:$A,0))*1000+INDEX(编号表!$D:$D,MATCH(D1082,编号表!$C:$C,0))*100+E1082</f>
        <v>1034603</v>
      </c>
      <c r="C1082" s="3" t="s">
        <v>250</v>
      </c>
      <c r="D1082" s="11" t="s">
        <v>46</v>
      </c>
      <c r="E1082" s="11">
        <f t="shared" si="32"/>
        <v>3</v>
      </c>
      <c r="F1082" s="3" t="s">
        <v>248</v>
      </c>
      <c r="G1082" s="16" t="s">
        <v>39</v>
      </c>
      <c r="H1082" s="3">
        <v>60331004</v>
      </c>
      <c r="I1082" s="12">
        <v>3</v>
      </c>
    </row>
    <row r="1083" spans="1:9">
      <c r="B1083" s="11">
        <f>1000000+INDEX(编号表!$B:$B,MATCH(C1083,编号表!$A:$A,0))*1000+INDEX(编号表!$D:$D,MATCH(D1083,编号表!$C:$C,0))*100+E1083</f>
        <v>1034703</v>
      </c>
      <c r="C1083" s="3" t="s">
        <v>250</v>
      </c>
      <c r="D1083" s="11" t="s">
        <v>48</v>
      </c>
      <c r="E1083" s="11">
        <f t="shared" si="32"/>
        <v>3</v>
      </c>
      <c r="F1083" s="3" t="s">
        <v>249</v>
      </c>
      <c r="G1083" s="16" t="s">
        <v>39</v>
      </c>
      <c r="H1083" s="3">
        <v>60331005</v>
      </c>
      <c r="I1083" s="12">
        <v>3</v>
      </c>
    </row>
    <row r="1084" spans="1:9">
      <c r="A1084" s="11" t="s">
        <v>9</v>
      </c>
      <c r="B1084" s="11">
        <f>1000000+INDEX(编号表!$B:$B,MATCH(C1084,编号表!$A:$A,0))*1000+INDEX(编号表!$D:$D,MATCH(D1084,编号表!$C:$C,0))*100+E1084</f>
        <v>1034205</v>
      </c>
      <c r="C1084" s="3" t="s">
        <v>250</v>
      </c>
      <c r="D1084" s="11" t="s">
        <v>37</v>
      </c>
      <c r="E1084" s="11">
        <f t="shared" si="32"/>
        <v>5</v>
      </c>
      <c r="F1084" s="3" t="s">
        <v>243</v>
      </c>
      <c r="G1084" s="16" t="s">
        <v>39</v>
      </c>
      <c r="H1084" s="3">
        <v>60331000</v>
      </c>
      <c r="I1084" s="12">
        <v>5</v>
      </c>
    </row>
    <row r="1085" spans="1:9">
      <c r="B1085" s="11">
        <f>1000000+INDEX(编号表!$B:$B,MATCH(C1085,编号表!$A:$A,0))*1000+INDEX(编号表!$D:$D,MATCH(D1085,编号表!$C:$C,0))*100+E1085</f>
        <v>1034305</v>
      </c>
      <c r="C1085" s="3" t="s">
        <v>250</v>
      </c>
      <c r="D1085" s="11" t="s">
        <v>40</v>
      </c>
      <c r="E1085" s="11">
        <f t="shared" si="32"/>
        <v>5</v>
      </c>
      <c r="F1085" s="3" t="s">
        <v>244</v>
      </c>
      <c r="G1085" s="16" t="s">
        <v>39</v>
      </c>
      <c r="H1085" s="3">
        <v>60331001</v>
      </c>
      <c r="I1085" s="12">
        <v>5</v>
      </c>
    </row>
    <row r="1086" spans="1:9">
      <c r="B1086" s="11">
        <f>1000000+INDEX(编号表!$B:$B,MATCH(C1086,编号表!$A:$A,0))*1000+INDEX(编号表!$D:$D,MATCH(D1086,编号表!$C:$C,0))*100+E1086</f>
        <v>1034405</v>
      </c>
      <c r="C1086" s="3" t="s">
        <v>250</v>
      </c>
      <c r="D1086" s="11" t="s">
        <v>42</v>
      </c>
      <c r="E1086" s="11">
        <f t="shared" si="32"/>
        <v>5</v>
      </c>
      <c r="F1086" s="3" t="s">
        <v>245</v>
      </c>
      <c r="G1086" s="16" t="s">
        <v>39</v>
      </c>
      <c r="H1086" s="3">
        <v>60331002</v>
      </c>
      <c r="I1086" s="12">
        <v>5</v>
      </c>
    </row>
    <row r="1087" spans="1:9">
      <c r="B1087" s="11">
        <f>1000000+INDEX(编号表!$B:$B,MATCH(C1087,编号表!$A:$A,0))*1000+INDEX(编号表!$D:$D,MATCH(D1087,编号表!$C:$C,0))*100+E1087</f>
        <v>1034505</v>
      </c>
      <c r="C1087" s="3" t="s">
        <v>250</v>
      </c>
      <c r="D1087" s="11" t="s">
        <v>44</v>
      </c>
      <c r="E1087" s="11">
        <f t="shared" si="32"/>
        <v>5</v>
      </c>
      <c r="F1087" s="3" t="s">
        <v>246</v>
      </c>
      <c r="G1087" s="16" t="s">
        <v>39</v>
      </c>
      <c r="H1087" s="3">
        <v>60331003</v>
      </c>
      <c r="I1087" s="12">
        <v>5</v>
      </c>
    </row>
    <row r="1088" spans="1:9">
      <c r="B1088" s="11">
        <f>1000000+INDEX(编号表!$B:$B,MATCH(C1088,编号表!$A:$A,0))*1000+INDEX(编号表!$D:$D,MATCH(D1088,编号表!$C:$C,0))*100+E1088</f>
        <v>1034605</v>
      </c>
      <c r="C1088" s="3" t="s">
        <v>250</v>
      </c>
      <c r="D1088" s="11" t="s">
        <v>46</v>
      </c>
      <c r="E1088" s="11">
        <f t="shared" si="32"/>
        <v>5</v>
      </c>
      <c r="F1088" s="3" t="s">
        <v>248</v>
      </c>
      <c r="G1088" s="16" t="s">
        <v>39</v>
      </c>
      <c r="H1088" s="3">
        <v>60331004</v>
      </c>
      <c r="I1088" s="12">
        <v>5</v>
      </c>
    </row>
    <row r="1089" spans="2:9">
      <c r="B1089" s="11">
        <f>1000000+INDEX(编号表!$B:$B,MATCH(C1089,编号表!$A:$A,0))*1000+INDEX(编号表!$D:$D,MATCH(D1089,编号表!$C:$C,0))*100+E1089</f>
        <v>1034705</v>
      </c>
      <c r="C1089" s="3" t="s">
        <v>250</v>
      </c>
      <c r="D1089" s="11" t="s">
        <v>48</v>
      </c>
      <c r="E1089" s="11">
        <f t="shared" si="32"/>
        <v>5</v>
      </c>
      <c r="F1089" s="3" t="s">
        <v>249</v>
      </c>
      <c r="G1089" s="16" t="s">
        <v>39</v>
      </c>
      <c r="H1089" s="3">
        <v>60331005</v>
      </c>
      <c r="I1089" s="12">
        <v>5</v>
      </c>
    </row>
    <row r="1090" spans="2:9">
      <c r="B1090" s="11">
        <f>1000000+INDEX(编号表!$B:$B,MATCH(C1090,编号表!$A:$A,0))*1000+INDEX(编号表!$D:$D,MATCH(D1090,编号表!$C:$C,0))*100+E1090</f>
        <v>1034205</v>
      </c>
      <c r="C1090" s="3" t="s">
        <v>250</v>
      </c>
      <c r="D1090" s="11" t="s">
        <v>37</v>
      </c>
      <c r="E1090" s="11">
        <f t="shared" si="32"/>
        <v>5</v>
      </c>
      <c r="F1090" s="3" t="s">
        <v>243</v>
      </c>
      <c r="G1090" s="16" t="s">
        <v>39</v>
      </c>
      <c r="H1090" s="3">
        <v>60331000</v>
      </c>
      <c r="I1090" s="12">
        <v>5</v>
      </c>
    </row>
    <row r="1091" spans="2:9">
      <c r="B1091" s="11">
        <f>1000000+INDEX(编号表!$B:$B,MATCH(C1091,编号表!$A:$A,0))*1000+INDEX(编号表!$D:$D,MATCH(D1091,编号表!$C:$C,0))*100+E1091</f>
        <v>1034310</v>
      </c>
      <c r="C1091" s="3" t="s">
        <v>250</v>
      </c>
      <c r="D1091" s="11" t="s">
        <v>40</v>
      </c>
      <c r="E1091" s="11">
        <f t="shared" si="32"/>
        <v>10</v>
      </c>
      <c r="F1091" s="3" t="s">
        <v>244</v>
      </c>
      <c r="G1091" s="16" t="s">
        <v>39</v>
      </c>
      <c r="H1091" s="3">
        <v>60331001</v>
      </c>
      <c r="I1091" s="12">
        <v>10</v>
      </c>
    </row>
    <row r="1092" spans="2:9">
      <c r="B1092" s="11">
        <f>1000000+INDEX(编号表!$B:$B,MATCH(C1092,编号表!$A:$A,0))*1000+INDEX(编号表!$D:$D,MATCH(D1092,编号表!$C:$C,0))*100+E1092</f>
        <v>1034410</v>
      </c>
      <c r="C1092" s="3" t="s">
        <v>250</v>
      </c>
      <c r="D1092" s="11" t="s">
        <v>42</v>
      </c>
      <c r="E1092" s="11">
        <f t="shared" si="32"/>
        <v>10</v>
      </c>
      <c r="F1092" s="3" t="s">
        <v>245</v>
      </c>
      <c r="G1092" s="16" t="s">
        <v>39</v>
      </c>
      <c r="H1092" s="3">
        <v>60331002</v>
      </c>
      <c r="I1092" s="12">
        <v>10</v>
      </c>
    </row>
    <row r="1093" spans="2:9">
      <c r="B1093" s="11">
        <f>1000000+INDEX(编号表!$B:$B,MATCH(C1093,编号表!$A:$A,0))*1000+INDEX(编号表!$D:$D,MATCH(D1093,编号表!$C:$C,0))*100+E1093</f>
        <v>1034510</v>
      </c>
      <c r="C1093" s="3" t="s">
        <v>250</v>
      </c>
      <c r="D1093" s="11" t="s">
        <v>44</v>
      </c>
      <c r="E1093" s="11">
        <f t="shared" si="32"/>
        <v>10</v>
      </c>
      <c r="F1093" s="3" t="s">
        <v>246</v>
      </c>
      <c r="G1093" s="16" t="s">
        <v>39</v>
      </c>
      <c r="H1093" s="3">
        <v>60331003</v>
      </c>
      <c r="I1093" s="12">
        <v>10</v>
      </c>
    </row>
    <row r="1094" spans="2:9">
      <c r="B1094" s="11">
        <f>1000000+INDEX(编号表!$B:$B,MATCH(C1094,编号表!$A:$A,0))*1000+INDEX(编号表!$D:$D,MATCH(D1094,编号表!$C:$C,0))*100+E1094</f>
        <v>1034610</v>
      </c>
      <c r="C1094" s="3" t="s">
        <v>250</v>
      </c>
      <c r="D1094" s="11" t="s">
        <v>46</v>
      </c>
      <c r="E1094" s="11">
        <f t="shared" si="32"/>
        <v>10</v>
      </c>
      <c r="F1094" s="3" t="s">
        <v>248</v>
      </c>
      <c r="G1094" s="16" t="s">
        <v>39</v>
      </c>
      <c r="H1094" s="3">
        <v>60331004</v>
      </c>
      <c r="I1094" s="12">
        <v>10</v>
      </c>
    </row>
    <row r="1095" spans="2:9">
      <c r="B1095" s="11">
        <f>1000000+INDEX(编号表!$B:$B,MATCH(C1095,编号表!$A:$A,0))*1000+INDEX(编号表!$D:$D,MATCH(D1095,编号表!$C:$C,0))*100+E1095</f>
        <v>1034710</v>
      </c>
      <c r="C1095" s="3" t="s">
        <v>250</v>
      </c>
      <c r="D1095" s="11" t="s">
        <v>48</v>
      </c>
      <c r="E1095" s="11">
        <f t="shared" si="32"/>
        <v>10</v>
      </c>
      <c r="F1095" s="3" t="s">
        <v>249</v>
      </c>
      <c r="G1095" s="16" t="s">
        <v>39</v>
      </c>
      <c r="H1095" s="3">
        <v>60331005</v>
      </c>
      <c r="I1095" s="12">
        <v>10</v>
      </c>
    </row>
    <row r="1096" spans="2:9">
      <c r="B1096" s="11">
        <f>1000000+INDEX(编号表!$B:$B,MATCH(C1096,编号表!$A:$A,0))*1000+INDEX(编号表!$D:$D,MATCH(D1096,编号表!$C:$C,0))*100+E1096</f>
        <v>1034210</v>
      </c>
      <c r="C1096" s="3" t="s">
        <v>250</v>
      </c>
      <c r="D1096" s="11" t="s">
        <v>37</v>
      </c>
      <c r="E1096" s="11">
        <f t="shared" si="32"/>
        <v>10</v>
      </c>
      <c r="F1096" s="3" t="s">
        <v>243</v>
      </c>
      <c r="G1096" s="16" t="s">
        <v>39</v>
      </c>
      <c r="H1096" s="3">
        <v>60331000</v>
      </c>
      <c r="I1096" s="12">
        <v>10</v>
      </c>
    </row>
    <row r="1097" spans="2:9">
      <c r="B1097" s="11">
        <f>1000000+INDEX(编号表!$B:$B,MATCH(C1097,编号表!$A:$A,0))*1000+INDEX(编号表!$D:$D,MATCH(D1097,编号表!$C:$C,0))*100+E1097</f>
        <v>1034315</v>
      </c>
      <c r="C1097" s="3" t="s">
        <v>250</v>
      </c>
      <c r="D1097" s="11" t="s">
        <v>40</v>
      </c>
      <c r="E1097" s="11">
        <f t="shared" si="32"/>
        <v>15</v>
      </c>
      <c r="F1097" s="3" t="s">
        <v>244</v>
      </c>
      <c r="G1097" s="16" t="s">
        <v>39</v>
      </c>
      <c r="H1097" s="3">
        <v>60331001</v>
      </c>
      <c r="I1097" s="12">
        <v>15</v>
      </c>
    </row>
    <row r="1098" spans="2:9">
      <c r="B1098" s="11">
        <f>1000000+INDEX(编号表!$B:$B,MATCH(C1098,编号表!$A:$A,0))*1000+INDEX(编号表!$D:$D,MATCH(D1098,编号表!$C:$C,0))*100+E1098</f>
        <v>1034415</v>
      </c>
      <c r="C1098" s="3" t="s">
        <v>250</v>
      </c>
      <c r="D1098" s="11" t="s">
        <v>42</v>
      </c>
      <c r="E1098" s="11">
        <f t="shared" si="32"/>
        <v>15</v>
      </c>
      <c r="F1098" s="3" t="s">
        <v>245</v>
      </c>
      <c r="G1098" s="16" t="s">
        <v>39</v>
      </c>
      <c r="H1098" s="3">
        <v>60331002</v>
      </c>
      <c r="I1098" s="12">
        <v>15</v>
      </c>
    </row>
    <row r="1099" spans="2:9">
      <c r="B1099" s="11">
        <f>1000000+INDEX(编号表!$B:$B,MATCH(C1099,编号表!$A:$A,0))*1000+INDEX(编号表!$D:$D,MATCH(D1099,编号表!$C:$C,0))*100+E1099</f>
        <v>1034515</v>
      </c>
      <c r="C1099" s="3" t="s">
        <v>250</v>
      </c>
      <c r="D1099" s="11" t="s">
        <v>44</v>
      </c>
      <c r="E1099" s="11">
        <f t="shared" si="32"/>
        <v>15</v>
      </c>
      <c r="F1099" s="3" t="s">
        <v>246</v>
      </c>
      <c r="G1099" s="16" t="s">
        <v>39</v>
      </c>
      <c r="H1099" s="3">
        <v>60331003</v>
      </c>
      <c r="I1099" s="12">
        <v>15</v>
      </c>
    </row>
    <row r="1100" spans="2:9">
      <c r="B1100" s="11">
        <f>1000000+INDEX(编号表!$B:$B,MATCH(C1100,编号表!$A:$A,0))*1000+INDEX(编号表!$D:$D,MATCH(D1100,编号表!$C:$C,0))*100+E1100</f>
        <v>1034615</v>
      </c>
      <c r="C1100" s="3" t="s">
        <v>250</v>
      </c>
      <c r="D1100" s="11" t="s">
        <v>46</v>
      </c>
      <c r="E1100" s="11">
        <f t="shared" si="32"/>
        <v>15</v>
      </c>
      <c r="F1100" s="3" t="s">
        <v>248</v>
      </c>
      <c r="G1100" s="16" t="s">
        <v>39</v>
      </c>
      <c r="H1100" s="3">
        <v>60331004</v>
      </c>
      <c r="I1100" s="12">
        <v>15</v>
      </c>
    </row>
    <row r="1101" spans="2:9">
      <c r="B1101" s="11">
        <f>1000000+INDEX(编号表!$B:$B,MATCH(C1101,编号表!$A:$A,0))*1000+INDEX(编号表!$D:$D,MATCH(D1101,编号表!$C:$C,0))*100+E1101</f>
        <v>1034715</v>
      </c>
      <c r="C1101" s="3" t="s">
        <v>250</v>
      </c>
      <c r="D1101" s="11" t="s">
        <v>48</v>
      </c>
      <c r="E1101" s="11">
        <f t="shared" si="32"/>
        <v>15</v>
      </c>
      <c r="F1101" s="3" t="s">
        <v>249</v>
      </c>
      <c r="G1101" s="16" t="s">
        <v>39</v>
      </c>
      <c r="H1101" s="3">
        <v>60331005</v>
      </c>
      <c r="I1101" s="12">
        <v>15</v>
      </c>
    </row>
    <row r="1102" spans="2:9">
      <c r="B1102" s="11">
        <f>1000000+INDEX(编号表!$B:$B,MATCH(C1102,编号表!$A:$A,0))*1000+INDEX(编号表!$D:$D,MATCH(D1102,编号表!$C:$C,0))*100+E1102</f>
        <v>1035001</v>
      </c>
      <c r="C1102" s="3" t="s">
        <v>251</v>
      </c>
      <c r="D1102" s="11" t="s">
        <v>55</v>
      </c>
      <c r="E1102" s="11">
        <v>1</v>
      </c>
      <c r="F1102" s="17" t="s">
        <v>167</v>
      </c>
      <c r="G1102" s="16" t="s">
        <v>57</v>
      </c>
      <c r="H1102" s="11">
        <v>60344000</v>
      </c>
      <c r="I1102" s="12">
        <v>1</v>
      </c>
    </row>
    <row r="1103" spans="2:9">
      <c r="B1103" s="11">
        <f>1000000+INDEX(编号表!$B:$B,MATCH(C1103,编号表!$A:$A,0))*1000+INDEX(编号表!$D:$D,MATCH(D1103,编号表!$C:$C,0))*100+E1103</f>
        <v>1035101</v>
      </c>
      <c r="C1103" s="3" t="s">
        <v>251</v>
      </c>
      <c r="D1103" s="11" t="s">
        <v>58</v>
      </c>
      <c r="E1103" s="11">
        <v>1</v>
      </c>
      <c r="F1103" s="17" t="s">
        <v>59</v>
      </c>
      <c r="G1103" s="16" t="s">
        <v>57</v>
      </c>
      <c r="H1103" s="3">
        <v>60342000</v>
      </c>
      <c r="I1103" s="12">
        <v>1</v>
      </c>
    </row>
    <row r="1104" spans="2:9">
      <c r="B1104" s="11">
        <f>1000000+INDEX(编号表!$B:$B,MATCH(C1104,编号表!$A:$A,0))*1000+INDEX(编号表!$D:$D,MATCH(D1104,编号表!$C:$C,0))*100+E1104</f>
        <v>1035201</v>
      </c>
      <c r="C1104" s="3" t="s">
        <v>251</v>
      </c>
      <c r="D1104" s="11" t="s">
        <v>37</v>
      </c>
      <c r="E1104" s="11">
        <f t="shared" ref="E1104:E1133" si="33">I1104+K1104+M1104+O1104+Q1104+S1104+U1104+W1104+Y1104+AA1104</f>
        <v>1</v>
      </c>
      <c r="F1104" s="3" t="s">
        <v>252</v>
      </c>
      <c r="G1104" s="16" t="s">
        <v>39</v>
      </c>
      <c r="H1104" s="3">
        <v>60341000</v>
      </c>
      <c r="I1104" s="12">
        <v>1</v>
      </c>
    </row>
    <row r="1105" spans="2:9">
      <c r="B1105" s="11">
        <f>1000000+INDEX(编号表!$B:$B,MATCH(C1105,编号表!$A:$A,0))*1000+INDEX(编号表!$D:$D,MATCH(D1105,编号表!$C:$C,0))*100+E1105</f>
        <v>1035301</v>
      </c>
      <c r="C1105" s="3" t="s">
        <v>251</v>
      </c>
      <c r="D1105" s="11" t="s">
        <v>40</v>
      </c>
      <c r="E1105" s="11">
        <f t="shared" si="33"/>
        <v>1</v>
      </c>
      <c r="F1105" s="3" t="s">
        <v>253</v>
      </c>
      <c r="G1105" s="16" t="s">
        <v>39</v>
      </c>
      <c r="H1105" s="3">
        <v>60341001</v>
      </c>
      <c r="I1105" s="12">
        <v>1</v>
      </c>
    </row>
    <row r="1106" spans="2:9">
      <c r="B1106" s="11">
        <f>1000000+INDEX(编号表!$B:$B,MATCH(C1106,编号表!$A:$A,0))*1000+INDEX(编号表!$D:$D,MATCH(D1106,编号表!$C:$C,0))*100+E1106</f>
        <v>1035401</v>
      </c>
      <c r="C1106" s="3" t="s">
        <v>251</v>
      </c>
      <c r="D1106" s="11" t="s">
        <v>42</v>
      </c>
      <c r="E1106" s="11">
        <f t="shared" si="33"/>
        <v>1</v>
      </c>
      <c r="F1106" s="3" t="s">
        <v>254</v>
      </c>
      <c r="G1106" s="16" t="s">
        <v>39</v>
      </c>
      <c r="H1106" s="3">
        <v>60341002</v>
      </c>
      <c r="I1106" s="12">
        <v>1</v>
      </c>
    </row>
    <row r="1107" spans="2:9">
      <c r="B1107" s="11">
        <f>1000000+INDEX(编号表!$B:$B,MATCH(C1107,编号表!$A:$A,0))*1000+INDEX(编号表!$D:$D,MATCH(D1107,编号表!$C:$C,0))*100+E1107</f>
        <v>1035501</v>
      </c>
      <c r="C1107" s="3" t="s">
        <v>251</v>
      </c>
      <c r="D1107" s="11" t="s">
        <v>44</v>
      </c>
      <c r="E1107" s="11">
        <f t="shared" si="33"/>
        <v>1</v>
      </c>
      <c r="F1107" s="3" t="s">
        <v>255</v>
      </c>
      <c r="G1107" s="16" t="s">
        <v>39</v>
      </c>
      <c r="H1107" s="3">
        <v>60341003</v>
      </c>
      <c r="I1107" s="12">
        <v>1</v>
      </c>
    </row>
    <row r="1108" spans="2:9">
      <c r="B1108" s="11">
        <f>1000000+INDEX(编号表!$B:$B,MATCH(C1108,编号表!$A:$A,0))*1000+INDEX(编号表!$D:$D,MATCH(D1108,编号表!$C:$C,0))*100+E1108</f>
        <v>1035601</v>
      </c>
      <c r="C1108" s="3" t="s">
        <v>251</v>
      </c>
      <c r="D1108" s="11" t="s">
        <v>46</v>
      </c>
      <c r="E1108" s="11">
        <f t="shared" si="33"/>
        <v>1</v>
      </c>
      <c r="F1108" s="3" t="s">
        <v>256</v>
      </c>
      <c r="G1108" s="16" t="s">
        <v>39</v>
      </c>
      <c r="H1108" s="3">
        <v>60341004</v>
      </c>
      <c r="I1108" s="12">
        <v>1</v>
      </c>
    </row>
    <row r="1109" spans="2:9">
      <c r="B1109" s="11">
        <f>1000000+INDEX(编号表!$B:$B,MATCH(C1109,编号表!$A:$A,0))*1000+INDEX(编号表!$D:$D,MATCH(D1109,编号表!$C:$C,0))*100+E1109</f>
        <v>1035202</v>
      </c>
      <c r="C1109" s="3" t="s">
        <v>251</v>
      </c>
      <c r="D1109" s="11" t="s">
        <v>37</v>
      </c>
      <c r="E1109" s="11">
        <f t="shared" si="33"/>
        <v>2</v>
      </c>
      <c r="F1109" s="3" t="s">
        <v>252</v>
      </c>
      <c r="G1109" s="16" t="s">
        <v>39</v>
      </c>
      <c r="H1109" s="3">
        <v>60341000</v>
      </c>
      <c r="I1109" s="12">
        <v>2</v>
      </c>
    </row>
    <row r="1110" spans="2:9">
      <c r="B1110" s="11">
        <f>1000000+INDEX(编号表!$B:$B,MATCH(C1110,编号表!$A:$A,0))*1000+INDEX(编号表!$D:$D,MATCH(D1110,编号表!$C:$C,0))*100+E1110</f>
        <v>1035302</v>
      </c>
      <c r="C1110" s="3" t="s">
        <v>251</v>
      </c>
      <c r="D1110" s="11" t="s">
        <v>40</v>
      </c>
      <c r="E1110" s="11">
        <f t="shared" si="33"/>
        <v>2</v>
      </c>
      <c r="F1110" s="3" t="s">
        <v>253</v>
      </c>
      <c r="G1110" s="16" t="s">
        <v>39</v>
      </c>
      <c r="H1110" s="3">
        <v>60341001</v>
      </c>
      <c r="I1110" s="12">
        <v>2</v>
      </c>
    </row>
    <row r="1111" spans="2:9">
      <c r="B1111" s="11">
        <f>1000000+INDEX(编号表!$B:$B,MATCH(C1111,编号表!$A:$A,0))*1000+INDEX(编号表!$D:$D,MATCH(D1111,编号表!$C:$C,0))*100+E1111</f>
        <v>1035402</v>
      </c>
      <c r="C1111" s="3" t="s">
        <v>251</v>
      </c>
      <c r="D1111" s="11" t="s">
        <v>42</v>
      </c>
      <c r="E1111" s="11">
        <f t="shared" si="33"/>
        <v>2</v>
      </c>
      <c r="F1111" s="3" t="s">
        <v>254</v>
      </c>
      <c r="G1111" s="16" t="s">
        <v>39</v>
      </c>
      <c r="H1111" s="3">
        <v>60341002</v>
      </c>
      <c r="I1111" s="12">
        <v>2</v>
      </c>
    </row>
    <row r="1112" spans="2:9">
      <c r="B1112" s="11">
        <f>1000000+INDEX(编号表!$B:$B,MATCH(C1112,编号表!$A:$A,0))*1000+INDEX(编号表!$D:$D,MATCH(D1112,编号表!$C:$C,0))*100+E1112</f>
        <v>1035502</v>
      </c>
      <c r="C1112" s="3" t="s">
        <v>251</v>
      </c>
      <c r="D1112" s="11" t="s">
        <v>44</v>
      </c>
      <c r="E1112" s="11">
        <f t="shared" si="33"/>
        <v>2</v>
      </c>
      <c r="F1112" s="3" t="s">
        <v>255</v>
      </c>
      <c r="G1112" s="16" t="s">
        <v>39</v>
      </c>
      <c r="H1112" s="3">
        <v>60341003</v>
      </c>
      <c r="I1112" s="12">
        <v>2</v>
      </c>
    </row>
    <row r="1113" spans="2:9">
      <c r="B1113" s="11">
        <f>1000000+INDEX(编号表!$B:$B,MATCH(C1113,编号表!$A:$A,0))*1000+INDEX(编号表!$D:$D,MATCH(D1113,编号表!$C:$C,0))*100+E1113</f>
        <v>1035602</v>
      </c>
      <c r="C1113" s="3" t="s">
        <v>251</v>
      </c>
      <c r="D1113" s="11" t="s">
        <v>46</v>
      </c>
      <c r="E1113" s="11">
        <f t="shared" si="33"/>
        <v>2</v>
      </c>
      <c r="F1113" s="3" t="s">
        <v>256</v>
      </c>
      <c r="G1113" s="16" t="s">
        <v>39</v>
      </c>
      <c r="H1113" s="3">
        <v>60341004</v>
      </c>
      <c r="I1113" s="12">
        <v>2</v>
      </c>
    </row>
    <row r="1114" spans="2:9">
      <c r="B1114" s="11">
        <f>1000000+INDEX(编号表!$B:$B,MATCH(C1114,编号表!$A:$A,0))*1000+INDEX(编号表!$D:$D,MATCH(D1114,编号表!$C:$C,0))*100+E1114</f>
        <v>1035203</v>
      </c>
      <c r="C1114" s="3" t="s">
        <v>251</v>
      </c>
      <c r="D1114" s="11" t="s">
        <v>37</v>
      </c>
      <c r="E1114" s="11">
        <f t="shared" si="33"/>
        <v>3</v>
      </c>
      <c r="F1114" s="3" t="s">
        <v>252</v>
      </c>
      <c r="G1114" s="16" t="s">
        <v>39</v>
      </c>
      <c r="H1114" s="3">
        <v>60341000</v>
      </c>
      <c r="I1114" s="12">
        <v>3</v>
      </c>
    </row>
    <row r="1115" spans="2:9">
      <c r="B1115" s="11">
        <f>1000000+INDEX(编号表!$B:$B,MATCH(C1115,编号表!$A:$A,0))*1000+INDEX(编号表!$D:$D,MATCH(D1115,编号表!$C:$C,0))*100+E1115</f>
        <v>1035303</v>
      </c>
      <c r="C1115" s="3" t="s">
        <v>251</v>
      </c>
      <c r="D1115" s="11" t="s">
        <v>40</v>
      </c>
      <c r="E1115" s="11">
        <f t="shared" si="33"/>
        <v>3</v>
      </c>
      <c r="F1115" s="3" t="s">
        <v>253</v>
      </c>
      <c r="G1115" s="16" t="s">
        <v>39</v>
      </c>
      <c r="H1115" s="3">
        <v>60341001</v>
      </c>
      <c r="I1115" s="12">
        <v>3</v>
      </c>
    </row>
    <row r="1116" spans="2:9">
      <c r="B1116" s="11">
        <f>1000000+INDEX(编号表!$B:$B,MATCH(C1116,编号表!$A:$A,0))*1000+INDEX(编号表!$D:$D,MATCH(D1116,编号表!$C:$C,0))*100+E1116</f>
        <v>1035403</v>
      </c>
      <c r="C1116" s="3" t="s">
        <v>251</v>
      </c>
      <c r="D1116" s="11" t="s">
        <v>42</v>
      </c>
      <c r="E1116" s="11">
        <f t="shared" si="33"/>
        <v>3</v>
      </c>
      <c r="F1116" s="3" t="s">
        <v>254</v>
      </c>
      <c r="G1116" s="16" t="s">
        <v>39</v>
      </c>
      <c r="H1116" s="3">
        <v>60341002</v>
      </c>
      <c r="I1116" s="12">
        <v>3</v>
      </c>
    </row>
    <row r="1117" spans="2:9">
      <c r="B1117" s="11">
        <f>1000000+INDEX(编号表!$B:$B,MATCH(C1117,编号表!$A:$A,0))*1000+INDEX(编号表!$D:$D,MATCH(D1117,编号表!$C:$C,0))*100+E1117</f>
        <v>1035503</v>
      </c>
      <c r="C1117" s="3" t="s">
        <v>251</v>
      </c>
      <c r="D1117" s="11" t="s">
        <v>44</v>
      </c>
      <c r="E1117" s="11">
        <f t="shared" si="33"/>
        <v>3</v>
      </c>
      <c r="F1117" s="3" t="s">
        <v>255</v>
      </c>
      <c r="G1117" s="16" t="s">
        <v>39</v>
      </c>
      <c r="H1117" s="3">
        <v>60341003</v>
      </c>
      <c r="I1117" s="12">
        <v>3</v>
      </c>
    </row>
    <row r="1118" spans="2:9">
      <c r="B1118" s="11">
        <f>1000000+INDEX(编号表!$B:$B,MATCH(C1118,编号表!$A:$A,0))*1000+INDEX(编号表!$D:$D,MATCH(D1118,编号表!$C:$C,0))*100+E1118</f>
        <v>1035603</v>
      </c>
      <c r="C1118" s="3" t="s">
        <v>251</v>
      </c>
      <c r="D1118" s="11" t="s">
        <v>46</v>
      </c>
      <c r="E1118" s="11">
        <f t="shared" si="33"/>
        <v>3</v>
      </c>
      <c r="F1118" s="3" t="s">
        <v>256</v>
      </c>
      <c r="G1118" s="16" t="s">
        <v>39</v>
      </c>
      <c r="H1118" s="3">
        <v>60341004</v>
      </c>
      <c r="I1118" s="12">
        <v>3</v>
      </c>
    </row>
    <row r="1119" spans="2:9">
      <c r="B1119" s="11">
        <f>1000000+INDEX(编号表!$B:$B,MATCH(C1119,编号表!$A:$A,0))*1000+INDEX(编号表!$D:$D,MATCH(D1119,编号表!$C:$C,0))*100+E1119</f>
        <v>1035205</v>
      </c>
      <c r="C1119" s="3" t="s">
        <v>251</v>
      </c>
      <c r="D1119" s="11" t="s">
        <v>37</v>
      </c>
      <c r="E1119" s="11">
        <f t="shared" si="33"/>
        <v>5</v>
      </c>
      <c r="F1119" s="3" t="s">
        <v>252</v>
      </c>
      <c r="G1119" s="16" t="s">
        <v>39</v>
      </c>
      <c r="H1119" s="3">
        <v>60341000</v>
      </c>
      <c r="I1119" s="12">
        <v>5</v>
      </c>
    </row>
    <row r="1120" spans="2:9">
      <c r="B1120" s="11">
        <f>1000000+INDEX(编号表!$B:$B,MATCH(C1120,编号表!$A:$A,0))*1000+INDEX(编号表!$D:$D,MATCH(D1120,编号表!$C:$C,0))*100+E1120</f>
        <v>1035305</v>
      </c>
      <c r="C1120" s="3" t="s">
        <v>251</v>
      </c>
      <c r="D1120" s="11" t="s">
        <v>40</v>
      </c>
      <c r="E1120" s="11">
        <f t="shared" si="33"/>
        <v>5</v>
      </c>
      <c r="F1120" s="3" t="s">
        <v>253</v>
      </c>
      <c r="G1120" s="16" t="s">
        <v>39</v>
      </c>
      <c r="H1120" s="3">
        <v>60341001</v>
      </c>
      <c r="I1120" s="12">
        <v>5</v>
      </c>
    </row>
    <row r="1121" spans="2:9">
      <c r="B1121" s="11">
        <f>1000000+INDEX(编号表!$B:$B,MATCH(C1121,编号表!$A:$A,0))*1000+INDEX(编号表!$D:$D,MATCH(D1121,编号表!$C:$C,0))*100+E1121</f>
        <v>1035405</v>
      </c>
      <c r="C1121" s="3" t="s">
        <v>251</v>
      </c>
      <c r="D1121" s="11" t="s">
        <v>42</v>
      </c>
      <c r="E1121" s="11">
        <f t="shared" si="33"/>
        <v>5</v>
      </c>
      <c r="F1121" s="3" t="s">
        <v>254</v>
      </c>
      <c r="G1121" s="16" t="s">
        <v>39</v>
      </c>
      <c r="H1121" s="3">
        <v>60341002</v>
      </c>
      <c r="I1121" s="12">
        <v>5</v>
      </c>
    </row>
    <row r="1122" spans="2:9">
      <c r="B1122" s="11">
        <f>1000000+INDEX(编号表!$B:$B,MATCH(C1122,编号表!$A:$A,0))*1000+INDEX(编号表!$D:$D,MATCH(D1122,编号表!$C:$C,0))*100+E1122</f>
        <v>1035505</v>
      </c>
      <c r="C1122" s="3" t="s">
        <v>251</v>
      </c>
      <c r="D1122" s="11" t="s">
        <v>44</v>
      </c>
      <c r="E1122" s="11">
        <f t="shared" si="33"/>
        <v>5</v>
      </c>
      <c r="F1122" s="3" t="s">
        <v>255</v>
      </c>
      <c r="G1122" s="16" t="s">
        <v>39</v>
      </c>
      <c r="H1122" s="3">
        <v>60341003</v>
      </c>
      <c r="I1122" s="12">
        <v>5</v>
      </c>
    </row>
    <row r="1123" spans="2:9">
      <c r="B1123" s="11">
        <f>1000000+INDEX(编号表!$B:$B,MATCH(C1123,编号表!$A:$A,0))*1000+INDEX(编号表!$D:$D,MATCH(D1123,编号表!$C:$C,0))*100+E1123</f>
        <v>1035605</v>
      </c>
      <c r="C1123" s="3" t="s">
        <v>251</v>
      </c>
      <c r="D1123" s="11" t="s">
        <v>46</v>
      </c>
      <c r="E1123" s="11">
        <f t="shared" si="33"/>
        <v>5</v>
      </c>
      <c r="F1123" s="3" t="s">
        <v>256</v>
      </c>
      <c r="G1123" s="16" t="s">
        <v>39</v>
      </c>
      <c r="H1123" s="3">
        <v>60341004</v>
      </c>
      <c r="I1123" s="12">
        <v>5</v>
      </c>
    </row>
    <row r="1124" spans="2:9">
      <c r="B1124" s="11">
        <f>1000000+INDEX(编号表!$B:$B,MATCH(C1124,编号表!$A:$A,0))*1000+INDEX(编号表!$D:$D,MATCH(D1124,编号表!$C:$C,0))*100+E1124</f>
        <v>1035210</v>
      </c>
      <c r="C1124" s="3" t="s">
        <v>251</v>
      </c>
      <c r="D1124" s="11" t="s">
        <v>37</v>
      </c>
      <c r="E1124" s="11">
        <f t="shared" si="33"/>
        <v>10</v>
      </c>
      <c r="F1124" s="3" t="s">
        <v>252</v>
      </c>
      <c r="G1124" s="16" t="s">
        <v>39</v>
      </c>
      <c r="H1124" s="3">
        <v>60341000</v>
      </c>
      <c r="I1124" s="12">
        <v>10</v>
      </c>
    </row>
    <row r="1125" spans="2:9">
      <c r="B1125" s="11">
        <f>1000000+INDEX(编号表!$B:$B,MATCH(C1125,编号表!$A:$A,0))*1000+INDEX(编号表!$D:$D,MATCH(D1125,编号表!$C:$C,0))*100+E1125</f>
        <v>1035310</v>
      </c>
      <c r="C1125" s="3" t="s">
        <v>251</v>
      </c>
      <c r="D1125" s="11" t="s">
        <v>40</v>
      </c>
      <c r="E1125" s="11">
        <f t="shared" si="33"/>
        <v>10</v>
      </c>
      <c r="F1125" s="3" t="s">
        <v>253</v>
      </c>
      <c r="G1125" s="16" t="s">
        <v>39</v>
      </c>
      <c r="H1125" s="3">
        <v>60341001</v>
      </c>
      <c r="I1125" s="12">
        <v>10</v>
      </c>
    </row>
    <row r="1126" spans="2:9">
      <c r="B1126" s="11">
        <f>1000000+INDEX(编号表!$B:$B,MATCH(C1126,编号表!$A:$A,0))*1000+INDEX(编号表!$D:$D,MATCH(D1126,编号表!$C:$C,0))*100+E1126</f>
        <v>1035410</v>
      </c>
      <c r="C1126" s="3" t="s">
        <v>251</v>
      </c>
      <c r="D1126" s="11" t="s">
        <v>42</v>
      </c>
      <c r="E1126" s="11">
        <f t="shared" si="33"/>
        <v>10</v>
      </c>
      <c r="F1126" s="3" t="s">
        <v>254</v>
      </c>
      <c r="G1126" s="16" t="s">
        <v>39</v>
      </c>
      <c r="H1126" s="3">
        <v>60341002</v>
      </c>
      <c r="I1126" s="12">
        <v>10</v>
      </c>
    </row>
    <row r="1127" spans="2:9">
      <c r="B1127" s="11">
        <f>1000000+INDEX(编号表!$B:$B,MATCH(C1127,编号表!$A:$A,0))*1000+INDEX(编号表!$D:$D,MATCH(D1127,编号表!$C:$C,0))*100+E1127</f>
        <v>1035510</v>
      </c>
      <c r="C1127" s="3" t="s">
        <v>251</v>
      </c>
      <c r="D1127" s="11" t="s">
        <v>44</v>
      </c>
      <c r="E1127" s="11">
        <f t="shared" si="33"/>
        <v>10</v>
      </c>
      <c r="F1127" s="3" t="s">
        <v>255</v>
      </c>
      <c r="G1127" s="16" t="s">
        <v>39</v>
      </c>
      <c r="H1127" s="3">
        <v>60341003</v>
      </c>
      <c r="I1127" s="12">
        <v>10</v>
      </c>
    </row>
    <row r="1128" spans="2:9">
      <c r="B1128" s="11">
        <f>1000000+INDEX(编号表!$B:$B,MATCH(C1128,编号表!$A:$A,0))*1000+INDEX(编号表!$D:$D,MATCH(D1128,编号表!$C:$C,0))*100+E1128</f>
        <v>1035610</v>
      </c>
      <c r="C1128" s="3" t="s">
        <v>251</v>
      </c>
      <c r="D1128" s="11" t="s">
        <v>46</v>
      </c>
      <c r="E1128" s="11">
        <f t="shared" si="33"/>
        <v>10</v>
      </c>
      <c r="F1128" s="3" t="s">
        <v>256</v>
      </c>
      <c r="G1128" s="16" t="s">
        <v>39</v>
      </c>
      <c r="H1128" s="3">
        <v>60341004</v>
      </c>
      <c r="I1128" s="12">
        <v>10</v>
      </c>
    </row>
    <row r="1129" spans="2:9">
      <c r="B1129" s="11">
        <f>1000000+INDEX(编号表!$B:$B,MATCH(C1129,编号表!$A:$A,0))*1000+INDEX(编号表!$D:$D,MATCH(D1129,编号表!$C:$C,0))*100+E1129</f>
        <v>1035215</v>
      </c>
      <c r="C1129" s="3" t="s">
        <v>251</v>
      </c>
      <c r="D1129" s="11" t="s">
        <v>37</v>
      </c>
      <c r="E1129" s="11">
        <f t="shared" si="33"/>
        <v>15</v>
      </c>
      <c r="F1129" s="3" t="s">
        <v>252</v>
      </c>
      <c r="G1129" s="16" t="s">
        <v>39</v>
      </c>
      <c r="H1129" s="3">
        <v>60341000</v>
      </c>
      <c r="I1129" s="12">
        <v>15</v>
      </c>
    </row>
    <row r="1130" spans="2:9">
      <c r="B1130" s="11">
        <f>1000000+INDEX(编号表!$B:$B,MATCH(C1130,编号表!$A:$A,0))*1000+INDEX(编号表!$D:$D,MATCH(D1130,编号表!$C:$C,0))*100+E1130</f>
        <v>1035315</v>
      </c>
      <c r="C1130" s="3" t="s">
        <v>251</v>
      </c>
      <c r="D1130" s="11" t="s">
        <v>40</v>
      </c>
      <c r="E1130" s="11">
        <f t="shared" si="33"/>
        <v>15</v>
      </c>
      <c r="F1130" s="3" t="s">
        <v>253</v>
      </c>
      <c r="G1130" s="16" t="s">
        <v>39</v>
      </c>
      <c r="H1130" s="3">
        <v>60341001</v>
      </c>
      <c r="I1130" s="12">
        <v>15</v>
      </c>
    </row>
    <row r="1131" spans="2:9">
      <c r="B1131" s="11">
        <f>1000000+INDEX(编号表!$B:$B,MATCH(C1131,编号表!$A:$A,0))*1000+INDEX(编号表!$D:$D,MATCH(D1131,编号表!$C:$C,0))*100+E1131</f>
        <v>1035415</v>
      </c>
      <c r="C1131" s="3" t="s">
        <v>251</v>
      </c>
      <c r="D1131" s="11" t="s">
        <v>42</v>
      </c>
      <c r="E1131" s="11">
        <f t="shared" si="33"/>
        <v>15</v>
      </c>
      <c r="F1131" s="3" t="s">
        <v>254</v>
      </c>
      <c r="G1131" s="16" t="s">
        <v>39</v>
      </c>
      <c r="H1131" s="3">
        <v>60341002</v>
      </c>
      <c r="I1131" s="12">
        <v>15</v>
      </c>
    </row>
    <row r="1132" spans="2:9">
      <c r="B1132" s="11">
        <f>1000000+INDEX(编号表!$B:$B,MATCH(C1132,编号表!$A:$A,0))*1000+INDEX(编号表!$D:$D,MATCH(D1132,编号表!$C:$C,0))*100+E1132</f>
        <v>1035515</v>
      </c>
      <c r="C1132" s="3" t="s">
        <v>251</v>
      </c>
      <c r="D1132" s="11" t="s">
        <v>44</v>
      </c>
      <c r="E1132" s="11">
        <f t="shared" si="33"/>
        <v>15</v>
      </c>
      <c r="F1132" s="3" t="s">
        <v>255</v>
      </c>
      <c r="G1132" s="16" t="s">
        <v>39</v>
      </c>
      <c r="H1132" s="3">
        <v>60341003</v>
      </c>
      <c r="I1132" s="12">
        <v>15</v>
      </c>
    </row>
    <row r="1133" spans="2:9">
      <c r="B1133" s="11">
        <f>1000000+INDEX(编号表!$B:$B,MATCH(C1133,编号表!$A:$A,0))*1000+INDEX(编号表!$D:$D,MATCH(D1133,编号表!$C:$C,0))*100+E1133</f>
        <v>1035615</v>
      </c>
      <c r="C1133" s="3" t="s">
        <v>251</v>
      </c>
      <c r="D1133" s="11" t="s">
        <v>46</v>
      </c>
      <c r="E1133" s="11">
        <f t="shared" si="33"/>
        <v>15</v>
      </c>
      <c r="F1133" s="3" t="s">
        <v>256</v>
      </c>
      <c r="G1133" s="16" t="s">
        <v>39</v>
      </c>
      <c r="H1133" s="3">
        <v>60341004</v>
      </c>
      <c r="I1133" s="12">
        <v>15</v>
      </c>
    </row>
    <row r="1134" spans="2:9">
      <c r="B1134" s="11">
        <f>1000000+INDEX(编号表!$B:$B,MATCH(C1134,编号表!$A:$A,0))*1000+INDEX(编号表!$D:$D,MATCH(D1134,编号表!$C:$C,0))*100+E1134</f>
        <v>1036001</v>
      </c>
      <c r="C1134" s="3" t="s">
        <v>257</v>
      </c>
      <c r="D1134" s="11" t="s">
        <v>55</v>
      </c>
      <c r="E1134" s="11">
        <v>1</v>
      </c>
      <c r="F1134" s="17" t="s">
        <v>167</v>
      </c>
      <c r="G1134" s="16" t="s">
        <v>57</v>
      </c>
      <c r="H1134" s="11">
        <v>60354000</v>
      </c>
      <c r="I1134" s="12">
        <v>1</v>
      </c>
    </row>
    <row r="1135" spans="2:9">
      <c r="B1135" s="11">
        <f>1000000+INDEX(编号表!$B:$B,MATCH(C1135,编号表!$A:$A,0))*1000+INDEX(编号表!$D:$D,MATCH(D1135,编号表!$C:$C,0))*100+E1135</f>
        <v>1036101</v>
      </c>
      <c r="C1135" s="3" t="s">
        <v>257</v>
      </c>
      <c r="D1135" s="11" t="s">
        <v>58</v>
      </c>
      <c r="E1135" s="11">
        <v>1</v>
      </c>
      <c r="F1135" s="17" t="s">
        <v>59</v>
      </c>
      <c r="G1135" s="16" t="s">
        <v>57</v>
      </c>
      <c r="H1135" s="3">
        <v>60352000</v>
      </c>
      <c r="I1135" s="12">
        <v>1</v>
      </c>
    </row>
    <row r="1136" spans="2:9">
      <c r="B1136" s="11">
        <f>1000000+INDEX(编号表!$B:$B,MATCH(C1136,编号表!$A:$A,0))*1000+INDEX(编号表!$D:$D,MATCH(D1136,编号表!$C:$C,0))*100+E1136</f>
        <v>1036201</v>
      </c>
      <c r="C1136" s="3" t="s">
        <v>257</v>
      </c>
      <c r="D1136" s="11" t="s">
        <v>37</v>
      </c>
      <c r="E1136" s="11">
        <f t="shared" ref="E1136:E1165" si="34">I1136+K1136+M1136+O1136+Q1136+S1136+U1136+W1136+Y1136+AA1136</f>
        <v>1</v>
      </c>
      <c r="F1136" s="3" t="s">
        <v>253</v>
      </c>
      <c r="G1136" s="16" t="s">
        <v>39</v>
      </c>
      <c r="H1136" s="3">
        <v>60351000</v>
      </c>
      <c r="I1136" s="12">
        <v>1</v>
      </c>
    </row>
    <row r="1137" spans="2:9">
      <c r="B1137" s="11">
        <f>1000000+INDEX(编号表!$B:$B,MATCH(C1137,编号表!$A:$A,0))*1000+INDEX(编号表!$D:$D,MATCH(D1137,编号表!$C:$C,0))*100+E1137</f>
        <v>1036301</v>
      </c>
      <c r="C1137" s="3" t="s">
        <v>257</v>
      </c>
      <c r="D1137" s="11" t="s">
        <v>40</v>
      </c>
      <c r="E1137" s="11">
        <f t="shared" si="34"/>
        <v>1</v>
      </c>
      <c r="F1137" s="3" t="s">
        <v>254</v>
      </c>
      <c r="G1137" s="16" t="s">
        <v>39</v>
      </c>
      <c r="H1137" s="3">
        <v>60351001</v>
      </c>
      <c r="I1137" s="12">
        <v>1</v>
      </c>
    </row>
    <row r="1138" spans="2:9">
      <c r="B1138" s="11">
        <f>1000000+INDEX(编号表!$B:$B,MATCH(C1138,编号表!$A:$A,0))*1000+INDEX(编号表!$D:$D,MATCH(D1138,编号表!$C:$C,0))*100+E1138</f>
        <v>1036401</v>
      </c>
      <c r="C1138" s="3" t="s">
        <v>257</v>
      </c>
      <c r="D1138" s="11" t="s">
        <v>42</v>
      </c>
      <c r="E1138" s="11">
        <f t="shared" si="34"/>
        <v>1</v>
      </c>
      <c r="F1138" s="3" t="s">
        <v>255</v>
      </c>
      <c r="G1138" s="16" t="s">
        <v>39</v>
      </c>
      <c r="H1138" s="3">
        <v>60351002</v>
      </c>
      <c r="I1138" s="12">
        <v>1</v>
      </c>
    </row>
    <row r="1139" spans="2:9">
      <c r="B1139" s="11">
        <f>1000000+INDEX(编号表!$B:$B,MATCH(C1139,编号表!$A:$A,0))*1000+INDEX(编号表!$D:$D,MATCH(D1139,编号表!$C:$C,0))*100+E1139</f>
        <v>1036501</v>
      </c>
      <c r="C1139" s="3" t="s">
        <v>257</v>
      </c>
      <c r="D1139" s="11" t="s">
        <v>44</v>
      </c>
      <c r="E1139" s="11">
        <f t="shared" si="34"/>
        <v>1</v>
      </c>
      <c r="F1139" s="3" t="s">
        <v>258</v>
      </c>
      <c r="G1139" s="16" t="s">
        <v>39</v>
      </c>
      <c r="H1139" s="3">
        <v>60351003</v>
      </c>
      <c r="I1139" s="12">
        <v>1</v>
      </c>
    </row>
    <row r="1140" spans="2:9">
      <c r="B1140" s="11">
        <f>1000000+INDEX(编号表!$B:$B,MATCH(C1140,编号表!$A:$A,0))*1000+INDEX(编号表!$D:$D,MATCH(D1140,编号表!$C:$C,0))*100+E1140</f>
        <v>1036601</v>
      </c>
      <c r="C1140" s="3" t="s">
        <v>257</v>
      </c>
      <c r="D1140" s="11" t="s">
        <v>46</v>
      </c>
      <c r="E1140" s="11">
        <f t="shared" si="34"/>
        <v>1</v>
      </c>
      <c r="F1140" s="3" t="s">
        <v>256</v>
      </c>
      <c r="G1140" s="16" t="s">
        <v>39</v>
      </c>
      <c r="H1140" s="3">
        <v>60351004</v>
      </c>
      <c r="I1140" s="12">
        <v>1</v>
      </c>
    </row>
    <row r="1141" spans="2:9">
      <c r="B1141" s="11">
        <f>1000000+INDEX(编号表!$B:$B,MATCH(C1141,编号表!$A:$A,0))*1000+INDEX(编号表!$D:$D,MATCH(D1141,编号表!$C:$C,0))*100+E1141</f>
        <v>1036202</v>
      </c>
      <c r="C1141" s="3" t="s">
        <v>257</v>
      </c>
      <c r="D1141" s="11" t="s">
        <v>37</v>
      </c>
      <c r="E1141" s="11">
        <f t="shared" si="34"/>
        <v>2</v>
      </c>
      <c r="F1141" s="3" t="s">
        <v>253</v>
      </c>
      <c r="G1141" s="16" t="s">
        <v>39</v>
      </c>
      <c r="H1141" s="3">
        <v>60351000</v>
      </c>
      <c r="I1141" s="12">
        <v>2</v>
      </c>
    </row>
    <row r="1142" spans="2:9">
      <c r="B1142" s="11">
        <f>1000000+INDEX(编号表!$B:$B,MATCH(C1142,编号表!$A:$A,0))*1000+INDEX(编号表!$D:$D,MATCH(D1142,编号表!$C:$C,0))*100+E1142</f>
        <v>1036302</v>
      </c>
      <c r="C1142" s="3" t="s">
        <v>257</v>
      </c>
      <c r="D1142" s="11" t="s">
        <v>40</v>
      </c>
      <c r="E1142" s="11">
        <f t="shared" si="34"/>
        <v>2</v>
      </c>
      <c r="F1142" s="3" t="s">
        <v>254</v>
      </c>
      <c r="G1142" s="16" t="s">
        <v>39</v>
      </c>
      <c r="H1142" s="3">
        <v>60351001</v>
      </c>
      <c r="I1142" s="12">
        <v>2</v>
      </c>
    </row>
    <row r="1143" spans="2:9">
      <c r="B1143" s="11">
        <f>1000000+INDEX(编号表!$B:$B,MATCH(C1143,编号表!$A:$A,0))*1000+INDEX(编号表!$D:$D,MATCH(D1143,编号表!$C:$C,0))*100+E1143</f>
        <v>1036402</v>
      </c>
      <c r="C1143" s="3" t="s">
        <v>257</v>
      </c>
      <c r="D1143" s="11" t="s">
        <v>42</v>
      </c>
      <c r="E1143" s="11">
        <f t="shared" si="34"/>
        <v>2</v>
      </c>
      <c r="F1143" s="3" t="s">
        <v>255</v>
      </c>
      <c r="G1143" s="16" t="s">
        <v>39</v>
      </c>
      <c r="H1143" s="3">
        <v>60351002</v>
      </c>
      <c r="I1143" s="12">
        <v>2</v>
      </c>
    </row>
    <row r="1144" spans="2:9">
      <c r="B1144" s="11">
        <f>1000000+INDEX(编号表!$B:$B,MATCH(C1144,编号表!$A:$A,0))*1000+INDEX(编号表!$D:$D,MATCH(D1144,编号表!$C:$C,0))*100+E1144</f>
        <v>1036502</v>
      </c>
      <c r="C1144" s="3" t="s">
        <v>257</v>
      </c>
      <c r="D1144" s="11" t="s">
        <v>44</v>
      </c>
      <c r="E1144" s="11">
        <f t="shared" si="34"/>
        <v>2</v>
      </c>
      <c r="F1144" s="3" t="s">
        <v>258</v>
      </c>
      <c r="G1144" s="16" t="s">
        <v>39</v>
      </c>
      <c r="H1144" s="3">
        <v>60351003</v>
      </c>
      <c r="I1144" s="12">
        <v>2</v>
      </c>
    </row>
    <row r="1145" spans="2:9">
      <c r="B1145" s="11">
        <f>1000000+INDEX(编号表!$B:$B,MATCH(C1145,编号表!$A:$A,0))*1000+INDEX(编号表!$D:$D,MATCH(D1145,编号表!$C:$C,0))*100+E1145</f>
        <v>1036602</v>
      </c>
      <c r="C1145" s="3" t="s">
        <v>257</v>
      </c>
      <c r="D1145" s="11" t="s">
        <v>46</v>
      </c>
      <c r="E1145" s="11">
        <f t="shared" si="34"/>
        <v>2</v>
      </c>
      <c r="F1145" s="3" t="s">
        <v>256</v>
      </c>
      <c r="G1145" s="16" t="s">
        <v>39</v>
      </c>
      <c r="H1145" s="3">
        <v>60351004</v>
      </c>
      <c r="I1145" s="12">
        <v>2</v>
      </c>
    </row>
    <row r="1146" spans="2:9">
      <c r="B1146" s="11">
        <f>1000000+INDEX(编号表!$B:$B,MATCH(C1146,编号表!$A:$A,0))*1000+INDEX(编号表!$D:$D,MATCH(D1146,编号表!$C:$C,0))*100+E1146</f>
        <v>1036203</v>
      </c>
      <c r="C1146" s="3" t="s">
        <v>257</v>
      </c>
      <c r="D1146" s="11" t="s">
        <v>37</v>
      </c>
      <c r="E1146" s="11">
        <f t="shared" si="34"/>
        <v>3</v>
      </c>
      <c r="F1146" s="3" t="s">
        <v>253</v>
      </c>
      <c r="G1146" s="16" t="s">
        <v>39</v>
      </c>
      <c r="H1146" s="3">
        <v>60351000</v>
      </c>
      <c r="I1146" s="12">
        <v>3</v>
      </c>
    </row>
    <row r="1147" spans="2:9">
      <c r="B1147" s="11">
        <f>1000000+INDEX(编号表!$B:$B,MATCH(C1147,编号表!$A:$A,0))*1000+INDEX(编号表!$D:$D,MATCH(D1147,编号表!$C:$C,0))*100+E1147</f>
        <v>1036303</v>
      </c>
      <c r="C1147" s="3" t="s">
        <v>257</v>
      </c>
      <c r="D1147" s="11" t="s">
        <v>40</v>
      </c>
      <c r="E1147" s="11">
        <f t="shared" si="34"/>
        <v>3</v>
      </c>
      <c r="F1147" s="3" t="s">
        <v>254</v>
      </c>
      <c r="G1147" s="16" t="s">
        <v>39</v>
      </c>
      <c r="H1147" s="3">
        <v>60351001</v>
      </c>
      <c r="I1147" s="12">
        <v>3</v>
      </c>
    </row>
    <row r="1148" spans="2:9">
      <c r="B1148" s="11">
        <f>1000000+INDEX(编号表!$B:$B,MATCH(C1148,编号表!$A:$A,0))*1000+INDEX(编号表!$D:$D,MATCH(D1148,编号表!$C:$C,0))*100+E1148</f>
        <v>1036403</v>
      </c>
      <c r="C1148" s="3" t="s">
        <v>257</v>
      </c>
      <c r="D1148" s="11" t="s">
        <v>42</v>
      </c>
      <c r="E1148" s="11">
        <f t="shared" si="34"/>
        <v>3</v>
      </c>
      <c r="F1148" s="3" t="s">
        <v>255</v>
      </c>
      <c r="G1148" s="16" t="s">
        <v>39</v>
      </c>
      <c r="H1148" s="3">
        <v>60351002</v>
      </c>
      <c r="I1148" s="12">
        <v>3</v>
      </c>
    </row>
    <row r="1149" spans="2:9">
      <c r="B1149" s="11">
        <f>1000000+INDEX(编号表!$B:$B,MATCH(C1149,编号表!$A:$A,0))*1000+INDEX(编号表!$D:$D,MATCH(D1149,编号表!$C:$C,0))*100+E1149</f>
        <v>1036503</v>
      </c>
      <c r="C1149" s="3" t="s">
        <v>257</v>
      </c>
      <c r="D1149" s="11" t="s">
        <v>44</v>
      </c>
      <c r="E1149" s="11">
        <f t="shared" si="34"/>
        <v>3</v>
      </c>
      <c r="F1149" s="3" t="s">
        <v>258</v>
      </c>
      <c r="G1149" s="16" t="s">
        <v>39</v>
      </c>
      <c r="H1149" s="3">
        <v>60351003</v>
      </c>
      <c r="I1149" s="12">
        <v>3</v>
      </c>
    </row>
    <row r="1150" spans="2:9">
      <c r="B1150" s="11">
        <f>1000000+INDEX(编号表!$B:$B,MATCH(C1150,编号表!$A:$A,0))*1000+INDEX(编号表!$D:$D,MATCH(D1150,编号表!$C:$C,0))*100+E1150</f>
        <v>1036603</v>
      </c>
      <c r="C1150" s="3" t="s">
        <v>257</v>
      </c>
      <c r="D1150" s="11" t="s">
        <v>46</v>
      </c>
      <c r="E1150" s="11">
        <f t="shared" si="34"/>
        <v>3</v>
      </c>
      <c r="F1150" s="3" t="s">
        <v>256</v>
      </c>
      <c r="G1150" s="16" t="s">
        <v>39</v>
      </c>
      <c r="H1150" s="3">
        <v>60351004</v>
      </c>
      <c r="I1150" s="12">
        <v>3</v>
      </c>
    </row>
    <row r="1151" spans="2:9">
      <c r="B1151" s="11">
        <f>1000000+INDEX(编号表!$B:$B,MATCH(C1151,编号表!$A:$A,0))*1000+INDEX(编号表!$D:$D,MATCH(D1151,编号表!$C:$C,0))*100+E1151</f>
        <v>1036205</v>
      </c>
      <c r="C1151" s="3" t="s">
        <v>257</v>
      </c>
      <c r="D1151" s="11" t="s">
        <v>37</v>
      </c>
      <c r="E1151" s="11">
        <f t="shared" si="34"/>
        <v>5</v>
      </c>
      <c r="F1151" s="3" t="s">
        <v>253</v>
      </c>
      <c r="G1151" s="16" t="s">
        <v>39</v>
      </c>
      <c r="H1151" s="3">
        <v>60351000</v>
      </c>
      <c r="I1151" s="12">
        <v>5</v>
      </c>
    </row>
    <row r="1152" spans="2:9">
      <c r="B1152" s="11">
        <f>1000000+INDEX(编号表!$B:$B,MATCH(C1152,编号表!$A:$A,0))*1000+INDEX(编号表!$D:$D,MATCH(D1152,编号表!$C:$C,0))*100+E1152</f>
        <v>1036305</v>
      </c>
      <c r="C1152" s="3" t="s">
        <v>257</v>
      </c>
      <c r="D1152" s="11" t="s">
        <v>40</v>
      </c>
      <c r="E1152" s="11">
        <f t="shared" si="34"/>
        <v>5</v>
      </c>
      <c r="F1152" s="3" t="s">
        <v>254</v>
      </c>
      <c r="G1152" s="16" t="s">
        <v>39</v>
      </c>
      <c r="H1152" s="3">
        <v>60351001</v>
      </c>
      <c r="I1152" s="12">
        <v>5</v>
      </c>
    </row>
    <row r="1153" spans="2:9">
      <c r="B1153" s="11">
        <f>1000000+INDEX(编号表!$B:$B,MATCH(C1153,编号表!$A:$A,0))*1000+INDEX(编号表!$D:$D,MATCH(D1153,编号表!$C:$C,0))*100+E1153</f>
        <v>1036405</v>
      </c>
      <c r="C1153" s="3" t="s">
        <v>257</v>
      </c>
      <c r="D1153" s="11" t="s">
        <v>42</v>
      </c>
      <c r="E1153" s="11">
        <f t="shared" si="34"/>
        <v>5</v>
      </c>
      <c r="F1153" s="3" t="s">
        <v>255</v>
      </c>
      <c r="G1153" s="16" t="s">
        <v>39</v>
      </c>
      <c r="H1153" s="3">
        <v>60351002</v>
      </c>
      <c r="I1153" s="12">
        <v>5</v>
      </c>
    </row>
    <row r="1154" spans="2:9">
      <c r="B1154" s="11">
        <f>1000000+INDEX(编号表!$B:$B,MATCH(C1154,编号表!$A:$A,0))*1000+INDEX(编号表!$D:$D,MATCH(D1154,编号表!$C:$C,0))*100+E1154</f>
        <v>1036505</v>
      </c>
      <c r="C1154" s="3" t="s">
        <v>257</v>
      </c>
      <c r="D1154" s="11" t="s">
        <v>44</v>
      </c>
      <c r="E1154" s="11">
        <f t="shared" si="34"/>
        <v>5</v>
      </c>
      <c r="F1154" s="3" t="s">
        <v>258</v>
      </c>
      <c r="G1154" s="16" t="s">
        <v>39</v>
      </c>
      <c r="H1154" s="3">
        <v>60351003</v>
      </c>
      <c r="I1154" s="12">
        <v>5</v>
      </c>
    </row>
    <row r="1155" spans="2:9">
      <c r="B1155" s="11">
        <f>1000000+INDEX(编号表!$B:$B,MATCH(C1155,编号表!$A:$A,0))*1000+INDEX(编号表!$D:$D,MATCH(D1155,编号表!$C:$C,0))*100+E1155</f>
        <v>1036605</v>
      </c>
      <c r="C1155" s="3" t="s">
        <v>257</v>
      </c>
      <c r="D1155" s="11" t="s">
        <v>46</v>
      </c>
      <c r="E1155" s="11">
        <f t="shared" si="34"/>
        <v>5</v>
      </c>
      <c r="F1155" s="3" t="s">
        <v>256</v>
      </c>
      <c r="G1155" s="16" t="s">
        <v>39</v>
      </c>
      <c r="H1155" s="3">
        <v>60351004</v>
      </c>
      <c r="I1155" s="12">
        <v>5</v>
      </c>
    </row>
    <row r="1156" spans="2:9">
      <c r="B1156" s="11">
        <f>1000000+INDEX(编号表!$B:$B,MATCH(C1156,编号表!$A:$A,0))*1000+INDEX(编号表!$D:$D,MATCH(D1156,编号表!$C:$C,0))*100+E1156</f>
        <v>1036210</v>
      </c>
      <c r="C1156" s="3" t="s">
        <v>257</v>
      </c>
      <c r="D1156" s="11" t="s">
        <v>37</v>
      </c>
      <c r="E1156" s="11">
        <f t="shared" si="34"/>
        <v>10</v>
      </c>
      <c r="F1156" s="3" t="s">
        <v>253</v>
      </c>
      <c r="G1156" s="16" t="s">
        <v>39</v>
      </c>
      <c r="H1156" s="3">
        <v>60351000</v>
      </c>
      <c r="I1156" s="12">
        <v>10</v>
      </c>
    </row>
    <row r="1157" spans="2:9">
      <c r="B1157" s="11">
        <f>1000000+INDEX(编号表!$B:$B,MATCH(C1157,编号表!$A:$A,0))*1000+INDEX(编号表!$D:$D,MATCH(D1157,编号表!$C:$C,0))*100+E1157</f>
        <v>1036310</v>
      </c>
      <c r="C1157" s="3" t="s">
        <v>257</v>
      </c>
      <c r="D1157" s="11" t="s">
        <v>40</v>
      </c>
      <c r="E1157" s="11">
        <f t="shared" si="34"/>
        <v>10</v>
      </c>
      <c r="F1157" s="3" t="s">
        <v>254</v>
      </c>
      <c r="G1157" s="16" t="s">
        <v>39</v>
      </c>
      <c r="H1157" s="3">
        <v>60351001</v>
      </c>
      <c r="I1157" s="12">
        <v>10</v>
      </c>
    </row>
    <row r="1158" spans="2:9">
      <c r="B1158" s="11">
        <f>1000000+INDEX(编号表!$B:$B,MATCH(C1158,编号表!$A:$A,0))*1000+INDEX(编号表!$D:$D,MATCH(D1158,编号表!$C:$C,0))*100+E1158</f>
        <v>1036410</v>
      </c>
      <c r="C1158" s="3" t="s">
        <v>257</v>
      </c>
      <c r="D1158" s="11" t="s">
        <v>42</v>
      </c>
      <c r="E1158" s="11">
        <f t="shared" si="34"/>
        <v>10</v>
      </c>
      <c r="F1158" s="3" t="s">
        <v>255</v>
      </c>
      <c r="G1158" s="16" t="s">
        <v>39</v>
      </c>
      <c r="H1158" s="3">
        <v>60351002</v>
      </c>
      <c r="I1158" s="12">
        <v>10</v>
      </c>
    </row>
    <row r="1159" spans="2:9">
      <c r="B1159" s="11">
        <f>1000000+INDEX(编号表!$B:$B,MATCH(C1159,编号表!$A:$A,0))*1000+INDEX(编号表!$D:$D,MATCH(D1159,编号表!$C:$C,0))*100+E1159</f>
        <v>1036510</v>
      </c>
      <c r="C1159" s="3" t="s">
        <v>257</v>
      </c>
      <c r="D1159" s="11" t="s">
        <v>44</v>
      </c>
      <c r="E1159" s="11">
        <f t="shared" si="34"/>
        <v>10</v>
      </c>
      <c r="F1159" s="3" t="s">
        <v>258</v>
      </c>
      <c r="G1159" s="16" t="s">
        <v>39</v>
      </c>
      <c r="H1159" s="3">
        <v>60351003</v>
      </c>
      <c r="I1159" s="12">
        <v>10</v>
      </c>
    </row>
    <row r="1160" spans="2:9">
      <c r="B1160" s="11">
        <f>1000000+INDEX(编号表!$B:$B,MATCH(C1160,编号表!$A:$A,0))*1000+INDEX(编号表!$D:$D,MATCH(D1160,编号表!$C:$C,0))*100+E1160</f>
        <v>1036610</v>
      </c>
      <c r="C1160" s="3" t="s">
        <v>257</v>
      </c>
      <c r="D1160" s="11" t="s">
        <v>46</v>
      </c>
      <c r="E1160" s="11">
        <f t="shared" si="34"/>
        <v>10</v>
      </c>
      <c r="F1160" s="3" t="s">
        <v>256</v>
      </c>
      <c r="G1160" s="16" t="s">
        <v>39</v>
      </c>
      <c r="H1160" s="3">
        <v>60351004</v>
      </c>
      <c r="I1160" s="12">
        <v>10</v>
      </c>
    </row>
    <row r="1161" spans="2:9">
      <c r="B1161" s="11">
        <f>1000000+INDEX(编号表!$B:$B,MATCH(C1161,编号表!$A:$A,0))*1000+INDEX(编号表!$D:$D,MATCH(D1161,编号表!$C:$C,0))*100+E1161</f>
        <v>1036215</v>
      </c>
      <c r="C1161" s="3" t="s">
        <v>257</v>
      </c>
      <c r="D1161" s="11" t="s">
        <v>37</v>
      </c>
      <c r="E1161" s="11">
        <f t="shared" si="34"/>
        <v>15</v>
      </c>
      <c r="F1161" s="3" t="s">
        <v>253</v>
      </c>
      <c r="G1161" s="16" t="s">
        <v>39</v>
      </c>
      <c r="H1161" s="3">
        <v>60351000</v>
      </c>
      <c r="I1161" s="12">
        <v>15</v>
      </c>
    </row>
    <row r="1162" spans="2:9">
      <c r="B1162" s="11">
        <f>1000000+INDEX(编号表!$B:$B,MATCH(C1162,编号表!$A:$A,0))*1000+INDEX(编号表!$D:$D,MATCH(D1162,编号表!$C:$C,0))*100+E1162</f>
        <v>1036315</v>
      </c>
      <c r="C1162" s="3" t="s">
        <v>257</v>
      </c>
      <c r="D1162" s="11" t="s">
        <v>40</v>
      </c>
      <c r="E1162" s="11">
        <f t="shared" si="34"/>
        <v>15</v>
      </c>
      <c r="F1162" s="3" t="s">
        <v>254</v>
      </c>
      <c r="G1162" s="16" t="s">
        <v>39</v>
      </c>
      <c r="H1162" s="3">
        <v>60351001</v>
      </c>
      <c r="I1162" s="12">
        <v>15</v>
      </c>
    </row>
    <row r="1163" spans="2:9">
      <c r="B1163" s="11">
        <f>1000000+INDEX(编号表!$B:$B,MATCH(C1163,编号表!$A:$A,0))*1000+INDEX(编号表!$D:$D,MATCH(D1163,编号表!$C:$C,0))*100+E1163</f>
        <v>1036415</v>
      </c>
      <c r="C1163" s="3" t="s">
        <v>257</v>
      </c>
      <c r="D1163" s="11" t="s">
        <v>42</v>
      </c>
      <c r="E1163" s="11">
        <f t="shared" si="34"/>
        <v>15</v>
      </c>
      <c r="F1163" s="3" t="s">
        <v>255</v>
      </c>
      <c r="G1163" s="16" t="s">
        <v>39</v>
      </c>
      <c r="H1163" s="3">
        <v>60351002</v>
      </c>
      <c r="I1163" s="12">
        <v>15</v>
      </c>
    </row>
    <row r="1164" spans="2:9">
      <c r="B1164" s="11">
        <f>1000000+INDEX(编号表!$B:$B,MATCH(C1164,编号表!$A:$A,0))*1000+INDEX(编号表!$D:$D,MATCH(D1164,编号表!$C:$C,0))*100+E1164</f>
        <v>1036515</v>
      </c>
      <c r="C1164" s="3" t="s">
        <v>257</v>
      </c>
      <c r="D1164" s="11" t="s">
        <v>44</v>
      </c>
      <c r="E1164" s="11">
        <f t="shared" si="34"/>
        <v>15</v>
      </c>
      <c r="F1164" s="3" t="s">
        <v>258</v>
      </c>
      <c r="G1164" s="16" t="s">
        <v>39</v>
      </c>
      <c r="H1164" s="3">
        <v>60351003</v>
      </c>
      <c r="I1164" s="12">
        <v>15</v>
      </c>
    </row>
    <row r="1165" spans="2:9">
      <c r="B1165" s="11">
        <f>1000000+INDEX(编号表!$B:$B,MATCH(C1165,编号表!$A:$A,0))*1000+INDEX(编号表!$D:$D,MATCH(D1165,编号表!$C:$C,0))*100+E1165</f>
        <v>1036615</v>
      </c>
      <c r="C1165" s="3" t="s">
        <v>257</v>
      </c>
      <c r="D1165" s="11" t="s">
        <v>46</v>
      </c>
      <c r="E1165" s="11">
        <f t="shared" si="34"/>
        <v>15</v>
      </c>
      <c r="F1165" s="3" t="s">
        <v>256</v>
      </c>
      <c r="G1165" s="16" t="s">
        <v>39</v>
      </c>
      <c r="H1165" s="3">
        <v>60351004</v>
      </c>
      <c r="I1165" s="12">
        <v>15</v>
      </c>
    </row>
    <row r="1166" spans="2:9">
      <c r="B1166" s="11">
        <f>1000000+INDEX(编号表!$B:$B,MATCH(C1166,编号表!$A:$A,0))*1000+INDEX(编号表!$D:$D,MATCH(D1166,编号表!$C:$C,0))*100+E1166</f>
        <v>1037001</v>
      </c>
      <c r="C1166" s="3" t="s">
        <v>259</v>
      </c>
      <c r="D1166" s="11" t="s">
        <v>55</v>
      </c>
      <c r="E1166" s="11">
        <v>1</v>
      </c>
      <c r="F1166" s="17" t="s">
        <v>167</v>
      </c>
      <c r="G1166" s="16" t="s">
        <v>57</v>
      </c>
      <c r="H1166" s="11">
        <v>60364000</v>
      </c>
      <c r="I1166" s="12">
        <v>1</v>
      </c>
    </row>
    <row r="1167" spans="2:9">
      <c r="B1167" s="11">
        <f>1000000+INDEX(编号表!$B:$B,MATCH(C1167,编号表!$A:$A,0))*1000+INDEX(编号表!$D:$D,MATCH(D1167,编号表!$C:$C,0))*100+E1167</f>
        <v>1037101</v>
      </c>
      <c r="C1167" s="3" t="s">
        <v>259</v>
      </c>
      <c r="D1167" s="11" t="s">
        <v>58</v>
      </c>
      <c r="E1167" s="11">
        <v>1</v>
      </c>
      <c r="F1167" s="17" t="s">
        <v>59</v>
      </c>
      <c r="G1167" s="16" t="s">
        <v>57</v>
      </c>
      <c r="H1167" s="3">
        <v>60362000</v>
      </c>
      <c r="I1167" s="12">
        <v>1</v>
      </c>
    </row>
    <row r="1168" spans="2:9">
      <c r="B1168" s="11">
        <f>1000000+INDEX(编号表!$B:$B,MATCH(C1168,编号表!$A:$A,0))*1000+INDEX(编号表!$D:$D,MATCH(D1168,编号表!$C:$C,0))*100+E1168</f>
        <v>1037201</v>
      </c>
      <c r="C1168" s="3" t="s">
        <v>259</v>
      </c>
      <c r="D1168" s="11" t="s">
        <v>37</v>
      </c>
      <c r="E1168" s="11">
        <f t="shared" ref="E1168:E1197" si="35">I1168+K1168+M1168+O1168+Q1168+S1168+U1168+W1168+Y1168+AA1168</f>
        <v>1</v>
      </c>
      <c r="F1168" s="3" t="s">
        <v>253</v>
      </c>
      <c r="G1168" s="16" t="s">
        <v>39</v>
      </c>
      <c r="H1168" s="3">
        <v>60361000</v>
      </c>
      <c r="I1168" s="12">
        <v>1</v>
      </c>
    </row>
    <row r="1169" spans="2:9">
      <c r="B1169" s="11">
        <f>1000000+INDEX(编号表!$B:$B,MATCH(C1169,编号表!$A:$A,0))*1000+INDEX(编号表!$D:$D,MATCH(D1169,编号表!$C:$C,0))*100+E1169</f>
        <v>1037301</v>
      </c>
      <c r="C1169" s="3" t="s">
        <v>259</v>
      </c>
      <c r="D1169" s="11" t="s">
        <v>40</v>
      </c>
      <c r="E1169" s="11">
        <f t="shared" si="35"/>
        <v>1</v>
      </c>
      <c r="F1169" s="3" t="s">
        <v>254</v>
      </c>
      <c r="G1169" s="16" t="s">
        <v>39</v>
      </c>
      <c r="H1169" s="3">
        <v>60361001</v>
      </c>
      <c r="I1169" s="12">
        <v>1</v>
      </c>
    </row>
    <row r="1170" spans="2:9">
      <c r="B1170" s="11">
        <f>1000000+INDEX(编号表!$B:$B,MATCH(C1170,编号表!$A:$A,0))*1000+INDEX(编号表!$D:$D,MATCH(D1170,编号表!$C:$C,0))*100+E1170</f>
        <v>1037401</v>
      </c>
      <c r="C1170" s="3" t="s">
        <v>259</v>
      </c>
      <c r="D1170" s="11" t="s">
        <v>42</v>
      </c>
      <c r="E1170" s="11">
        <f t="shared" si="35"/>
        <v>1</v>
      </c>
      <c r="F1170" s="3" t="s">
        <v>255</v>
      </c>
      <c r="G1170" s="16" t="s">
        <v>39</v>
      </c>
      <c r="H1170" s="3">
        <v>60361002</v>
      </c>
      <c r="I1170" s="12">
        <v>1</v>
      </c>
    </row>
    <row r="1171" spans="2:9">
      <c r="B1171" s="11">
        <f>1000000+INDEX(编号表!$B:$B,MATCH(C1171,编号表!$A:$A,0))*1000+INDEX(编号表!$D:$D,MATCH(D1171,编号表!$C:$C,0))*100+E1171</f>
        <v>1037501</v>
      </c>
      <c r="C1171" s="3" t="s">
        <v>259</v>
      </c>
      <c r="D1171" s="11" t="s">
        <v>44</v>
      </c>
      <c r="E1171" s="11">
        <f t="shared" si="35"/>
        <v>1</v>
      </c>
      <c r="F1171" s="3" t="s">
        <v>258</v>
      </c>
      <c r="G1171" s="16" t="s">
        <v>39</v>
      </c>
      <c r="H1171" s="3">
        <v>60361003</v>
      </c>
      <c r="I1171" s="12">
        <v>1</v>
      </c>
    </row>
    <row r="1172" spans="2:9">
      <c r="B1172" s="11">
        <f>1000000+INDEX(编号表!$B:$B,MATCH(C1172,编号表!$A:$A,0))*1000+INDEX(编号表!$D:$D,MATCH(D1172,编号表!$C:$C,0))*100+E1172</f>
        <v>1037601</v>
      </c>
      <c r="C1172" s="3" t="s">
        <v>259</v>
      </c>
      <c r="D1172" s="11" t="s">
        <v>46</v>
      </c>
      <c r="E1172" s="11">
        <f t="shared" si="35"/>
        <v>1</v>
      </c>
      <c r="F1172" s="3" t="s">
        <v>256</v>
      </c>
      <c r="G1172" s="16" t="s">
        <v>39</v>
      </c>
      <c r="H1172" s="3">
        <v>60361004</v>
      </c>
      <c r="I1172" s="12">
        <v>1</v>
      </c>
    </row>
    <row r="1173" spans="2:9">
      <c r="B1173" s="11">
        <f>1000000+INDEX(编号表!$B:$B,MATCH(C1173,编号表!$A:$A,0))*1000+INDEX(编号表!$D:$D,MATCH(D1173,编号表!$C:$C,0))*100+E1173</f>
        <v>1037202</v>
      </c>
      <c r="C1173" s="3" t="s">
        <v>259</v>
      </c>
      <c r="D1173" s="11" t="s">
        <v>37</v>
      </c>
      <c r="E1173" s="11">
        <f t="shared" si="35"/>
        <v>2</v>
      </c>
      <c r="F1173" s="3" t="s">
        <v>253</v>
      </c>
      <c r="G1173" s="16" t="s">
        <v>39</v>
      </c>
      <c r="H1173" s="3">
        <v>60361000</v>
      </c>
      <c r="I1173" s="12">
        <v>2</v>
      </c>
    </row>
    <row r="1174" spans="2:9">
      <c r="B1174" s="11">
        <f>1000000+INDEX(编号表!$B:$B,MATCH(C1174,编号表!$A:$A,0))*1000+INDEX(编号表!$D:$D,MATCH(D1174,编号表!$C:$C,0))*100+E1174</f>
        <v>1037302</v>
      </c>
      <c r="C1174" s="3" t="s">
        <v>259</v>
      </c>
      <c r="D1174" s="11" t="s">
        <v>40</v>
      </c>
      <c r="E1174" s="11">
        <f t="shared" si="35"/>
        <v>2</v>
      </c>
      <c r="F1174" s="3" t="s">
        <v>254</v>
      </c>
      <c r="G1174" s="16" t="s">
        <v>39</v>
      </c>
      <c r="H1174" s="3">
        <v>60361001</v>
      </c>
      <c r="I1174" s="12">
        <v>2</v>
      </c>
    </row>
    <row r="1175" spans="2:9">
      <c r="B1175" s="11">
        <f>1000000+INDEX(编号表!$B:$B,MATCH(C1175,编号表!$A:$A,0))*1000+INDEX(编号表!$D:$D,MATCH(D1175,编号表!$C:$C,0))*100+E1175</f>
        <v>1037402</v>
      </c>
      <c r="C1175" s="3" t="s">
        <v>259</v>
      </c>
      <c r="D1175" s="11" t="s">
        <v>42</v>
      </c>
      <c r="E1175" s="11">
        <f t="shared" si="35"/>
        <v>2</v>
      </c>
      <c r="F1175" s="3" t="s">
        <v>255</v>
      </c>
      <c r="G1175" s="16" t="s">
        <v>39</v>
      </c>
      <c r="H1175" s="3">
        <v>60361002</v>
      </c>
      <c r="I1175" s="12">
        <v>2</v>
      </c>
    </row>
    <row r="1176" spans="2:9">
      <c r="B1176" s="11">
        <f>1000000+INDEX(编号表!$B:$B,MATCH(C1176,编号表!$A:$A,0))*1000+INDEX(编号表!$D:$D,MATCH(D1176,编号表!$C:$C,0))*100+E1176</f>
        <v>1037502</v>
      </c>
      <c r="C1176" s="3" t="s">
        <v>259</v>
      </c>
      <c r="D1176" s="11" t="s">
        <v>44</v>
      </c>
      <c r="E1176" s="11">
        <f t="shared" si="35"/>
        <v>2</v>
      </c>
      <c r="F1176" s="3" t="s">
        <v>258</v>
      </c>
      <c r="G1176" s="16" t="s">
        <v>39</v>
      </c>
      <c r="H1176" s="3">
        <v>60361003</v>
      </c>
      <c r="I1176" s="12">
        <v>2</v>
      </c>
    </row>
    <row r="1177" spans="2:9">
      <c r="B1177" s="11">
        <f>1000000+INDEX(编号表!$B:$B,MATCH(C1177,编号表!$A:$A,0))*1000+INDEX(编号表!$D:$D,MATCH(D1177,编号表!$C:$C,0))*100+E1177</f>
        <v>1037602</v>
      </c>
      <c r="C1177" s="3" t="s">
        <v>259</v>
      </c>
      <c r="D1177" s="11" t="s">
        <v>46</v>
      </c>
      <c r="E1177" s="11">
        <f t="shared" si="35"/>
        <v>2</v>
      </c>
      <c r="F1177" s="3" t="s">
        <v>256</v>
      </c>
      <c r="G1177" s="16" t="s">
        <v>39</v>
      </c>
      <c r="H1177" s="3">
        <v>60361004</v>
      </c>
      <c r="I1177" s="12">
        <v>2</v>
      </c>
    </row>
    <row r="1178" spans="2:9">
      <c r="B1178" s="11">
        <f>1000000+INDEX(编号表!$B:$B,MATCH(C1178,编号表!$A:$A,0))*1000+INDEX(编号表!$D:$D,MATCH(D1178,编号表!$C:$C,0))*100+E1178</f>
        <v>1037203</v>
      </c>
      <c r="C1178" s="3" t="s">
        <v>259</v>
      </c>
      <c r="D1178" s="11" t="s">
        <v>37</v>
      </c>
      <c r="E1178" s="11">
        <f t="shared" si="35"/>
        <v>3</v>
      </c>
      <c r="F1178" s="3" t="s">
        <v>253</v>
      </c>
      <c r="G1178" s="16" t="s">
        <v>39</v>
      </c>
      <c r="H1178" s="3">
        <v>60361000</v>
      </c>
      <c r="I1178" s="12">
        <v>3</v>
      </c>
    </row>
    <row r="1179" spans="2:9">
      <c r="B1179" s="11">
        <f>1000000+INDEX(编号表!$B:$B,MATCH(C1179,编号表!$A:$A,0))*1000+INDEX(编号表!$D:$D,MATCH(D1179,编号表!$C:$C,0))*100+E1179</f>
        <v>1037303</v>
      </c>
      <c r="C1179" s="3" t="s">
        <v>259</v>
      </c>
      <c r="D1179" s="11" t="s">
        <v>40</v>
      </c>
      <c r="E1179" s="11">
        <f t="shared" si="35"/>
        <v>3</v>
      </c>
      <c r="F1179" s="3" t="s">
        <v>254</v>
      </c>
      <c r="G1179" s="16" t="s">
        <v>39</v>
      </c>
      <c r="H1179" s="3">
        <v>60361001</v>
      </c>
      <c r="I1179" s="12">
        <v>3</v>
      </c>
    </row>
    <row r="1180" spans="2:9">
      <c r="B1180" s="11">
        <f>1000000+INDEX(编号表!$B:$B,MATCH(C1180,编号表!$A:$A,0))*1000+INDEX(编号表!$D:$D,MATCH(D1180,编号表!$C:$C,0))*100+E1180</f>
        <v>1037403</v>
      </c>
      <c r="C1180" s="3" t="s">
        <v>259</v>
      </c>
      <c r="D1180" s="11" t="s">
        <v>42</v>
      </c>
      <c r="E1180" s="11">
        <f t="shared" si="35"/>
        <v>3</v>
      </c>
      <c r="F1180" s="3" t="s">
        <v>255</v>
      </c>
      <c r="G1180" s="16" t="s">
        <v>39</v>
      </c>
      <c r="H1180" s="3">
        <v>60361002</v>
      </c>
      <c r="I1180" s="12">
        <v>3</v>
      </c>
    </row>
    <row r="1181" spans="2:9">
      <c r="B1181" s="11">
        <f>1000000+INDEX(编号表!$B:$B,MATCH(C1181,编号表!$A:$A,0))*1000+INDEX(编号表!$D:$D,MATCH(D1181,编号表!$C:$C,0))*100+E1181</f>
        <v>1037503</v>
      </c>
      <c r="C1181" s="3" t="s">
        <v>259</v>
      </c>
      <c r="D1181" s="11" t="s">
        <v>44</v>
      </c>
      <c r="E1181" s="11">
        <f t="shared" si="35"/>
        <v>3</v>
      </c>
      <c r="F1181" s="3" t="s">
        <v>258</v>
      </c>
      <c r="G1181" s="16" t="s">
        <v>39</v>
      </c>
      <c r="H1181" s="3">
        <v>60361003</v>
      </c>
      <c r="I1181" s="12">
        <v>3</v>
      </c>
    </row>
    <row r="1182" spans="2:9">
      <c r="B1182" s="11">
        <f>1000000+INDEX(编号表!$B:$B,MATCH(C1182,编号表!$A:$A,0))*1000+INDEX(编号表!$D:$D,MATCH(D1182,编号表!$C:$C,0))*100+E1182</f>
        <v>1037603</v>
      </c>
      <c r="C1182" s="3" t="s">
        <v>259</v>
      </c>
      <c r="D1182" s="11" t="s">
        <v>46</v>
      </c>
      <c r="E1182" s="11">
        <f t="shared" si="35"/>
        <v>3</v>
      </c>
      <c r="F1182" s="3" t="s">
        <v>256</v>
      </c>
      <c r="G1182" s="16" t="s">
        <v>39</v>
      </c>
      <c r="H1182" s="3">
        <v>60361004</v>
      </c>
      <c r="I1182" s="12">
        <v>3</v>
      </c>
    </row>
    <row r="1183" spans="2:9">
      <c r="B1183" s="11">
        <f>1000000+INDEX(编号表!$B:$B,MATCH(C1183,编号表!$A:$A,0))*1000+INDEX(编号表!$D:$D,MATCH(D1183,编号表!$C:$C,0))*100+E1183</f>
        <v>1037205</v>
      </c>
      <c r="C1183" s="3" t="s">
        <v>259</v>
      </c>
      <c r="D1183" s="11" t="s">
        <v>37</v>
      </c>
      <c r="E1183" s="11">
        <f t="shared" si="35"/>
        <v>5</v>
      </c>
      <c r="F1183" s="3" t="s">
        <v>253</v>
      </c>
      <c r="G1183" s="16" t="s">
        <v>39</v>
      </c>
      <c r="H1183" s="3">
        <v>60361000</v>
      </c>
      <c r="I1183" s="12">
        <v>5</v>
      </c>
    </row>
    <row r="1184" spans="2:9">
      <c r="B1184" s="11">
        <f>1000000+INDEX(编号表!$B:$B,MATCH(C1184,编号表!$A:$A,0))*1000+INDEX(编号表!$D:$D,MATCH(D1184,编号表!$C:$C,0))*100+E1184</f>
        <v>1037305</v>
      </c>
      <c r="C1184" s="3" t="s">
        <v>259</v>
      </c>
      <c r="D1184" s="11" t="s">
        <v>40</v>
      </c>
      <c r="E1184" s="11">
        <f t="shared" si="35"/>
        <v>5</v>
      </c>
      <c r="F1184" s="3" t="s">
        <v>254</v>
      </c>
      <c r="G1184" s="16" t="s">
        <v>39</v>
      </c>
      <c r="H1184" s="3">
        <v>60361001</v>
      </c>
      <c r="I1184" s="12">
        <v>5</v>
      </c>
    </row>
    <row r="1185" spans="2:9">
      <c r="B1185" s="11">
        <f>1000000+INDEX(编号表!$B:$B,MATCH(C1185,编号表!$A:$A,0))*1000+INDEX(编号表!$D:$D,MATCH(D1185,编号表!$C:$C,0))*100+E1185</f>
        <v>1037405</v>
      </c>
      <c r="C1185" s="3" t="s">
        <v>259</v>
      </c>
      <c r="D1185" s="11" t="s">
        <v>42</v>
      </c>
      <c r="E1185" s="11">
        <f t="shared" si="35"/>
        <v>5</v>
      </c>
      <c r="F1185" s="3" t="s">
        <v>255</v>
      </c>
      <c r="G1185" s="16" t="s">
        <v>39</v>
      </c>
      <c r="H1185" s="3">
        <v>60361002</v>
      </c>
      <c r="I1185" s="12">
        <v>5</v>
      </c>
    </row>
    <row r="1186" spans="2:9">
      <c r="B1186" s="11">
        <f>1000000+INDEX(编号表!$B:$B,MATCH(C1186,编号表!$A:$A,0))*1000+INDEX(编号表!$D:$D,MATCH(D1186,编号表!$C:$C,0))*100+E1186</f>
        <v>1037505</v>
      </c>
      <c r="C1186" s="3" t="s">
        <v>259</v>
      </c>
      <c r="D1186" s="11" t="s">
        <v>44</v>
      </c>
      <c r="E1186" s="11">
        <f t="shared" si="35"/>
        <v>5</v>
      </c>
      <c r="F1186" s="3" t="s">
        <v>258</v>
      </c>
      <c r="G1186" s="16" t="s">
        <v>39</v>
      </c>
      <c r="H1186" s="3">
        <v>60361003</v>
      </c>
      <c r="I1186" s="12">
        <v>5</v>
      </c>
    </row>
    <row r="1187" spans="2:9">
      <c r="B1187" s="11">
        <f>1000000+INDEX(编号表!$B:$B,MATCH(C1187,编号表!$A:$A,0))*1000+INDEX(编号表!$D:$D,MATCH(D1187,编号表!$C:$C,0))*100+E1187</f>
        <v>1037605</v>
      </c>
      <c r="C1187" s="3" t="s">
        <v>259</v>
      </c>
      <c r="D1187" s="11" t="s">
        <v>46</v>
      </c>
      <c r="E1187" s="11">
        <f t="shared" si="35"/>
        <v>5</v>
      </c>
      <c r="F1187" s="3" t="s">
        <v>256</v>
      </c>
      <c r="G1187" s="16" t="s">
        <v>39</v>
      </c>
      <c r="H1187" s="3">
        <v>60361004</v>
      </c>
      <c r="I1187" s="12">
        <v>5</v>
      </c>
    </row>
    <row r="1188" spans="2:9">
      <c r="B1188" s="11">
        <f>1000000+INDEX(编号表!$B:$B,MATCH(C1188,编号表!$A:$A,0))*1000+INDEX(编号表!$D:$D,MATCH(D1188,编号表!$C:$C,0))*100+E1188</f>
        <v>1037210</v>
      </c>
      <c r="C1188" s="3" t="s">
        <v>259</v>
      </c>
      <c r="D1188" s="11" t="s">
        <v>37</v>
      </c>
      <c r="E1188" s="11">
        <f t="shared" si="35"/>
        <v>10</v>
      </c>
      <c r="F1188" s="3" t="s">
        <v>253</v>
      </c>
      <c r="G1188" s="16" t="s">
        <v>39</v>
      </c>
      <c r="H1188" s="3">
        <v>60361000</v>
      </c>
      <c r="I1188" s="12">
        <v>10</v>
      </c>
    </row>
    <row r="1189" spans="2:9">
      <c r="B1189" s="11">
        <f>1000000+INDEX(编号表!$B:$B,MATCH(C1189,编号表!$A:$A,0))*1000+INDEX(编号表!$D:$D,MATCH(D1189,编号表!$C:$C,0))*100+E1189</f>
        <v>1037310</v>
      </c>
      <c r="C1189" s="3" t="s">
        <v>259</v>
      </c>
      <c r="D1189" s="11" t="s">
        <v>40</v>
      </c>
      <c r="E1189" s="11">
        <f t="shared" si="35"/>
        <v>10</v>
      </c>
      <c r="F1189" s="3" t="s">
        <v>254</v>
      </c>
      <c r="G1189" s="16" t="s">
        <v>39</v>
      </c>
      <c r="H1189" s="3">
        <v>60361001</v>
      </c>
      <c r="I1189" s="12">
        <v>10</v>
      </c>
    </row>
    <row r="1190" spans="2:9">
      <c r="B1190" s="11">
        <f>1000000+INDEX(编号表!$B:$B,MATCH(C1190,编号表!$A:$A,0))*1000+INDEX(编号表!$D:$D,MATCH(D1190,编号表!$C:$C,0))*100+E1190</f>
        <v>1037410</v>
      </c>
      <c r="C1190" s="3" t="s">
        <v>259</v>
      </c>
      <c r="D1190" s="11" t="s">
        <v>42</v>
      </c>
      <c r="E1190" s="11">
        <f t="shared" si="35"/>
        <v>10</v>
      </c>
      <c r="F1190" s="3" t="s">
        <v>255</v>
      </c>
      <c r="G1190" s="16" t="s">
        <v>39</v>
      </c>
      <c r="H1190" s="3">
        <v>60361002</v>
      </c>
      <c r="I1190" s="12">
        <v>10</v>
      </c>
    </row>
    <row r="1191" spans="2:9">
      <c r="B1191" s="11">
        <f>1000000+INDEX(编号表!$B:$B,MATCH(C1191,编号表!$A:$A,0))*1000+INDEX(编号表!$D:$D,MATCH(D1191,编号表!$C:$C,0))*100+E1191</f>
        <v>1037510</v>
      </c>
      <c r="C1191" s="3" t="s">
        <v>259</v>
      </c>
      <c r="D1191" s="11" t="s">
        <v>44</v>
      </c>
      <c r="E1191" s="11">
        <f t="shared" si="35"/>
        <v>10</v>
      </c>
      <c r="F1191" s="3" t="s">
        <v>258</v>
      </c>
      <c r="G1191" s="16" t="s">
        <v>39</v>
      </c>
      <c r="H1191" s="3">
        <v>60361003</v>
      </c>
      <c r="I1191" s="12">
        <v>10</v>
      </c>
    </row>
    <row r="1192" spans="2:9">
      <c r="B1192" s="11">
        <f>1000000+INDEX(编号表!$B:$B,MATCH(C1192,编号表!$A:$A,0))*1000+INDEX(编号表!$D:$D,MATCH(D1192,编号表!$C:$C,0))*100+E1192</f>
        <v>1037610</v>
      </c>
      <c r="C1192" s="3" t="s">
        <v>259</v>
      </c>
      <c r="D1192" s="11" t="s">
        <v>46</v>
      </c>
      <c r="E1192" s="11">
        <f t="shared" si="35"/>
        <v>10</v>
      </c>
      <c r="F1192" s="3" t="s">
        <v>256</v>
      </c>
      <c r="G1192" s="16" t="s">
        <v>39</v>
      </c>
      <c r="H1192" s="3">
        <v>60361004</v>
      </c>
      <c r="I1192" s="12">
        <v>10</v>
      </c>
    </row>
    <row r="1193" spans="2:9">
      <c r="B1193" s="11">
        <f>1000000+INDEX(编号表!$B:$B,MATCH(C1193,编号表!$A:$A,0))*1000+INDEX(编号表!$D:$D,MATCH(D1193,编号表!$C:$C,0))*100+E1193</f>
        <v>1037215</v>
      </c>
      <c r="C1193" s="3" t="s">
        <v>259</v>
      </c>
      <c r="D1193" s="11" t="s">
        <v>37</v>
      </c>
      <c r="E1193" s="11">
        <f t="shared" si="35"/>
        <v>15</v>
      </c>
      <c r="F1193" s="3" t="s">
        <v>253</v>
      </c>
      <c r="G1193" s="16" t="s">
        <v>39</v>
      </c>
      <c r="H1193" s="3">
        <v>60361000</v>
      </c>
      <c r="I1193" s="12">
        <v>15</v>
      </c>
    </row>
    <row r="1194" spans="2:9">
      <c r="B1194" s="11">
        <f>1000000+INDEX(编号表!$B:$B,MATCH(C1194,编号表!$A:$A,0))*1000+INDEX(编号表!$D:$D,MATCH(D1194,编号表!$C:$C,0))*100+E1194</f>
        <v>1037315</v>
      </c>
      <c r="C1194" s="3" t="s">
        <v>259</v>
      </c>
      <c r="D1194" s="11" t="s">
        <v>40</v>
      </c>
      <c r="E1194" s="11">
        <f t="shared" si="35"/>
        <v>15</v>
      </c>
      <c r="F1194" s="3" t="s">
        <v>254</v>
      </c>
      <c r="G1194" s="16" t="s">
        <v>39</v>
      </c>
      <c r="H1194" s="3">
        <v>60361001</v>
      </c>
      <c r="I1194" s="12">
        <v>15</v>
      </c>
    </row>
    <row r="1195" spans="2:9">
      <c r="B1195" s="11">
        <f>1000000+INDEX(编号表!$B:$B,MATCH(C1195,编号表!$A:$A,0))*1000+INDEX(编号表!$D:$D,MATCH(D1195,编号表!$C:$C,0))*100+E1195</f>
        <v>1037415</v>
      </c>
      <c r="C1195" s="3" t="s">
        <v>259</v>
      </c>
      <c r="D1195" s="11" t="s">
        <v>42</v>
      </c>
      <c r="E1195" s="11">
        <f t="shared" si="35"/>
        <v>15</v>
      </c>
      <c r="F1195" s="3" t="s">
        <v>255</v>
      </c>
      <c r="G1195" s="16" t="s">
        <v>39</v>
      </c>
      <c r="H1195" s="3">
        <v>60361002</v>
      </c>
      <c r="I1195" s="12">
        <v>15</v>
      </c>
    </row>
    <row r="1196" spans="2:9">
      <c r="B1196" s="11">
        <f>1000000+INDEX(编号表!$B:$B,MATCH(C1196,编号表!$A:$A,0))*1000+INDEX(编号表!$D:$D,MATCH(D1196,编号表!$C:$C,0))*100+E1196</f>
        <v>1037515</v>
      </c>
      <c r="C1196" s="3" t="s">
        <v>259</v>
      </c>
      <c r="D1196" s="11" t="s">
        <v>44</v>
      </c>
      <c r="E1196" s="11">
        <f t="shared" si="35"/>
        <v>15</v>
      </c>
      <c r="F1196" s="3" t="s">
        <v>258</v>
      </c>
      <c r="G1196" s="16" t="s">
        <v>39</v>
      </c>
      <c r="H1196" s="3">
        <v>60361003</v>
      </c>
      <c r="I1196" s="12">
        <v>15</v>
      </c>
    </row>
    <row r="1197" spans="2:9">
      <c r="B1197" s="11">
        <f>1000000+INDEX(编号表!$B:$B,MATCH(C1197,编号表!$A:$A,0))*1000+INDEX(编号表!$D:$D,MATCH(D1197,编号表!$C:$C,0))*100+E1197</f>
        <v>1037615</v>
      </c>
      <c r="C1197" s="3" t="s">
        <v>259</v>
      </c>
      <c r="D1197" s="11" t="s">
        <v>46</v>
      </c>
      <c r="E1197" s="11">
        <f t="shared" si="35"/>
        <v>15</v>
      </c>
      <c r="F1197" s="3" t="s">
        <v>256</v>
      </c>
      <c r="G1197" s="16" t="s">
        <v>39</v>
      </c>
      <c r="H1197" s="3">
        <v>60361004</v>
      </c>
      <c r="I1197" s="12">
        <v>15</v>
      </c>
    </row>
    <row r="1198" spans="2:9">
      <c r="B1198" s="11">
        <f>1000000+INDEX(编号表!$B:$B,MATCH(C1198,编号表!$A:$A,0))*1000+INDEX(编号表!$D:$D,MATCH(D1198,编号表!$C:$C,0))*100+E1198</f>
        <v>1038001</v>
      </c>
      <c r="C1198" s="3" t="s">
        <v>260</v>
      </c>
      <c r="D1198" s="11" t="s">
        <v>55</v>
      </c>
      <c r="E1198" s="11">
        <v>1</v>
      </c>
      <c r="F1198" s="17" t="s">
        <v>167</v>
      </c>
      <c r="G1198" s="16" t="s">
        <v>57</v>
      </c>
      <c r="H1198" s="11">
        <v>60374000</v>
      </c>
      <c r="I1198" s="12">
        <v>1</v>
      </c>
    </row>
    <row r="1199" spans="2:9">
      <c r="B1199" s="11">
        <f>1000000+INDEX(编号表!$B:$B,MATCH(C1199,编号表!$A:$A,0))*1000+INDEX(编号表!$D:$D,MATCH(D1199,编号表!$C:$C,0))*100+E1199</f>
        <v>1038101</v>
      </c>
      <c r="C1199" s="3" t="s">
        <v>260</v>
      </c>
      <c r="D1199" s="11" t="s">
        <v>58</v>
      </c>
      <c r="E1199" s="11">
        <v>1</v>
      </c>
      <c r="F1199" s="17" t="s">
        <v>59</v>
      </c>
      <c r="G1199" s="16" t="s">
        <v>57</v>
      </c>
      <c r="H1199" s="3">
        <v>60372000</v>
      </c>
      <c r="I1199" s="12">
        <v>1</v>
      </c>
    </row>
    <row r="1200" spans="2:9">
      <c r="B1200" s="11">
        <f>1000000+INDEX(编号表!$B:$B,MATCH(C1200,编号表!$A:$A,0))*1000+INDEX(编号表!$D:$D,MATCH(D1200,编号表!$C:$C,0))*100+E1200</f>
        <v>1038201</v>
      </c>
      <c r="C1200" s="3" t="s">
        <v>260</v>
      </c>
      <c r="D1200" s="11" t="s">
        <v>37</v>
      </c>
      <c r="E1200" s="11">
        <f t="shared" ref="E1200:E1229" si="36">I1200+K1200+M1200+O1200+Q1200+S1200+U1200+W1200+Y1200+AA1200</f>
        <v>1</v>
      </c>
      <c r="F1200" s="3" t="s">
        <v>253</v>
      </c>
      <c r="G1200" s="16" t="s">
        <v>39</v>
      </c>
      <c r="H1200" s="3">
        <v>60371000</v>
      </c>
      <c r="I1200" s="12">
        <v>1</v>
      </c>
    </row>
    <row r="1201" spans="2:9">
      <c r="B1201" s="11">
        <f>1000000+INDEX(编号表!$B:$B,MATCH(C1201,编号表!$A:$A,0))*1000+INDEX(编号表!$D:$D,MATCH(D1201,编号表!$C:$C,0))*100+E1201</f>
        <v>1038301</v>
      </c>
      <c r="C1201" s="3" t="s">
        <v>260</v>
      </c>
      <c r="D1201" s="11" t="s">
        <v>40</v>
      </c>
      <c r="E1201" s="11">
        <f t="shared" si="36"/>
        <v>1</v>
      </c>
      <c r="F1201" s="3" t="s">
        <v>254</v>
      </c>
      <c r="G1201" s="16" t="s">
        <v>39</v>
      </c>
      <c r="H1201" s="3">
        <v>60371001</v>
      </c>
      <c r="I1201" s="12">
        <v>1</v>
      </c>
    </row>
    <row r="1202" spans="2:9">
      <c r="B1202" s="11">
        <f>1000000+INDEX(编号表!$B:$B,MATCH(C1202,编号表!$A:$A,0))*1000+INDEX(编号表!$D:$D,MATCH(D1202,编号表!$C:$C,0))*100+E1202</f>
        <v>1038401</v>
      </c>
      <c r="C1202" s="3" t="s">
        <v>260</v>
      </c>
      <c r="D1202" s="11" t="s">
        <v>42</v>
      </c>
      <c r="E1202" s="11">
        <f t="shared" si="36"/>
        <v>1</v>
      </c>
      <c r="F1202" s="3" t="s">
        <v>255</v>
      </c>
      <c r="G1202" s="16" t="s">
        <v>39</v>
      </c>
      <c r="H1202" s="3">
        <v>60371002</v>
      </c>
      <c r="I1202" s="12">
        <v>1</v>
      </c>
    </row>
    <row r="1203" spans="2:9">
      <c r="B1203" s="11">
        <f>1000000+INDEX(编号表!$B:$B,MATCH(C1203,编号表!$A:$A,0))*1000+INDEX(编号表!$D:$D,MATCH(D1203,编号表!$C:$C,0))*100+E1203</f>
        <v>1038501</v>
      </c>
      <c r="C1203" s="3" t="s">
        <v>260</v>
      </c>
      <c r="D1203" s="11" t="s">
        <v>44</v>
      </c>
      <c r="E1203" s="11">
        <f t="shared" si="36"/>
        <v>1</v>
      </c>
      <c r="F1203" s="3" t="s">
        <v>258</v>
      </c>
      <c r="G1203" s="16" t="s">
        <v>39</v>
      </c>
      <c r="H1203" s="3">
        <v>60371003</v>
      </c>
      <c r="I1203" s="12">
        <v>1</v>
      </c>
    </row>
    <row r="1204" spans="2:9">
      <c r="B1204" s="11">
        <f>1000000+INDEX(编号表!$B:$B,MATCH(C1204,编号表!$A:$A,0))*1000+INDEX(编号表!$D:$D,MATCH(D1204,编号表!$C:$C,0))*100+E1204</f>
        <v>1038601</v>
      </c>
      <c r="C1204" s="3" t="s">
        <v>260</v>
      </c>
      <c r="D1204" s="11" t="s">
        <v>46</v>
      </c>
      <c r="E1204" s="11">
        <f t="shared" si="36"/>
        <v>1</v>
      </c>
      <c r="F1204" s="3" t="s">
        <v>256</v>
      </c>
      <c r="G1204" s="16" t="s">
        <v>39</v>
      </c>
      <c r="H1204" s="3">
        <v>60371004</v>
      </c>
      <c r="I1204" s="12">
        <v>1</v>
      </c>
    </row>
    <row r="1205" spans="2:9">
      <c r="B1205" s="11">
        <f>1000000+INDEX(编号表!$B:$B,MATCH(C1205,编号表!$A:$A,0))*1000+INDEX(编号表!$D:$D,MATCH(D1205,编号表!$C:$C,0))*100+E1205</f>
        <v>1038202</v>
      </c>
      <c r="C1205" s="3" t="s">
        <v>260</v>
      </c>
      <c r="D1205" s="11" t="s">
        <v>37</v>
      </c>
      <c r="E1205" s="11">
        <f t="shared" si="36"/>
        <v>2</v>
      </c>
      <c r="F1205" s="3" t="s">
        <v>253</v>
      </c>
      <c r="G1205" s="16" t="s">
        <v>39</v>
      </c>
      <c r="H1205" s="3">
        <v>60371000</v>
      </c>
      <c r="I1205" s="12">
        <v>2</v>
      </c>
    </row>
    <row r="1206" spans="2:9">
      <c r="B1206" s="11">
        <f>1000000+INDEX(编号表!$B:$B,MATCH(C1206,编号表!$A:$A,0))*1000+INDEX(编号表!$D:$D,MATCH(D1206,编号表!$C:$C,0))*100+E1206</f>
        <v>1038302</v>
      </c>
      <c r="C1206" s="3" t="s">
        <v>260</v>
      </c>
      <c r="D1206" s="11" t="s">
        <v>40</v>
      </c>
      <c r="E1206" s="11">
        <f t="shared" si="36"/>
        <v>2</v>
      </c>
      <c r="F1206" s="3" t="s">
        <v>254</v>
      </c>
      <c r="G1206" s="16" t="s">
        <v>39</v>
      </c>
      <c r="H1206" s="3">
        <v>60371001</v>
      </c>
      <c r="I1206" s="12">
        <v>2</v>
      </c>
    </row>
    <row r="1207" spans="2:9">
      <c r="B1207" s="11">
        <f>1000000+INDEX(编号表!$B:$B,MATCH(C1207,编号表!$A:$A,0))*1000+INDEX(编号表!$D:$D,MATCH(D1207,编号表!$C:$C,0))*100+E1207</f>
        <v>1038402</v>
      </c>
      <c r="C1207" s="3" t="s">
        <v>260</v>
      </c>
      <c r="D1207" s="11" t="s">
        <v>42</v>
      </c>
      <c r="E1207" s="11">
        <f t="shared" si="36"/>
        <v>2</v>
      </c>
      <c r="F1207" s="3" t="s">
        <v>255</v>
      </c>
      <c r="G1207" s="16" t="s">
        <v>39</v>
      </c>
      <c r="H1207" s="3">
        <v>60371002</v>
      </c>
      <c r="I1207" s="12">
        <v>2</v>
      </c>
    </row>
    <row r="1208" spans="2:9">
      <c r="B1208" s="11">
        <f>1000000+INDEX(编号表!$B:$B,MATCH(C1208,编号表!$A:$A,0))*1000+INDEX(编号表!$D:$D,MATCH(D1208,编号表!$C:$C,0))*100+E1208</f>
        <v>1038502</v>
      </c>
      <c r="C1208" s="3" t="s">
        <v>260</v>
      </c>
      <c r="D1208" s="11" t="s">
        <v>44</v>
      </c>
      <c r="E1208" s="11">
        <f t="shared" si="36"/>
        <v>2</v>
      </c>
      <c r="F1208" s="3" t="s">
        <v>258</v>
      </c>
      <c r="G1208" s="16" t="s">
        <v>39</v>
      </c>
      <c r="H1208" s="3">
        <v>60371003</v>
      </c>
      <c r="I1208" s="12">
        <v>2</v>
      </c>
    </row>
    <row r="1209" spans="2:9">
      <c r="B1209" s="11">
        <f>1000000+INDEX(编号表!$B:$B,MATCH(C1209,编号表!$A:$A,0))*1000+INDEX(编号表!$D:$D,MATCH(D1209,编号表!$C:$C,0))*100+E1209</f>
        <v>1038602</v>
      </c>
      <c r="C1209" s="3" t="s">
        <v>260</v>
      </c>
      <c r="D1209" s="11" t="s">
        <v>46</v>
      </c>
      <c r="E1209" s="11">
        <f t="shared" si="36"/>
        <v>2</v>
      </c>
      <c r="F1209" s="3" t="s">
        <v>256</v>
      </c>
      <c r="G1209" s="16" t="s">
        <v>39</v>
      </c>
      <c r="H1209" s="3">
        <v>60371004</v>
      </c>
      <c r="I1209" s="12">
        <v>2</v>
      </c>
    </row>
    <row r="1210" spans="2:9">
      <c r="B1210" s="11">
        <f>1000000+INDEX(编号表!$B:$B,MATCH(C1210,编号表!$A:$A,0))*1000+INDEX(编号表!$D:$D,MATCH(D1210,编号表!$C:$C,0))*100+E1210</f>
        <v>1038203</v>
      </c>
      <c r="C1210" s="3" t="s">
        <v>260</v>
      </c>
      <c r="D1210" s="11" t="s">
        <v>37</v>
      </c>
      <c r="E1210" s="11">
        <f t="shared" si="36"/>
        <v>3</v>
      </c>
      <c r="F1210" s="3" t="s">
        <v>253</v>
      </c>
      <c r="G1210" s="16" t="s">
        <v>39</v>
      </c>
      <c r="H1210" s="3">
        <v>60371000</v>
      </c>
      <c r="I1210" s="12">
        <v>3</v>
      </c>
    </row>
    <row r="1211" spans="2:9">
      <c r="B1211" s="11">
        <f>1000000+INDEX(编号表!$B:$B,MATCH(C1211,编号表!$A:$A,0))*1000+INDEX(编号表!$D:$D,MATCH(D1211,编号表!$C:$C,0))*100+E1211</f>
        <v>1038303</v>
      </c>
      <c r="C1211" s="3" t="s">
        <v>260</v>
      </c>
      <c r="D1211" s="11" t="s">
        <v>40</v>
      </c>
      <c r="E1211" s="11">
        <f t="shared" si="36"/>
        <v>3</v>
      </c>
      <c r="F1211" s="3" t="s">
        <v>254</v>
      </c>
      <c r="G1211" s="16" t="s">
        <v>39</v>
      </c>
      <c r="H1211" s="3">
        <v>60371001</v>
      </c>
      <c r="I1211" s="12">
        <v>3</v>
      </c>
    </row>
    <row r="1212" spans="2:9">
      <c r="B1212" s="11">
        <f>1000000+INDEX(编号表!$B:$B,MATCH(C1212,编号表!$A:$A,0))*1000+INDEX(编号表!$D:$D,MATCH(D1212,编号表!$C:$C,0))*100+E1212</f>
        <v>1038403</v>
      </c>
      <c r="C1212" s="3" t="s">
        <v>260</v>
      </c>
      <c r="D1212" s="11" t="s">
        <v>42</v>
      </c>
      <c r="E1212" s="11">
        <f t="shared" si="36"/>
        <v>3</v>
      </c>
      <c r="F1212" s="3" t="s">
        <v>255</v>
      </c>
      <c r="G1212" s="16" t="s">
        <v>39</v>
      </c>
      <c r="H1212" s="3">
        <v>60371002</v>
      </c>
      <c r="I1212" s="12">
        <v>3</v>
      </c>
    </row>
    <row r="1213" spans="2:9">
      <c r="B1213" s="11">
        <f>1000000+INDEX(编号表!$B:$B,MATCH(C1213,编号表!$A:$A,0))*1000+INDEX(编号表!$D:$D,MATCH(D1213,编号表!$C:$C,0))*100+E1213</f>
        <v>1038503</v>
      </c>
      <c r="C1213" s="3" t="s">
        <v>260</v>
      </c>
      <c r="D1213" s="11" t="s">
        <v>44</v>
      </c>
      <c r="E1213" s="11">
        <f t="shared" si="36"/>
        <v>3</v>
      </c>
      <c r="F1213" s="3" t="s">
        <v>258</v>
      </c>
      <c r="G1213" s="16" t="s">
        <v>39</v>
      </c>
      <c r="H1213" s="3">
        <v>60371003</v>
      </c>
      <c r="I1213" s="12">
        <v>3</v>
      </c>
    </row>
    <row r="1214" spans="2:9">
      <c r="B1214" s="11">
        <f>1000000+INDEX(编号表!$B:$B,MATCH(C1214,编号表!$A:$A,0))*1000+INDEX(编号表!$D:$D,MATCH(D1214,编号表!$C:$C,0))*100+E1214</f>
        <v>1038603</v>
      </c>
      <c r="C1214" s="3" t="s">
        <v>260</v>
      </c>
      <c r="D1214" s="11" t="s">
        <v>46</v>
      </c>
      <c r="E1214" s="11">
        <f t="shared" si="36"/>
        <v>3</v>
      </c>
      <c r="F1214" s="3" t="s">
        <v>256</v>
      </c>
      <c r="G1214" s="16" t="s">
        <v>39</v>
      </c>
      <c r="H1214" s="3">
        <v>60371004</v>
      </c>
      <c r="I1214" s="12">
        <v>3</v>
      </c>
    </row>
    <row r="1215" spans="2:9">
      <c r="B1215" s="11">
        <f>1000000+INDEX(编号表!$B:$B,MATCH(C1215,编号表!$A:$A,0))*1000+INDEX(编号表!$D:$D,MATCH(D1215,编号表!$C:$C,0))*100+E1215</f>
        <v>1038205</v>
      </c>
      <c r="C1215" s="3" t="s">
        <v>260</v>
      </c>
      <c r="D1215" s="11" t="s">
        <v>37</v>
      </c>
      <c r="E1215" s="11">
        <f t="shared" si="36"/>
        <v>5</v>
      </c>
      <c r="F1215" s="3" t="s">
        <v>253</v>
      </c>
      <c r="G1215" s="16" t="s">
        <v>39</v>
      </c>
      <c r="H1215" s="3">
        <v>60371000</v>
      </c>
      <c r="I1215" s="12">
        <v>5</v>
      </c>
    </row>
    <row r="1216" spans="2:9">
      <c r="B1216" s="11">
        <f>1000000+INDEX(编号表!$B:$B,MATCH(C1216,编号表!$A:$A,0))*1000+INDEX(编号表!$D:$D,MATCH(D1216,编号表!$C:$C,0))*100+E1216</f>
        <v>1038305</v>
      </c>
      <c r="C1216" s="3" t="s">
        <v>260</v>
      </c>
      <c r="D1216" s="11" t="s">
        <v>40</v>
      </c>
      <c r="E1216" s="11">
        <f t="shared" si="36"/>
        <v>5</v>
      </c>
      <c r="F1216" s="3" t="s">
        <v>254</v>
      </c>
      <c r="G1216" s="16" t="s">
        <v>39</v>
      </c>
      <c r="H1216" s="3">
        <v>60371001</v>
      </c>
      <c r="I1216" s="12">
        <v>5</v>
      </c>
    </row>
    <row r="1217" spans="2:9">
      <c r="B1217" s="11">
        <f>1000000+INDEX(编号表!$B:$B,MATCH(C1217,编号表!$A:$A,0))*1000+INDEX(编号表!$D:$D,MATCH(D1217,编号表!$C:$C,0))*100+E1217</f>
        <v>1038405</v>
      </c>
      <c r="C1217" s="3" t="s">
        <v>260</v>
      </c>
      <c r="D1217" s="11" t="s">
        <v>42</v>
      </c>
      <c r="E1217" s="11">
        <f t="shared" si="36"/>
        <v>5</v>
      </c>
      <c r="F1217" s="3" t="s">
        <v>255</v>
      </c>
      <c r="G1217" s="16" t="s">
        <v>39</v>
      </c>
      <c r="H1217" s="3">
        <v>60371002</v>
      </c>
      <c r="I1217" s="12">
        <v>5</v>
      </c>
    </row>
    <row r="1218" spans="2:9">
      <c r="B1218" s="11">
        <f>1000000+INDEX(编号表!$B:$B,MATCH(C1218,编号表!$A:$A,0))*1000+INDEX(编号表!$D:$D,MATCH(D1218,编号表!$C:$C,0))*100+E1218</f>
        <v>1038505</v>
      </c>
      <c r="C1218" s="3" t="s">
        <v>260</v>
      </c>
      <c r="D1218" s="11" t="s">
        <v>44</v>
      </c>
      <c r="E1218" s="11">
        <f t="shared" si="36"/>
        <v>5</v>
      </c>
      <c r="F1218" s="3" t="s">
        <v>258</v>
      </c>
      <c r="G1218" s="16" t="s">
        <v>39</v>
      </c>
      <c r="H1218" s="3">
        <v>60371003</v>
      </c>
      <c r="I1218" s="12">
        <v>5</v>
      </c>
    </row>
    <row r="1219" spans="2:9">
      <c r="B1219" s="11">
        <f>1000000+INDEX(编号表!$B:$B,MATCH(C1219,编号表!$A:$A,0))*1000+INDEX(编号表!$D:$D,MATCH(D1219,编号表!$C:$C,0))*100+E1219</f>
        <v>1038605</v>
      </c>
      <c r="C1219" s="3" t="s">
        <v>260</v>
      </c>
      <c r="D1219" s="11" t="s">
        <v>46</v>
      </c>
      <c r="E1219" s="11">
        <f t="shared" si="36"/>
        <v>5</v>
      </c>
      <c r="F1219" s="3" t="s">
        <v>256</v>
      </c>
      <c r="G1219" s="16" t="s">
        <v>39</v>
      </c>
      <c r="H1219" s="3">
        <v>60371004</v>
      </c>
      <c r="I1219" s="12">
        <v>5</v>
      </c>
    </row>
    <row r="1220" spans="2:9">
      <c r="B1220" s="11">
        <f>1000000+INDEX(编号表!$B:$B,MATCH(C1220,编号表!$A:$A,0))*1000+INDEX(编号表!$D:$D,MATCH(D1220,编号表!$C:$C,0))*100+E1220</f>
        <v>1038210</v>
      </c>
      <c r="C1220" s="3" t="s">
        <v>260</v>
      </c>
      <c r="D1220" s="11" t="s">
        <v>37</v>
      </c>
      <c r="E1220" s="11">
        <f t="shared" si="36"/>
        <v>10</v>
      </c>
      <c r="F1220" s="3" t="s">
        <v>253</v>
      </c>
      <c r="G1220" s="16" t="s">
        <v>39</v>
      </c>
      <c r="H1220" s="3">
        <v>60371000</v>
      </c>
      <c r="I1220" s="12">
        <v>10</v>
      </c>
    </row>
    <row r="1221" spans="2:9">
      <c r="B1221" s="11">
        <f>1000000+INDEX(编号表!$B:$B,MATCH(C1221,编号表!$A:$A,0))*1000+INDEX(编号表!$D:$D,MATCH(D1221,编号表!$C:$C,0))*100+E1221</f>
        <v>1038310</v>
      </c>
      <c r="C1221" s="3" t="s">
        <v>260</v>
      </c>
      <c r="D1221" s="11" t="s">
        <v>40</v>
      </c>
      <c r="E1221" s="11">
        <f t="shared" si="36"/>
        <v>10</v>
      </c>
      <c r="F1221" s="3" t="s">
        <v>254</v>
      </c>
      <c r="G1221" s="16" t="s">
        <v>39</v>
      </c>
      <c r="H1221" s="3">
        <v>60371001</v>
      </c>
      <c r="I1221" s="12">
        <v>10</v>
      </c>
    </row>
    <row r="1222" spans="2:9">
      <c r="B1222" s="11">
        <f>1000000+INDEX(编号表!$B:$B,MATCH(C1222,编号表!$A:$A,0))*1000+INDEX(编号表!$D:$D,MATCH(D1222,编号表!$C:$C,0))*100+E1222</f>
        <v>1038410</v>
      </c>
      <c r="C1222" s="3" t="s">
        <v>260</v>
      </c>
      <c r="D1222" s="11" t="s">
        <v>42</v>
      </c>
      <c r="E1222" s="11">
        <f t="shared" si="36"/>
        <v>10</v>
      </c>
      <c r="F1222" s="3" t="s">
        <v>255</v>
      </c>
      <c r="G1222" s="16" t="s">
        <v>39</v>
      </c>
      <c r="H1222" s="3">
        <v>60371002</v>
      </c>
      <c r="I1222" s="12">
        <v>10</v>
      </c>
    </row>
    <row r="1223" spans="2:9">
      <c r="B1223" s="11">
        <f>1000000+INDEX(编号表!$B:$B,MATCH(C1223,编号表!$A:$A,0))*1000+INDEX(编号表!$D:$D,MATCH(D1223,编号表!$C:$C,0))*100+E1223</f>
        <v>1038510</v>
      </c>
      <c r="C1223" s="3" t="s">
        <v>260</v>
      </c>
      <c r="D1223" s="11" t="s">
        <v>44</v>
      </c>
      <c r="E1223" s="11">
        <f t="shared" si="36"/>
        <v>10</v>
      </c>
      <c r="F1223" s="3" t="s">
        <v>258</v>
      </c>
      <c r="G1223" s="16" t="s">
        <v>39</v>
      </c>
      <c r="H1223" s="3">
        <v>60371003</v>
      </c>
      <c r="I1223" s="12">
        <v>10</v>
      </c>
    </row>
    <row r="1224" spans="2:9">
      <c r="B1224" s="11">
        <f>1000000+INDEX(编号表!$B:$B,MATCH(C1224,编号表!$A:$A,0))*1000+INDEX(编号表!$D:$D,MATCH(D1224,编号表!$C:$C,0))*100+E1224</f>
        <v>1038610</v>
      </c>
      <c r="C1224" s="3" t="s">
        <v>260</v>
      </c>
      <c r="D1224" s="11" t="s">
        <v>46</v>
      </c>
      <c r="E1224" s="11">
        <f t="shared" si="36"/>
        <v>10</v>
      </c>
      <c r="F1224" s="3" t="s">
        <v>256</v>
      </c>
      <c r="G1224" s="16" t="s">
        <v>39</v>
      </c>
      <c r="H1224" s="3">
        <v>60371004</v>
      </c>
      <c r="I1224" s="12">
        <v>10</v>
      </c>
    </row>
    <row r="1225" spans="2:9">
      <c r="B1225" s="11">
        <f>1000000+INDEX(编号表!$B:$B,MATCH(C1225,编号表!$A:$A,0))*1000+INDEX(编号表!$D:$D,MATCH(D1225,编号表!$C:$C,0))*100+E1225</f>
        <v>1038215</v>
      </c>
      <c r="C1225" s="3" t="s">
        <v>260</v>
      </c>
      <c r="D1225" s="11" t="s">
        <v>37</v>
      </c>
      <c r="E1225" s="11">
        <f t="shared" si="36"/>
        <v>15</v>
      </c>
      <c r="F1225" s="3" t="s">
        <v>253</v>
      </c>
      <c r="G1225" s="16" t="s">
        <v>39</v>
      </c>
      <c r="H1225" s="3">
        <v>60371000</v>
      </c>
      <c r="I1225" s="12">
        <v>15</v>
      </c>
    </row>
    <row r="1226" spans="2:9">
      <c r="B1226" s="11">
        <f>1000000+INDEX(编号表!$B:$B,MATCH(C1226,编号表!$A:$A,0))*1000+INDEX(编号表!$D:$D,MATCH(D1226,编号表!$C:$C,0))*100+E1226</f>
        <v>1038315</v>
      </c>
      <c r="C1226" s="3" t="s">
        <v>260</v>
      </c>
      <c r="D1226" s="11" t="s">
        <v>40</v>
      </c>
      <c r="E1226" s="11">
        <f t="shared" si="36"/>
        <v>15</v>
      </c>
      <c r="F1226" s="3" t="s">
        <v>254</v>
      </c>
      <c r="G1226" s="16" t="s">
        <v>39</v>
      </c>
      <c r="H1226" s="3">
        <v>60371001</v>
      </c>
      <c r="I1226" s="12">
        <v>15</v>
      </c>
    </row>
    <row r="1227" spans="2:9">
      <c r="B1227" s="11">
        <f>1000000+INDEX(编号表!$B:$B,MATCH(C1227,编号表!$A:$A,0))*1000+INDEX(编号表!$D:$D,MATCH(D1227,编号表!$C:$C,0))*100+E1227</f>
        <v>1038415</v>
      </c>
      <c r="C1227" s="3" t="s">
        <v>260</v>
      </c>
      <c r="D1227" s="11" t="s">
        <v>42</v>
      </c>
      <c r="E1227" s="11">
        <f t="shared" si="36"/>
        <v>15</v>
      </c>
      <c r="F1227" s="3" t="s">
        <v>255</v>
      </c>
      <c r="G1227" s="16" t="s">
        <v>39</v>
      </c>
      <c r="H1227" s="3">
        <v>60371002</v>
      </c>
      <c r="I1227" s="12">
        <v>15</v>
      </c>
    </row>
    <row r="1228" spans="2:9">
      <c r="B1228" s="11">
        <f>1000000+INDEX(编号表!$B:$B,MATCH(C1228,编号表!$A:$A,0))*1000+INDEX(编号表!$D:$D,MATCH(D1228,编号表!$C:$C,0))*100+E1228</f>
        <v>1038515</v>
      </c>
      <c r="C1228" s="3" t="s">
        <v>260</v>
      </c>
      <c r="D1228" s="11" t="s">
        <v>44</v>
      </c>
      <c r="E1228" s="11">
        <f t="shared" si="36"/>
        <v>15</v>
      </c>
      <c r="F1228" s="3" t="s">
        <v>258</v>
      </c>
      <c r="G1228" s="16" t="s">
        <v>39</v>
      </c>
      <c r="H1228" s="3">
        <v>60371003</v>
      </c>
      <c r="I1228" s="12">
        <v>15</v>
      </c>
    </row>
    <row r="1229" spans="2:9">
      <c r="B1229" s="11">
        <f>1000000+INDEX(编号表!$B:$B,MATCH(C1229,编号表!$A:$A,0))*1000+INDEX(编号表!$D:$D,MATCH(D1229,编号表!$C:$C,0))*100+E1229</f>
        <v>1038615</v>
      </c>
      <c r="C1229" s="3" t="s">
        <v>260</v>
      </c>
      <c r="D1229" s="11" t="s">
        <v>46</v>
      </c>
      <c r="E1229" s="11">
        <f t="shared" si="36"/>
        <v>15</v>
      </c>
      <c r="F1229" s="3" t="s">
        <v>256</v>
      </c>
      <c r="G1229" s="16" t="s">
        <v>39</v>
      </c>
      <c r="H1229" s="3">
        <v>60371004</v>
      </c>
      <c r="I1229" s="12">
        <v>15</v>
      </c>
    </row>
    <row r="1230" spans="2:9">
      <c r="B1230" s="11">
        <f>1000000+INDEX(编号表!$B:$B,MATCH(C1230,编号表!$A:$A,0))*1000+INDEX(编号表!$D:$D,MATCH(D1230,编号表!$C:$C,0))*100+E1230</f>
        <v>1039001</v>
      </c>
      <c r="C1230" s="3" t="s">
        <v>261</v>
      </c>
      <c r="D1230" s="11" t="s">
        <v>55</v>
      </c>
      <c r="E1230" s="11">
        <v>1</v>
      </c>
      <c r="F1230" s="17" t="s">
        <v>167</v>
      </c>
      <c r="G1230" s="16" t="s">
        <v>57</v>
      </c>
      <c r="H1230" s="11">
        <v>60384000</v>
      </c>
      <c r="I1230" s="12">
        <v>1</v>
      </c>
    </row>
    <row r="1231" spans="2:9">
      <c r="B1231" s="11">
        <f>1000000+INDEX(编号表!$B:$B,MATCH(C1231,编号表!$A:$A,0))*1000+INDEX(编号表!$D:$D,MATCH(D1231,编号表!$C:$C,0))*100+E1231</f>
        <v>1039101</v>
      </c>
      <c r="C1231" s="3" t="s">
        <v>261</v>
      </c>
      <c r="D1231" s="11" t="s">
        <v>58</v>
      </c>
      <c r="E1231" s="11">
        <v>1</v>
      </c>
      <c r="F1231" s="17" t="s">
        <v>59</v>
      </c>
      <c r="G1231" s="16" t="s">
        <v>57</v>
      </c>
      <c r="H1231" s="3">
        <v>60382000</v>
      </c>
      <c r="I1231" s="12">
        <v>1</v>
      </c>
    </row>
    <row r="1232" spans="2:9">
      <c r="B1232" s="11">
        <f>1000000+INDEX(编号表!$B:$B,MATCH(C1232,编号表!$A:$A,0))*1000+INDEX(编号表!$D:$D,MATCH(D1232,编号表!$C:$C,0))*100+E1232</f>
        <v>1039102</v>
      </c>
      <c r="C1232" s="3" t="s">
        <v>261</v>
      </c>
      <c r="D1232" s="11" t="s">
        <v>58</v>
      </c>
      <c r="E1232" s="11">
        <v>2</v>
      </c>
      <c r="F1232" s="17" t="s">
        <v>59</v>
      </c>
      <c r="G1232" s="16" t="s">
        <v>57</v>
      </c>
      <c r="H1232" s="3">
        <v>60382001</v>
      </c>
      <c r="I1232" s="12">
        <v>1</v>
      </c>
    </row>
    <row r="1233" spans="2:9">
      <c r="B1233" s="11">
        <f>1000000+INDEX(编号表!$B:$B,MATCH(C1233,编号表!$A:$A,0))*1000+INDEX(编号表!$D:$D,MATCH(D1233,编号表!$C:$C,0))*100+E1233</f>
        <v>1039201</v>
      </c>
      <c r="C1233" s="3" t="s">
        <v>261</v>
      </c>
      <c r="D1233" s="11" t="s">
        <v>37</v>
      </c>
      <c r="E1233" s="11">
        <f t="shared" ref="E1233:E1268" si="37">I1233+K1233+M1233+O1233+Q1233+S1233+U1233+W1233+Y1233+AA1233</f>
        <v>1</v>
      </c>
      <c r="F1233" s="3" t="s">
        <v>255</v>
      </c>
      <c r="G1233" s="16" t="s">
        <v>39</v>
      </c>
      <c r="H1233" s="3">
        <v>60381000</v>
      </c>
      <c r="I1233" s="12">
        <v>1</v>
      </c>
    </row>
    <row r="1234" spans="2:9">
      <c r="B1234" s="11">
        <f>1000000+INDEX(编号表!$B:$B,MATCH(C1234,编号表!$A:$A,0))*1000+INDEX(编号表!$D:$D,MATCH(D1234,编号表!$C:$C,0))*100+E1234</f>
        <v>1039301</v>
      </c>
      <c r="C1234" s="3" t="s">
        <v>261</v>
      </c>
      <c r="D1234" s="11" t="s">
        <v>40</v>
      </c>
      <c r="E1234" s="11">
        <f t="shared" si="37"/>
        <v>1</v>
      </c>
      <c r="F1234" s="3" t="s">
        <v>258</v>
      </c>
      <c r="G1234" s="16" t="s">
        <v>39</v>
      </c>
      <c r="H1234" s="3">
        <v>60381001</v>
      </c>
      <c r="I1234" s="12">
        <v>1</v>
      </c>
    </row>
    <row r="1235" spans="2:9">
      <c r="B1235" s="11">
        <f>1000000+INDEX(编号表!$B:$B,MATCH(C1235,编号表!$A:$A,0))*1000+INDEX(编号表!$D:$D,MATCH(D1235,编号表!$C:$C,0))*100+E1235</f>
        <v>1039401</v>
      </c>
      <c r="C1235" s="3" t="s">
        <v>261</v>
      </c>
      <c r="D1235" s="11" t="s">
        <v>42</v>
      </c>
      <c r="E1235" s="11">
        <f t="shared" si="37"/>
        <v>1</v>
      </c>
      <c r="F1235" s="3" t="s">
        <v>256</v>
      </c>
      <c r="G1235" s="16" t="s">
        <v>39</v>
      </c>
      <c r="H1235" s="3">
        <v>60381002</v>
      </c>
      <c r="I1235" s="12">
        <v>1</v>
      </c>
    </row>
    <row r="1236" spans="2:9">
      <c r="B1236" s="11">
        <f>1000000+INDEX(编号表!$B:$B,MATCH(C1236,编号表!$A:$A,0))*1000+INDEX(编号表!$D:$D,MATCH(D1236,编号表!$C:$C,0))*100+E1236</f>
        <v>1039501</v>
      </c>
      <c r="C1236" s="3" t="s">
        <v>261</v>
      </c>
      <c r="D1236" s="11" t="s">
        <v>44</v>
      </c>
      <c r="E1236" s="11">
        <f t="shared" si="37"/>
        <v>1</v>
      </c>
      <c r="F1236" s="3" t="s">
        <v>262</v>
      </c>
      <c r="G1236" s="16" t="s">
        <v>39</v>
      </c>
      <c r="H1236" s="3">
        <v>60381003</v>
      </c>
      <c r="I1236" s="12">
        <v>1</v>
      </c>
    </row>
    <row r="1237" spans="2:9">
      <c r="B1237" s="11">
        <f>1000000+INDEX(编号表!$B:$B,MATCH(C1237,编号表!$A:$A,0))*1000+INDEX(编号表!$D:$D,MATCH(D1237,编号表!$C:$C,0))*100+E1237</f>
        <v>1039601</v>
      </c>
      <c r="C1237" s="3" t="s">
        <v>261</v>
      </c>
      <c r="D1237" s="11" t="s">
        <v>46</v>
      </c>
      <c r="E1237" s="11">
        <f t="shared" si="37"/>
        <v>1</v>
      </c>
      <c r="F1237" s="3" t="s">
        <v>263</v>
      </c>
      <c r="G1237" s="16" t="s">
        <v>39</v>
      </c>
      <c r="H1237" s="3">
        <v>60381004</v>
      </c>
      <c r="I1237" s="12">
        <v>1</v>
      </c>
    </row>
    <row r="1238" spans="2:9">
      <c r="B1238" s="11">
        <f>1000000+INDEX(编号表!$B:$B,MATCH(C1238,编号表!$A:$A,0))*1000+INDEX(编号表!$D:$D,MATCH(D1238,编号表!$C:$C,0))*100+E1238</f>
        <v>1039701</v>
      </c>
      <c r="C1238" s="3" t="s">
        <v>261</v>
      </c>
      <c r="D1238" s="11" t="s">
        <v>48</v>
      </c>
      <c r="E1238" s="11">
        <f t="shared" si="37"/>
        <v>1</v>
      </c>
      <c r="F1238" s="3" t="s">
        <v>264</v>
      </c>
      <c r="G1238" s="16" t="s">
        <v>39</v>
      </c>
      <c r="H1238" s="3">
        <v>60381005</v>
      </c>
      <c r="I1238" s="12">
        <v>1</v>
      </c>
    </row>
    <row r="1239" spans="2:9">
      <c r="B1239" s="11">
        <f>1000000+INDEX(编号表!$B:$B,MATCH(C1239,编号表!$A:$A,0))*1000+INDEX(编号表!$D:$D,MATCH(D1239,编号表!$C:$C,0))*100+E1239</f>
        <v>1039202</v>
      </c>
      <c r="C1239" s="3" t="s">
        <v>261</v>
      </c>
      <c r="D1239" s="11" t="s">
        <v>37</v>
      </c>
      <c r="E1239" s="11">
        <f t="shared" si="37"/>
        <v>2</v>
      </c>
      <c r="F1239" s="3" t="s">
        <v>255</v>
      </c>
      <c r="G1239" s="16" t="s">
        <v>39</v>
      </c>
      <c r="H1239" s="3">
        <v>60381000</v>
      </c>
      <c r="I1239" s="12">
        <v>2</v>
      </c>
    </row>
    <row r="1240" spans="2:9">
      <c r="B1240" s="11">
        <f>1000000+INDEX(编号表!$B:$B,MATCH(C1240,编号表!$A:$A,0))*1000+INDEX(编号表!$D:$D,MATCH(D1240,编号表!$C:$C,0))*100+E1240</f>
        <v>1039302</v>
      </c>
      <c r="C1240" s="3" t="s">
        <v>261</v>
      </c>
      <c r="D1240" s="11" t="s">
        <v>40</v>
      </c>
      <c r="E1240" s="11">
        <f t="shared" si="37"/>
        <v>2</v>
      </c>
      <c r="F1240" s="3" t="s">
        <v>258</v>
      </c>
      <c r="G1240" s="16" t="s">
        <v>39</v>
      </c>
      <c r="H1240" s="3">
        <v>60381001</v>
      </c>
      <c r="I1240" s="12">
        <v>2</v>
      </c>
    </row>
    <row r="1241" spans="2:9">
      <c r="B1241" s="11">
        <f>1000000+INDEX(编号表!$B:$B,MATCH(C1241,编号表!$A:$A,0))*1000+INDEX(编号表!$D:$D,MATCH(D1241,编号表!$C:$C,0))*100+E1241</f>
        <v>1039402</v>
      </c>
      <c r="C1241" s="3" t="s">
        <v>261</v>
      </c>
      <c r="D1241" s="11" t="s">
        <v>42</v>
      </c>
      <c r="E1241" s="11">
        <f t="shared" si="37"/>
        <v>2</v>
      </c>
      <c r="F1241" s="3" t="s">
        <v>256</v>
      </c>
      <c r="G1241" s="16" t="s">
        <v>39</v>
      </c>
      <c r="H1241" s="3">
        <v>60381002</v>
      </c>
      <c r="I1241" s="12">
        <v>2</v>
      </c>
    </row>
    <row r="1242" spans="2:9">
      <c r="B1242" s="11">
        <f>1000000+INDEX(编号表!$B:$B,MATCH(C1242,编号表!$A:$A,0))*1000+INDEX(编号表!$D:$D,MATCH(D1242,编号表!$C:$C,0))*100+E1242</f>
        <v>1039502</v>
      </c>
      <c r="C1242" s="3" t="s">
        <v>261</v>
      </c>
      <c r="D1242" s="11" t="s">
        <v>44</v>
      </c>
      <c r="E1242" s="11">
        <f t="shared" si="37"/>
        <v>2</v>
      </c>
      <c r="F1242" s="3" t="s">
        <v>262</v>
      </c>
      <c r="G1242" s="16" t="s">
        <v>39</v>
      </c>
      <c r="H1242" s="3">
        <v>60381003</v>
      </c>
      <c r="I1242" s="12">
        <v>2</v>
      </c>
    </row>
    <row r="1243" spans="2:9">
      <c r="B1243" s="11">
        <f>1000000+INDEX(编号表!$B:$B,MATCH(C1243,编号表!$A:$A,0))*1000+INDEX(编号表!$D:$D,MATCH(D1243,编号表!$C:$C,0))*100+E1243</f>
        <v>1039602</v>
      </c>
      <c r="C1243" s="3" t="s">
        <v>261</v>
      </c>
      <c r="D1243" s="11" t="s">
        <v>46</v>
      </c>
      <c r="E1243" s="11">
        <f t="shared" si="37"/>
        <v>2</v>
      </c>
      <c r="F1243" s="3" t="s">
        <v>263</v>
      </c>
      <c r="G1243" s="16" t="s">
        <v>39</v>
      </c>
      <c r="H1243" s="3">
        <v>60381004</v>
      </c>
      <c r="I1243" s="12">
        <v>2</v>
      </c>
    </row>
    <row r="1244" spans="2:9">
      <c r="B1244" s="11">
        <f>1000000+INDEX(编号表!$B:$B,MATCH(C1244,编号表!$A:$A,0))*1000+INDEX(编号表!$D:$D,MATCH(D1244,编号表!$C:$C,0))*100+E1244</f>
        <v>1039702</v>
      </c>
      <c r="C1244" s="3" t="s">
        <v>261</v>
      </c>
      <c r="D1244" s="11" t="s">
        <v>48</v>
      </c>
      <c r="E1244" s="11">
        <f t="shared" si="37"/>
        <v>2</v>
      </c>
      <c r="F1244" s="3" t="s">
        <v>264</v>
      </c>
      <c r="G1244" s="16" t="s">
        <v>39</v>
      </c>
      <c r="H1244" s="3">
        <v>60381005</v>
      </c>
      <c r="I1244" s="12">
        <v>2</v>
      </c>
    </row>
    <row r="1245" spans="2:9">
      <c r="B1245" s="11">
        <f>1000000+INDEX(编号表!$B:$B,MATCH(C1245,编号表!$A:$A,0))*1000+INDEX(编号表!$D:$D,MATCH(D1245,编号表!$C:$C,0))*100+E1245</f>
        <v>1039203</v>
      </c>
      <c r="C1245" s="3" t="s">
        <v>261</v>
      </c>
      <c r="D1245" s="11" t="s">
        <v>37</v>
      </c>
      <c r="E1245" s="11">
        <f t="shared" si="37"/>
        <v>3</v>
      </c>
      <c r="F1245" s="3" t="s">
        <v>255</v>
      </c>
      <c r="G1245" s="16" t="s">
        <v>39</v>
      </c>
      <c r="H1245" s="3">
        <v>60381000</v>
      </c>
      <c r="I1245" s="12">
        <v>3</v>
      </c>
    </row>
    <row r="1246" spans="2:9">
      <c r="B1246" s="11">
        <f>1000000+INDEX(编号表!$B:$B,MATCH(C1246,编号表!$A:$A,0))*1000+INDEX(编号表!$D:$D,MATCH(D1246,编号表!$C:$C,0))*100+E1246</f>
        <v>1039303</v>
      </c>
      <c r="C1246" s="3" t="s">
        <v>261</v>
      </c>
      <c r="D1246" s="11" t="s">
        <v>40</v>
      </c>
      <c r="E1246" s="11">
        <f t="shared" si="37"/>
        <v>3</v>
      </c>
      <c r="F1246" s="3" t="s">
        <v>258</v>
      </c>
      <c r="G1246" s="16" t="s">
        <v>39</v>
      </c>
      <c r="H1246" s="3">
        <v>60381001</v>
      </c>
      <c r="I1246" s="12">
        <v>3</v>
      </c>
    </row>
    <row r="1247" spans="2:9">
      <c r="B1247" s="11">
        <f>1000000+INDEX(编号表!$B:$B,MATCH(C1247,编号表!$A:$A,0))*1000+INDEX(编号表!$D:$D,MATCH(D1247,编号表!$C:$C,0))*100+E1247</f>
        <v>1039403</v>
      </c>
      <c r="C1247" s="3" t="s">
        <v>261</v>
      </c>
      <c r="D1247" s="11" t="s">
        <v>42</v>
      </c>
      <c r="E1247" s="11">
        <f t="shared" si="37"/>
        <v>3</v>
      </c>
      <c r="F1247" s="3" t="s">
        <v>256</v>
      </c>
      <c r="G1247" s="16" t="s">
        <v>39</v>
      </c>
      <c r="H1247" s="3">
        <v>60381002</v>
      </c>
      <c r="I1247" s="12">
        <v>3</v>
      </c>
    </row>
    <row r="1248" spans="2:9">
      <c r="B1248" s="11">
        <f>1000000+INDEX(编号表!$B:$B,MATCH(C1248,编号表!$A:$A,0))*1000+INDEX(编号表!$D:$D,MATCH(D1248,编号表!$C:$C,0))*100+E1248</f>
        <v>1039503</v>
      </c>
      <c r="C1248" s="3" t="s">
        <v>261</v>
      </c>
      <c r="D1248" s="11" t="s">
        <v>44</v>
      </c>
      <c r="E1248" s="11">
        <f t="shared" si="37"/>
        <v>3</v>
      </c>
      <c r="F1248" s="3" t="s">
        <v>262</v>
      </c>
      <c r="G1248" s="16" t="s">
        <v>39</v>
      </c>
      <c r="H1248" s="3">
        <v>60381003</v>
      </c>
      <c r="I1248" s="12">
        <v>3</v>
      </c>
    </row>
    <row r="1249" spans="1:9">
      <c r="B1249" s="11">
        <f>1000000+INDEX(编号表!$B:$B,MATCH(C1249,编号表!$A:$A,0))*1000+INDEX(编号表!$D:$D,MATCH(D1249,编号表!$C:$C,0))*100+E1249</f>
        <v>1039603</v>
      </c>
      <c r="C1249" s="3" t="s">
        <v>261</v>
      </c>
      <c r="D1249" s="11" t="s">
        <v>46</v>
      </c>
      <c r="E1249" s="11">
        <f t="shared" si="37"/>
        <v>3</v>
      </c>
      <c r="F1249" s="3" t="s">
        <v>263</v>
      </c>
      <c r="G1249" s="16" t="s">
        <v>39</v>
      </c>
      <c r="H1249" s="3">
        <v>60381004</v>
      </c>
      <c r="I1249" s="12">
        <v>3</v>
      </c>
    </row>
    <row r="1250" spans="1:9">
      <c r="B1250" s="11">
        <f>1000000+INDEX(编号表!$B:$B,MATCH(C1250,编号表!$A:$A,0))*1000+INDEX(编号表!$D:$D,MATCH(D1250,编号表!$C:$C,0))*100+E1250</f>
        <v>1039703</v>
      </c>
      <c r="C1250" s="3" t="s">
        <v>261</v>
      </c>
      <c r="D1250" s="11" t="s">
        <v>48</v>
      </c>
      <c r="E1250" s="11">
        <f t="shared" si="37"/>
        <v>3</v>
      </c>
      <c r="F1250" s="3" t="s">
        <v>264</v>
      </c>
      <c r="G1250" s="16" t="s">
        <v>39</v>
      </c>
      <c r="H1250" s="3">
        <v>60381005</v>
      </c>
      <c r="I1250" s="12">
        <v>3</v>
      </c>
    </row>
    <row r="1251" spans="1:9">
      <c r="B1251" s="11">
        <f>1000000+INDEX(编号表!$B:$B,MATCH(C1251,编号表!$A:$A,0))*1000+INDEX(编号表!$D:$D,MATCH(D1251,编号表!$C:$C,0))*100+E1251</f>
        <v>1039205</v>
      </c>
      <c r="C1251" s="3" t="s">
        <v>261</v>
      </c>
      <c r="D1251" s="11" t="s">
        <v>37</v>
      </c>
      <c r="E1251" s="11">
        <f t="shared" si="37"/>
        <v>5</v>
      </c>
      <c r="F1251" s="3" t="s">
        <v>255</v>
      </c>
      <c r="G1251" s="16" t="s">
        <v>39</v>
      </c>
      <c r="H1251" s="3">
        <v>60381000</v>
      </c>
      <c r="I1251" s="12">
        <v>5</v>
      </c>
    </row>
    <row r="1252" spans="1:9">
      <c r="B1252" s="11">
        <f>1000000+INDEX(编号表!$B:$B,MATCH(C1252,编号表!$A:$A,0))*1000+INDEX(编号表!$D:$D,MATCH(D1252,编号表!$C:$C,0))*100+E1252</f>
        <v>1039305</v>
      </c>
      <c r="C1252" s="3" t="s">
        <v>261</v>
      </c>
      <c r="D1252" s="11" t="s">
        <v>40</v>
      </c>
      <c r="E1252" s="11">
        <f t="shared" si="37"/>
        <v>5</v>
      </c>
      <c r="F1252" s="3" t="s">
        <v>258</v>
      </c>
      <c r="G1252" s="16" t="s">
        <v>39</v>
      </c>
      <c r="H1252" s="3">
        <v>60381001</v>
      </c>
      <c r="I1252" s="12">
        <v>5</v>
      </c>
    </row>
    <row r="1253" spans="1:9">
      <c r="B1253" s="11">
        <f>1000000+INDEX(编号表!$B:$B,MATCH(C1253,编号表!$A:$A,0))*1000+INDEX(编号表!$D:$D,MATCH(D1253,编号表!$C:$C,0))*100+E1253</f>
        <v>1039405</v>
      </c>
      <c r="C1253" s="3" t="s">
        <v>261</v>
      </c>
      <c r="D1253" s="11" t="s">
        <v>42</v>
      </c>
      <c r="E1253" s="11">
        <f t="shared" si="37"/>
        <v>5</v>
      </c>
      <c r="F1253" s="3" t="s">
        <v>256</v>
      </c>
      <c r="G1253" s="16" t="s">
        <v>39</v>
      </c>
      <c r="H1253" s="3">
        <v>60381002</v>
      </c>
      <c r="I1253" s="12">
        <v>5</v>
      </c>
    </row>
    <row r="1254" spans="1:9">
      <c r="B1254" s="11">
        <f>1000000+INDEX(编号表!$B:$B,MATCH(C1254,编号表!$A:$A,0))*1000+INDEX(编号表!$D:$D,MATCH(D1254,编号表!$C:$C,0))*100+E1254</f>
        <v>1039505</v>
      </c>
      <c r="C1254" s="3" t="s">
        <v>261</v>
      </c>
      <c r="D1254" s="11" t="s">
        <v>44</v>
      </c>
      <c r="E1254" s="11">
        <f t="shared" si="37"/>
        <v>5</v>
      </c>
      <c r="F1254" s="3" t="s">
        <v>262</v>
      </c>
      <c r="G1254" s="16" t="s">
        <v>39</v>
      </c>
      <c r="H1254" s="3">
        <v>60381003</v>
      </c>
      <c r="I1254" s="12">
        <v>5</v>
      </c>
    </row>
    <row r="1255" spans="1:9">
      <c r="B1255" s="11">
        <f>1000000+INDEX(编号表!$B:$B,MATCH(C1255,编号表!$A:$A,0))*1000+INDEX(编号表!$D:$D,MATCH(D1255,编号表!$C:$C,0))*100+E1255</f>
        <v>1039605</v>
      </c>
      <c r="C1255" s="3" t="s">
        <v>261</v>
      </c>
      <c r="D1255" s="11" t="s">
        <v>46</v>
      </c>
      <c r="E1255" s="11">
        <f t="shared" si="37"/>
        <v>5</v>
      </c>
      <c r="F1255" s="3" t="s">
        <v>263</v>
      </c>
      <c r="G1255" s="16" t="s">
        <v>39</v>
      </c>
      <c r="H1255" s="3">
        <v>60381004</v>
      </c>
      <c r="I1255" s="12">
        <v>5</v>
      </c>
    </row>
    <row r="1256" spans="1:9">
      <c r="B1256" s="11">
        <f>1000000+INDEX(编号表!$B:$B,MATCH(C1256,编号表!$A:$A,0))*1000+INDEX(编号表!$D:$D,MATCH(D1256,编号表!$C:$C,0))*100+E1256</f>
        <v>1039705</v>
      </c>
      <c r="C1256" s="3" t="s">
        <v>261</v>
      </c>
      <c r="D1256" s="11" t="s">
        <v>48</v>
      </c>
      <c r="E1256" s="11">
        <f t="shared" si="37"/>
        <v>5</v>
      </c>
      <c r="F1256" s="3" t="s">
        <v>264</v>
      </c>
      <c r="G1256" s="16" t="s">
        <v>39</v>
      </c>
      <c r="H1256" s="3">
        <v>60381005</v>
      </c>
      <c r="I1256" s="12">
        <v>5</v>
      </c>
    </row>
    <row r="1257" spans="1:9">
      <c r="A1257" s="11" t="s">
        <v>9</v>
      </c>
      <c r="B1257" s="11">
        <f>1000000+INDEX(编号表!$B:$B,MATCH(C1257,编号表!$A:$A,0))*1000+INDEX(编号表!$D:$D,MATCH(D1257,编号表!$C:$C,0))*100+E1257</f>
        <v>1039205</v>
      </c>
      <c r="C1257" s="3" t="s">
        <v>261</v>
      </c>
      <c r="D1257" s="11" t="s">
        <v>37</v>
      </c>
      <c r="E1257" s="11">
        <f t="shared" si="37"/>
        <v>5</v>
      </c>
      <c r="F1257" s="3" t="s">
        <v>255</v>
      </c>
      <c r="G1257" s="16" t="s">
        <v>39</v>
      </c>
      <c r="H1257" s="3">
        <v>60381000</v>
      </c>
      <c r="I1257" s="12">
        <v>5</v>
      </c>
    </row>
    <row r="1258" spans="1:9">
      <c r="B1258" s="11">
        <f>1000000+INDEX(编号表!$B:$B,MATCH(C1258,编号表!$A:$A,0))*1000+INDEX(编号表!$D:$D,MATCH(D1258,编号表!$C:$C,0))*100+E1258</f>
        <v>1039310</v>
      </c>
      <c r="C1258" s="3" t="s">
        <v>261</v>
      </c>
      <c r="D1258" s="11" t="s">
        <v>40</v>
      </c>
      <c r="E1258" s="11">
        <f t="shared" si="37"/>
        <v>10</v>
      </c>
      <c r="F1258" s="3" t="s">
        <v>258</v>
      </c>
      <c r="G1258" s="16" t="s">
        <v>39</v>
      </c>
      <c r="H1258" s="3">
        <v>60381001</v>
      </c>
      <c r="I1258" s="12">
        <v>10</v>
      </c>
    </row>
    <row r="1259" spans="1:9">
      <c r="B1259" s="11">
        <f>1000000+INDEX(编号表!$B:$B,MATCH(C1259,编号表!$A:$A,0))*1000+INDEX(编号表!$D:$D,MATCH(D1259,编号表!$C:$C,0))*100+E1259</f>
        <v>1039410</v>
      </c>
      <c r="C1259" s="3" t="s">
        <v>261</v>
      </c>
      <c r="D1259" s="11" t="s">
        <v>42</v>
      </c>
      <c r="E1259" s="11">
        <f t="shared" si="37"/>
        <v>10</v>
      </c>
      <c r="F1259" s="3" t="s">
        <v>256</v>
      </c>
      <c r="G1259" s="16" t="s">
        <v>39</v>
      </c>
      <c r="H1259" s="3">
        <v>60381002</v>
      </c>
      <c r="I1259" s="12">
        <v>10</v>
      </c>
    </row>
    <row r="1260" spans="1:9">
      <c r="B1260" s="11">
        <f>1000000+INDEX(编号表!$B:$B,MATCH(C1260,编号表!$A:$A,0))*1000+INDEX(编号表!$D:$D,MATCH(D1260,编号表!$C:$C,0))*100+E1260</f>
        <v>1039510</v>
      </c>
      <c r="C1260" s="3" t="s">
        <v>261</v>
      </c>
      <c r="D1260" s="11" t="s">
        <v>44</v>
      </c>
      <c r="E1260" s="11">
        <f t="shared" si="37"/>
        <v>10</v>
      </c>
      <c r="F1260" s="3" t="s">
        <v>262</v>
      </c>
      <c r="G1260" s="16" t="s">
        <v>39</v>
      </c>
      <c r="H1260" s="3">
        <v>60381003</v>
      </c>
      <c r="I1260" s="12">
        <v>10</v>
      </c>
    </row>
    <row r="1261" spans="1:9">
      <c r="B1261" s="11">
        <f>1000000+INDEX(编号表!$B:$B,MATCH(C1261,编号表!$A:$A,0))*1000+INDEX(编号表!$D:$D,MATCH(D1261,编号表!$C:$C,0))*100+E1261</f>
        <v>1039610</v>
      </c>
      <c r="C1261" s="3" t="s">
        <v>261</v>
      </c>
      <c r="D1261" s="11" t="s">
        <v>46</v>
      </c>
      <c r="E1261" s="11">
        <f t="shared" si="37"/>
        <v>10</v>
      </c>
      <c r="F1261" s="3" t="s">
        <v>263</v>
      </c>
      <c r="G1261" s="16" t="s">
        <v>39</v>
      </c>
      <c r="H1261" s="3">
        <v>60381004</v>
      </c>
      <c r="I1261" s="12">
        <v>10</v>
      </c>
    </row>
    <row r="1262" spans="1:9">
      <c r="B1262" s="11">
        <f>1000000+INDEX(编号表!$B:$B,MATCH(C1262,编号表!$A:$A,0))*1000+INDEX(编号表!$D:$D,MATCH(D1262,编号表!$C:$C,0))*100+E1262</f>
        <v>1039710</v>
      </c>
      <c r="C1262" s="3" t="s">
        <v>261</v>
      </c>
      <c r="D1262" s="11" t="s">
        <v>48</v>
      </c>
      <c r="E1262" s="11">
        <f t="shared" si="37"/>
        <v>10</v>
      </c>
      <c r="F1262" s="3" t="s">
        <v>264</v>
      </c>
      <c r="G1262" s="16" t="s">
        <v>39</v>
      </c>
      <c r="H1262" s="3">
        <v>60381005</v>
      </c>
      <c r="I1262" s="12">
        <v>10</v>
      </c>
    </row>
    <row r="1263" spans="1:9">
      <c r="B1263" s="11">
        <f>1000000+INDEX(编号表!$B:$B,MATCH(C1263,编号表!$A:$A,0))*1000+INDEX(编号表!$D:$D,MATCH(D1263,编号表!$C:$C,0))*100+E1263</f>
        <v>1039210</v>
      </c>
      <c r="C1263" s="3" t="s">
        <v>261</v>
      </c>
      <c r="D1263" s="11" t="s">
        <v>37</v>
      </c>
      <c r="E1263" s="11">
        <f t="shared" si="37"/>
        <v>10</v>
      </c>
      <c r="F1263" s="3" t="s">
        <v>255</v>
      </c>
      <c r="G1263" s="16" t="s">
        <v>39</v>
      </c>
      <c r="H1263" s="3">
        <v>60381000</v>
      </c>
      <c r="I1263" s="12">
        <v>10</v>
      </c>
    </row>
    <row r="1264" spans="1:9">
      <c r="B1264" s="11">
        <f>1000000+INDEX(编号表!$B:$B,MATCH(C1264,编号表!$A:$A,0))*1000+INDEX(编号表!$D:$D,MATCH(D1264,编号表!$C:$C,0))*100+E1264</f>
        <v>1039315</v>
      </c>
      <c r="C1264" s="3" t="s">
        <v>261</v>
      </c>
      <c r="D1264" s="11" t="s">
        <v>40</v>
      </c>
      <c r="E1264" s="11">
        <f t="shared" si="37"/>
        <v>15</v>
      </c>
      <c r="F1264" s="3" t="s">
        <v>258</v>
      </c>
      <c r="G1264" s="16" t="s">
        <v>39</v>
      </c>
      <c r="H1264" s="3">
        <v>60381001</v>
      </c>
      <c r="I1264" s="12">
        <v>15</v>
      </c>
    </row>
    <row r="1265" spans="2:9">
      <c r="B1265" s="11">
        <f>1000000+INDEX(编号表!$B:$B,MATCH(C1265,编号表!$A:$A,0))*1000+INDEX(编号表!$D:$D,MATCH(D1265,编号表!$C:$C,0))*100+E1265</f>
        <v>1039415</v>
      </c>
      <c r="C1265" s="3" t="s">
        <v>261</v>
      </c>
      <c r="D1265" s="11" t="s">
        <v>42</v>
      </c>
      <c r="E1265" s="11">
        <f t="shared" si="37"/>
        <v>15</v>
      </c>
      <c r="F1265" s="3" t="s">
        <v>256</v>
      </c>
      <c r="G1265" s="16" t="s">
        <v>39</v>
      </c>
      <c r="H1265" s="3">
        <v>60381002</v>
      </c>
      <c r="I1265" s="12">
        <v>15</v>
      </c>
    </row>
    <row r="1266" spans="2:9">
      <c r="B1266" s="11">
        <f>1000000+INDEX(编号表!$B:$B,MATCH(C1266,编号表!$A:$A,0))*1000+INDEX(编号表!$D:$D,MATCH(D1266,编号表!$C:$C,0))*100+E1266</f>
        <v>1039515</v>
      </c>
      <c r="C1266" s="3" t="s">
        <v>261</v>
      </c>
      <c r="D1266" s="11" t="s">
        <v>44</v>
      </c>
      <c r="E1266" s="11">
        <f t="shared" si="37"/>
        <v>15</v>
      </c>
      <c r="F1266" s="3" t="s">
        <v>262</v>
      </c>
      <c r="G1266" s="16" t="s">
        <v>39</v>
      </c>
      <c r="H1266" s="3">
        <v>60381003</v>
      </c>
      <c r="I1266" s="12">
        <v>15</v>
      </c>
    </row>
    <row r="1267" spans="2:9">
      <c r="B1267" s="11">
        <f>1000000+INDEX(编号表!$B:$B,MATCH(C1267,编号表!$A:$A,0))*1000+INDEX(编号表!$D:$D,MATCH(D1267,编号表!$C:$C,0))*100+E1267</f>
        <v>1039615</v>
      </c>
      <c r="C1267" s="3" t="s">
        <v>261</v>
      </c>
      <c r="D1267" s="11" t="s">
        <v>46</v>
      </c>
      <c r="E1267" s="11">
        <f t="shared" si="37"/>
        <v>15</v>
      </c>
      <c r="F1267" s="3" t="s">
        <v>263</v>
      </c>
      <c r="G1267" s="16" t="s">
        <v>39</v>
      </c>
      <c r="H1267" s="3">
        <v>60381004</v>
      </c>
      <c r="I1267" s="12">
        <v>15</v>
      </c>
    </row>
    <row r="1268" spans="2:9">
      <c r="B1268" s="11">
        <f>1000000+INDEX(编号表!$B:$B,MATCH(C1268,编号表!$A:$A,0))*1000+INDEX(编号表!$D:$D,MATCH(D1268,编号表!$C:$C,0))*100+E1268</f>
        <v>1039715</v>
      </c>
      <c r="C1268" s="3" t="s">
        <v>261</v>
      </c>
      <c r="D1268" s="11" t="s">
        <v>48</v>
      </c>
      <c r="E1268" s="11">
        <f t="shared" si="37"/>
        <v>15</v>
      </c>
      <c r="F1268" s="3" t="s">
        <v>264</v>
      </c>
      <c r="G1268" s="16" t="s">
        <v>39</v>
      </c>
      <c r="H1268" s="3">
        <v>60381005</v>
      </c>
      <c r="I1268" s="12">
        <v>15</v>
      </c>
    </row>
    <row r="1269" spans="2:9">
      <c r="B1269" s="11">
        <f>1000000+INDEX(编号表!$B:$B,MATCH(C1269,编号表!$A:$A,0))*1000+INDEX(编号表!$D:$D,MATCH(D1269,编号表!$C:$C,0))*100+E1269</f>
        <v>1040001</v>
      </c>
      <c r="C1269" s="3" t="s">
        <v>265</v>
      </c>
      <c r="D1269" s="11" t="s">
        <v>55</v>
      </c>
      <c r="E1269" s="11">
        <v>1</v>
      </c>
      <c r="F1269" s="17" t="s">
        <v>167</v>
      </c>
      <c r="G1269" s="16" t="s">
        <v>57</v>
      </c>
      <c r="H1269" s="11">
        <v>60394000</v>
      </c>
      <c r="I1269" s="12">
        <v>1</v>
      </c>
    </row>
    <row r="1270" spans="2:9">
      <c r="B1270" s="11">
        <f>1000000+INDEX(编号表!$B:$B,MATCH(C1270,编号表!$A:$A,0))*1000+INDEX(编号表!$D:$D,MATCH(D1270,编号表!$C:$C,0))*100+E1270</f>
        <v>1040002</v>
      </c>
      <c r="C1270" s="3" t="s">
        <v>265</v>
      </c>
      <c r="D1270" s="11" t="s">
        <v>55</v>
      </c>
      <c r="E1270" s="11">
        <v>2</v>
      </c>
      <c r="F1270" s="17" t="s">
        <v>167</v>
      </c>
      <c r="G1270" s="16" t="s">
        <v>57</v>
      </c>
      <c r="H1270" s="11">
        <v>60394001</v>
      </c>
      <c r="I1270" s="12">
        <v>1</v>
      </c>
    </row>
    <row r="1271" spans="2:9">
      <c r="B1271" s="11">
        <f>1000000+INDEX(编号表!$B:$B,MATCH(C1271,编号表!$A:$A,0))*1000+INDEX(编号表!$D:$D,MATCH(D1271,编号表!$C:$C,0))*100+E1271</f>
        <v>1040101</v>
      </c>
      <c r="C1271" s="3" t="s">
        <v>265</v>
      </c>
      <c r="D1271" s="11" t="s">
        <v>58</v>
      </c>
      <c r="E1271" s="11">
        <v>1</v>
      </c>
      <c r="F1271" s="17" t="s">
        <v>59</v>
      </c>
      <c r="G1271" s="16" t="s">
        <v>57</v>
      </c>
      <c r="H1271" s="3">
        <v>60392000</v>
      </c>
      <c r="I1271" s="12">
        <v>1</v>
      </c>
    </row>
    <row r="1272" spans="2:9">
      <c r="B1272" s="11">
        <f>1000000+INDEX(编号表!$B:$B,MATCH(C1272,编号表!$A:$A,0))*1000+INDEX(编号表!$D:$D,MATCH(D1272,编号表!$C:$C,0))*100+E1272</f>
        <v>1040201</v>
      </c>
      <c r="C1272" s="3" t="s">
        <v>265</v>
      </c>
      <c r="D1272" s="11" t="s">
        <v>37</v>
      </c>
      <c r="E1272" s="11">
        <f t="shared" ref="E1272:E1301" si="38">I1272+K1272+M1272+O1272+Q1272+S1272+U1272+W1272+Y1272+AA1272</f>
        <v>1</v>
      </c>
      <c r="F1272" s="3" t="s">
        <v>254</v>
      </c>
      <c r="G1272" s="16" t="s">
        <v>39</v>
      </c>
      <c r="H1272" s="3">
        <v>60391000</v>
      </c>
      <c r="I1272" s="12">
        <v>1</v>
      </c>
    </row>
    <row r="1273" spans="2:9">
      <c r="B1273" s="11">
        <f>1000000+INDEX(编号表!$B:$B,MATCH(C1273,编号表!$A:$A,0))*1000+INDEX(编号表!$D:$D,MATCH(D1273,编号表!$C:$C,0))*100+E1273</f>
        <v>1040301</v>
      </c>
      <c r="C1273" s="3" t="s">
        <v>265</v>
      </c>
      <c r="D1273" s="11" t="s">
        <v>40</v>
      </c>
      <c r="E1273" s="11">
        <f t="shared" si="38"/>
        <v>1</v>
      </c>
      <c r="F1273" s="3" t="s">
        <v>255</v>
      </c>
      <c r="G1273" s="16" t="s">
        <v>39</v>
      </c>
      <c r="H1273" s="3">
        <v>60391001</v>
      </c>
      <c r="I1273" s="12">
        <v>1</v>
      </c>
    </row>
    <row r="1274" spans="2:9">
      <c r="B1274" s="11">
        <f>1000000+INDEX(编号表!$B:$B,MATCH(C1274,编号表!$A:$A,0))*1000+INDEX(编号表!$D:$D,MATCH(D1274,编号表!$C:$C,0))*100+E1274</f>
        <v>1040401</v>
      </c>
      <c r="C1274" s="3" t="s">
        <v>265</v>
      </c>
      <c r="D1274" s="11" t="s">
        <v>42</v>
      </c>
      <c r="E1274" s="11">
        <f t="shared" si="38"/>
        <v>1</v>
      </c>
      <c r="F1274" s="3" t="s">
        <v>258</v>
      </c>
      <c r="G1274" s="16" t="s">
        <v>39</v>
      </c>
      <c r="H1274" s="3">
        <v>60391002</v>
      </c>
      <c r="I1274" s="12">
        <v>1</v>
      </c>
    </row>
    <row r="1275" spans="2:9">
      <c r="B1275" s="11">
        <f>1000000+INDEX(编号表!$B:$B,MATCH(C1275,编号表!$A:$A,0))*1000+INDEX(编号表!$D:$D,MATCH(D1275,编号表!$C:$C,0))*100+E1275</f>
        <v>1040501</v>
      </c>
      <c r="C1275" s="3" t="s">
        <v>265</v>
      </c>
      <c r="D1275" s="11" t="s">
        <v>44</v>
      </c>
      <c r="E1275" s="11">
        <f t="shared" si="38"/>
        <v>1</v>
      </c>
      <c r="F1275" s="3" t="s">
        <v>262</v>
      </c>
      <c r="G1275" s="16" t="s">
        <v>39</v>
      </c>
      <c r="H1275" s="3">
        <v>60391003</v>
      </c>
      <c r="I1275" s="12">
        <v>1</v>
      </c>
    </row>
    <row r="1276" spans="2:9">
      <c r="B1276" s="11">
        <f>1000000+INDEX(编号表!$B:$B,MATCH(C1276,编号表!$A:$A,0))*1000+INDEX(编号表!$D:$D,MATCH(D1276,编号表!$C:$C,0))*100+E1276</f>
        <v>1040601</v>
      </c>
      <c r="C1276" s="3" t="s">
        <v>265</v>
      </c>
      <c r="D1276" s="11" t="s">
        <v>46</v>
      </c>
      <c r="E1276" s="11">
        <f t="shared" si="38"/>
        <v>1</v>
      </c>
      <c r="F1276" s="3" t="s">
        <v>264</v>
      </c>
      <c r="G1276" s="16" t="s">
        <v>39</v>
      </c>
      <c r="H1276" s="3">
        <v>60391004</v>
      </c>
      <c r="I1276" s="12">
        <v>1</v>
      </c>
    </row>
    <row r="1277" spans="2:9">
      <c r="B1277" s="11">
        <f>1000000+INDEX(编号表!$B:$B,MATCH(C1277,编号表!$A:$A,0))*1000+INDEX(编号表!$D:$D,MATCH(D1277,编号表!$C:$C,0))*100+E1277</f>
        <v>1040202</v>
      </c>
      <c r="C1277" s="3" t="s">
        <v>265</v>
      </c>
      <c r="D1277" s="11" t="s">
        <v>37</v>
      </c>
      <c r="E1277" s="11">
        <f t="shared" si="38"/>
        <v>2</v>
      </c>
      <c r="F1277" s="3" t="s">
        <v>254</v>
      </c>
      <c r="G1277" s="16" t="s">
        <v>39</v>
      </c>
      <c r="H1277" s="3">
        <v>60391000</v>
      </c>
      <c r="I1277" s="12">
        <v>2</v>
      </c>
    </row>
    <row r="1278" spans="2:9">
      <c r="B1278" s="11">
        <f>1000000+INDEX(编号表!$B:$B,MATCH(C1278,编号表!$A:$A,0))*1000+INDEX(编号表!$D:$D,MATCH(D1278,编号表!$C:$C,0))*100+E1278</f>
        <v>1040302</v>
      </c>
      <c r="C1278" s="3" t="s">
        <v>265</v>
      </c>
      <c r="D1278" s="11" t="s">
        <v>40</v>
      </c>
      <c r="E1278" s="11">
        <f t="shared" si="38"/>
        <v>2</v>
      </c>
      <c r="F1278" s="3" t="s">
        <v>255</v>
      </c>
      <c r="G1278" s="16" t="s">
        <v>39</v>
      </c>
      <c r="H1278" s="3">
        <v>60391001</v>
      </c>
      <c r="I1278" s="12">
        <v>2</v>
      </c>
    </row>
    <row r="1279" spans="2:9">
      <c r="B1279" s="11">
        <f>1000000+INDEX(编号表!$B:$B,MATCH(C1279,编号表!$A:$A,0))*1000+INDEX(编号表!$D:$D,MATCH(D1279,编号表!$C:$C,0))*100+E1279</f>
        <v>1040402</v>
      </c>
      <c r="C1279" s="3" t="s">
        <v>265</v>
      </c>
      <c r="D1279" s="11" t="s">
        <v>42</v>
      </c>
      <c r="E1279" s="11">
        <f t="shared" si="38"/>
        <v>2</v>
      </c>
      <c r="F1279" s="3" t="s">
        <v>258</v>
      </c>
      <c r="G1279" s="16" t="s">
        <v>39</v>
      </c>
      <c r="H1279" s="3">
        <v>60391002</v>
      </c>
      <c r="I1279" s="12">
        <v>2</v>
      </c>
    </row>
    <row r="1280" spans="2:9">
      <c r="B1280" s="11">
        <f>1000000+INDEX(编号表!$B:$B,MATCH(C1280,编号表!$A:$A,0))*1000+INDEX(编号表!$D:$D,MATCH(D1280,编号表!$C:$C,0))*100+E1280</f>
        <v>1040502</v>
      </c>
      <c r="C1280" s="3" t="s">
        <v>265</v>
      </c>
      <c r="D1280" s="11" t="s">
        <v>44</v>
      </c>
      <c r="E1280" s="11">
        <f t="shared" si="38"/>
        <v>2</v>
      </c>
      <c r="F1280" s="3" t="s">
        <v>262</v>
      </c>
      <c r="G1280" s="16" t="s">
        <v>39</v>
      </c>
      <c r="H1280" s="3">
        <v>60391003</v>
      </c>
      <c r="I1280" s="12">
        <v>2</v>
      </c>
    </row>
    <row r="1281" spans="2:9">
      <c r="B1281" s="11">
        <f>1000000+INDEX(编号表!$B:$B,MATCH(C1281,编号表!$A:$A,0))*1000+INDEX(编号表!$D:$D,MATCH(D1281,编号表!$C:$C,0))*100+E1281</f>
        <v>1040602</v>
      </c>
      <c r="C1281" s="3" t="s">
        <v>265</v>
      </c>
      <c r="D1281" s="11" t="s">
        <v>46</v>
      </c>
      <c r="E1281" s="11">
        <f t="shared" si="38"/>
        <v>2</v>
      </c>
      <c r="F1281" s="3" t="s">
        <v>264</v>
      </c>
      <c r="G1281" s="16" t="s">
        <v>39</v>
      </c>
      <c r="H1281" s="3">
        <v>60391004</v>
      </c>
      <c r="I1281" s="12">
        <v>2</v>
      </c>
    </row>
    <row r="1282" spans="2:9">
      <c r="B1282" s="11">
        <f>1000000+INDEX(编号表!$B:$B,MATCH(C1282,编号表!$A:$A,0))*1000+INDEX(编号表!$D:$D,MATCH(D1282,编号表!$C:$C,0))*100+E1282</f>
        <v>1040203</v>
      </c>
      <c r="C1282" s="3" t="s">
        <v>265</v>
      </c>
      <c r="D1282" s="11" t="s">
        <v>37</v>
      </c>
      <c r="E1282" s="11">
        <f t="shared" si="38"/>
        <v>3</v>
      </c>
      <c r="F1282" s="3" t="s">
        <v>254</v>
      </c>
      <c r="G1282" s="16" t="s">
        <v>39</v>
      </c>
      <c r="H1282" s="3">
        <v>60391000</v>
      </c>
      <c r="I1282" s="12">
        <v>3</v>
      </c>
    </row>
    <row r="1283" spans="2:9">
      <c r="B1283" s="11">
        <f>1000000+INDEX(编号表!$B:$B,MATCH(C1283,编号表!$A:$A,0))*1000+INDEX(编号表!$D:$D,MATCH(D1283,编号表!$C:$C,0))*100+E1283</f>
        <v>1040303</v>
      </c>
      <c r="C1283" s="3" t="s">
        <v>265</v>
      </c>
      <c r="D1283" s="11" t="s">
        <v>40</v>
      </c>
      <c r="E1283" s="11">
        <f t="shared" si="38"/>
        <v>3</v>
      </c>
      <c r="F1283" s="3" t="s">
        <v>255</v>
      </c>
      <c r="G1283" s="16" t="s">
        <v>39</v>
      </c>
      <c r="H1283" s="3">
        <v>60391001</v>
      </c>
      <c r="I1283" s="12">
        <v>3</v>
      </c>
    </row>
    <row r="1284" spans="2:9">
      <c r="B1284" s="11">
        <f>1000000+INDEX(编号表!$B:$B,MATCH(C1284,编号表!$A:$A,0))*1000+INDEX(编号表!$D:$D,MATCH(D1284,编号表!$C:$C,0))*100+E1284</f>
        <v>1040403</v>
      </c>
      <c r="C1284" s="3" t="s">
        <v>265</v>
      </c>
      <c r="D1284" s="11" t="s">
        <v>42</v>
      </c>
      <c r="E1284" s="11">
        <f t="shared" si="38"/>
        <v>3</v>
      </c>
      <c r="F1284" s="3" t="s">
        <v>258</v>
      </c>
      <c r="G1284" s="16" t="s">
        <v>39</v>
      </c>
      <c r="H1284" s="3">
        <v>60391002</v>
      </c>
      <c r="I1284" s="12">
        <v>3</v>
      </c>
    </row>
    <row r="1285" spans="2:9">
      <c r="B1285" s="11">
        <f>1000000+INDEX(编号表!$B:$B,MATCH(C1285,编号表!$A:$A,0))*1000+INDEX(编号表!$D:$D,MATCH(D1285,编号表!$C:$C,0))*100+E1285</f>
        <v>1040503</v>
      </c>
      <c r="C1285" s="3" t="s">
        <v>265</v>
      </c>
      <c r="D1285" s="11" t="s">
        <v>44</v>
      </c>
      <c r="E1285" s="11">
        <f t="shared" si="38"/>
        <v>3</v>
      </c>
      <c r="F1285" s="3" t="s">
        <v>262</v>
      </c>
      <c r="G1285" s="16" t="s">
        <v>39</v>
      </c>
      <c r="H1285" s="3">
        <v>60391003</v>
      </c>
      <c r="I1285" s="12">
        <v>3</v>
      </c>
    </row>
    <row r="1286" spans="2:9">
      <c r="B1286" s="11">
        <f>1000000+INDEX(编号表!$B:$B,MATCH(C1286,编号表!$A:$A,0))*1000+INDEX(编号表!$D:$D,MATCH(D1286,编号表!$C:$C,0))*100+E1286</f>
        <v>1040603</v>
      </c>
      <c r="C1286" s="3" t="s">
        <v>265</v>
      </c>
      <c r="D1286" s="11" t="s">
        <v>46</v>
      </c>
      <c r="E1286" s="11">
        <f t="shared" si="38"/>
        <v>3</v>
      </c>
      <c r="F1286" s="3" t="s">
        <v>264</v>
      </c>
      <c r="G1286" s="16" t="s">
        <v>39</v>
      </c>
      <c r="H1286" s="3">
        <v>60391004</v>
      </c>
      <c r="I1286" s="12">
        <v>3</v>
      </c>
    </row>
    <row r="1287" spans="2:9">
      <c r="B1287" s="11">
        <f>1000000+INDEX(编号表!$B:$B,MATCH(C1287,编号表!$A:$A,0))*1000+INDEX(编号表!$D:$D,MATCH(D1287,编号表!$C:$C,0))*100+E1287</f>
        <v>1040205</v>
      </c>
      <c r="C1287" s="3" t="s">
        <v>265</v>
      </c>
      <c r="D1287" s="11" t="s">
        <v>37</v>
      </c>
      <c r="E1287" s="11">
        <f t="shared" si="38"/>
        <v>5</v>
      </c>
      <c r="F1287" s="3" t="s">
        <v>254</v>
      </c>
      <c r="G1287" s="16" t="s">
        <v>39</v>
      </c>
      <c r="H1287" s="3">
        <v>60391000</v>
      </c>
      <c r="I1287" s="12">
        <v>5</v>
      </c>
    </row>
    <row r="1288" spans="2:9">
      <c r="B1288" s="11">
        <f>1000000+INDEX(编号表!$B:$B,MATCH(C1288,编号表!$A:$A,0))*1000+INDEX(编号表!$D:$D,MATCH(D1288,编号表!$C:$C,0))*100+E1288</f>
        <v>1040305</v>
      </c>
      <c r="C1288" s="3" t="s">
        <v>265</v>
      </c>
      <c r="D1288" s="11" t="s">
        <v>40</v>
      </c>
      <c r="E1288" s="11">
        <f t="shared" si="38"/>
        <v>5</v>
      </c>
      <c r="F1288" s="3" t="s">
        <v>255</v>
      </c>
      <c r="G1288" s="16" t="s">
        <v>39</v>
      </c>
      <c r="H1288" s="3">
        <v>60391001</v>
      </c>
      <c r="I1288" s="12">
        <v>5</v>
      </c>
    </row>
    <row r="1289" spans="2:9">
      <c r="B1289" s="11">
        <f>1000000+INDEX(编号表!$B:$B,MATCH(C1289,编号表!$A:$A,0))*1000+INDEX(编号表!$D:$D,MATCH(D1289,编号表!$C:$C,0))*100+E1289</f>
        <v>1040405</v>
      </c>
      <c r="C1289" s="3" t="s">
        <v>265</v>
      </c>
      <c r="D1289" s="11" t="s">
        <v>42</v>
      </c>
      <c r="E1289" s="11">
        <f t="shared" si="38"/>
        <v>5</v>
      </c>
      <c r="F1289" s="3" t="s">
        <v>258</v>
      </c>
      <c r="G1289" s="16" t="s">
        <v>39</v>
      </c>
      <c r="H1289" s="3">
        <v>60391002</v>
      </c>
      <c r="I1289" s="12">
        <v>5</v>
      </c>
    </row>
    <row r="1290" spans="2:9">
      <c r="B1290" s="11">
        <f>1000000+INDEX(编号表!$B:$B,MATCH(C1290,编号表!$A:$A,0))*1000+INDEX(编号表!$D:$D,MATCH(D1290,编号表!$C:$C,0))*100+E1290</f>
        <v>1040505</v>
      </c>
      <c r="C1290" s="3" t="s">
        <v>265</v>
      </c>
      <c r="D1290" s="11" t="s">
        <v>44</v>
      </c>
      <c r="E1290" s="11">
        <f t="shared" si="38"/>
        <v>5</v>
      </c>
      <c r="F1290" s="3" t="s">
        <v>262</v>
      </c>
      <c r="G1290" s="16" t="s">
        <v>39</v>
      </c>
      <c r="H1290" s="3">
        <v>60391003</v>
      </c>
      <c r="I1290" s="12">
        <v>5</v>
      </c>
    </row>
    <row r="1291" spans="2:9">
      <c r="B1291" s="11">
        <f>1000000+INDEX(编号表!$B:$B,MATCH(C1291,编号表!$A:$A,0))*1000+INDEX(编号表!$D:$D,MATCH(D1291,编号表!$C:$C,0))*100+E1291</f>
        <v>1040605</v>
      </c>
      <c r="C1291" s="3" t="s">
        <v>265</v>
      </c>
      <c r="D1291" s="11" t="s">
        <v>46</v>
      </c>
      <c r="E1291" s="11">
        <f t="shared" si="38"/>
        <v>5</v>
      </c>
      <c r="F1291" s="3" t="s">
        <v>264</v>
      </c>
      <c r="G1291" s="16" t="s">
        <v>39</v>
      </c>
      <c r="H1291" s="3">
        <v>60391004</v>
      </c>
      <c r="I1291" s="12">
        <v>5</v>
      </c>
    </row>
    <row r="1292" spans="2:9">
      <c r="B1292" s="11">
        <f>1000000+INDEX(编号表!$B:$B,MATCH(C1292,编号表!$A:$A,0))*1000+INDEX(编号表!$D:$D,MATCH(D1292,编号表!$C:$C,0))*100+E1292</f>
        <v>1040210</v>
      </c>
      <c r="C1292" s="3" t="s">
        <v>265</v>
      </c>
      <c r="D1292" s="11" t="s">
        <v>37</v>
      </c>
      <c r="E1292" s="11">
        <f t="shared" si="38"/>
        <v>10</v>
      </c>
      <c r="F1292" s="3" t="s">
        <v>254</v>
      </c>
      <c r="G1292" s="16" t="s">
        <v>39</v>
      </c>
      <c r="H1292" s="3">
        <v>60391000</v>
      </c>
      <c r="I1292" s="12">
        <v>10</v>
      </c>
    </row>
    <row r="1293" spans="2:9">
      <c r="B1293" s="11">
        <f>1000000+INDEX(编号表!$B:$B,MATCH(C1293,编号表!$A:$A,0))*1000+INDEX(编号表!$D:$D,MATCH(D1293,编号表!$C:$C,0))*100+E1293</f>
        <v>1040310</v>
      </c>
      <c r="C1293" s="3" t="s">
        <v>265</v>
      </c>
      <c r="D1293" s="11" t="s">
        <v>40</v>
      </c>
      <c r="E1293" s="11">
        <f t="shared" si="38"/>
        <v>10</v>
      </c>
      <c r="F1293" s="3" t="s">
        <v>255</v>
      </c>
      <c r="G1293" s="16" t="s">
        <v>39</v>
      </c>
      <c r="H1293" s="3">
        <v>60391001</v>
      </c>
      <c r="I1293" s="12">
        <v>10</v>
      </c>
    </row>
    <row r="1294" spans="2:9">
      <c r="B1294" s="11">
        <f>1000000+INDEX(编号表!$B:$B,MATCH(C1294,编号表!$A:$A,0))*1000+INDEX(编号表!$D:$D,MATCH(D1294,编号表!$C:$C,0))*100+E1294</f>
        <v>1040410</v>
      </c>
      <c r="C1294" s="3" t="s">
        <v>265</v>
      </c>
      <c r="D1294" s="11" t="s">
        <v>42</v>
      </c>
      <c r="E1294" s="11">
        <f t="shared" si="38"/>
        <v>10</v>
      </c>
      <c r="F1294" s="3" t="s">
        <v>258</v>
      </c>
      <c r="G1294" s="16" t="s">
        <v>39</v>
      </c>
      <c r="H1294" s="3">
        <v>60391002</v>
      </c>
      <c r="I1294" s="12">
        <v>10</v>
      </c>
    </row>
    <row r="1295" spans="2:9">
      <c r="B1295" s="11">
        <f>1000000+INDEX(编号表!$B:$B,MATCH(C1295,编号表!$A:$A,0))*1000+INDEX(编号表!$D:$D,MATCH(D1295,编号表!$C:$C,0))*100+E1295</f>
        <v>1040510</v>
      </c>
      <c r="C1295" s="3" t="s">
        <v>265</v>
      </c>
      <c r="D1295" s="11" t="s">
        <v>44</v>
      </c>
      <c r="E1295" s="11">
        <f t="shared" si="38"/>
        <v>10</v>
      </c>
      <c r="F1295" s="3" t="s">
        <v>262</v>
      </c>
      <c r="G1295" s="16" t="s">
        <v>39</v>
      </c>
      <c r="H1295" s="3">
        <v>60391003</v>
      </c>
      <c r="I1295" s="12">
        <v>10</v>
      </c>
    </row>
    <row r="1296" spans="2:9">
      <c r="B1296" s="11">
        <f>1000000+INDEX(编号表!$B:$B,MATCH(C1296,编号表!$A:$A,0))*1000+INDEX(编号表!$D:$D,MATCH(D1296,编号表!$C:$C,0))*100+E1296</f>
        <v>1040610</v>
      </c>
      <c r="C1296" s="3" t="s">
        <v>265</v>
      </c>
      <c r="D1296" s="11" t="s">
        <v>46</v>
      </c>
      <c r="E1296" s="11">
        <f t="shared" si="38"/>
        <v>10</v>
      </c>
      <c r="F1296" s="3" t="s">
        <v>264</v>
      </c>
      <c r="G1296" s="16" t="s">
        <v>39</v>
      </c>
      <c r="H1296" s="3">
        <v>60391004</v>
      </c>
      <c r="I1296" s="12">
        <v>10</v>
      </c>
    </row>
    <row r="1297" spans="2:9">
      <c r="B1297" s="11">
        <f>1000000+INDEX(编号表!$B:$B,MATCH(C1297,编号表!$A:$A,0))*1000+INDEX(编号表!$D:$D,MATCH(D1297,编号表!$C:$C,0))*100+E1297</f>
        <v>1040215</v>
      </c>
      <c r="C1297" s="3" t="s">
        <v>265</v>
      </c>
      <c r="D1297" s="11" t="s">
        <v>37</v>
      </c>
      <c r="E1297" s="11">
        <f t="shared" si="38"/>
        <v>15</v>
      </c>
      <c r="F1297" s="3" t="s">
        <v>254</v>
      </c>
      <c r="G1297" s="16" t="s">
        <v>39</v>
      </c>
      <c r="H1297" s="3">
        <v>60391000</v>
      </c>
      <c r="I1297" s="12">
        <v>15</v>
      </c>
    </row>
    <row r="1298" spans="2:9">
      <c r="B1298" s="11">
        <f>1000000+INDEX(编号表!$B:$B,MATCH(C1298,编号表!$A:$A,0))*1000+INDEX(编号表!$D:$D,MATCH(D1298,编号表!$C:$C,0))*100+E1298</f>
        <v>1040315</v>
      </c>
      <c r="C1298" s="3" t="s">
        <v>265</v>
      </c>
      <c r="D1298" s="11" t="s">
        <v>40</v>
      </c>
      <c r="E1298" s="11">
        <f t="shared" si="38"/>
        <v>15</v>
      </c>
      <c r="F1298" s="3" t="s">
        <v>255</v>
      </c>
      <c r="G1298" s="16" t="s">
        <v>39</v>
      </c>
      <c r="H1298" s="3">
        <v>60391001</v>
      </c>
      <c r="I1298" s="12">
        <v>15</v>
      </c>
    </row>
    <row r="1299" spans="2:9">
      <c r="B1299" s="11">
        <f>1000000+INDEX(编号表!$B:$B,MATCH(C1299,编号表!$A:$A,0))*1000+INDEX(编号表!$D:$D,MATCH(D1299,编号表!$C:$C,0))*100+E1299</f>
        <v>1040415</v>
      </c>
      <c r="C1299" s="3" t="s">
        <v>265</v>
      </c>
      <c r="D1299" s="11" t="s">
        <v>42</v>
      </c>
      <c r="E1299" s="11">
        <f t="shared" si="38"/>
        <v>15</v>
      </c>
      <c r="F1299" s="3" t="s">
        <v>258</v>
      </c>
      <c r="G1299" s="16" t="s">
        <v>39</v>
      </c>
      <c r="H1299" s="3">
        <v>60391002</v>
      </c>
      <c r="I1299" s="12">
        <v>15</v>
      </c>
    </row>
    <row r="1300" spans="2:9">
      <c r="B1300" s="11">
        <f>1000000+INDEX(编号表!$B:$B,MATCH(C1300,编号表!$A:$A,0))*1000+INDEX(编号表!$D:$D,MATCH(D1300,编号表!$C:$C,0))*100+E1300</f>
        <v>1040515</v>
      </c>
      <c r="C1300" s="3" t="s">
        <v>265</v>
      </c>
      <c r="D1300" s="11" t="s">
        <v>44</v>
      </c>
      <c r="E1300" s="11">
        <f t="shared" si="38"/>
        <v>15</v>
      </c>
      <c r="F1300" s="3" t="s">
        <v>262</v>
      </c>
      <c r="G1300" s="16" t="s">
        <v>39</v>
      </c>
      <c r="H1300" s="3">
        <v>60391003</v>
      </c>
      <c r="I1300" s="12">
        <v>15</v>
      </c>
    </row>
    <row r="1301" spans="2:9">
      <c r="B1301" s="11">
        <f>1000000+INDEX(编号表!$B:$B,MATCH(C1301,编号表!$A:$A,0))*1000+INDEX(编号表!$D:$D,MATCH(D1301,编号表!$C:$C,0))*100+E1301</f>
        <v>1040615</v>
      </c>
      <c r="C1301" s="3" t="s">
        <v>265</v>
      </c>
      <c r="D1301" s="11" t="s">
        <v>46</v>
      </c>
      <c r="E1301" s="11">
        <f t="shared" si="38"/>
        <v>15</v>
      </c>
      <c r="F1301" s="3" t="s">
        <v>264</v>
      </c>
      <c r="G1301" s="16" t="s">
        <v>39</v>
      </c>
      <c r="H1301" s="3">
        <v>60391004</v>
      </c>
      <c r="I1301" s="12">
        <v>15</v>
      </c>
    </row>
    <row r="1302" spans="2:9">
      <c r="B1302" s="11">
        <f>1000000+INDEX(编号表!$B:$B,MATCH(C1302,编号表!$A:$A,0))*1000+INDEX(编号表!$D:$D,MATCH(D1302,编号表!$C:$C,0))*100+E1302</f>
        <v>1041001</v>
      </c>
      <c r="C1302" s="3" t="s">
        <v>266</v>
      </c>
      <c r="D1302" s="11" t="s">
        <v>55</v>
      </c>
      <c r="E1302" s="11">
        <v>1</v>
      </c>
      <c r="F1302" s="17" t="s">
        <v>167</v>
      </c>
      <c r="G1302" s="16" t="s">
        <v>57</v>
      </c>
      <c r="H1302" s="11">
        <v>60404000</v>
      </c>
      <c r="I1302" s="12">
        <v>1</v>
      </c>
    </row>
    <row r="1303" spans="2:9">
      <c r="B1303" s="11">
        <f>1000000+INDEX(编号表!$B:$B,MATCH(C1303,编号表!$A:$A,0))*1000+INDEX(编号表!$D:$D,MATCH(D1303,编号表!$C:$C,0))*100+E1303</f>
        <v>1041002</v>
      </c>
      <c r="C1303" s="3" t="s">
        <v>266</v>
      </c>
      <c r="D1303" s="11" t="s">
        <v>55</v>
      </c>
      <c r="E1303" s="11">
        <v>2</v>
      </c>
      <c r="F1303" s="17" t="s">
        <v>167</v>
      </c>
      <c r="G1303" s="16" t="s">
        <v>57</v>
      </c>
      <c r="H1303" s="11">
        <v>60404001</v>
      </c>
      <c r="I1303" s="12">
        <v>1</v>
      </c>
    </row>
    <row r="1304" spans="2:9">
      <c r="B1304" s="11">
        <f>1000000+INDEX(编号表!$B:$B,MATCH(C1304,编号表!$A:$A,0))*1000+INDEX(编号表!$D:$D,MATCH(D1304,编号表!$C:$C,0))*100+E1304</f>
        <v>1041003</v>
      </c>
      <c r="C1304" s="3" t="s">
        <v>266</v>
      </c>
      <c r="D1304" s="11" t="s">
        <v>55</v>
      </c>
      <c r="E1304" s="11">
        <v>3</v>
      </c>
      <c r="F1304" s="17" t="s">
        <v>167</v>
      </c>
      <c r="G1304" s="16" t="s">
        <v>57</v>
      </c>
      <c r="H1304" s="11">
        <v>60404002</v>
      </c>
      <c r="I1304" s="12">
        <v>1</v>
      </c>
    </row>
    <row r="1305" spans="2:9">
      <c r="B1305" s="11">
        <f>1000000+INDEX(编号表!$B:$B,MATCH(C1305,编号表!$A:$A,0))*1000+INDEX(编号表!$D:$D,MATCH(D1305,编号表!$C:$C,0))*100+E1305</f>
        <v>1041101</v>
      </c>
      <c r="C1305" s="3" t="s">
        <v>266</v>
      </c>
      <c r="D1305" s="11" t="s">
        <v>58</v>
      </c>
      <c r="E1305" s="11">
        <v>1</v>
      </c>
      <c r="F1305" s="17" t="s">
        <v>59</v>
      </c>
      <c r="G1305" s="16" t="s">
        <v>57</v>
      </c>
      <c r="H1305" s="3">
        <v>60402000</v>
      </c>
      <c r="I1305" s="12">
        <v>1</v>
      </c>
    </row>
    <row r="1306" spans="2:9">
      <c r="B1306" s="11">
        <f>1000000+INDEX(编号表!$B:$B,MATCH(C1306,编号表!$A:$A,0))*1000+INDEX(编号表!$D:$D,MATCH(D1306,编号表!$C:$C,0))*100+E1306</f>
        <v>1041201</v>
      </c>
      <c r="C1306" s="3" t="s">
        <v>266</v>
      </c>
      <c r="D1306" s="11" t="s">
        <v>37</v>
      </c>
      <c r="E1306" s="11">
        <f t="shared" ref="E1306:E1335" si="39">I1306+K1306+M1306+O1306+Q1306+S1306+U1306+W1306+Y1306+AA1306</f>
        <v>1</v>
      </c>
      <c r="F1306" s="3" t="s">
        <v>255</v>
      </c>
      <c r="G1306" s="16" t="s">
        <v>39</v>
      </c>
      <c r="H1306" s="3">
        <v>60401000</v>
      </c>
      <c r="I1306" s="12">
        <v>1</v>
      </c>
    </row>
    <row r="1307" spans="2:9">
      <c r="B1307" s="11">
        <f>1000000+INDEX(编号表!$B:$B,MATCH(C1307,编号表!$A:$A,0))*1000+INDEX(编号表!$D:$D,MATCH(D1307,编号表!$C:$C,0))*100+E1307</f>
        <v>1041301</v>
      </c>
      <c r="C1307" s="3" t="s">
        <v>266</v>
      </c>
      <c r="D1307" s="11" t="s">
        <v>40</v>
      </c>
      <c r="E1307" s="11">
        <f t="shared" si="39"/>
        <v>1</v>
      </c>
      <c r="F1307" s="3" t="s">
        <v>258</v>
      </c>
      <c r="G1307" s="16" t="s">
        <v>39</v>
      </c>
      <c r="H1307" s="3">
        <v>60401001</v>
      </c>
      <c r="I1307" s="12">
        <v>1</v>
      </c>
    </row>
    <row r="1308" spans="2:9">
      <c r="B1308" s="11">
        <f>1000000+INDEX(编号表!$B:$B,MATCH(C1308,编号表!$A:$A,0))*1000+INDEX(编号表!$D:$D,MATCH(D1308,编号表!$C:$C,0))*100+E1308</f>
        <v>1041401</v>
      </c>
      <c r="C1308" s="3" t="s">
        <v>266</v>
      </c>
      <c r="D1308" s="11" t="s">
        <v>42</v>
      </c>
      <c r="E1308" s="11">
        <f t="shared" si="39"/>
        <v>1</v>
      </c>
      <c r="F1308" s="3" t="s">
        <v>263</v>
      </c>
      <c r="G1308" s="16" t="s">
        <v>39</v>
      </c>
      <c r="H1308" s="3">
        <v>60401002</v>
      </c>
      <c r="I1308" s="12">
        <v>1</v>
      </c>
    </row>
    <row r="1309" spans="2:9">
      <c r="B1309" s="11">
        <f>1000000+INDEX(编号表!$B:$B,MATCH(C1309,编号表!$A:$A,0))*1000+INDEX(编号表!$D:$D,MATCH(D1309,编号表!$C:$C,0))*100+E1309</f>
        <v>1041501</v>
      </c>
      <c r="C1309" s="3" t="s">
        <v>266</v>
      </c>
      <c r="D1309" s="11" t="s">
        <v>44</v>
      </c>
      <c r="E1309" s="11">
        <f t="shared" si="39"/>
        <v>1</v>
      </c>
      <c r="F1309" s="3" t="s">
        <v>262</v>
      </c>
      <c r="G1309" s="16" t="s">
        <v>39</v>
      </c>
      <c r="H1309" s="3">
        <v>60401003</v>
      </c>
      <c r="I1309" s="12">
        <v>1</v>
      </c>
    </row>
    <row r="1310" spans="2:9">
      <c r="B1310" s="11">
        <f>1000000+INDEX(编号表!$B:$B,MATCH(C1310,编号表!$A:$A,0))*1000+INDEX(编号表!$D:$D,MATCH(D1310,编号表!$C:$C,0))*100+E1310</f>
        <v>1041601</v>
      </c>
      <c r="C1310" s="3" t="s">
        <v>266</v>
      </c>
      <c r="D1310" s="11" t="s">
        <v>46</v>
      </c>
      <c r="E1310" s="11">
        <f t="shared" si="39"/>
        <v>1</v>
      </c>
      <c r="F1310" s="3" t="s">
        <v>264</v>
      </c>
      <c r="G1310" s="16" t="s">
        <v>39</v>
      </c>
      <c r="H1310" s="3">
        <v>60401004</v>
      </c>
      <c r="I1310" s="12">
        <v>1</v>
      </c>
    </row>
    <row r="1311" spans="2:9">
      <c r="B1311" s="11">
        <f>1000000+INDEX(编号表!$B:$B,MATCH(C1311,编号表!$A:$A,0))*1000+INDEX(编号表!$D:$D,MATCH(D1311,编号表!$C:$C,0))*100+E1311</f>
        <v>1041202</v>
      </c>
      <c r="C1311" s="3" t="s">
        <v>266</v>
      </c>
      <c r="D1311" s="11" t="s">
        <v>37</v>
      </c>
      <c r="E1311" s="11">
        <f t="shared" si="39"/>
        <v>2</v>
      </c>
      <c r="F1311" s="3" t="s">
        <v>255</v>
      </c>
      <c r="G1311" s="16" t="s">
        <v>39</v>
      </c>
      <c r="H1311" s="3">
        <v>60401000</v>
      </c>
      <c r="I1311" s="12">
        <v>2</v>
      </c>
    </row>
    <row r="1312" spans="2:9">
      <c r="B1312" s="11">
        <f>1000000+INDEX(编号表!$B:$B,MATCH(C1312,编号表!$A:$A,0))*1000+INDEX(编号表!$D:$D,MATCH(D1312,编号表!$C:$C,0))*100+E1312</f>
        <v>1041302</v>
      </c>
      <c r="C1312" s="3" t="s">
        <v>266</v>
      </c>
      <c r="D1312" s="11" t="s">
        <v>40</v>
      </c>
      <c r="E1312" s="11">
        <f t="shared" si="39"/>
        <v>2</v>
      </c>
      <c r="F1312" s="3" t="s">
        <v>258</v>
      </c>
      <c r="G1312" s="16" t="s">
        <v>39</v>
      </c>
      <c r="H1312" s="3">
        <v>60401001</v>
      </c>
      <c r="I1312" s="12">
        <v>2</v>
      </c>
    </row>
    <row r="1313" spans="2:9">
      <c r="B1313" s="11">
        <f>1000000+INDEX(编号表!$B:$B,MATCH(C1313,编号表!$A:$A,0))*1000+INDEX(编号表!$D:$D,MATCH(D1313,编号表!$C:$C,0))*100+E1313</f>
        <v>1041402</v>
      </c>
      <c r="C1313" s="3" t="s">
        <v>266</v>
      </c>
      <c r="D1313" s="11" t="s">
        <v>42</v>
      </c>
      <c r="E1313" s="11">
        <f t="shared" si="39"/>
        <v>2</v>
      </c>
      <c r="F1313" s="3" t="s">
        <v>263</v>
      </c>
      <c r="G1313" s="16" t="s">
        <v>39</v>
      </c>
      <c r="H1313" s="3">
        <v>60401002</v>
      </c>
      <c r="I1313" s="12">
        <v>2</v>
      </c>
    </row>
    <row r="1314" spans="2:9">
      <c r="B1314" s="11">
        <f>1000000+INDEX(编号表!$B:$B,MATCH(C1314,编号表!$A:$A,0))*1000+INDEX(编号表!$D:$D,MATCH(D1314,编号表!$C:$C,0))*100+E1314</f>
        <v>1041502</v>
      </c>
      <c r="C1314" s="3" t="s">
        <v>266</v>
      </c>
      <c r="D1314" s="11" t="s">
        <v>44</v>
      </c>
      <c r="E1314" s="11">
        <f t="shared" si="39"/>
        <v>2</v>
      </c>
      <c r="F1314" s="3" t="s">
        <v>262</v>
      </c>
      <c r="G1314" s="16" t="s">
        <v>39</v>
      </c>
      <c r="H1314" s="3">
        <v>60401003</v>
      </c>
      <c r="I1314" s="12">
        <v>2</v>
      </c>
    </row>
    <row r="1315" spans="2:9">
      <c r="B1315" s="11">
        <f>1000000+INDEX(编号表!$B:$B,MATCH(C1315,编号表!$A:$A,0))*1000+INDEX(编号表!$D:$D,MATCH(D1315,编号表!$C:$C,0))*100+E1315</f>
        <v>1041602</v>
      </c>
      <c r="C1315" s="3" t="s">
        <v>266</v>
      </c>
      <c r="D1315" s="11" t="s">
        <v>46</v>
      </c>
      <c r="E1315" s="11">
        <f t="shared" si="39"/>
        <v>2</v>
      </c>
      <c r="F1315" s="3" t="s">
        <v>264</v>
      </c>
      <c r="G1315" s="16" t="s">
        <v>39</v>
      </c>
      <c r="H1315" s="3">
        <v>60401004</v>
      </c>
      <c r="I1315" s="12">
        <v>2</v>
      </c>
    </row>
    <row r="1316" spans="2:9">
      <c r="B1316" s="11">
        <f>1000000+INDEX(编号表!$B:$B,MATCH(C1316,编号表!$A:$A,0))*1000+INDEX(编号表!$D:$D,MATCH(D1316,编号表!$C:$C,0))*100+E1316</f>
        <v>1041203</v>
      </c>
      <c r="C1316" s="3" t="s">
        <v>266</v>
      </c>
      <c r="D1316" s="11" t="s">
        <v>37</v>
      </c>
      <c r="E1316" s="11">
        <f t="shared" si="39"/>
        <v>3</v>
      </c>
      <c r="F1316" s="3" t="s">
        <v>255</v>
      </c>
      <c r="G1316" s="16" t="s">
        <v>39</v>
      </c>
      <c r="H1316" s="3">
        <v>60401000</v>
      </c>
      <c r="I1316" s="12">
        <v>3</v>
      </c>
    </row>
    <row r="1317" spans="2:9">
      <c r="B1317" s="11">
        <f>1000000+INDEX(编号表!$B:$B,MATCH(C1317,编号表!$A:$A,0))*1000+INDEX(编号表!$D:$D,MATCH(D1317,编号表!$C:$C,0))*100+E1317</f>
        <v>1041303</v>
      </c>
      <c r="C1317" s="3" t="s">
        <v>266</v>
      </c>
      <c r="D1317" s="11" t="s">
        <v>40</v>
      </c>
      <c r="E1317" s="11">
        <f t="shared" si="39"/>
        <v>3</v>
      </c>
      <c r="F1317" s="3" t="s">
        <v>258</v>
      </c>
      <c r="G1317" s="16" t="s">
        <v>39</v>
      </c>
      <c r="H1317" s="3">
        <v>60401001</v>
      </c>
      <c r="I1317" s="12">
        <v>3</v>
      </c>
    </row>
    <row r="1318" spans="2:9">
      <c r="B1318" s="11">
        <f>1000000+INDEX(编号表!$B:$B,MATCH(C1318,编号表!$A:$A,0))*1000+INDEX(编号表!$D:$D,MATCH(D1318,编号表!$C:$C,0))*100+E1318</f>
        <v>1041403</v>
      </c>
      <c r="C1318" s="3" t="s">
        <v>266</v>
      </c>
      <c r="D1318" s="11" t="s">
        <v>42</v>
      </c>
      <c r="E1318" s="11">
        <f t="shared" si="39"/>
        <v>3</v>
      </c>
      <c r="F1318" s="3" t="s">
        <v>263</v>
      </c>
      <c r="G1318" s="16" t="s">
        <v>39</v>
      </c>
      <c r="H1318" s="3">
        <v>60401002</v>
      </c>
      <c r="I1318" s="12">
        <v>3</v>
      </c>
    </row>
    <row r="1319" spans="2:9">
      <c r="B1319" s="11">
        <f>1000000+INDEX(编号表!$B:$B,MATCH(C1319,编号表!$A:$A,0))*1000+INDEX(编号表!$D:$D,MATCH(D1319,编号表!$C:$C,0))*100+E1319</f>
        <v>1041503</v>
      </c>
      <c r="C1319" s="3" t="s">
        <v>266</v>
      </c>
      <c r="D1319" s="11" t="s">
        <v>44</v>
      </c>
      <c r="E1319" s="11">
        <f t="shared" si="39"/>
        <v>3</v>
      </c>
      <c r="F1319" s="3" t="s">
        <v>262</v>
      </c>
      <c r="G1319" s="16" t="s">
        <v>39</v>
      </c>
      <c r="H1319" s="3">
        <v>60401003</v>
      </c>
      <c r="I1319" s="12">
        <v>3</v>
      </c>
    </row>
    <row r="1320" spans="2:9">
      <c r="B1320" s="11">
        <f>1000000+INDEX(编号表!$B:$B,MATCH(C1320,编号表!$A:$A,0))*1000+INDEX(编号表!$D:$D,MATCH(D1320,编号表!$C:$C,0))*100+E1320</f>
        <v>1041603</v>
      </c>
      <c r="C1320" s="3" t="s">
        <v>266</v>
      </c>
      <c r="D1320" s="11" t="s">
        <v>46</v>
      </c>
      <c r="E1320" s="11">
        <f t="shared" si="39"/>
        <v>3</v>
      </c>
      <c r="F1320" s="3" t="s">
        <v>264</v>
      </c>
      <c r="G1320" s="16" t="s">
        <v>39</v>
      </c>
      <c r="H1320" s="3">
        <v>60401004</v>
      </c>
      <c r="I1320" s="12">
        <v>3</v>
      </c>
    </row>
    <row r="1321" spans="2:9">
      <c r="B1321" s="11">
        <f>1000000+INDEX(编号表!$B:$B,MATCH(C1321,编号表!$A:$A,0))*1000+INDEX(编号表!$D:$D,MATCH(D1321,编号表!$C:$C,0))*100+E1321</f>
        <v>1041205</v>
      </c>
      <c r="C1321" s="3" t="s">
        <v>266</v>
      </c>
      <c r="D1321" s="11" t="s">
        <v>37</v>
      </c>
      <c r="E1321" s="11">
        <f t="shared" si="39"/>
        <v>5</v>
      </c>
      <c r="F1321" s="3" t="s">
        <v>255</v>
      </c>
      <c r="G1321" s="16" t="s">
        <v>39</v>
      </c>
      <c r="H1321" s="3">
        <v>60401000</v>
      </c>
      <c r="I1321" s="12">
        <v>5</v>
      </c>
    </row>
    <row r="1322" spans="2:9">
      <c r="B1322" s="11">
        <f>1000000+INDEX(编号表!$B:$B,MATCH(C1322,编号表!$A:$A,0))*1000+INDEX(编号表!$D:$D,MATCH(D1322,编号表!$C:$C,0))*100+E1322</f>
        <v>1041305</v>
      </c>
      <c r="C1322" s="3" t="s">
        <v>266</v>
      </c>
      <c r="D1322" s="11" t="s">
        <v>40</v>
      </c>
      <c r="E1322" s="11">
        <f t="shared" si="39"/>
        <v>5</v>
      </c>
      <c r="F1322" s="3" t="s">
        <v>258</v>
      </c>
      <c r="G1322" s="16" t="s">
        <v>39</v>
      </c>
      <c r="H1322" s="3">
        <v>60401001</v>
      </c>
      <c r="I1322" s="12">
        <v>5</v>
      </c>
    </row>
    <row r="1323" spans="2:9">
      <c r="B1323" s="11">
        <f>1000000+INDEX(编号表!$B:$B,MATCH(C1323,编号表!$A:$A,0))*1000+INDEX(编号表!$D:$D,MATCH(D1323,编号表!$C:$C,0))*100+E1323</f>
        <v>1041405</v>
      </c>
      <c r="C1323" s="3" t="s">
        <v>266</v>
      </c>
      <c r="D1323" s="11" t="s">
        <v>42</v>
      </c>
      <c r="E1323" s="11">
        <f t="shared" si="39"/>
        <v>5</v>
      </c>
      <c r="F1323" s="3" t="s">
        <v>263</v>
      </c>
      <c r="G1323" s="16" t="s">
        <v>39</v>
      </c>
      <c r="H1323" s="3">
        <v>60401002</v>
      </c>
      <c r="I1323" s="12">
        <v>5</v>
      </c>
    </row>
    <row r="1324" spans="2:9">
      <c r="B1324" s="11">
        <f>1000000+INDEX(编号表!$B:$B,MATCH(C1324,编号表!$A:$A,0))*1000+INDEX(编号表!$D:$D,MATCH(D1324,编号表!$C:$C,0))*100+E1324</f>
        <v>1041505</v>
      </c>
      <c r="C1324" s="3" t="s">
        <v>266</v>
      </c>
      <c r="D1324" s="11" t="s">
        <v>44</v>
      </c>
      <c r="E1324" s="11">
        <f t="shared" si="39"/>
        <v>5</v>
      </c>
      <c r="F1324" s="3" t="s">
        <v>262</v>
      </c>
      <c r="G1324" s="16" t="s">
        <v>39</v>
      </c>
      <c r="H1324" s="3">
        <v>60401003</v>
      </c>
      <c r="I1324" s="12">
        <v>5</v>
      </c>
    </row>
    <row r="1325" spans="2:9">
      <c r="B1325" s="11">
        <f>1000000+INDEX(编号表!$B:$B,MATCH(C1325,编号表!$A:$A,0))*1000+INDEX(编号表!$D:$D,MATCH(D1325,编号表!$C:$C,0))*100+E1325</f>
        <v>1041605</v>
      </c>
      <c r="C1325" s="3" t="s">
        <v>266</v>
      </c>
      <c r="D1325" s="11" t="s">
        <v>46</v>
      </c>
      <c r="E1325" s="11">
        <f t="shared" si="39"/>
        <v>5</v>
      </c>
      <c r="F1325" s="3" t="s">
        <v>264</v>
      </c>
      <c r="G1325" s="16" t="s">
        <v>39</v>
      </c>
      <c r="H1325" s="3">
        <v>60401004</v>
      </c>
      <c r="I1325" s="12">
        <v>5</v>
      </c>
    </row>
    <row r="1326" spans="2:9">
      <c r="B1326" s="11">
        <f>1000000+INDEX(编号表!$B:$B,MATCH(C1326,编号表!$A:$A,0))*1000+INDEX(编号表!$D:$D,MATCH(D1326,编号表!$C:$C,0))*100+E1326</f>
        <v>1041210</v>
      </c>
      <c r="C1326" s="3" t="s">
        <v>266</v>
      </c>
      <c r="D1326" s="11" t="s">
        <v>37</v>
      </c>
      <c r="E1326" s="11">
        <f t="shared" si="39"/>
        <v>10</v>
      </c>
      <c r="F1326" s="3" t="s">
        <v>255</v>
      </c>
      <c r="G1326" s="16" t="s">
        <v>39</v>
      </c>
      <c r="H1326" s="3">
        <v>60401000</v>
      </c>
      <c r="I1326" s="12">
        <v>10</v>
      </c>
    </row>
    <row r="1327" spans="2:9">
      <c r="B1327" s="11">
        <f>1000000+INDEX(编号表!$B:$B,MATCH(C1327,编号表!$A:$A,0))*1000+INDEX(编号表!$D:$D,MATCH(D1327,编号表!$C:$C,0))*100+E1327</f>
        <v>1041310</v>
      </c>
      <c r="C1327" s="3" t="s">
        <v>266</v>
      </c>
      <c r="D1327" s="11" t="s">
        <v>40</v>
      </c>
      <c r="E1327" s="11">
        <f t="shared" si="39"/>
        <v>10</v>
      </c>
      <c r="F1327" s="3" t="s">
        <v>258</v>
      </c>
      <c r="G1327" s="16" t="s">
        <v>39</v>
      </c>
      <c r="H1327" s="3">
        <v>60401001</v>
      </c>
      <c r="I1327" s="12">
        <v>10</v>
      </c>
    </row>
    <row r="1328" spans="2:9">
      <c r="B1328" s="11">
        <f>1000000+INDEX(编号表!$B:$B,MATCH(C1328,编号表!$A:$A,0))*1000+INDEX(编号表!$D:$D,MATCH(D1328,编号表!$C:$C,0))*100+E1328</f>
        <v>1041410</v>
      </c>
      <c r="C1328" s="3" t="s">
        <v>266</v>
      </c>
      <c r="D1328" s="11" t="s">
        <v>42</v>
      </c>
      <c r="E1328" s="11">
        <f t="shared" si="39"/>
        <v>10</v>
      </c>
      <c r="F1328" s="3" t="s">
        <v>263</v>
      </c>
      <c r="G1328" s="16" t="s">
        <v>39</v>
      </c>
      <c r="H1328" s="3">
        <v>60401002</v>
      </c>
      <c r="I1328" s="12">
        <v>10</v>
      </c>
    </row>
    <row r="1329" spans="2:9">
      <c r="B1329" s="11">
        <f>1000000+INDEX(编号表!$B:$B,MATCH(C1329,编号表!$A:$A,0))*1000+INDEX(编号表!$D:$D,MATCH(D1329,编号表!$C:$C,0))*100+E1329</f>
        <v>1041510</v>
      </c>
      <c r="C1329" s="3" t="s">
        <v>266</v>
      </c>
      <c r="D1329" s="11" t="s">
        <v>44</v>
      </c>
      <c r="E1329" s="11">
        <f t="shared" si="39"/>
        <v>10</v>
      </c>
      <c r="F1329" s="3" t="s">
        <v>262</v>
      </c>
      <c r="G1329" s="16" t="s">
        <v>39</v>
      </c>
      <c r="H1329" s="3">
        <v>60401003</v>
      </c>
      <c r="I1329" s="12">
        <v>10</v>
      </c>
    </row>
    <row r="1330" spans="2:9">
      <c r="B1330" s="11">
        <f>1000000+INDEX(编号表!$B:$B,MATCH(C1330,编号表!$A:$A,0))*1000+INDEX(编号表!$D:$D,MATCH(D1330,编号表!$C:$C,0))*100+E1330</f>
        <v>1041610</v>
      </c>
      <c r="C1330" s="3" t="s">
        <v>266</v>
      </c>
      <c r="D1330" s="11" t="s">
        <v>46</v>
      </c>
      <c r="E1330" s="11">
        <f t="shared" si="39"/>
        <v>10</v>
      </c>
      <c r="F1330" s="3" t="s">
        <v>264</v>
      </c>
      <c r="G1330" s="16" t="s">
        <v>39</v>
      </c>
      <c r="H1330" s="3">
        <v>60401004</v>
      </c>
      <c r="I1330" s="12">
        <v>10</v>
      </c>
    </row>
    <row r="1331" spans="2:9">
      <c r="B1331" s="11">
        <f>1000000+INDEX(编号表!$B:$B,MATCH(C1331,编号表!$A:$A,0))*1000+INDEX(编号表!$D:$D,MATCH(D1331,编号表!$C:$C,0))*100+E1331</f>
        <v>1041215</v>
      </c>
      <c r="C1331" s="3" t="s">
        <v>266</v>
      </c>
      <c r="D1331" s="11" t="s">
        <v>37</v>
      </c>
      <c r="E1331" s="11">
        <f t="shared" si="39"/>
        <v>15</v>
      </c>
      <c r="F1331" s="3" t="s">
        <v>255</v>
      </c>
      <c r="G1331" s="16" t="s">
        <v>39</v>
      </c>
      <c r="H1331" s="3">
        <v>60401000</v>
      </c>
      <c r="I1331" s="12">
        <v>15</v>
      </c>
    </row>
    <row r="1332" spans="2:9">
      <c r="B1332" s="11">
        <f>1000000+INDEX(编号表!$B:$B,MATCH(C1332,编号表!$A:$A,0))*1000+INDEX(编号表!$D:$D,MATCH(D1332,编号表!$C:$C,0))*100+E1332</f>
        <v>1041315</v>
      </c>
      <c r="C1332" s="3" t="s">
        <v>266</v>
      </c>
      <c r="D1332" s="11" t="s">
        <v>40</v>
      </c>
      <c r="E1332" s="11">
        <f t="shared" si="39"/>
        <v>15</v>
      </c>
      <c r="F1332" s="3" t="s">
        <v>258</v>
      </c>
      <c r="G1332" s="16" t="s">
        <v>39</v>
      </c>
      <c r="H1332" s="3">
        <v>60401001</v>
      </c>
      <c r="I1332" s="12">
        <v>15</v>
      </c>
    </row>
    <row r="1333" spans="2:9">
      <c r="B1333" s="11">
        <f>1000000+INDEX(编号表!$B:$B,MATCH(C1333,编号表!$A:$A,0))*1000+INDEX(编号表!$D:$D,MATCH(D1333,编号表!$C:$C,0))*100+E1333</f>
        <v>1041415</v>
      </c>
      <c r="C1333" s="3" t="s">
        <v>266</v>
      </c>
      <c r="D1333" s="11" t="s">
        <v>42</v>
      </c>
      <c r="E1333" s="11">
        <f t="shared" si="39"/>
        <v>15</v>
      </c>
      <c r="F1333" s="3" t="s">
        <v>263</v>
      </c>
      <c r="G1333" s="16" t="s">
        <v>39</v>
      </c>
      <c r="H1333" s="3">
        <v>60401002</v>
      </c>
      <c r="I1333" s="12">
        <v>15</v>
      </c>
    </row>
    <row r="1334" spans="2:9">
      <c r="B1334" s="11">
        <f>1000000+INDEX(编号表!$B:$B,MATCH(C1334,编号表!$A:$A,0))*1000+INDEX(编号表!$D:$D,MATCH(D1334,编号表!$C:$C,0))*100+E1334</f>
        <v>1041515</v>
      </c>
      <c r="C1334" s="3" t="s">
        <v>266</v>
      </c>
      <c r="D1334" s="11" t="s">
        <v>44</v>
      </c>
      <c r="E1334" s="11">
        <f t="shared" si="39"/>
        <v>15</v>
      </c>
      <c r="F1334" s="3" t="s">
        <v>262</v>
      </c>
      <c r="G1334" s="16" t="s">
        <v>39</v>
      </c>
      <c r="H1334" s="3">
        <v>60401003</v>
      </c>
      <c r="I1334" s="12">
        <v>15</v>
      </c>
    </row>
    <row r="1335" spans="2:9">
      <c r="B1335" s="11">
        <f>1000000+INDEX(编号表!$B:$B,MATCH(C1335,编号表!$A:$A,0))*1000+INDEX(编号表!$D:$D,MATCH(D1335,编号表!$C:$C,0))*100+E1335</f>
        <v>1041615</v>
      </c>
      <c r="C1335" s="3" t="s">
        <v>266</v>
      </c>
      <c r="D1335" s="11" t="s">
        <v>46</v>
      </c>
      <c r="E1335" s="11">
        <f t="shared" si="39"/>
        <v>15</v>
      </c>
      <c r="F1335" s="3" t="s">
        <v>264</v>
      </c>
      <c r="G1335" s="16" t="s">
        <v>39</v>
      </c>
      <c r="H1335" s="3">
        <v>60401004</v>
      </c>
      <c r="I1335" s="12">
        <v>15</v>
      </c>
    </row>
  </sheetData>
  <autoFilter xmlns:etc="http://www.wps.cn/officeDocument/2017/etCustomData" ref="A2:Z1335" etc:filterBottomFollowUsedRange="0">
    <extLst/>
  </autoFilter>
  <mergeCells count="2">
    <mergeCell ref="H1:AA1"/>
    <mergeCell ref="H2:AA2"/>
  </mergeCells>
  <conditionalFormatting sqref="I13">
    <cfRule type="duplicateValues" dxfId="0" priority="617"/>
  </conditionalFormatting>
  <conditionalFormatting sqref="J13">
    <cfRule type="duplicateValues" dxfId="0" priority="616"/>
  </conditionalFormatting>
  <conditionalFormatting sqref="I15">
    <cfRule type="duplicateValues" dxfId="0" priority="615"/>
  </conditionalFormatting>
  <conditionalFormatting sqref="L17">
    <cfRule type="duplicateValues" dxfId="0" priority="621"/>
  </conditionalFormatting>
  <conditionalFormatting sqref="M17">
    <cfRule type="duplicateValues" dxfId="0" priority="620"/>
  </conditionalFormatting>
  <conditionalFormatting sqref="J37">
    <cfRule type="duplicateValues" dxfId="0" priority="604"/>
  </conditionalFormatting>
  <conditionalFormatting sqref="K37">
    <cfRule type="duplicateValues" dxfId="0" priority="603"/>
  </conditionalFormatting>
  <conditionalFormatting sqref="L37">
    <cfRule type="duplicateValues" dxfId="0" priority="602"/>
  </conditionalFormatting>
  <conditionalFormatting sqref="M37">
    <cfRule type="duplicateValues" dxfId="0" priority="601"/>
  </conditionalFormatting>
  <conditionalFormatting sqref="G431">
    <cfRule type="duplicateValues" dxfId="1" priority="506"/>
  </conditionalFormatting>
  <conditionalFormatting sqref="G463">
    <cfRule type="duplicateValues" dxfId="1" priority="490"/>
  </conditionalFormatting>
  <conditionalFormatting sqref="G495">
    <cfRule type="duplicateValues" dxfId="1" priority="476"/>
  </conditionalFormatting>
  <conditionalFormatting sqref="G605">
    <cfRule type="duplicateValues" dxfId="1" priority="432"/>
  </conditionalFormatting>
  <conditionalFormatting sqref="G630">
    <cfRule type="duplicateValues" dxfId="1" priority="404"/>
  </conditionalFormatting>
  <conditionalFormatting sqref="G631">
    <cfRule type="duplicateValues" dxfId="1" priority="412"/>
  </conditionalFormatting>
  <conditionalFormatting sqref="G651">
    <cfRule type="duplicateValues" dxfId="1" priority="376"/>
  </conditionalFormatting>
  <conditionalFormatting sqref="G652">
    <cfRule type="duplicateValues" dxfId="1" priority="375"/>
  </conditionalFormatting>
  <conditionalFormatting sqref="G653">
    <cfRule type="duplicateValues" dxfId="1" priority="372"/>
  </conditionalFormatting>
  <conditionalFormatting sqref="G654">
    <cfRule type="duplicateValues" dxfId="1" priority="371"/>
  </conditionalFormatting>
  <conditionalFormatting sqref="G655">
    <cfRule type="duplicateValues" dxfId="1" priority="368"/>
  </conditionalFormatting>
  <conditionalFormatting sqref="G656">
    <cfRule type="duplicateValues" dxfId="1" priority="367"/>
  </conditionalFormatting>
  <conditionalFormatting sqref="G657">
    <cfRule type="duplicateValues" dxfId="1" priority="364"/>
  </conditionalFormatting>
  <conditionalFormatting sqref="G658">
    <cfRule type="duplicateValues" dxfId="1" priority="363"/>
  </conditionalFormatting>
  <conditionalFormatting sqref="G659">
    <cfRule type="duplicateValues" dxfId="1" priority="360"/>
  </conditionalFormatting>
  <conditionalFormatting sqref="G660">
    <cfRule type="duplicateValues" dxfId="1" priority="359"/>
  </conditionalFormatting>
  <conditionalFormatting sqref="G661">
    <cfRule type="duplicateValues" dxfId="1" priority="356"/>
  </conditionalFormatting>
  <conditionalFormatting sqref="G662">
    <cfRule type="duplicateValues" dxfId="1" priority="355"/>
  </conditionalFormatting>
  <conditionalFormatting sqref="G664">
    <cfRule type="duplicateValues" dxfId="1" priority="350"/>
  </conditionalFormatting>
  <conditionalFormatting sqref="G690">
    <cfRule type="duplicateValues" dxfId="1" priority="334"/>
  </conditionalFormatting>
  <conditionalFormatting sqref="G748">
    <cfRule type="duplicateValues" dxfId="1" priority="306"/>
  </conditionalFormatting>
  <conditionalFormatting sqref="G774">
    <cfRule type="duplicateValues" dxfId="1" priority="290"/>
  </conditionalFormatting>
  <conditionalFormatting sqref="G911">
    <cfRule type="duplicateValues" dxfId="1" priority="234"/>
  </conditionalFormatting>
  <conditionalFormatting sqref="G939">
    <cfRule type="duplicateValues" dxfId="1" priority="194"/>
  </conditionalFormatting>
  <conditionalFormatting sqref="G965">
    <cfRule type="duplicateValues" dxfId="1" priority="176"/>
  </conditionalFormatting>
  <conditionalFormatting sqref="G991">
    <cfRule type="duplicateValues" dxfId="1" priority="160"/>
  </conditionalFormatting>
  <conditionalFormatting sqref="G1101">
    <cfRule type="duplicateValues" dxfId="1" priority="114"/>
  </conditionalFormatting>
  <conditionalFormatting sqref="G1133">
    <cfRule type="duplicateValues" dxfId="1" priority="98"/>
  </conditionalFormatting>
  <conditionalFormatting sqref="G1165">
    <cfRule type="duplicateValues" dxfId="1" priority="82"/>
  </conditionalFormatting>
  <conditionalFormatting sqref="G1197">
    <cfRule type="duplicateValues" dxfId="1" priority="66"/>
  </conditionalFormatting>
  <conditionalFormatting sqref="G1269">
    <cfRule type="duplicateValues" dxfId="1" priority="34"/>
  </conditionalFormatting>
  <conditionalFormatting sqref="G1303">
    <cfRule type="duplicateValues" dxfId="1" priority="18"/>
  </conditionalFormatting>
  <conditionalFormatting sqref="E327:E331">
    <cfRule type="duplicateValues" dxfId="1" priority="554"/>
  </conditionalFormatting>
  <conditionalFormatting sqref="E332:E336">
    <cfRule type="duplicateValues" dxfId="1" priority="550"/>
  </conditionalFormatting>
  <conditionalFormatting sqref="E337:E341">
    <cfRule type="duplicateValues" dxfId="1" priority="546"/>
  </conditionalFormatting>
  <conditionalFormatting sqref="E342:E346">
    <cfRule type="duplicateValues" dxfId="1" priority="542"/>
  </conditionalFormatting>
  <conditionalFormatting sqref="E347:E351">
    <cfRule type="duplicateValues" dxfId="1" priority="538"/>
  </conditionalFormatting>
  <conditionalFormatting sqref="E352:E356">
    <cfRule type="duplicateValues" dxfId="1" priority="534"/>
  </conditionalFormatting>
  <conditionalFormatting sqref="G3:G4">
    <cfRule type="duplicateValues" dxfId="1" priority="3"/>
  </conditionalFormatting>
  <conditionalFormatting sqref="G149:G154">
    <cfRule type="duplicateValues" dxfId="1" priority="600"/>
  </conditionalFormatting>
  <conditionalFormatting sqref="G155:G160">
    <cfRule type="duplicateValues" dxfId="1" priority="598"/>
  </conditionalFormatting>
  <conditionalFormatting sqref="G161:G166">
    <cfRule type="duplicateValues" dxfId="1" priority="596"/>
  </conditionalFormatting>
  <conditionalFormatting sqref="G167:G172">
    <cfRule type="duplicateValues" dxfId="1" priority="594"/>
  </conditionalFormatting>
  <conditionalFormatting sqref="G173:G178">
    <cfRule type="duplicateValues" dxfId="1" priority="592"/>
  </conditionalFormatting>
  <conditionalFormatting sqref="G179:G184">
    <cfRule type="duplicateValues" dxfId="1" priority="590"/>
  </conditionalFormatting>
  <conditionalFormatting sqref="G207:G213">
    <cfRule type="duplicateValues" dxfId="1" priority="587"/>
  </conditionalFormatting>
  <conditionalFormatting sqref="G214:G220">
    <cfRule type="duplicateValues" dxfId="1" priority="586"/>
  </conditionalFormatting>
  <conditionalFormatting sqref="G221:G227">
    <cfRule type="duplicateValues" dxfId="1" priority="584"/>
  </conditionalFormatting>
  <conditionalFormatting sqref="G228:G234">
    <cfRule type="duplicateValues" dxfId="1" priority="582"/>
  </conditionalFormatting>
  <conditionalFormatting sqref="G235:G241">
    <cfRule type="duplicateValues" dxfId="1" priority="580"/>
  </conditionalFormatting>
  <conditionalFormatting sqref="G242:G248">
    <cfRule type="duplicateValues" dxfId="1" priority="578"/>
  </conditionalFormatting>
  <conditionalFormatting sqref="G271:G274">
    <cfRule type="duplicateValues" dxfId="1" priority="576"/>
  </conditionalFormatting>
  <conditionalFormatting sqref="G275:G278">
    <cfRule type="duplicateValues" dxfId="1" priority="574"/>
  </conditionalFormatting>
  <conditionalFormatting sqref="G279:G282">
    <cfRule type="duplicateValues" dxfId="1" priority="572"/>
  </conditionalFormatting>
  <conditionalFormatting sqref="G283:G286">
    <cfRule type="duplicateValues" dxfId="1" priority="570"/>
  </conditionalFormatting>
  <conditionalFormatting sqref="G287:G290">
    <cfRule type="duplicateValues" dxfId="1" priority="568"/>
  </conditionalFormatting>
  <conditionalFormatting sqref="G294:G298">
    <cfRule type="duplicateValues" dxfId="1" priority="566"/>
  </conditionalFormatting>
  <conditionalFormatting sqref="G299:G303">
    <cfRule type="duplicateValues" dxfId="1" priority="564"/>
  </conditionalFormatting>
  <conditionalFormatting sqref="G304:G308">
    <cfRule type="duplicateValues" dxfId="1" priority="562"/>
  </conditionalFormatting>
  <conditionalFormatting sqref="G309:G313">
    <cfRule type="duplicateValues" dxfId="1" priority="560"/>
  </conditionalFormatting>
  <conditionalFormatting sqref="G314:G318">
    <cfRule type="duplicateValues" dxfId="1" priority="558"/>
  </conditionalFormatting>
  <conditionalFormatting sqref="G319:G323">
    <cfRule type="duplicateValues" dxfId="1" priority="556"/>
  </conditionalFormatting>
  <conditionalFormatting sqref="G327:G331">
    <cfRule type="duplicateValues" dxfId="1" priority="552"/>
  </conditionalFormatting>
  <conditionalFormatting sqref="G332:G336">
    <cfRule type="duplicateValues" dxfId="1" priority="548"/>
  </conditionalFormatting>
  <conditionalFormatting sqref="G337:G341">
    <cfRule type="duplicateValues" dxfId="1" priority="544"/>
  </conditionalFormatting>
  <conditionalFormatting sqref="G342:G346">
    <cfRule type="duplicateValues" dxfId="1" priority="540"/>
  </conditionalFormatting>
  <conditionalFormatting sqref="G347:G351">
    <cfRule type="duplicateValues" dxfId="1" priority="536"/>
  </conditionalFormatting>
  <conditionalFormatting sqref="G352:G356">
    <cfRule type="duplicateValues" dxfId="1" priority="532"/>
  </conditionalFormatting>
  <conditionalFormatting sqref="G362:G367">
    <cfRule type="duplicateValues" dxfId="1" priority="530"/>
  </conditionalFormatting>
  <conditionalFormatting sqref="G368:G373">
    <cfRule type="duplicateValues" dxfId="1" priority="528"/>
  </conditionalFormatting>
  <conditionalFormatting sqref="G374:G379">
    <cfRule type="duplicateValues" dxfId="1" priority="526"/>
  </conditionalFormatting>
  <conditionalFormatting sqref="G380:G385">
    <cfRule type="duplicateValues" dxfId="1" priority="524"/>
  </conditionalFormatting>
  <conditionalFormatting sqref="G386:G391">
    <cfRule type="duplicateValues" dxfId="1" priority="522"/>
  </conditionalFormatting>
  <conditionalFormatting sqref="G392:G397">
    <cfRule type="duplicateValues" dxfId="1" priority="520"/>
  </conditionalFormatting>
  <conditionalFormatting sqref="G400:G404">
    <cfRule type="duplicateValues" dxfId="1" priority="517"/>
  </conditionalFormatting>
  <conditionalFormatting sqref="G405:G409">
    <cfRule type="duplicateValues" dxfId="1" priority="516"/>
  </conditionalFormatting>
  <conditionalFormatting sqref="G410:G414">
    <cfRule type="duplicateValues" dxfId="1" priority="514"/>
  </conditionalFormatting>
  <conditionalFormatting sqref="G415:G419">
    <cfRule type="duplicateValues" dxfId="1" priority="512"/>
  </conditionalFormatting>
  <conditionalFormatting sqref="G420:G424">
    <cfRule type="duplicateValues" dxfId="1" priority="510"/>
  </conditionalFormatting>
  <conditionalFormatting sqref="G425:G429">
    <cfRule type="duplicateValues" dxfId="1" priority="508"/>
  </conditionalFormatting>
  <conditionalFormatting sqref="G432:G436">
    <cfRule type="duplicateValues" dxfId="1" priority="504"/>
  </conditionalFormatting>
  <conditionalFormatting sqref="G437:G441">
    <cfRule type="duplicateValues" dxfId="1" priority="502"/>
  </conditionalFormatting>
  <conditionalFormatting sqref="G442:G446">
    <cfRule type="duplicateValues" dxfId="1" priority="500"/>
  </conditionalFormatting>
  <conditionalFormatting sqref="G447:G451">
    <cfRule type="duplicateValues" dxfId="1" priority="498"/>
  </conditionalFormatting>
  <conditionalFormatting sqref="G452:G456">
    <cfRule type="duplicateValues" dxfId="1" priority="496"/>
  </conditionalFormatting>
  <conditionalFormatting sqref="G457:G461">
    <cfRule type="duplicateValues" dxfId="1" priority="494"/>
  </conditionalFormatting>
  <conditionalFormatting sqref="G464:G468">
    <cfRule type="duplicateValues" dxfId="1" priority="488"/>
  </conditionalFormatting>
  <conditionalFormatting sqref="G469:G473">
    <cfRule type="duplicateValues" dxfId="1" priority="486"/>
  </conditionalFormatting>
  <conditionalFormatting sqref="G474:G478">
    <cfRule type="duplicateValues" dxfId="1" priority="484"/>
  </conditionalFormatting>
  <conditionalFormatting sqref="G479:G483">
    <cfRule type="duplicateValues" dxfId="1" priority="482"/>
  </conditionalFormatting>
  <conditionalFormatting sqref="G484:G488">
    <cfRule type="duplicateValues" dxfId="1" priority="480"/>
  </conditionalFormatting>
  <conditionalFormatting sqref="G489:G493">
    <cfRule type="duplicateValues" dxfId="1" priority="478"/>
  </conditionalFormatting>
  <conditionalFormatting sqref="G496:G499">
    <cfRule type="duplicateValues" dxfId="1" priority="474"/>
  </conditionalFormatting>
  <conditionalFormatting sqref="G500:G503">
    <cfRule type="duplicateValues" dxfId="1" priority="472"/>
  </conditionalFormatting>
  <conditionalFormatting sqref="G504:G507">
    <cfRule type="duplicateValues" dxfId="1" priority="470"/>
  </conditionalFormatting>
  <conditionalFormatting sqref="G508:G511">
    <cfRule type="duplicateValues" dxfId="1" priority="468"/>
  </conditionalFormatting>
  <conditionalFormatting sqref="G512:G515">
    <cfRule type="duplicateValues" dxfId="1" priority="466"/>
  </conditionalFormatting>
  <conditionalFormatting sqref="G516:G519">
    <cfRule type="duplicateValues" dxfId="1" priority="464"/>
  </conditionalFormatting>
  <conditionalFormatting sqref="G521:G522">
    <cfRule type="duplicateValues" dxfId="1" priority="462"/>
  </conditionalFormatting>
  <conditionalFormatting sqref="G523:G528">
    <cfRule type="duplicateValues" dxfId="1" priority="460"/>
  </conditionalFormatting>
  <conditionalFormatting sqref="G529:G534">
    <cfRule type="duplicateValues" dxfId="1" priority="458"/>
  </conditionalFormatting>
  <conditionalFormatting sqref="G535:G540">
    <cfRule type="duplicateValues" dxfId="1" priority="456"/>
  </conditionalFormatting>
  <conditionalFormatting sqref="G541:G546">
    <cfRule type="duplicateValues" dxfId="1" priority="454"/>
  </conditionalFormatting>
  <conditionalFormatting sqref="G547:G552">
    <cfRule type="duplicateValues" dxfId="1" priority="452"/>
  </conditionalFormatting>
  <conditionalFormatting sqref="G553:G558">
    <cfRule type="duplicateValues" dxfId="1" priority="450"/>
  </conditionalFormatting>
  <conditionalFormatting sqref="G560:G561">
    <cfRule type="duplicateValues" dxfId="1" priority="448"/>
  </conditionalFormatting>
  <conditionalFormatting sqref="G562:G568">
    <cfRule type="duplicateValues" dxfId="1" priority="446"/>
  </conditionalFormatting>
  <conditionalFormatting sqref="G569:G575">
    <cfRule type="duplicateValues" dxfId="1" priority="444"/>
  </conditionalFormatting>
  <conditionalFormatting sqref="G576:G582">
    <cfRule type="duplicateValues" dxfId="1" priority="442"/>
  </conditionalFormatting>
  <conditionalFormatting sqref="G583:G589">
    <cfRule type="duplicateValues" dxfId="1" priority="440"/>
  </conditionalFormatting>
  <conditionalFormatting sqref="G590:G596">
    <cfRule type="duplicateValues" dxfId="1" priority="438"/>
  </conditionalFormatting>
  <conditionalFormatting sqref="G597:G603">
    <cfRule type="duplicateValues" dxfId="1" priority="436"/>
  </conditionalFormatting>
  <conditionalFormatting sqref="G606:G609">
    <cfRule type="duplicateValues" dxfId="1" priority="430"/>
  </conditionalFormatting>
  <conditionalFormatting sqref="G610:G613">
    <cfRule type="duplicateValues" dxfId="1" priority="428"/>
  </conditionalFormatting>
  <conditionalFormatting sqref="G614:G617">
    <cfRule type="duplicateValues" dxfId="1" priority="426"/>
  </conditionalFormatting>
  <conditionalFormatting sqref="G618:G621">
    <cfRule type="duplicateValues" dxfId="1" priority="424"/>
  </conditionalFormatting>
  <conditionalFormatting sqref="G622:G625">
    <cfRule type="duplicateValues" dxfId="1" priority="422"/>
  </conditionalFormatting>
  <conditionalFormatting sqref="G626:G629">
    <cfRule type="duplicateValues" dxfId="1" priority="420"/>
  </conditionalFormatting>
  <conditionalFormatting sqref="G632:G634">
    <cfRule type="duplicateValues" dxfId="1" priority="410"/>
  </conditionalFormatting>
  <conditionalFormatting sqref="G635:G637">
    <cfRule type="duplicateValues" dxfId="1" priority="408"/>
  </conditionalFormatting>
  <conditionalFormatting sqref="G638:G640">
    <cfRule type="duplicateValues" dxfId="1" priority="406"/>
  </conditionalFormatting>
  <conditionalFormatting sqref="G641:G643">
    <cfRule type="duplicateValues" dxfId="1" priority="402"/>
  </conditionalFormatting>
  <conditionalFormatting sqref="G644:G646">
    <cfRule type="duplicateValues" dxfId="1" priority="400"/>
  </conditionalFormatting>
  <conditionalFormatting sqref="G647:G649">
    <cfRule type="duplicateValues" dxfId="1" priority="398"/>
  </conditionalFormatting>
  <conditionalFormatting sqref="G665:G668">
    <cfRule type="duplicateValues" dxfId="1" priority="348"/>
  </conditionalFormatting>
  <conditionalFormatting sqref="G669:G672">
    <cfRule type="duplicateValues" dxfId="1" priority="346"/>
  </conditionalFormatting>
  <conditionalFormatting sqref="G673:G676">
    <cfRule type="duplicateValues" dxfId="1" priority="344"/>
  </conditionalFormatting>
  <conditionalFormatting sqref="G677:G680">
    <cfRule type="duplicateValues" dxfId="1" priority="342"/>
  </conditionalFormatting>
  <conditionalFormatting sqref="G681:G684">
    <cfRule type="duplicateValues" dxfId="1" priority="340"/>
  </conditionalFormatting>
  <conditionalFormatting sqref="G685:G688">
    <cfRule type="duplicateValues" dxfId="1" priority="338"/>
  </conditionalFormatting>
  <conditionalFormatting sqref="G691:G694">
    <cfRule type="duplicateValues" dxfId="1" priority="332"/>
  </conditionalFormatting>
  <conditionalFormatting sqref="G695:G698">
    <cfRule type="duplicateValues" dxfId="1" priority="330"/>
  </conditionalFormatting>
  <conditionalFormatting sqref="G699:G702">
    <cfRule type="duplicateValues" dxfId="1" priority="328"/>
  </conditionalFormatting>
  <conditionalFormatting sqref="G703:G706">
    <cfRule type="duplicateValues" dxfId="1" priority="326"/>
  </conditionalFormatting>
  <conditionalFormatting sqref="G707:G710">
    <cfRule type="duplicateValues" dxfId="1" priority="324"/>
  </conditionalFormatting>
  <conditionalFormatting sqref="G711:G714">
    <cfRule type="duplicateValues" dxfId="1" priority="322"/>
  </conditionalFormatting>
  <conditionalFormatting sqref="G717:G721">
    <cfRule type="duplicateValues" dxfId="1" priority="319"/>
  </conditionalFormatting>
  <conditionalFormatting sqref="G722:G726">
    <cfRule type="duplicateValues" dxfId="1" priority="318"/>
  </conditionalFormatting>
  <conditionalFormatting sqref="G727:G731">
    <cfRule type="duplicateValues" dxfId="1" priority="316"/>
  </conditionalFormatting>
  <conditionalFormatting sqref="G732:G736">
    <cfRule type="duplicateValues" dxfId="1" priority="314"/>
  </conditionalFormatting>
  <conditionalFormatting sqref="G737:G741">
    <cfRule type="duplicateValues" dxfId="1" priority="312"/>
  </conditionalFormatting>
  <conditionalFormatting sqref="G742:G746">
    <cfRule type="duplicateValues" dxfId="1" priority="310"/>
  </conditionalFormatting>
  <conditionalFormatting sqref="G749:G752">
    <cfRule type="duplicateValues" dxfId="1" priority="304"/>
  </conditionalFormatting>
  <conditionalFormatting sqref="G753:G756">
    <cfRule type="duplicateValues" dxfId="1" priority="302"/>
  </conditionalFormatting>
  <conditionalFormatting sqref="G757:G760">
    <cfRule type="duplicateValues" dxfId="1" priority="300"/>
  </conditionalFormatting>
  <conditionalFormatting sqref="G761:G764">
    <cfRule type="duplicateValues" dxfId="1" priority="298"/>
  </conditionalFormatting>
  <conditionalFormatting sqref="G765:G768">
    <cfRule type="duplicateValues" dxfId="1" priority="296"/>
  </conditionalFormatting>
  <conditionalFormatting sqref="G769:G772">
    <cfRule type="duplicateValues" dxfId="1" priority="294"/>
  </conditionalFormatting>
  <conditionalFormatting sqref="G775:G780">
    <cfRule type="duplicateValues" dxfId="1" priority="288"/>
  </conditionalFormatting>
  <conditionalFormatting sqref="G781:G786">
    <cfRule type="duplicateValues" dxfId="1" priority="286"/>
  </conditionalFormatting>
  <conditionalFormatting sqref="G787:G792">
    <cfRule type="duplicateValues" dxfId="1" priority="284"/>
  </conditionalFormatting>
  <conditionalFormatting sqref="G793:G798">
    <cfRule type="duplicateValues" dxfId="1" priority="282"/>
  </conditionalFormatting>
  <conditionalFormatting sqref="G799:G804">
    <cfRule type="duplicateValues" dxfId="1" priority="280"/>
  </conditionalFormatting>
  <conditionalFormatting sqref="G805:G810">
    <cfRule type="duplicateValues" dxfId="1" priority="278"/>
  </conditionalFormatting>
  <conditionalFormatting sqref="G812:G813">
    <cfRule type="duplicateValues" dxfId="1" priority="274"/>
  </conditionalFormatting>
  <conditionalFormatting sqref="G814:G821">
    <cfRule type="duplicateValues" dxfId="1" priority="272"/>
  </conditionalFormatting>
  <conditionalFormatting sqref="G822:G829">
    <cfRule type="duplicateValues" dxfId="1" priority="270"/>
  </conditionalFormatting>
  <conditionalFormatting sqref="G830:G837">
    <cfRule type="duplicateValues" dxfId="1" priority="268"/>
  </conditionalFormatting>
  <conditionalFormatting sqref="G838:G845">
    <cfRule type="duplicateValues" dxfId="1" priority="266"/>
  </conditionalFormatting>
  <conditionalFormatting sqref="G846:G853">
    <cfRule type="duplicateValues" dxfId="1" priority="264"/>
  </conditionalFormatting>
  <conditionalFormatting sqref="G854:G861">
    <cfRule type="duplicateValues" dxfId="1" priority="262"/>
  </conditionalFormatting>
  <conditionalFormatting sqref="G865:G867">
    <cfRule type="duplicateValues" dxfId="1" priority="258"/>
  </conditionalFormatting>
  <conditionalFormatting sqref="G868:G874">
    <cfRule type="duplicateValues" dxfId="1" priority="256"/>
  </conditionalFormatting>
  <conditionalFormatting sqref="G875:G881">
    <cfRule type="duplicateValues" dxfId="1" priority="254"/>
  </conditionalFormatting>
  <conditionalFormatting sqref="G882:G888">
    <cfRule type="duplicateValues" dxfId="1" priority="252"/>
  </conditionalFormatting>
  <conditionalFormatting sqref="G889:G895">
    <cfRule type="duplicateValues" dxfId="1" priority="250"/>
  </conditionalFormatting>
  <conditionalFormatting sqref="G896:G902">
    <cfRule type="duplicateValues" dxfId="1" priority="248"/>
  </conditionalFormatting>
  <conditionalFormatting sqref="G903:G909">
    <cfRule type="duplicateValues" dxfId="1" priority="246"/>
  </conditionalFormatting>
  <conditionalFormatting sqref="G912:G913">
    <cfRule type="duplicateValues" dxfId="1" priority="232"/>
  </conditionalFormatting>
  <conditionalFormatting sqref="G914:G915">
    <cfRule type="duplicateValues" dxfId="1" priority="230"/>
  </conditionalFormatting>
  <conditionalFormatting sqref="G916:G917">
    <cfRule type="duplicateValues" dxfId="1" priority="228"/>
  </conditionalFormatting>
  <conditionalFormatting sqref="G918:G919">
    <cfRule type="duplicateValues" dxfId="1" priority="226"/>
  </conditionalFormatting>
  <conditionalFormatting sqref="G920:G921">
    <cfRule type="duplicateValues" dxfId="1" priority="224"/>
  </conditionalFormatting>
  <conditionalFormatting sqref="G922:G923">
    <cfRule type="duplicateValues" dxfId="1" priority="222"/>
  </conditionalFormatting>
  <conditionalFormatting sqref="G926:G927">
    <cfRule type="duplicateValues" dxfId="1" priority="206"/>
  </conditionalFormatting>
  <conditionalFormatting sqref="G928:G929">
    <cfRule type="duplicateValues" dxfId="1" priority="204"/>
  </conditionalFormatting>
  <conditionalFormatting sqref="G930:G931">
    <cfRule type="duplicateValues" dxfId="1" priority="202"/>
  </conditionalFormatting>
  <conditionalFormatting sqref="G932:G933">
    <cfRule type="duplicateValues" dxfId="1" priority="200"/>
  </conditionalFormatting>
  <conditionalFormatting sqref="G934:G935">
    <cfRule type="duplicateValues" dxfId="1" priority="198"/>
  </conditionalFormatting>
  <conditionalFormatting sqref="G936:G937">
    <cfRule type="duplicateValues" dxfId="1" priority="196"/>
  </conditionalFormatting>
  <conditionalFormatting sqref="G940:G943">
    <cfRule type="duplicateValues" dxfId="1" priority="192"/>
  </conditionalFormatting>
  <conditionalFormatting sqref="G944:G947">
    <cfRule type="duplicateValues" dxfId="1" priority="190"/>
  </conditionalFormatting>
  <conditionalFormatting sqref="G948:G951">
    <cfRule type="duplicateValues" dxfId="1" priority="188"/>
  </conditionalFormatting>
  <conditionalFormatting sqref="G952:G955">
    <cfRule type="duplicateValues" dxfId="1" priority="186"/>
  </conditionalFormatting>
  <conditionalFormatting sqref="G956:G959">
    <cfRule type="duplicateValues" dxfId="1" priority="184"/>
  </conditionalFormatting>
  <conditionalFormatting sqref="G960:G963">
    <cfRule type="duplicateValues" dxfId="1" priority="181"/>
  </conditionalFormatting>
  <conditionalFormatting sqref="G966:G969">
    <cfRule type="duplicateValues" dxfId="1" priority="174"/>
  </conditionalFormatting>
  <conditionalFormatting sqref="G970:G973">
    <cfRule type="duplicateValues" dxfId="1" priority="172"/>
  </conditionalFormatting>
  <conditionalFormatting sqref="G974:G977">
    <cfRule type="duplicateValues" dxfId="1" priority="170"/>
  </conditionalFormatting>
  <conditionalFormatting sqref="G978:G981">
    <cfRule type="duplicateValues" dxfId="1" priority="168"/>
  </conditionalFormatting>
  <conditionalFormatting sqref="G982:G985">
    <cfRule type="duplicateValues" dxfId="1" priority="166"/>
  </conditionalFormatting>
  <conditionalFormatting sqref="G986:G989">
    <cfRule type="duplicateValues" dxfId="1" priority="164"/>
  </conditionalFormatting>
  <conditionalFormatting sqref="G992:G996">
    <cfRule type="duplicateValues" dxfId="1" priority="158"/>
  </conditionalFormatting>
  <conditionalFormatting sqref="G997:G1001">
    <cfRule type="duplicateValues" dxfId="1" priority="156"/>
  </conditionalFormatting>
  <conditionalFormatting sqref="G1002:G1006">
    <cfRule type="duplicateValues" dxfId="1" priority="154"/>
  </conditionalFormatting>
  <conditionalFormatting sqref="G1007:G1011">
    <cfRule type="duplicateValues" dxfId="1" priority="152"/>
  </conditionalFormatting>
  <conditionalFormatting sqref="G1012:G1016">
    <cfRule type="duplicateValues" dxfId="1" priority="150"/>
  </conditionalFormatting>
  <conditionalFormatting sqref="G1017:G1021">
    <cfRule type="duplicateValues" dxfId="1" priority="147"/>
  </conditionalFormatting>
  <conditionalFormatting sqref="G1023:G1024">
    <cfRule type="duplicateValues" dxfId="1" priority="144"/>
  </conditionalFormatting>
  <conditionalFormatting sqref="G1025:G1030">
    <cfRule type="duplicateValues" dxfId="1" priority="142"/>
  </conditionalFormatting>
  <conditionalFormatting sqref="G1031:G1036">
    <cfRule type="duplicateValues" dxfId="1" priority="140"/>
  </conditionalFormatting>
  <conditionalFormatting sqref="G1037:G1042">
    <cfRule type="duplicateValues" dxfId="1" priority="138"/>
  </conditionalFormatting>
  <conditionalFormatting sqref="G1043:G1048">
    <cfRule type="duplicateValues" dxfId="1" priority="136"/>
  </conditionalFormatting>
  <conditionalFormatting sqref="G1049:G1054">
    <cfRule type="duplicateValues" dxfId="1" priority="134"/>
  </conditionalFormatting>
  <conditionalFormatting sqref="G1055:G1060">
    <cfRule type="duplicateValues" dxfId="1" priority="132"/>
  </conditionalFormatting>
  <conditionalFormatting sqref="G1062:G1063">
    <cfRule type="duplicateValues" dxfId="1" priority="128"/>
  </conditionalFormatting>
  <conditionalFormatting sqref="G1064:G1069">
    <cfRule type="duplicateValues" dxfId="1" priority="126"/>
  </conditionalFormatting>
  <conditionalFormatting sqref="G1070:G1075">
    <cfRule type="duplicateValues" dxfId="1" priority="124"/>
  </conditionalFormatting>
  <conditionalFormatting sqref="G1076:G1081">
    <cfRule type="duplicateValues" dxfId="1" priority="122"/>
  </conditionalFormatting>
  <conditionalFormatting sqref="G1082:G1087">
    <cfRule type="duplicateValues" dxfId="1" priority="120"/>
  </conditionalFormatting>
  <conditionalFormatting sqref="G1088:G1093">
    <cfRule type="duplicateValues" dxfId="1" priority="118"/>
  </conditionalFormatting>
  <conditionalFormatting sqref="G1094:G1099">
    <cfRule type="duplicateValues" dxfId="1" priority="116"/>
  </conditionalFormatting>
  <conditionalFormatting sqref="G1102:G1106">
    <cfRule type="duplicateValues" dxfId="1" priority="112"/>
  </conditionalFormatting>
  <conditionalFormatting sqref="G1107:G1111">
    <cfRule type="duplicateValues" dxfId="1" priority="110"/>
  </conditionalFormatting>
  <conditionalFormatting sqref="G1112:G1116">
    <cfRule type="duplicateValues" dxfId="1" priority="108"/>
  </conditionalFormatting>
  <conditionalFormatting sqref="G1117:G1121">
    <cfRule type="duplicateValues" dxfId="1" priority="106"/>
  </conditionalFormatting>
  <conditionalFormatting sqref="G1122:G1126">
    <cfRule type="duplicateValues" dxfId="1" priority="104"/>
  </conditionalFormatting>
  <conditionalFormatting sqref="G1127:G1131">
    <cfRule type="duplicateValues" dxfId="1" priority="101"/>
  </conditionalFormatting>
  <conditionalFormatting sqref="G1134:G1138">
    <cfRule type="duplicateValues" dxfId="1" priority="96"/>
  </conditionalFormatting>
  <conditionalFormatting sqref="G1139:G1143">
    <cfRule type="duplicateValues" dxfId="1" priority="94"/>
  </conditionalFormatting>
  <conditionalFormatting sqref="G1144:G1148">
    <cfRule type="duplicateValues" dxfId="1" priority="92"/>
  </conditionalFormatting>
  <conditionalFormatting sqref="G1149:G1153">
    <cfRule type="duplicateValues" dxfId="1" priority="90"/>
  </conditionalFormatting>
  <conditionalFormatting sqref="G1154:G1158">
    <cfRule type="duplicateValues" dxfId="1" priority="88"/>
  </conditionalFormatting>
  <conditionalFormatting sqref="G1159:G1163">
    <cfRule type="duplicateValues" dxfId="1" priority="86"/>
  </conditionalFormatting>
  <conditionalFormatting sqref="G1166:G1170">
    <cfRule type="duplicateValues" dxfId="1" priority="80"/>
  </conditionalFormatting>
  <conditionalFormatting sqref="G1171:G1175">
    <cfRule type="duplicateValues" dxfId="1" priority="78"/>
  </conditionalFormatting>
  <conditionalFormatting sqref="G1176:G1180">
    <cfRule type="duplicateValues" dxfId="1" priority="76"/>
  </conditionalFormatting>
  <conditionalFormatting sqref="G1181:G1185">
    <cfRule type="duplicateValues" dxfId="1" priority="74"/>
  </conditionalFormatting>
  <conditionalFormatting sqref="G1186:G1190">
    <cfRule type="duplicateValues" dxfId="1" priority="72"/>
  </conditionalFormatting>
  <conditionalFormatting sqref="G1191:G1195">
    <cfRule type="duplicateValues" dxfId="1" priority="70"/>
  </conditionalFormatting>
  <conditionalFormatting sqref="G1198:G1202">
    <cfRule type="duplicateValues" dxfId="1" priority="64"/>
  </conditionalFormatting>
  <conditionalFormatting sqref="G1203:G1207">
    <cfRule type="duplicateValues" dxfId="1" priority="62"/>
  </conditionalFormatting>
  <conditionalFormatting sqref="G1208:G1212">
    <cfRule type="duplicateValues" dxfId="1" priority="60"/>
  </conditionalFormatting>
  <conditionalFormatting sqref="G1213:G1217">
    <cfRule type="duplicateValues" dxfId="1" priority="58"/>
  </conditionalFormatting>
  <conditionalFormatting sqref="G1218:G1222">
    <cfRule type="duplicateValues" dxfId="1" priority="56"/>
  </conditionalFormatting>
  <conditionalFormatting sqref="G1223:G1227">
    <cfRule type="duplicateValues" dxfId="1" priority="54"/>
  </conditionalFormatting>
  <conditionalFormatting sqref="G1229:G1230">
    <cfRule type="duplicateValues" dxfId="1" priority="50"/>
  </conditionalFormatting>
  <conditionalFormatting sqref="G1231:G1236">
    <cfRule type="duplicateValues" dxfId="1" priority="48"/>
  </conditionalFormatting>
  <conditionalFormatting sqref="G1237:G1242">
    <cfRule type="duplicateValues" dxfId="1" priority="46"/>
  </conditionalFormatting>
  <conditionalFormatting sqref="G1243:G1248">
    <cfRule type="duplicateValues" dxfId="1" priority="44"/>
  </conditionalFormatting>
  <conditionalFormatting sqref="G1249:G1254">
    <cfRule type="duplicateValues" dxfId="1" priority="42"/>
  </conditionalFormatting>
  <conditionalFormatting sqref="G1255:G1260">
    <cfRule type="duplicateValues" dxfId="1" priority="40"/>
  </conditionalFormatting>
  <conditionalFormatting sqref="G1261:G1266">
    <cfRule type="duplicateValues" dxfId="1" priority="38"/>
  </conditionalFormatting>
  <conditionalFormatting sqref="G1270:G1274">
    <cfRule type="duplicateValues" dxfId="1" priority="32"/>
  </conditionalFormatting>
  <conditionalFormatting sqref="G1275:G1279">
    <cfRule type="duplicateValues" dxfId="1" priority="30"/>
  </conditionalFormatting>
  <conditionalFormatting sqref="G1280:G1284">
    <cfRule type="duplicateValues" dxfId="1" priority="28"/>
  </conditionalFormatting>
  <conditionalFormatting sqref="G1285:G1289">
    <cfRule type="duplicateValues" dxfId="1" priority="26"/>
  </conditionalFormatting>
  <conditionalFormatting sqref="G1290:G1294">
    <cfRule type="duplicateValues" dxfId="1" priority="24"/>
  </conditionalFormatting>
  <conditionalFormatting sqref="G1295:G1299">
    <cfRule type="duplicateValues" dxfId="1" priority="22"/>
  </conditionalFormatting>
  <conditionalFormatting sqref="G1304:G1308">
    <cfRule type="duplicateValues" dxfId="1" priority="16"/>
  </conditionalFormatting>
  <conditionalFormatting sqref="G1309:G1313">
    <cfRule type="duplicateValues" dxfId="1" priority="14"/>
  </conditionalFormatting>
  <conditionalFormatting sqref="G1314:G1318">
    <cfRule type="duplicateValues" dxfId="1" priority="12"/>
  </conditionalFormatting>
  <conditionalFormatting sqref="G1319:G1323">
    <cfRule type="duplicateValues" dxfId="1" priority="10"/>
  </conditionalFormatting>
  <conditionalFormatting sqref="G1324:G1328">
    <cfRule type="duplicateValues" dxfId="1" priority="8"/>
  </conditionalFormatting>
  <conditionalFormatting sqref="G1329:G1333">
    <cfRule type="duplicateValues" dxfId="1" priority="6"/>
  </conditionalFormatting>
  <conditionalFormatting sqref="G13:G16 G115 G147:G148 G187 G206 G252 G270 G293 G325:G326 G359:G361 G399 G716 G925">
    <cfRule type="duplicateValues" dxfId="1" priority="613"/>
  </conditionalFormatting>
  <conditionalFormatting sqref="J15:J16 L15:L16 N15:N16 P15:P16 R15:R16 T15:T16 V15:V16 X15:X16 Z15:Z16 J17">
    <cfRule type="duplicateValues" dxfId="0" priority="623"/>
  </conditionalFormatting>
  <conditionalFormatting sqref="K15:K16 M15:M16 O15:O16 Q15:Q16 S15:S16 U15:U16 W15:W16 Y15:Y16 K17">
    <cfRule type="duplicateValues" dxfId="0" priority="62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267</v>
      </c>
      <c r="B1" t="s">
        <v>268</v>
      </c>
    </row>
    <row r="2" spans="1:2">
      <c r="A2" t="s">
        <v>269</v>
      </c>
      <c r="B2" t="s">
        <v>270</v>
      </c>
    </row>
    <row r="3" spans="1:2">
      <c r="A3" t="s">
        <v>271</v>
      </c>
      <c r="B3" t="s">
        <v>272</v>
      </c>
    </row>
    <row r="4" spans="1:2">
      <c r="A4" t="s">
        <v>273</v>
      </c>
      <c r="B4" t="s">
        <v>274</v>
      </c>
    </row>
    <row r="5" spans="1:2">
      <c r="A5" t="s">
        <v>275</v>
      </c>
      <c r="B5" t="s">
        <v>276</v>
      </c>
    </row>
    <row r="6" spans="1:2">
      <c r="A6" t="s">
        <v>277</v>
      </c>
      <c r="B6" t="s">
        <v>278</v>
      </c>
    </row>
    <row r="7" spans="1:2">
      <c r="A7" t="s">
        <v>279</v>
      </c>
      <c r="B7" t="s">
        <v>280</v>
      </c>
    </row>
    <row r="8" spans="1:2">
      <c r="A8" t="s">
        <v>281</v>
      </c>
    </row>
    <row r="9" spans="1:2">
      <c r="A9" t="s">
        <v>282</v>
      </c>
    </row>
    <row r="10" spans="1:2">
      <c r="A10" t="s">
        <v>283</v>
      </c>
    </row>
    <row r="11" spans="1:2">
      <c r="A11" t="s">
        <v>284</v>
      </c>
    </row>
    <row r="12" spans="1:2">
      <c r="A12" t="s">
        <v>285</v>
      </c>
    </row>
    <row r="13" spans="1:2">
      <c r="A13" t="s">
        <v>286</v>
      </c>
    </row>
    <row r="14" spans="1:2">
      <c r="A14" t="s">
        <v>287</v>
      </c>
    </row>
    <row r="15" spans="1:2">
      <c r="A15" t="s">
        <v>288</v>
      </c>
    </row>
    <row r="16" spans="1:2">
      <c r="A16" t="s">
        <v>289</v>
      </c>
    </row>
    <row r="17" spans="1:1">
      <c r="A17" t="s">
        <v>290</v>
      </c>
    </row>
    <row r="18" spans="1:1">
      <c r="A18" t="s">
        <v>291</v>
      </c>
    </row>
    <row r="19" spans="1:1">
      <c r="A19" t="s">
        <v>292</v>
      </c>
    </row>
    <row r="20" spans="1:1">
      <c r="A20" t="s">
        <v>293</v>
      </c>
    </row>
    <row r="21" spans="1:1">
      <c r="A21" t="s">
        <v>294</v>
      </c>
    </row>
    <row r="22" spans="1:1">
      <c r="A22" t="s">
        <v>295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B4" sqref="B4"/>
    </sheetView>
  </sheetViews>
  <sheetFormatPr defaultColWidth="9" defaultRowHeight="14.4"/>
  <cols>
    <col min="2" max="3" width="12.7222222222222" style="9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9" customFormat="1" spans="1:23">
      <c r="A1" s="9" t="s">
        <v>10</v>
      </c>
      <c r="B1" s="9" t="s">
        <v>11</v>
      </c>
      <c r="C1" s="9" t="s">
        <v>15</v>
      </c>
      <c r="D1" s="9" t="s">
        <v>16</v>
      </c>
      <c r="E1" t="s">
        <v>17</v>
      </c>
      <c r="F1" s="9" t="s">
        <v>18</v>
      </c>
      <c r="G1" t="s">
        <v>19</v>
      </c>
      <c r="H1" s="9" t="s">
        <v>20</v>
      </c>
      <c r="I1" t="s">
        <v>21</v>
      </c>
      <c r="J1" s="9" t="s">
        <v>22</v>
      </c>
      <c r="K1" t="s">
        <v>23</v>
      </c>
      <c r="L1" s="9" t="s">
        <v>24</v>
      </c>
      <c r="M1" t="s">
        <v>25</v>
      </c>
      <c r="N1" s="9" t="s">
        <v>26</v>
      </c>
      <c r="O1" t="s">
        <v>27</v>
      </c>
      <c r="P1" s="9" t="s">
        <v>28</v>
      </c>
      <c r="Q1" t="s">
        <v>29</v>
      </c>
      <c r="R1" s="9" t="s">
        <v>30</v>
      </c>
      <c r="S1" t="s">
        <v>31</v>
      </c>
      <c r="T1" s="9" t="s">
        <v>32</v>
      </c>
      <c r="U1" t="s">
        <v>33</v>
      </c>
      <c r="V1" s="9" t="s">
        <v>34</v>
      </c>
      <c r="W1" t="s">
        <v>35</v>
      </c>
    </row>
    <row r="2" s="9" customFormat="1" spans="1:23">
      <c r="A2" s="9" t="s">
        <v>1</v>
      </c>
      <c r="C2" s="9" t="s">
        <v>2</v>
      </c>
      <c r="D2" s="9" t="s">
        <v>296</v>
      </c>
      <c r="E2" s="9" t="s">
        <v>297</v>
      </c>
      <c r="F2" s="9" t="s">
        <v>298</v>
      </c>
      <c r="G2" s="9" t="s">
        <v>299</v>
      </c>
      <c r="H2" s="9" t="s">
        <v>300</v>
      </c>
      <c r="I2" s="9" t="s">
        <v>301</v>
      </c>
      <c r="J2" s="9" t="s">
        <v>302</v>
      </c>
      <c r="K2" s="9" t="s">
        <v>303</v>
      </c>
      <c r="L2" s="9" t="s">
        <v>304</v>
      </c>
      <c r="M2" s="9" t="s">
        <v>305</v>
      </c>
      <c r="N2" s="9" t="s">
        <v>306</v>
      </c>
      <c r="O2" s="9" t="s">
        <v>307</v>
      </c>
      <c r="P2" s="9" t="s">
        <v>308</v>
      </c>
      <c r="Q2" s="9" t="s">
        <v>309</v>
      </c>
      <c r="R2" s="9" t="s">
        <v>310</v>
      </c>
      <c r="S2" s="9" t="s">
        <v>311</v>
      </c>
      <c r="T2" s="9" t="s">
        <v>312</v>
      </c>
      <c r="U2" s="9" t="s">
        <v>313</v>
      </c>
      <c r="V2" s="9" t="s">
        <v>314</v>
      </c>
      <c r="W2" s="9" t="s">
        <v>315</v>
      </c>
    </row>
    <row r="3" spans="1:23">
      <c r="A3">
        <v>1</v>
      </c>
      <c r="B3" s="9" t="s">
        <v>54</v>
      </c>
      <c r="C3" s="9" t="s">
        <v>39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9" t="s">
        <v>219</v>
      </c>
      <c r="C4" s="9" t="s">
        <v>39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9" t="s">
        <v>219</v>
      </c>
      <c r="C5" s="9" t="s">
        <v>39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9" t="s">
        <v>223</v>
      </c>
      <c r="C6" s="9" t="s">
        <v>39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9" t="s">
        <v>225</v>
      </c>
      <c r="C7" s="9" t="s">
        <v>39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9" t="s">
        <v>316</v>
      </c>
      <c r="C8" s="9" t="s">
        <v>57</v>
      </c>
      <c r="D8">
        <v>60011132</v>
      </c>
      <c r="E8">
        <v>1</v>
      </c>
    </row>
    <row r="9" spans="1:23">
      <c r="A9">
        <v>7</v>
      </c>
      <c r="B9" s="9" t="s">
        <v>316</v>
      </c>
      <c r="C9" s="9" t="s">
        <v>39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9" t="s">
        <v>157</v>
      </c>
      <c r="C10" s="9" t="s">
        <v>39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9" t="s">
        <v>163</v>
      </c>
      <c r="C11" s="9" t="s">
        <v>39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9" t="s">
        <v>166</v>
      </c>
      <c r="C12" s="9" t="s">
        <v>57</v>
      </c>
      <c r="D12">
        <v>60011028</v>
      </c>
      <c r="E12">
        <v>1</v>
      </c>
    </row>
    <row r="13" spans="1:23">
      <c r="A13">
        <v>11</v>
      </c>
      <c r="B13" s="9" t="s">
        <v>171</v>
      </c>
      <c r="C13" s="9" t="s">
        <v>39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0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9" t="s">
        <v>178</v>
      </c>
      <c r="C14" s="9" t="s">
        <v>39</v>
      </c>
      <c r="D14">
        <v>60371069</v>
      </c>
      <c r="E14">
        <v>5</v>
      </c>
    </row>
    <row r="15" spans="1:23">
      <c r="A15">
        <v>13</v>
      </c>
      <c r="B15" s="9" t="s">
        <v>182</v>
      </c>
      <c r="C15" s="9" t="s">
        <v>39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9" t="s">
        <v>187</v>
      </c>
      <c r="C16" s="9" t="s">
        <v>39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9" t="s">
        <v>189</v>
      </c>
      <c r="C17" s="9" t="s">
        <v>39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9" t="s">
        <v>189</v>
      </c>
      <c r="C18" s="9" t="s">
        <v>57</v>
      </c>
      <c r="D18">
        <v>60371093</v>
      </c>
      <c r="E18">
        <v>1</v>
      </c>
    </row>
    <row r="19" spans="1:15">
      <c r="A19">
        <v>17</v>
      </c>
      <c r="B19" s="9" t="s">
        <v>190</v>
      </c>
      <c r="C19" s="9" t="s">
        <v>39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9" t="s">
        <v>190</v>
      </c>
      <c r="C20" s="9" t="s">
        <v>57</v>
      </c>
      <c r="D20">
        <v>60011132</v>
      </c>
      <c r="E20">
        <v>1</v>
      </c>
    </row>
    <row r="21" spans="1:15">
      <c r="A21">
        <v>19</v>
      </c>
      <c r="B21" s="9" t="s">
        <v>196</v>
      </c>
      <c r="C21" s="9" t="s">
        <v>39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9" t="s">
        <v>201</v>
      </c>
      <c r="C22" s="9" t="s">
        <v>39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9" t="s">
        <v>203</v>
      </c>
      <c r="C23" s="9" t="s">
        <v>39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9" t="s">
        <v>203</v>
      </c>
      <c r="C24" s="9" t="s">
        <v>57</v>
      </c>
      <c r="D24">
        <v>60371053</v>
      </c>
      <c r="E24">
        <v>1</v>
      </c>
    </row>
    <row r="25" spans="1:15">
      <c r="A25">
        <v>23</v>
      </c>
      <c r="B25" s="9" t="s">
        <v>204</v>
      </c>
      <c r="C25" s="9" t="s">
        <v>39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9" t="s">
        <v>208</v>
      </c>
      <c r="C26" s="9" t="s">
        <v>39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9" t="s">
        <v>211</v>
      </c>
      <c r="C27" s="9" t="s">
        <v>39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9" t="s">
        <v>317</v>
      </c>
      <c r="C28" s="9" t="s">
        <v>39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9" t="s">
        <v>317</v>
      </c>
      <c r="C29" s="9" t="s">
        <v>57</v>
      </c>
      <c r="D29">
        <v>60371206</v>
      </c>
      <c r="E29">
        <v>1</v>
      </c>
    </row>
    <row r="30" spans="1:15">
      <c r="A30">
        <v>28</v>
      </c>
      <c r="B30" s="9" t="s">
        <v>213</v>
      </c>
      <c r="C30" s="9" t="s">
        <v>39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9" t="s">
        <v>217</v>
      </c>
      <c r="C31" s="9" t="s">
        <v>57</v>
      </c>
      <c r="D31">
        <v>60371265</v>
      </c>
      <c r="E31">
        <v>1</v>
      </c>
    </row>
    <row r="32" spans="1:15">
      <c r="A32">
        <v>30</v>
      </c>
      <c r="B32" s="9" t="s">
        <v>54</v>
      </c>
      <c r="C32" s="9" t="s">
        <v>57</v>
      </c>
      <c r="D32">
        <v>60371490</v>
      </c>
      <c r="E32">
        <v>1</v>
      </c>
    </row>
    <row r="33" spans="1:6">
      <c r="A33">
        <v>31</v>
      </c>
      <c r="B33" s="9" t="s">
        <v>54</v>
      </c>
      <c r="C33" s="9" t="s">
        <v>57</v>
      </c>
      <c r="D33">
        <v>60371491</v>
      </c>
      <c r="E33">
        <v>1</v>
      </c>
    </row>
    <row r="38" ht="14.25" customHeight="1" spans="1:6">
      <c r="A38">
        <v>1</v>
      </c>
      <c r="B38" s="3" t="s">
        <v>54</v>
      </c>
      <c r="D38" s="9" t="s">
        <v>318</v>
      </c>
      <c r="F38">
        <v>1000000</v>
      </c>
    </row>
    <row r="39" ht="14.25" customHeight="1" spans="1:6">
      <c r="A39">
        <v>2</v>
      </c>
      <c r="B39" s="3" t="s">
        <v>157</v>
      </c>
      <c r="D39" s="9" t="s">
        <v>319</v>
      </c>
    </row>
    <row r="40" ht="14.25" customHeight="1" spans="1:6">
      <c r="A40">
        <v>3</v>
      </c>
      <c r="B40" s="3" t="s">
        <v>163</v>
      </c>
      <c r="D40" s="9" t="s">
        <v>320</v>
      </c>
    </row>
    <row r="41" ht="14.25" customHeight="1" spans="1:6">
      <c r="A41">
        <v>4</v>
      </c>
      <c r="B41" s="3" t="s">
        <v>166</v>
      </c>
      <c r="D41" s="9" t="s">
        <v>321</v>
      </c>
    </row>
    <row r="42" ht="14.25" customHeight="1" spans="1:6">
      <c r="A42">
        <v>5</v>
      </c>
      <c r="B42" s="3" t="s">
        <v>171</v>
      </c>
      <c r="D42" s="9" t="s">
        <v>322</v>
      </c>
    </row>
    <row r="43" ht="14.25" customHeight="1" spans="1:6">
      <c r="A43">
        <v>6</v>
      </c>
      <c r="B43" s="3" t="s">
        <v>178</v>
      </c>
      <c r="D43" s="9" t="s">
        <v>323</v>
      </c>
    </row>
    <row r="44" ht="14.25" customHeight="1" spans="1:6">
      <c r="A44">
        <v>7</v>
      </c>
      <c r="B44" s="3" t="s">
        <v>182</v>
      </c>
      <c r="D44" s="9" t="s">
        <v>58</v>
      </c>
    </row>
    <row r="45" ht="14.25" customHeight="1" spans="1:6">
      <c r="A45">
        <v>8</v>
      </c>
      <c r="B45" s="3" t="s">
        <v>187</v>
      </c>
      <c r="D45" s="9" t="s">
        <v>55</v>
      </c>
    </row>
    <row r="46" ht="14.25" customHeight="1" spans="1:6">
      <c r="A46">
        <v>9</v>
      </c>
      <c r="B46" s="3" t="s">
        <v>189</v>
      </c>
    </row>
    <row r="47" ht="14.25" customHeight="1" spans="1:6">
      <c r="A47">
        <v>10</v>
      </c>
      <c r="B47" s="3" t="s">
        <v>190</v>
      </c>
    </row>
    <row r="48" ht="14.25" customHeight="1" spans="1:6">
      <c r="A48">
        <v>11</v>
      </c>
      <c r="B48" s="3" t="s">
        <v>196</v>
      </c>
    </row>
    <row r="49" ht="14.25" customHeight="1" spans="1:2">
      <c r="A49">
        <v>12</v>
      </c>
      <c r="B49" s="3" t="s">
        <v>201</v>
      </c>
    </row>
    <row r="50" ht="14.25" customHeight="1" spans="1:2">
      <c r="A50">
        <v>13</v>
      </c>
      <c r="B50" s="3" t="s">
        <v>203</v>
      </c>
    </row>
    <row r="51" ht="14.25" customHeight="1" spans="1:2">
      <c r="A51">
        <v>14</v>
      </c>
      <c r="B51" s="3" t="s">
        <v>204</v>
      </c>
    </row>
    <row r="52" ht="14.25" customHeight="1" spans="1:2">
      <c r="A52">
        <v>15</v>
      </c>
      <c r="B52" s="3" t="s">
        <v>208</v>
      </c>
    </row>
    <row r="53" ht="14.25" customHeight="1" spans="1:2">
      <c r="A53">
        <v>16</v>
      </c>
      <c r="B53" s="3" t="s">
        <v>211</v>
      </c>
    </row>
    <row r="54" ht="14.25" customHeight="1" spans="1:2">
      <c r="A54">
        <v>17</v>
      </c>
      <c r="B54" s="3" t="s">
        <v>212</v>
      </c>
    </row>
    <row r="55" ht="14.25" customHeight="1" spans="1:2">
      <c r="A55">
        <v>18</v>
      </c>
      <c r="B55" s="3" t="s">
        <v>213</v>
      </c>
    </row>
    <row r="56" ht="14.25" customHeight="1" spans="1:2">
      <c r="A56">
        <v>19</v>
      </c>
      <c r="B56" s="3" t="s">
        <v>217</v>
      </c>
    </row>
    <row r="57" ht="14.25" customHeight="1" spans="1:2">
      <c r="A57">
        <v>20</v>
      </c>
      <c r="B57" s="3" t="s">
        <v>219</v>
      </c>
    </row>
    <row r="58" ht="14.25" customHeight="1" spans="1:2">
      <c r="A58">
        <v>21</v>
      </c>
      <c r="B58" s="3" t="s">
        <v>223</v>
      </c>
    </row>
    <row r="59" ht="14.25" customHeight="1" spans="1:2">
      <c r="A59">
        <v>22</v>
      </c>
      <c r="B59" s="3" t="s">
        <v>225</v>
      </c>
    </row>
    <row r="60" ht="14.25" customHeight="1" spans="1:2">
      <c r="A60">
        <v>23</v>
      </c>
      <c r="B60" s="3" t="s">
        <v>226</v>
      </c>
    </row>
    <row r="61" ht="14.25" customHeight="1" spans="1:2">
      <c r="A61">
        <v>24</v>
      </c>
      <c r="B61" s="3" t="s">
        <v>227</v>
      </c>
    </row>
    <row r="62" ht="14.25" customHeight="1" spans="1:2">
      <c r="A62">
        <v>25</v>
      </c>
      <c r="B62" s="3" t="s">
        <v>229</v>
      </c>
    </row>
    <row r="63" ht="14.25" customHeight="1" spans="1:2">
      <c r="A63">
        <v>26</v>
      </c>
      <c r="B63" s="3" t="s">
        <v>230</v>
      </c>
    </row>
    <row r="64" ht="14.25" customHeight="1" spans="1:2">
      <c r="A64">
        <v>27</v>
      </c>
      <c r="B64" s="3" t="s">
        <v>231</v>
      </c>
    </row>
    <row r="65" ht="14.25" customHeight="1" spans="1:2">
      <c r="A65">
        <v>28</v>
      </c>
      <c r="B65" s="3" t="s">
        <v>234</v>
      </c>
    </row>
    <row r="66" ht="14.25" customHeight="1" spans="1:2">
      <c r="A66">
        <v>29</v>
      </c>
      <c r="B66" s="3" t="s">
        <v>235</v>
      </c>
    </row>
    <row r="67" ht="14.25" customHeight="1" spans="1:2">
      <c r="A67">
        <v>30</v>
      </c>
      <c r="B67" s="3" t="s">
        <v>240</v>
      </c>
    </row>
    <row r="68" ht="14.25" customHeight="1" spans="1:2">
      <c r="A68">
        <v>31</v>
      </c>
      <c r="B68" s="3" t="s">
        <v>241</v>
      </c>
    </row>
    <row r="69" ht="14.25" customHeight="1" spans="1:2">
      <c r="A69">
        <v>32</v>
      </c>
      <c r="B69" s="3" t="s">
        <v>247</v>
      </c>
    </row>
    <row r="70" ht="14.25" customHeight="1" spans="1:2">
      <c r="A70">
        <v>33</v>
      </c>
      <c r="B70" s="3" t="s">
        <v>250</v>
      </c>
    </row>
    <row r="71" ht="14.25" customHeight="1" spans="1:2">
      <c r="A71">
        <v>34</v>
      </c>
      <c r="B71" s="3" t="s">
        <v>251</v>
      </c>
    </row>
    <row r="72" ht="14.25" customHeight="1" spans="1:2">
      <c r="A72">
        <v>35</v>
      </c>
      <c r="B72" s="3" t="s">
        <v>257</v>
      </c>
    </row>
    <row r="73" ht="14.25" customHeight="1" spans="1:2">
      <c r="A73">
        <v>36</v>
      </c>
      <c r="B73" s="3" t="s">
        <v>259</v>
      </c>
    </row>
    <row r="74" ht="14.25" customHeight="1" spans="1:2">
      <c r="A74">
        <v>37</v>
      </c>
      <c r="B74" s="3" t="s">
        <v>260</v>
      </c>
    </row>
    <row r="75" ht="14.25" customHeight="1" spans="1:2">
      <c r="A75">
        <v>38</v>
      </c>
      <c r="B75" s="3" t="s">
        <v>261</v>
      </c>
    </row>
    <row r="76" ht="14.25" customHeight="1" spans="1:2">
      <c r="A76">
        <v>39</v>
      </c>
      <c r="B76" s="3" t="s">
        <v>265</v>
      </c>
    </row>
    <row r="77" ht="14.25" customHeight="1" spans="1:2">
      <c r="A77">
        <v>40</v>
      </c>
      <c r="B77" s="3" t="s">
        <v>266</v>
      </c>
    </row>
  </sheetData>
  <conditionalFormatting sqref="D11">
    <cfRule type="duplicateValues" dxfId="0" priority="14"/>
  </conditionalFormatting>
  <conditionalFormatting sqref="E11">
    <cfRule type="duplicateValues" dxfId="0" priority="13"/>
  </conditionalFormatting>
  <conditionalFormatting sqref="D16">
    <cfRule type="duplicateValues" dxfId="0" priority="12"/>
  </conditionalFormatting>
  <conditionalFormatting sqref="E16">
    <cfRule type="duplicateValues" dxfId="0" priority="11"/>
  </conditionalFormatting>
  <conditionalFormatting sqref="F16">
    <cfRule type="duplicateValues" dxfId="0" priority="10"/>
  </conditionalFormatting>
  <conditionalFormatting sqref="G16">
    <cfRule type="duplicateValues" dxfId="0" priority="9"/>
  </conditionalFormatting>
  <conditionalFormatting sqref="D17">
    <cfRule type="duplicateValues" dxfId="0" priority="8"/>
  </conditionalFormatting>
  <conditionalFormatting sqref="E17">
    <cfRule type="duplicateValues" dxfId="0" priority="7"/>
  </conditionalFormatting>
  <conditionalFormatting sqref="F17">
    <cfRule type="duplicateValues" dxfId="0" priority="6"/>
  </conditionalFormatting>
  <conditionalFormatting sqref="G17">
    <cfRule type="duplicateValues" dxfId="0" priority="5"/>
  </conditionalFormatting>
  <conditionalFormatting sqref="D20">
    <cfRule type="duplicateValues" dxfId="0" priority="16"/>
  </conditionalFormatting>
  <conditionalFormatting sqref="E20">
    <cfRule type="duplicateValues" dxfId="0" priority="15"/>
  </conditionalFormatting>
  <conditionalFormatting sqref="D26">
    <cfRule type="duplicateValues" dxfId="0" priority="4"/>
  </conditionalFormatting>
  <conditionalFormatting sqref="E26">
    <cfRule type="duplicateValues" dxfId="0" priority="3"/>
  </conditionalFormatting>
  <conditionalFormatting sqref="D27">
    <cfRule type="duplicateValues" dxfId="0" priority="2"/>
  </conditionalFormatting>
  <conditionalFormatting sqref="E27">
    <cfRule type="duplicateValues" dxfId="0" priority="1"/>
  </conditionalFormatting>
  <conditionalFormatting sqref="D1:D2 D3:D4 D8 D10 D13:D15 D18:D19 D21 D24:D25 D28:D37 D46:D1048576 F1:F2 H1:H2 J1:J2 L1:L2 N1:N2 P1:P2 R1:R2 T1:T2 V1:V2">
    <cfRule type="duplicateValues" dxfId="0" priority="22"/>
  </conditionalFormatting>
  <conditionalFormatting sqref="E1:E2 E3:E4 E8 E10 E13:E15 E18:E19 E21 E24:E25 E28:E1048576 G1:G2 I1:I2 K1:K2 M1:M2 O1:O2 Q1:Q2 S1:S2 U1:U2 W1:W2">
    <cfRule type="duplicateValues" dxfId="0" priority="21"/>
  </conditionalFormatting>
  <conditionalFormatting sqref="D6:D7 F3:F4 F7:F8 F10 F12:F15 F18:F21 F24:F25 F28:F1048576">
    <cfRule type="duplicateValues" dxfId="0" priority="20"/>
  </conditionalFormatting>
  <conditionalFormatting sqref="E6:E7 G3:G4 G7:G8 G10 G12:G15 G18:G21 G24:G25 G28:G1048576">
    <cfRule type="duplicateValues" dxfId="0" priority="19"/>
  </conditionalFormatting>
  <conditionalFormatting sqref="D9 F9">
    <cfRule type="duplicateValues" dxfId="0" priority="18"/>
  </conditionalFormatting>
  <conditionalFormatting sqref="E9 G9">
    <cfRule type="duplicateValues" dxfId="0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workbookViewId="0">
      <selection activeCell="G11" sqref="G11"/>
    </sheetView>
  </sheetViews>
  <sheetFormatPr defaultColWidth="8.72222222222222" defaultRowHeight="14.4" outlineLevelCol="7"/>
  <cols>
    <col min="1" max="1" width="12.0925925925926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324</v>
      </c>
      <c r="B1" s="2" t="s">
        <v>10</v>
      </c>
      <c r="C1" s="2" t="s">
        <v>325</v>
      </c>
      <c r="D1" s="2" t="s">
        <v>10</v>
      </c>
    </row>
    <row r="2" ht="14.25" customHeight="1" spans="1:8">
      <c r="A2" s="3" t="s">
        <v>36</v>
      </c>
      <c r="B2">
        <v>1</v>
      </c>
      <c r="C2" s="3" t="s">
        <v>55</v>
      </c>
      <c r="D2" s="3">
        <v>0</v>
      </c>
    </row>
    <row r="3" ht="14.25" customHeight="1" spans="1:8">
      <c r="A3" s="3" t="s">
        <v>54</v>
      </c>
      <c r="B3">
        <v>2</v>
      </c>
      <c r="C3" s="3" t="s">
        <v>58</v>
      </c>
      <c r="D3" s="3">
        <v>1</v>
      </c>
    </row>
    <row r="4" ht="14.25" customHeight="1" spans="1:8">
      <c r="A4" s="3" t="s">
        <v>157</v>
      </c>
      <c r="B4">
        <v>3</v>
      </c>
      <c r="C4" s="3" t="s">
        <v>37</v>
      </c>
      <c r="D4" s="3">
        <v>2</v>
      </c>
      <c r="G4" s="4">
        <v>1001205</v>
      </c>
      <c r="H4" s="4"/>
    </row>
    <row r="5" ht="14.25" customHeight="1" spans="1:8">
      <c r="A5" s="3" t="s">
        <v>163</v>
      </c>
      <c r="B5">
        <v>4</v>
      </c>
      <c r="C5" s="3" t="s">
        <v>40</v>
      </c>
      <c r="D5" s="3">
        <v>3</v>
      </c>
      <c r="G5" s="3" t="s">
        <v>326</v>
      </c>
      <c r="H5" s="3"/>
    </row>
    <row r="6" ht="14.25" customHeight="1" spans="1:8">
      <c r="A6" s="3" t="s">
        <v>166</v>
      </c>
      <c r="B6">
        <v>5</v>
      </c>
      <c r="C6" s="3" t="s">
        <v>42</v>
      </c>
      <c r="D6" s="3">
        <v>4</v>
      </c>
      <c r="G6" s="3" t="s">
        <v>327</v>
      </c>
      <c r="H6" s="5" t="s">
        <v>328</v>
      </c>
    </row>
    <row r="7" ht="14.25" customHeight="1" spans="1:8">
      <c r="A7" s="3" t="s">
        <v>171</v>
      </c>
      <c r="B7">
        <v>6</v>
      </c>
      <c r="C7" s="3" t="s">
        <v>44</v>
      </c>
      <c r="D7" s="3">
        <v>5</v>
      </c>
      <c r="G7" s="3" t="s">
        <v>329</v>
      </c>
      <c r="H7" s="6" t="s">
        <v>330</v>
      </c>
    </row>
    <row r="8" ht="14.25" customHeight="1" spans="1:8">
      <c r="A8" s="3" t="s">
        <v>178</v>
      </c>
      <c r="B8">
        <v>7</v>
      </c>
      <c r="C8" s="3" t="s">
        <v>46</v>
      </c>
      <c r="D8" s="3">
        <v>6</v>
      </c>
      <c r="G8" s="3" t="s">
        <v>331</v>
      </c>
    </row>
    <row r="9" ht="14.25" customHeight="1" spans="1:8">
      <c r="A9" s="3" t="s">
        <v>182</v>
      </c>
      <c r="B9">
        <v>8</v>
      </c>
      <c r="C9" s="3" t="s">
        <v>48</v>
      </c>
      <c r="D9" s="3">
        <v>7</v>
      </c>
      <c r="G9" s="3" t="s">
        <v>332</v>
      </c>
    </row>
    <row r="10" ht="14.25" customHeight="1" spans="1:8">
      <c r="A10" s="3" t="s">
        <v>187</v>
      </c>
      <c r="B10">
        <v>9</v>
      </c>
      <c r="C10" s="3" t="s">
        <v>50</v>
      </c>
      <c r="D10" s="3">
        <v>8</v>
      </c>
      <c r="G10" s="3" t="s">
        <v>333</v>
      </c>
      <c r="H10" s="3" t="s">
        <v>334</v>
      </c>
    </row>
    <row r="11" ht="14.25" customHeight="1" spans="1:8">
      <c r="A11" s="3" t="s">
        <v>189</v>
      </c>
      <c r="B11">
        <v>10</v>
      </c>
      <c r="C11" s="3" t="s">
        <v>52</v>
      </c>
      <c r="D11" s="3">
        <v>9</v>
      </c>
      <c r="G11" s="3" t="s">
        <v>335</v>
      </c>
      <c r="H11" s="7" t="s">
        <v>336</v>
      </c>
    </row>
    <row r="12" ht="14.25" customHeight="1" spans="1:8">
      <c r="A12" s="3" t="s">
        <v>190</v>
      </c>
      <c r="B12">
        <v>11</v>
      </c>
      <c r="C12" s="3"/>
      <c r="D12" s="3"/>
      <c r="G12" s="3" t="s">
        <v>337</v>
      </c>
    </row>
    <row r="13" ht="14.25" customHeight="1" spans="1:8">
      <c r="A13" s="3" t="s">
        <v>196</v>
      </c>
      <c r="B13">
        <v>12</v>
      </c>
      <c r="C13" s="3"/>
      <c r="D13" s="3"/>
      <c r="G13" s="3"/>
      <c r="H13" s="8"/>
    </row>
    <row r="14" ht="14.25" customHeight="1" spans="1:8">
      <c r="A14" s="3" t="s">
        <v>201</v>
      </c>
      <c r="B14">
        <v>13</v>
      </c>
      <c r="D14" s="3"/>
    </row>
    <row r="15" ht="14.25" customHeight="1" spans="1:8">
      <c r="A15" s="3" t="s">
        <v>203</v>
      </c>
      <c r="B15">
        <v>14</v>
      </c>
      <c r="D15" s="3"/>
    </row>
    <row r="16" ht="14.25" customHeight="1" spans="1:8">
      <c r="A16" s="3" t="s">
        <v>204</v>
      </c>
      <c r="B16">
        <v>15</v>
      </c>
      <c r="D16" s="3"/>
    </row>
    <row r="17" ht="14.25" customHeight="1" spans="1:4">
      <c r="A17" s="3" t="s">
        <v>208</v>
      </c>
      <c r="B17">
        <v>16</v>
      </c>
      <c r="D17" s="3"/>
    </row>
    <row r="18" ht="14.25" customHeight="1" spans="1:4">
      <c r="A18" s="3" t="s">
        <v>211</v>
      </c>
      <c r="B18">
        <v>17</v>
      </c>
      <c r="D18" s="3"/>
    </row>
    <row r="19" ht="14.25" customHeight="1" spans="1:4">
      <c r="A19" s="3" t="s">
        <v>212</v>
      </c>
      <c r="B19">
        <v>18</v>
      </c>
      <c r="D19" s="3"/>
    </row>
    <row r="20" ht="14.25" customHeight="1" spans="1:4">
      <c r="A20" s="3" t="s">
        <v>213</v>
      </c>
      <c r="B20">
        <v>19</v>
      </c>
    </row>
    <row r="21" ht="14.25" customHeight="1" spans="1:4">
      <c r="A21" s="3" t="s">
        <v>217</v>
      </c>
      <c r="B21">
        <v>20</v>
      </c>
    </row>
    <row r="22" ht="14.25" customHeight="1" spans="1:4">
      <c r="A22" s="3" t="s">
        <v>219</v>
      </c>
      <c r="B22">
        <v>21</v>
      </c>
    </row>
    <row r="23" ht="14.25" customHeight="1" spans="1:4">
      <c r="A23" s="3" t="s">
        <v>223</v>
      </c>
      <c r="B23">
        <v>22</v>
      </c>
    </row>
    <row r="24" ht="14.25" customHeight="1" spans="1:4">
      <c r="A24" s="3" t="s">
        <v>225</v>
      </c>
      <c r="B24">
        <v>23</v>
      </c>
    </row>
    <row r="25" ht="14.25" customHeight="1" spans="1:4">
      <c r="A25" s="3" t="s">
        <v>226</v>
      </c>
      <c r="B25">
        <v>24</v>
      </c>
    </row>
    <row r="26" ht="14.25" customHeight="1" spans="1:4">
      <c r="A26" s="3" t="s">
        <v>227</v>
      </c>
      <c r="B26">
        <v>25</v>
      </c>
    </row>
    <row r="27" ht="14.25" customHeight="1" spans="1:4">
      <c r="A27" s="3" t="s">
        <v>229</v>
      </c>
      <c r="B27">
        <v>26</v>
      </c>
    </row>
    <row r="28" ht="14.25" customHeight="1" spans="1:4">
      <c r="A28" s="3" t="s">
        <v>230</v>
      </c>
      <c r="B28">
        <v>27</v>
      </c>
    </row>
    <row r="29" ht="14.25" customHeight="1" spans="1:4">
      <c r="A29" s="3" t="s">
        <v>231</v>
      </c>
      <c r="B29">
        <v>28</v>
      </c>
    </row>
    <row r="30" ht="14.25" customHeight="1" spans="1:4">
      <c r="A30" s="3" t="s">
        <v>234</v>
      </c>
      <c r="B30">
        <v>29</v>
      </c>
    </row>
    <row r="31" ht="14.25" customHeight="1" spans="1:4">
      <c r="A31" s="3" t="s">
        <v>235</v>
      </c>
      <c r="B31">
        <v>30</v>
      </c>
    </row>
    <row r="32" ht="14.25" customHeight="1" spans="1:4">
      <c r="A32" s="3" t="s">
        <v>240</v>
      </c>
      <c r="B32">
        <v>31</v>
      </c>
    </row>
    <row r="33" ht="14.25" customHeight="1" spans="1:2">
      <c r="A33" s="3" t="s">
        <v>241</v>
      </c>
      <c r="B33">
        <v>32</v>
      </c>
    </row>
    <row r="34" ht="14.25" customHeight="1" spans="1:2">
      <c r="A34" s="3" t="s">
        <v>247</v>
      </c>
      <c r="B34">
        <v>33</v>
      </c>
    </row>
    <row r="35" ht="14.25" customHeight="1" spans="1:2">
      <c r="A35" s="3" t="s">
        <v>250</v>
      </c>
      <c r="B35">
        <v>34</v>
      </c>
    </row>
    <row r="36" ht="14.25" customHeight="1" spans="1:2">
      <c r="A36" s="3" t="s">
        <v>251</v>
      </c>
      <c r="B36">
        <v>35</v>
      </c>
    </row>
    <row r="37" ht="14.25" customHeight="1" spans="1:2">
      <c r="A37" s="3" t="s">
        <v>257</v>
      </c>
      <c r="B37">
        <v>36</v>
      </c>
    </row>
    <row r="38" ht="14.25" customHeight="1" spans="1:2">
      <c r="A38" s="3" t="s">
        <v>259</v>
      </c>
      <c r="B38">
        <v>37</v>
      </c>
    </row>
    <row r="39" ht="14.25" customHeight="1" spans="1:2">
      <c r="A39" s="3" t="s">
        <v>260</v>
      </c>
      <c r="B39">
        <v>38</v>
      </c>
    </row>
    <row r="40" ht="14.25" customHeight="1" spans="1:2">
      <c r="A40" s="3" t="s">
        <v>261</v>
      </c>
      <c r="B40">
        <v>39</v>
      </c>
    </row>
    <row r="41" ht="14.25" customHeight="1" spans="1:2">
      <c r="A41" s="3" t="s">
        <v>265</v>
      </c>
      <c r="B41">
        <v>40</v>
      </c>
    </row>
    <row r="42" ht="14.25" customHeight="1" spans="1:2">
      <c r="A42" s="3" t="s">
        <v>266</v>
      </c>
      <c r="B42">
        <v>41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2026-08-07T11:11:20Z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