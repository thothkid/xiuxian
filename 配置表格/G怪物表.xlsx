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works\mortal-cultivation-war3\xlsx\"/>
    </mc:Choice>
  </mc:AlternateContent>
  <bookViews>
    <workbookView windowWidth="22188" windowHeight="9180"/>
  </bookViews>
  <sheets>
    <sheet name="monster_config" sheetId="1" r:id="rId1"/>
    <sheet name="编号表" sheetId="2" r:id="rId2"/>
    <sheet name="名称表" sheetId="3" r:id="rId3"/>
    <sheet name="版本变更" sheetId="4" r:id="rId4"/>
    <sheet name="Sheet1" sheetId="5" r:id="rId5"/>
  </sheets>
  <definedNames>
    <definedName name="_xlnm._FilterDatabase" localSheetId="0" hidden="1">monster_config!$A$2:$BT$56</definedName>
    <definedName name="怪物类型">名称表!$A$3:$A$26</definedName>
    <definedName name="是否">名称表!$C$3:$C$4</definedName>
    <definedName name="阵营">名称表!$H$2:$H$9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<sst xmlns="http://schemas.openxmlformats.org/spreadsheetml/2006/main" count="2903" uniqueCount="983">
  <si>
    <t>##var</t>
  </si>
  <si>
    <t>config_id</t>
  </si>
  <si>
    <t>monster_id</t>
  </si>
  <si>
    <t>monster_name</t>
  </si>
  <si>
    <t>level</t>
  </si>
  <si>
    <t>color</t>
  </si>
  <si>
    <t>scene_id</t>
  </si>
  <si>
    <t>dignity</t>
  </si>
  <si>
    <t>hp_color_number</t>
  </si>
  <si>
    <t xml:space="preserve"> </t>
  </si>
  <si>
    <t>collision</t>
  </si>
  <si>
    <t>refresh_time</t>
  </si>
  <si>
    <t>drop_owner_policy</t>
  </si>
  <si>
    <t>protect_time</t>
  </si>
  <si>
    <t>return_hp</t>
  </si>
  <si>
    <t>drop_methods</t>
  </si>
  <si>
    <t>skills</t>
  </si>
  <si>
    <t>cultivation_tags</t>
  </si>
  <si>
    <t>model_id</t>
  </si>
  <si>
    <t>model_scale</t>
  </si>
  <si>
    <t>shadow_w</t>
  </si>
  <si>
    <t>shadow_h</t>
  </si>
  <si>
    <t>shadow_x</t>
  </si>
  <si>
    <t>shadow_y</t>
  </si>
  <si>
    <t>attack_type</t>
  </si>
  <si>
    <t>attack_effect</t>
  </si>
  <si>
    <t>effect</t>
  </si>
  <si>
    <t>effect_scale</t>
  </si>
  <si>
    <t>exp_gift</t>
  </si>
  <si>
    <t>attrs</t>
  </si>
  <si>
    <t>life_bar_pd</t>
  </si>
  <si>
    <t>life_bar_name_pd</t>
  </si>
  <si>
    <t>ambient_sound</t>
  </si>
  <si>
    <t>ambient_rate</t>
  </si>
  <si>
    <t>hit_sound</t>
  </si>
  <si>
    <t>hit_rate</t>
  </si>
  <si>
    <t>desc</t>
  </si>
  <si>
    <t>##type</t>
  </si>
  <si>
    <t>int</t>
  </si>
  <si>
    <t>string</t>
  </si>
  <si>
    <t>MonsterDignity</t>
  </si>
  <si>
    <t>float</t>
  </si>
  <si>
    <t>bool</t>
  </si>
  <si>
    <t>array,int</t>
  </si>
  <si>
    <t>array,Attr</t>
  </si>
  <si>
    <t>##group</t>
  </si>
  <si>
    <t>c</t>
  </si>
  <si>
    <t>s</t>
  </si>
  <si>
    <t>##</t>
  </si>
  <si>
    <t>配置ID</t>
  </si>
  <si>
    <t>0怪物ID</t>
  </si>
  <si>
    <t>0名称</t>
  </si>
  <si>
    <t>0内部名</t>
  </si>
  <si>
    <t>0等级</t>
  </si>
  <si>
    <t>0怪物名字颜色</t>
  </si>
  <si>
    <t>区域编号</t>
  </si>
  <si>
    <t>地图内位置</t>
  </si>
  <si>
    <t>0归属场景</t>
  </si>
  <si>
    <t>怪物身份</t>
  </si>
  <si>
    <t>0序号</t>
  </si>
  <si>
    <t>0序号（计算用）</t>
  </si>
  <si>
    <t>0血条的条数</t>
  </si>
  <si>
    <t>0是否显示百分比</t>
  </si>
  <si>
    <t>碰撞半径</t>
  </si>
  <si>
    <t>0复活时间（ms）</t>
  </si>
  <si>
    <t>归属策略</t>
  </si>
  <si>
    <t>保护期</t>
  </si>
  <si>
    <t>0脱战回血</t>
  </si>
  <si>
    <t>0掉落方案1</t>
  </si>
  <si>
    <t>0掉落方案2</t>
  </si>
  <si>
    <t>0掉落方案3</t>
  </si>
  <si>
    <t>0技能ID</t>
  </si>
  <si>
    <t>修炼标签</t>
  </si>
  <si>
    <t>0怪物模型</t>
  </si>
  <si>
    <t>0缩放比例</t>
  </si>
  <si>
    <t>阴影宽度</t>
  </si>
  <si>
    <t>阴影高度</t>
  </si>
  <si>
    <t>阴影偏移量X</t>
  </si>
  <si>
    <t>阴影偏移量Y</t>
  </si>
  <si>
    <t>0近战/远程</t>
  </si>
  <si>
    <t>0特效模型</t>
  </si>
  <si>
    <t>0绑定特效</t>
  </si>
  <si>
    <t>0绑定特效缩放</t>
  </si>
  <si>
    <t>掉落经验</t>
  </si>
  <si>
    <t>属性名1</t>
  </si>
  <si>
    <t>属性值1</t>
  </si>
  <si>
    <t>属性名2</t>
  </si>
  <si>
    <t>属性值2</t>
  </si>
  <si>
    <t>属性名3</t>
  </si>
  <si>
    <t>属性值3</t>
  </si>
  <si>
    <t>属性名4</t>
  </si>
  <si>
    <t>属性值4</t>
  </si>
  <si>
    <t>属性名5</t>
  </si>
  <si>
    <t>属性值5</t>
  </si>
  <si>
    <t>属性名6</t>
  </si>
  <si>
    <t>属性值6</t>
  </si>
  <si>
    <t>属性名7</t>
  </si>
  <si>
    <t>属性值7</t>
  </si>
  <si>
    <t>属性名8</t>
  </si>
  <si>
    <t>属性值8</t>
  </si>
  <si>
    <t>属性名9</t>
  </si>
  <si>
    <t>属性值9</t>
  </si>
  <si>
    <t>属性名10</t>
  </si>
  <si>
    <t>属性值10</t>
  </si>
  <si>
    <t>属性名11</t>
  </si>
  <si>
    <t>属性值11</t>
  </si>
  <si>
    <t>属性名12</t>
  </si>
  <si>
    <t>属性值12</t>
  </si>
  <si>
    <t>属性名13</t>
  </si>
  <si>
    <t>属性值13</t>
  </si>
  <si>
    <t>属性名14</t>
  </si>
  <si>
    <t>属性值14</t>
  </si>
  <si>
    <t>血条偏移量</t>
  </si>
  <si>
    <t>血条名字偏移量</t>
  </si>
  <si>
    <t>氛围音效</t>
  </si>
  <si>
    <t>氛围音效概率</t>
  </si>
  <si>
    <t>受击音效</t>
  </si>
  <si>
    <t>受击音效概率</t>
  </si>
  <si>
    <t>大地图怪物TIPS</t>
  </si>
  <si>
    <t>a001</t>
  </si>
  <si>
    <t>鸡</t>
  </si>
  <si>
    <t>天元宗门——灵兽园</t>
  </si>
  <si>
    <t>天元宗门</t>
  </si>
  <si>
    <t>普通</t>
  </si>
  <si>
    <t>体修</t>
  </si>
  <si>
    <t>近战</t>
  </si>
  <si>
    <t>生命值</t>
  </si>
  <si>
    <t>物防下限</t>
  </si>
  <si>
    <t>物防上限</t>
  </si>
  <si>
    <t>法防下限</t>
  </si>
  <si>
    <t>法防上限</t>
  </si>
  <si>
    <t>攻击下限</t>
  </si>
  <si>
    <t>攻击上限</t>
  </si>
  <si>
    <t>攻法下限</t>
  </si>
  <si>
    <t>攻法上限</t>
  </si>
  <si>
    <t>移动速度</t>
  </si>
  <si>
    <t>攻击范围</t>
  </si>
  <si>
    <t>警戒范围</t>
  </si>
  <si>
    <t>怪物说明功能测试：
怪物身份颜色：|cffFF0000BOSS|r，|cff00FF00精英怪|r，普通怪
概率掉落以下物品：
|cffFFA500美刀|r、|cffd9d919one刀乐|r、|cffA020F0two刀乐</t>
  </si>
  <si>
    <t>a002</t>
  </si>
  <si>
    <t>鹿</t>
  </si>
  <si>
    <t>a003</t>
  </si>
  <si>
    <t>羊</t>
  </si>
  <si>
    <t>a004</t>
  </si>
  <si>
    <t>稻草人</t>
  </si>
  <si>
    <t>a005</t>
  </si>
  <si>
    <t>蛤蟆</t>
  </si>
  <si>
    <t>a006</t>
  </si>
  <si>
    <t>毒蜘蛛</t>
  </si>
  <si>
    <t>a007</t>
  </si>
  <si>
    <t>食人花</t>
  </si>
  <si>
    <t>a008</t>
  </si>
  <si>
    <t>红蛇</t>
  </si>
  <si>
    <t>a009</t>
  </si>
  <si>
    <t>虎蛇</t>
  </si>
  <si>
    <t>a010</t>
  </si>
  <si>
    <t>狼</t>
  </si>
  <si>
    <t>a011</t>
  </si>
  <si>
    <t>虎卫</t>
  </si>
  <si>
    <t>a012</t>
  </si>
  <si>
    <t>鹰卫</t>
  </si>
  <si>
    <t>远程</t>
  </si>
  <si>
    <t>a013</t>
  </si>
  <si>
    <t>山洞蝙蝠</t>
  </si>
  <si>
    <t>a014</t>
  </si>
  <si>
    <t>青魂煞灵</t>
  </si>
  <si>
    <t>蚀苇沼·末流所积</t>
  </si>
  <si>
    <t>a015</t>
  </si>
  <si>
    <t>深渊水魔</t>
  </si>
  <si>
    <t>a016</t>
  </si>
  <si>
    <t>冥海幽灵</t>
  </si>
  <si>
    <t>a017</t>
  </si>
  <si>
    <t>冥河幽魂</t>
  </si>
  <si>
    <t>a018</t>
  </si>
  <si>
    <t>精英</t>
  </si>
  <si>
    <t>a019</t>
  </si>
  <si>
    <t>骷髅长枪兵</t>
  </si>
  <si>
    <t>浮沉洲</t>
  </si>
  <si>
    <t>a020</t>
  </si>
  <si>
    <t>骷髅弓箭手</t>
  </si>
  <si>
    <t>a021</t>
  </si>
  <si>
    <t>骷髅锤兵</t>
  </si>
  <si>
    <t>a022</t>
  </si>
  <si>
    <t>骷髅刀斧手</t>
  </si>
  <si>
    <t>a023</t>
  </si>
  <si>
    <t>骷髅盾卫</t>
  </si>
  <si>
    <t>a024</t>
  </si>
  <si>
    <t>a025</t>
  </si>
  <si>
    <t>跳跳蜂</t>
  </si>
  <si>
    <t>蔽苇汀</t>
  </si>
  <si>
    <t>a026</t>
  </si>
  <si>
    <t>飞蛾</t>
  </si>
  <si>
    <t>a027</t>
  </si>
  <si>
    <t>蝎蛇</t>
  </si>
  <si>
    <t>a028</t>
  </si>
  <si>
    <t>腐毒蛙</t>
  </si>
  <si>
    <t>a029</t>
  </si>
  <si>
    <t>赤发魔童</t>
  </si>
  <si>
    <t>a030</t>
  </si>
  <si>
    <t>a031</t>
  </si>
  <si>
    <t>蜈蚣</t>
  </si>
  <si>
    <t>岳骨阶</t>
  </si>
  <si>
    <t>a032</t>
  </si>
  <si>
    <t>血炼尸妖</t>
  </si>
  <si>
    <t>a033</t>
  </si>
  <si>
    <t>碎骨妖兵</t>
  </si>
  <si>
    <t>a034</t>
  </si>
  <si>
    <t>骨棺祭司</t>
  </si>
  <si>
    <t>a035</t>
  </si>
  <si>
    <t>a036</t>
  </si>
  <si>
    <t>狂骨妖刀将</t>
  </si>
  <si>
    <t>BOSS</t>
  </si>
  <si>
    <t>a037</t>
  </si>
  <si>
    <t xml:space="preserve">异霭浦 </t>
  </si>
  <si>
    <t>a038</t>
  </si>
  <si>
    <t>a039</t>
  </si>
  <si>
    <t>a040</t>
  </si>
  <si>
    <t>砾台</t>
  </si>
  <si>
    <t>a041</t>
  </si>
  <si>
    <t>a042</t>
  </si>
  <si>
    <t>a043</t>
  </si>
  <si>
    <t>霜锋客</t>
  </si>
  <si>
    <t>垂练岩·覆而偶开</t>
  </si>
  <si>
    <t>a044</t>
  </si>
  <si>
    <t>霜锋戟将</t>
  </si>
  <si>
    <t>a045</t>
  </si>
  <si>
    <t>苍玄真人</t>
  </si>
  <si>
    <t>a046</t>
  </si>
  <si>
    <t>a047</t>
  </si>
  <si>
    <t>霜锋阵仙</t>
  </si>
  <si>
    <t>a048</t>
  </si>
  <si>
    <t>蚀骨血核</t>
  </si>
  <si>
    <t>水镜滩·水退方见</t>
  </si>
  <si>
    <t>a049</t>
  </si>
  <si>
    <t>石像魔狮</t>
  </si>
  <si>
    <t>a050</t>
  </si>
  <si>
    <t>灵心石魔</t>
  </si>
  <si>
    <t>a051</t>
  </si>
  <si>
    <t>机关兽</t>
  </si>
  <si>
    <t>a052</t>
  </si>
  <si>
    <t>场景归属</t>
  </si>
  <si>
    <t>内部编号</t>
  </si>
  <si>
    <t>颜色</t>
  </si>
  <si>
    <t>新手</t>
  </si>
  <si>
    <t>白色</t>
  </si>
  <si>
    <t>沃玛级</t>
  </si>
  <si>
    <t>绿色</t>
  </si>
  <si>
    <t>装备是5开头8位数</t>
  </si>
  <si>
    <t>祖玛级</t>
  </si>
  <si>
    <t>大精英</t>
  </si>
  <si>
    <t>紫色</t>
  </si>
  <si>
    <t>第1位</t>
  </si>
  <si>
    <t>6开头代表怪物</t>
  </si>
  <si>
    <t>苍月级</t>
  </si>
  <si>
    <t>橙色</t>
  </si>
  <si>
    <t>第2位</t>
  </si>
  <si>
    <t>用场景来代表级别。相当于装备的阶级，沃玛级，祖玛级，苍月级，赤月级等，2位应该够，暂时用3位保险。这个级别和场景区域配置严格匹配，相等。</t>
  </si>
  <si>
    <t>赤月级</t>
  </si>
  <si>
    <t>大BOSS</t>
  </si>
  <si>
    <t>红色</t>
  </si>
  <si>
    <t>第3位</t>
  </si>
  <si>
    <t>雷霆级</t>
  </si>
  <si>
    <t>任务</t>
  </si>
  <si>
    <t>第4位</t>
  </si>
  <si>
    <t>战神级</t>
  </si>
  <si>
    <t>活动</t>
  </si>
  <si>
    <t>第5位</t>
  </si>
  <si>
    <t>怪物身份，区分普通/精英怪/BOSS</t>
  </si>
  <si>
    <t>星王级</t>
  </si>
  <si>
    <t>第6位</t>
  </si>
  <si>
    <t>具体数字，填在正表E列，3位数总共1000个，代表本类别的具体序号。每个场景的每一类怪物分别计。比如比奇城的普通怪，从0开始计算1，2，3……比奇城的精英怪的序号，BOSS的序号也都是从0开始重新计算</t>
  </si>
  <si>
    <t>天龙级</t>
  </si>
  <si>
    <t>第7位</t>
  </si>
  <si>
    <t>王者级</t>
  </si>
  <si>
    <t>未知暗殿</t>
  </si>
  <si>
    <t>第8位</t>
  </si>
  <si>
    <t>皓天级</t>
  </si>
  <si>
    <t>沃玛寺庙一层</t>
  </si>
  <si>
    <t>传奇级</t>
  </si>
  <si>
    <t>沃玛寺庙二层</t>
  </si>
  <si>
    <t>沃玛教主大殿</t>
  </si>
  <si>
    <t>石墓一层</t>
  </si>
  <si>
    <t>石墓阵入口</t>
  </si>
  <si>
    <t>石墓阵出口</t>
  </si>
  <si>
    <t>怪物的区分</t>
  </si>
  <si>
    <t>区域，代表等级范围或者说级别，决定掉落，经验，数值</t>
  </si>
  <si>
    <t>石墓顶层</t>
  </si>
  <si>
    <t>身份，决定掉落，经验，数值</t>
  </si>
  <si>
    <t>桃源之门</t>
  </si>
  <si>
    <t>困惑殿堂</t>
  </si>
  <si>
    <t>ID使用公式的主要原因</t>
  </si>
  <si>
    <t>祖玛寺庙一层</t>
  </si>
  <si>
    <t>在配置内容频繁的变化，新增，尤其是插入新内容的改动时，确保对应ID的内在逻辑顺畅，方便在调用该ID的地方方便配置，减少出错也方便查错。同时保证在频繁变动的情况下，更好的保证ID的唯一性。</t>
  </si>
  <si>
    <t>祖玛寺庙二层</t>
  </si>
  <si>
    <t>比如，技能分战士，法师，道士，坐骑，翅膀等等N个大类，在后续新增了某翅膀和对应的技能，并在道具表，活动配置，装备表，掉落表等多地都要用到该ID时，使用公式算出来的ID填写，查错都会便捷非常多。</t>
  </si>
  <si>
    <t>祖玛阁</t>
  </si>
  <si>
    <t>按照变动频率来预估，变动最频繁的是掉落方案和技能表，状态表和物品表其次，装备表和怪物表的变动频率最低。</t>
  </si>
  <si>
    <t>祖玛教主之家</t>
  </si>
  <si>
    <t>封魔矿区</t>
  </si>
  <si>
    <t>BOSS物编使用B开头，BNNN</t>
  </si>
  <si>
    <t>光芒回廊</t>
  </si>
  <si>
    <t>封魔殿</t>
  </si>
  <si>
    <t>尸魔洞一层</t>
  </si>
  <si>
    <t>尸魔洞二层</t>
  </si>
  <si>
    <t>骨魔洞一层</t>
  </si>
  <si>
    <t>骨魔洞二层</t>
  </si>
  <si>
    <t>牛魔寺庙入口</t>
  </si>
  <si>
    <t>牛魔寺庙一层</t>
  </si>
  <si>
    <t>牛魔寺庙大厅</t>
  </si>
  <si>
    <t>丛林迷宫</t>
  </si>
  <si>
    <t>赤月峡谷西走廊</t>
  </si>
  <si>
    <t>赤月峡谷东二层</t>
  </si>
  <si>
    <t>赤月峡谷广场</t>
  </si>
  <si>
    <t>抉择之地</t>
  </si>
  <si>
    <t>恶魔祭坛</t>
  </si>
  <si>
    <t>赤月魔穴</t>
  </si>
  <si>
    <t>化骨妖</t>
  </si>
  <si>
    <t>妖姬（小boss）</t>
  </si>
  <si>
    <t>血腥女王（大boss）</t>
  </si>
  <si>
    <t>血炎兽</t>
  </si>
  <si>
    <t>剑刃魔王（大boss）</t>
  </si>
  <si>
    <t>邪灵</t>
  </si>
  <si>
    <t>巨魔守卫（小boss）</t>
  </si>
  <si>
    <t>蛮族尊主（大boss）</t>
  </si>
  <si>
    <t>百年尸草</t>
  </si>
  <si>
    <t>千年树灵（小boss）</t>
  </si>
  <si>
    <t>万年尸草王（大boss）</t>
  </si>
  <si>
    <t>魔熊</t>
  </si>
  <si>
    <t>上古魔使（大boss）</t>
  </si>
  <si>
    <t>天降福神专用</t>
  </si>
  <si>
    <t>封魔塔1层小怪专用</t>
  </si>
  <si>
    <t>未央遗迹</t>
  </si>
  <si>
    <t>第1玩法</t>
  </si>
  <si>
    <t>简单的殴打BOSS</t>
  </si>
  <si>
    <t>第2玩法</t>
  </si>
  <si>
    <t>极限刷怪，在规定时间内打到200个怪，就先通关，有些怪物固定伤害的</t>
  </si>
  <si>
    <t>第3玩法</t>
  </si>
  <si>
    <t>boss叫小怪，每个30秒叫1个小怪固定伤害，小怪增强怪物攻击</t>
  </si>
  <si>
    <t>第4玩法</t>
  </si>
  <si>
    <t>boss（血厚低攻）叫怪，每个1分钟叫一波小怪攻高，血薄</t>
  </si>
  <si>
    <t>第5玩法</t>
  </si>
  <si>
    <t>boss叫小怪，小怪固定伤害，极高攻击，需要跑位，或者眩晕小怪，同时boss无敌，共叫4次</t>
  </si>
  <si>
    <t>第6玩法</t>
  </si>
  <si>
    <t>极限刷怪，每击杀到50个怪的时候，会出现一个BOSS(BOSS血厚，降低玩家的攻击，最多出现3个)</t>
  </si>
  <si>
    <t>第7玩法</t>
  </si>
  <si>
    <t>狂暴-BOSS，每30秒狂暴一次，持续10秒</t>
  </si>
  <si>
    <t>地宫小怪</t>
  </si>
  <si>
    <t>Dignity</t>
  </si>
  <si>
    <t>OwnerMode</t>
  </si>
  <si>
    <t>掉落类型</t>
  </si>
  <si>
    <t>阵营</t>
  </si>
  <si>
    <t>显示名字类型</t>
  </si>
  <si>
    <t>等级</t>
  </si>
  <si>
    <t>名字颜色</t>
  </si>
  <si>
    <t>职业</t>
  </si>
  <si>
    <t>种族</t>
  </si>
  <si>
    <t>属主模型</t>
  </si>
  <si>
    <t>掉落_均可见属主拾取</t>
  </si>
  <si>
    <t>阵营_普通玩家</t>
  </si>
  <si>
    <t>名字_显示</t>
  </si>
  <si>
    <t>职业_战士</t>
  </si>
  <si>
    <t>种族_风</t>
  </si>
  <si>
    <t>怪物类型_普通</t>
  </si>
  <si>
    <t>是</t>
  </si>
  <si>
    <t>属主_首刀</t>
  </si>
  <si>
    <t>掉落_属主可见可拾取</t>
  </si>
  <si>
    <t>阵营_普通怪物</t>
  </si>
  <si>
    <t>名字_不显示</t>
  </si>
  <si>
    <t>职业_法师</t>
  </si>
  <si>
    <t>种族_火</t>
  </si>
  <si>
    <t>怪物类型_世界BOSS</t>
  </si>
  <si>
    <t>否</t>
  </si>
  <si>
    <t>属主_组队伤害</t>
  </si>
  <si>
    <t>掉落_均可见均可拾取</t>
  </si>
  <si>
    <t>阵营_中立怪物</t>
  </si>
  <si>
    <t>名字_永久显示</t>
  </si>
  <si>
    <t>职业_牧师</t>
  </si>
  <si>
    <t>种族_雷</t>
  </si>
  <si>
    <t>怪物类型_人数值</t>
  </si>
  <si>
    <t>属主_组队伤害唯一</t>
  </si>
  <si>
    <t>掉落_均可见队伍拾取</t>
  </si>
  <si>
    <t>阵营_友好怪物</t>
  </si>
  <si>
    <t>职业_萨满</t>
  </si>
  <si>
    <t>种族_水</t>
  </si>
  <si>
    <t>怪物类型_宠数值</t>
  </si>
  <si>
    <t>属主_仇恨</t>
  </si>
  <si>
    <t>掉落_均可见区服拾取</t>
  </si>
  <si>
    <t>阵营_动画怪物</t>
  </si>
  <si>
    <t>怪物类型_精英</t>
  </si>
  <si>
    <t>属主_普通</t>
  </si>
  <si>
    <t>阵营_动画怪物2</t>
  </si>
  <si>
    <t>属主_末刀</t>
  </si>
  <si>
    <t>阵营_动画怪物3</t>
  </si>
  <si>
    <t>属主_个人伤害</t>
  </si>
  <si>
    <t>阵营_动画怪物4</t>
  </si>
  <si>
    <t>属主_个人伤害唯一</t>
  </si>
  <si>
    <t>蓝色</t>
  </si>
  <si>
    <t>怪物类型_首领</t>
  </si>
  <si>
    <t>怪物类型_世界PVPBOSS</t>
  </si>
  <si>
    <t>怪物类型_散仙陷阱</t>
  </si>
  <si>
    <t>怪物类型_采集物</t>
  </si>
  <si>
    <t>怪物类型_琅琊福地NPC</t>
  </si>
  <si>
    <t>怪物类型_阵营战炮台</t>
  </si>
  <si>
    <t>怪物类型_技能召唤</t>
  </si>
  <si>
    <t>怪物类型_前台怪</t>
  </si>
  <si>
    <t>怪物类型_受击掉落</t>
  </si>
  <si>
    <t>版本号</t>
  </si>
  <si>
    <t>改动内容</t>
  </si>
  <si>
    <t>V1.12</t>
  </si>
  <si>
    <t>1、删除金币掉落字段
2、更新怪物模型</t>
  </si>
  <si>
    <t>V1.13</t>
  </si>
  <si>
    <t>1、新增怪物缩放比例
2、更改盔甲虫模型</t>
  </si>
  <si>
    <t>V1.14</t>
  </si>
  <si>
    <t>1、更改了比奇城怪物攻击数值
2、更改的归属场景数据</t>
  </si>
  <si>
    <t>V1.15</t>
  </si>
  <si>
    <t>更新掉落方案</t>
  </si>
  <si>
    <t>V1.16</t>
  </si>
  <si>
    <t>更新怪物普攻和技能ID</t>
  </si>
  <si>
    <t>V1.17</t>
  </si>
  <si>
    <t>更改怪物的编号计算规则和对应的编号</t>
  </si>
  <si>
    <t>V1.18</t>
  </si>
  <si>
    <t>更新“蛤蟆”模型</t>
  </si>
  <si>
    <t>V1.19</t>
  </si>
  <si>
    <t>更新移动速度巡逻半径等数据</t>
  </si>
  <si>
    <t>V1.20</t>
  </si>
  <si>
    <t>所有蛤蟆模型放大到原5倍</t>
  </si>
  <si>
    <t>V1.21</t>
  </si>
  <si>
    <t>祖玛弓箭手模型更新</t>
  </si>
  <si>
    <t>V1.22</t>
  </si>
  <si>
    <t>怪物距离和速度属性更改</t>
  </si>
  <si>
    <t>V1.23</t>
  </si>
  <si>
    <t>删掉原来的速度一列，新增属性移动速度</t>
  </si>
  <si>
    <t>V1.24</t>
  </si>
  <si>
    <t>增加远程怪物字段，弹道模型字段</t>
  </si>
  <si>
    <t>V1.25</t>
  </si>
  <si>
    <t>怪物增加攻击范围属性</t>
  </si>
  <si>
    <t>V1.26</t>
  </si>
  <si>
    <t>怪物动作模型更新</t>
  </si>
  <si>
    <t>V1.27</t>
  </si>
  <si>
    <t>更新怪物模型</t>
  </si>
  <si>
    <t>V1.28</t>
  </si>
  <si>
    <t>60371394 60371395，黑狐赤狐改为测试数值</t>
  </si>
  <si>
    <t>V1.29</t>
  </si>
  <si>
    <t>V1.30</t>
  </si>
  <si>
    <t>V1.31</t>
  </si>
  <si>
    <t>V1.32</t>
  </si>
  <si>
    <t>V1.33</t>
  </si>
  <si>
    <t>V1.34</t>
  </si>
  <si>
    <t>V1.35</t>
  </si>
  <si>
    <t>删掉视野半径和巡逻范围，新增属性警戒范围。</t>
  </si>
  <si>
    <t>V1.36</t>
  </si>
  <si>
    <t>调整掉落方案，对应调整怪物表</t>
  </si>
  <si>
    <t>V1.37</t>
  </si>
  <si>
    <t>怪物数据使用李鑫配置版本，同时所有的ID规则进行调整。困惑殿堂新增2普通2精英怪，封魔殿新增3精英物编ID用aa开头</t>
  </si>
  <si>
    <t>V1.38</t>
  </si>
  <si>
    <t>调整模型大小，1.36版本模型大小应该是对的，这个版本是之前复制李鑫的数据，模型大小可能比较原始，对所有＞0.5的基本都改成0.5了，持续修改
复制过来遗留的0全都删了，模型缩放不要配置0！！！
所有模型改前缀，很多模型名字乱填的都改了，还有2个模型缺失，先用别的代替了。</t>
  </si>
  <si>
    <t>V1.39</t>
  </si>
  <si>
    <t>修改模型大小，沃玛战将模型用沃玛勇士暂替，碰撞体积20改为10</t>
  </si>
  <si>
    <t>V1.40</t>
  </si>
  <si>
    <t>新增任务掉落</t>
  </si>
  <si>
    <t>V1.41</t>
  </si>
  <si>
    <t>掉落方案出现BUG，把错误的掉落方案ID改正。增加一个木桩。所有怪物复活时间×10</t>
  </si>
  <si>
    <t>V1.42</t>
  </si>
  <si>
    <t>新增3个配置项，2个绑定特效+缩放，新增一个技能配置，改技能ID。修改警戒范围，</t>
  </si>
  <si>
    <t>V1.43</t>
  </si>
  <si>
    <t>增加NPC鸡</t>
  </si>
  <si>
    <t>V1.44</t>
  </si>
  <si>
    <t>V1.45</t>
  </si>
  <si>
    <t>V1.46</t>
  </si>
  <si>
    <t>V1.47</t>
  </si>
  <si>
    <t>V1.48</t>
  </si>
  <si>
    <t>V1.49</t>
  </si>
  <si>
    <t>V1.50</t>
  </si>
  <si>
    <t>比奇城</t>
  </si>
  <si>
    <t>A107</t>
  </si>
  <si>
    <t>待定</t>
  </si>
  <si>
    <t>A038</t>
  </si>
  <si>
    <t>A120</t>
  </si>
  <si>
    <t>A036</t>
  </si>
  <si>
    <t>A033</t>
  </si>
  <si>
    <t>A034</t>
  </si>
  <si>
    <t>A013</t>
  </si>
  <si>
    <t>A001</t>
  </si>
  <si>
    <t>A106</t>
  </si>
  <si>
    <t>A020</t>
  </si>
  <si>
    <t>A029</t>
  </si>
  <si>
    <t>A027</t>
  </si>
  <si>
    <t>A091</t>
  </si>
  <si>
    <t>A017</t>
  </si>
  <si>
    <t>A015</t>
  </si>
  <si>
    <t>A023</t>
  </si>
  <si>
    <t>A128</t>
  </si>
  <si>
    <t>A122</t>
  </si>
  <si>
    <t>A133</t>
  </si>
  <si>
    <t>A082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</si>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</sst>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indexed="8"/>
      <name val="宋体"/>
      <charset val="134"/>
    </font>
    <font>
      <sz val="11"/>
      <color indexed="8"/>
      <name val="微软雅黑"/>
      <charset val="134"/>
    </font>
    <font>
      <sz val="11"/>
      <name val="微软雅黑"/>
      <charset val="134"/>
    </font>
    <font>
      <sz val="9"/>
      <color theme="1"/>
      <name val="微软雅黑"/>
      <charset val="134"/>
    </font>
    <font>
      <sz val="9"/>
      <color indexed="8"/>
      <name val="微软雅黑"/>
      <charset val="134"/>
    </font>
    <font>
      <sz val="9"/>
      <color rgb="FF00B050"/>
      <name val="微软雅黑"/>
      <charset val="134"/>
    </font>
    <font>
      <sz val="9"/>
      <name val="微软雅黑"/>
      <charset val="134"/>
    </font>
    <font>
      <sz val="9"/>
      <color rgb="FF000000"/>
      <name val="微软雅黑"/>
      <charset val="134"/>
    </font>
    <font>
      <sz val="9"/>
      <color rgb="FFFF0000"/>
      <name val="微软雅黑"/>
      <charset val="134"/>
    </font>
    <font>
      <sz val="10"/>
      <name val="微软雅黑"/>
      <charset val="134"/>
    </font>
    <font>
      <sz val="10"/>
      <color rgb="FF000000"/>
      <name val="宋体"/>
      <charset val="134"/>
    </font>
    <font>
      <sz val="11"/>
      <color rgb="FF222222"/>
      <name val="Carlito"/>
      <charset val="134"/>
    </font>
    <font>
      <sz val="11"/>
      <name val="Carlito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ahoma"/>
      <charset val="134"/>
    </font>
    <font>
      <sz val="12"/>
      <name val="宋体"/>
      <charset val="134"/>
    </font>
    <font>
      <u/>
      <sz val="11"/>
      <color indexed="12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 tint="-0.1488082522049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12" fillId="0" borderId="0"/>
    <xf numFmtId="0" fontId="33" fillId="0" borderId="0"/>
    <xf numFmtId="0" fontId="34" fillId="0" borderId="0">
      <alignment vertical="center"/>
    </xf>
    <xf numFmtId="0" fontId="4" fillId="0" borderId="0">
      <alignment vertical="center"/>
    </xf>
    <xf numFmtId="0" fontId="13" fillId="0" borderId="0"/>
    <xf numFmtId="0" fontId="13" fillId="0" borderId="0">
      <alignment vertical="center"/>
    </xf>
    <xf numFmtId="0" fontId="35" fillId="0" borderId="0">
      <alignment vertical="top"/>
      <protection locked="0"/>
    </xf>
    <xf numFmtId="0" fontId="36" fillId="36" borderId="0">
      <alignment vertical="center"/>
    </xf>
    <xf numFmtId="0" fontId="37" fillId="37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/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0" fontId="3" fillId="0" borderId="0" xfId="0" applyFont="1" applyAlignment="1"/>
    <xf numFmtId="0" fontId="4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8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9" fillId="4" borderId="1" xfId="0" applyFont="1" applyFill="1" applyBorder="1" applyAlignment="1"/>
    <xf numFmtId="0" fontId="10" fillId="0" borderId="0" xfId="0" applyFont="1" applyAlignment="1">
      <alignment horizontal="center" vertical="center"/>
    </xf>
    <xf numFmtId="0" fontId="11" fillId="0" borderId="0" xfId="49" applyFont="1" applyAlignment="1">
      <alignment vertical="center"/>
    </xf>
    <xf numFmtId="0" fontId="12" fillId="0" borderId="0" xfId="49"/>
    <xf numFmtId="0" fontId="3" fillId="0" borderId="0" xfId="0" applyFont="1" applyFill="1" applyAlignment="1">
      <alignment vertical="center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2 16" xfId="50"/>
    <cellStyle name="常规 2 3 2 2 2" xfId="51"/>
    <cellStyle name="常规 2 7 2 2" xfId="52"/>
    <cellStyle name="常规 39" xfId="53"/>
    <cellStyle name="常规 40" xfId="54"/>
    <cellStyle name="超链接 4 3" xfId="55"/>
    <cellStyle name="好 2 2" xfId="56"/>
    <cellStyle name="适中 2 4" xfId="57"/>
  </cellStyles>
  <dxfs count="21"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17"/>
  </sheetPr>
  <dimension ref="A1:BU280"/>
  <sheetViews>
    <sheetView tabSelected="1" workbookViewId="0">
      <pane xSplit="7" ySplit="2" topLeftCell="AG22" activePane="bottomRight" state="frozen"/>
      <selection/>
      <selection pane="topRight"/>
      <selection pane="bottomLeft"/>
      <selection pane="bottomRight" activeCell="AJ53" sqref="AJ53"/>
    </sheetView>
  </sheetViews>
  <sheetFormatPr defaultColWidth="9" defaultRowHeight="13.2"/>
  <cols>
    <col min="1" max="1" width="11.2685185185185" style="8" customWidth="1"/>
    <col min="2" max="2" width="9.26851851851852" style="8" customWidth="1"/>
    <col min="3" max="3" width="12.0925925925926" style="8" customWidth="1"/>
    <col min="4" max="4" width="13" style="8" customWidth="1"/>
    <col min="5" max="5" width="11.5462962962963" style="8" customWidth="1"/>
    <col min="6" max="6" width="7.09259259259259" style="15" customWidth="1"/>
    <col min="7" max="7" width="12.2685185185185" style="8" customWidth="1"/>
    <col min="8" max="8" width="9.81481481481481" style="8" customWidth="1"/>
    <col min="9" max="9" width="11.3611111111111" style="8" customWidth="1"/>
    <col min="10" max="10" width="13" style="8" customWidth="1"/>
    <col min="11" max="11" width="16.1759259259259" style="8" customWidth="1"/>
    <col min="12" max="12" width="6" style="8" customWidth="1"/>
    <col min="13" max="13" width="14.8888888888889" style="15" customWidth="1"/>
    <col min="14" max="15" width="16.6666666666667" style="15" customWidth="1"/>
    <col min="16" max="16" width="8.09259259259259" style="15" customWidth="1"/>
    <col min="17" max="19" width="14.7222222222222" style="15" customWidth="1"/>
    <col min="20" max="20" width="10.6296296296296" style="15" customWidth="1"/>
    <col min="21" max="21" width="13.2685185185185" style="15" customWidth="1"/>
    <col min="22" max="22" width="10.6296296296296" style="15" customWidth="1"/>
    <col min="23" max="25" width="8.5462962962963" style="8" customWidth="1"/>
    <col min="26" max="26" width="9.72222222222222" style="15" customWidth="1"/>
    <col min="27" max="27" width="30.5462962962963" style="11" customWidth="1"/>
    <col min="28" max="28" width="32.3611111111111" style="11" customWidth="1"/>
    <col min="29" max="29" width="9" style="15" customWidth="1"/>
    <col min="30" max="30" width="6" style="15" customWidth="1"/>
    <col min="31" max="31" width="9.90740740740741" style="15" customWidth="1"/>
    <col min="32" max="32" width="9.72222222222222" style="15" customWidth="1"/>
    <col min="33" max="33" width="10.4537037037037" style="8" customWidth="1"/>
    <col min="34" max="34" width="31.0925925925926" style="8" customWidth="1"/>
    <col min="35" max="35" width="25.7222222222222" style="8" customWidth="1"/>
    <col min="36" max="36" width="29.8888888888889" style="8" customWidth="1"/>
    <col min="37" max="37" width="11" style="8" customWidth="1"/>
    <col min="38" max="38" width="9" style="8" customWidth="1"/>
    <col min="39" max="39" width="10" style="8" customWidth="1"/>
    <col min="40" max="52" width="9" style="8" customWidth="1"/>
    <col min="53" max="53" width="10.3611111111111" style="8" customWidth="1"/>
    <col min="54" max="66" width="9" style="8" customWidth="1"/>
    <col min="67" max="67" width="15.4537037037037" style="8" customWidth="1"/>
    <col min="68" max="68" width="7.5462962962963" style="8" customWidth="1"/>
    <col min="69" max="69" width="14.6666666666667" style="8" customWidth="1"/>
    <col min="70" max="70" width="12.6666666666667" style="8" customWidth="1"/>
    <col min="71" max="71" width="7.5462962962963" style="8" customWidth="1"/>
    <col min="72" max="73" width="9" style="8" customWidth="1"/>
    <col min="74" max="16384" width="9" style="8"/>
  </cols>
  <sheetData>
    <row r="1" spans="1:73">
      <c r="A1" s="8" t="s">
        <v>0</v>
      </c>
      <c r="B1" s="8" t="s">
        <v>1</v>
      </c>
      <c r="C1" s="8" t="s">
        <v>2</v>
      </c>
      <c r="D1" s="8" t="s">
        <v>3</v>
      </c>
      <c r="F1" s="8" t="s">
        <v>4</v>
      </c>
      <c r="G1" s="8" t="s">
        <v>5</v>
      </c>
      <c r="J1" s="8" t="s">
        <v>6</v>
      </c>
      <c r="K1" s="8" t="s">
        <v>7</v>
      </c>
      <c r="M1" s="8"/>
      <c r="N1" s="8" t="s">
        <v>8</v>
      </c>
      <c r="O1" s="8" t="s">
        <v>9</v>
      </c>
      <c r="P1" s="8" t="s">
        <v>10</v>
      </c>
      <c r="Q1" s="8" t="s">
        <v>11</v>
      </c>
      <c r="R1" s="8" t="s">
        <v>12</v>
      </c>
      <c r="S1" s="8" t="s">
        <v>13</v>
      </c>
      <c r="T1" s="8" t="s">
        <v>14</v>
      </c>
      <c r="U1" s="15" t="s">
        <v>15</v>
      </c>
      <c r="W1" s="15"/>
      <c r="X1" s="15" t="s">
        <v>16</v>
      </c>
      <c r="Y1" s="15"/>
      <c r="AA1" s="8" t="s">
        <v>17</v>
      </c>
      <c r="AB1" s="11" t="s">
        <v>18</v>
      </c>
      <c r="AC1" s="8" t="s">
        <v>19</v>
      </c>
      <c r="AD1" s="8" t="s">
        <v>20</v>
      </c>
      <c r="AE1" s="8" t="s">
        <v>21</v>
      </c>
      <c r="AF1" s="8" t="s">
        <v>22</v>
      </c>
      <c r="AG1" s="8" t="s">
        <v>23</v>
      </c>
      <c r="AH1" s="8" t="s">
        <v>24</v>
      </c>
      <c r="AI1" s="8" t="s">
        <v>25</v>
      </c>
      <c r="AJ1" s="8" t="s">
        <v>26</v>
      </c>
      <c r="AK1" s="8" t="s">
        <v>27</v>
      </c>
      <c r="AL1" s="8" t="s">
        <v>28</v>
      </c>
      <c r="AM1" s="15" t="s">
        <v>29</v>
      </c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8" t="s">
        <v>30</v>
      </c>
      <c r="BP1" s="8" t="s">
        <v>31</v>
      </c>
      <c r="BQ1" s="8" t="s">
        <v>32</v>
      </c>
      <c r="BR1" s="8" t="s">
        <v>33</v>
      </c>
      <c r="BS1" s="8" t="s">
        <v>34</v>
      </c>
      <c r="BT1" s="8" t="s">
        <v>35</v>
      </c>
      <c r="BU1" s="8" t="s">
        <v>36</v>
      </c>
    </row>
    <row r="2" ht="14.4" spans="1:73">
      <c r="A2" s="8" t="s">
        <v>37</v>
      </c>
      <c r="B2" s="8" t="s">
        <v>38</v>
      </c>
      <c r="C2" s="8" t="s">
        <v>39</v>
      </c>
      <c r="D2" s="8" t="s">
        <v>39</v>
      </c>
      <c r="F2" s="8" t="s">
        <v>38</v>
      </c>
      <c r="G2" s="8" t="s">
        <v>39</v>
      </c>
      <c r="I2"/>
      <c r="J2" s="8" t="s">
        <v>39</v>
      </c>
      <c r="K2" s="8" t="s">
        <v>40</v>
      </c>
      <c r="M2" s="8"/>
      <c r="N2" s="8" t="s">
        <v>38</v>
      </c>
      <c r="O2" s="8" t="s">
        <v>41</v>
      </c>
      <c r="P2" s="8" t="s">
        <v>38</v>
      </c>
      <c r="Q2" s="8" t="s">
        <v>38</v>
      </c>
      <c r="R2" s="8" t="s">
        <v>39</v>
      </c>
      <c r="S2" s="8" t="s">
        <v>38</v>
      </c>
      <c r="T2" s="8" t="s">
        <v>42</v>
      </c>
      <c r="U2" s="15" t="s">
        <v>43</v>
      </c>
      <c r="W2" s="15"/>
      <c r="X2" s="15" t="s">
        <v>43</v>
      </c>
      <c r="Y2" s="15"/>
      <c r="AA2" s="8" t="s">
        <v>39</v>
      </c>
      <c r="AB2" s="11" t="s">
        <v>38</v>
      </c>
      <c r="AC2" s="8" t="s">
        <v>41</v>
      </c>
      <c r="AD2" s="8" t="s">
        <v>38</v>
      </c>
      <c r="AE2" s="8" t="s">
        <v>38</v>
      </c>
      <c r="AF2" s="8" t="s">
        <v>38</v>
      </c>
      <c r="AG2" s="8" t="s">
        <v>38</v>
      </c>
      <c r="AH2" s="8" t="s">
        <v>39</v>
      </c>
      <c r="AI2" s="8" t="s">
        <v>38</v>
      </c>
      <c r="AJ2" s="11" t="s">
        <v>38</v>
      </c>
      <c r="AK2" s="8" t="s">
        <v>41</v>
      </c>
      <c r="AL2" s="8" t="s">
        <v>38</v>
      </c>
      <c r="AM2" s="15" t="s">
        <v>44</v>
      </c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8" t="s">
        <v>41</v>
      </c>
      <c r="BP2" s="8" t="s">
        <v>39</v>
      </c>
      <c r="BQ2" s="8" t="s">
        <v>38</v>
      </c>
      <c r="BR2" s="8" t="s">
        <v>38</v>
      </c>
      <c r="BS2" s="8" t="s">
        <v>38</v>
      </c>
      <c r="BT2" s="8" t="s">
        <v>38</v>
      </c>
      <c r="BU2" s="8" t="s">
        <v>39</v>
      </c>
    </row>
    <row r="3" spans="1:73">
      <c r="A3" s="8" t="s">
        <v>45</v>
      </c>
      <c r="D3" s="8" t="s">
        <v>46</v>
      </c>
      <c r="F3" s="8"/>
      <c r="G3" s="8" t="s">
        <v>46</v>
      </c>
      <c r="J3" s="8" t="s">
        <v>46</v>
      </c>
      <c r="K3" s="8" t="s">
        <v>46</v>
      </c>
      <c r="M3" s="8"/>
      <c r="N3" s="8" t="s">
        <v>46</v>
      </c>
      <c r="O3" s="8" t="s">
        <v>46</v>
      </c>
      <c r="P3" s="8" t="s">
        <v>46</v>
      </c>
      <c r="Q3" s="8"/>
      <c r="R3" s="8" t="s">
        <v>47</v>
      </c>
      <c r="S3" s="8" t="s">
        <v>47</v>
      </c>
      <c r="T3" s="8" t="s">
        <v>46</v>
      </c>
      <c r="U3" s="15" t="s">
        <v>47</v>
      </c>
      <c r="W3" s="15"/>
      <c r="X3" s="15" t="s">
        <v>46</v>
      </c>
      <c r="Y3" s="15"/>
      <c r="AA3" s="8" t="s">
        <v>46</v>
      </c>
      <c r="AB3" s="11" t="s">
        <v>46</v>
      </c>
      <c r="AC3" s="8" t="s">
        <v>46</v>
      </c>
      <c r="AD3" s="8" t="s">
        <v>46</v>
      </c>
      <c r="AE3" s="8" t="s">
        <v>46</v>
      </c>
      <c r="AF3" s="8" t="s">
        <v>46</v>
      </c>
      <c r="AG3" s="8" t="s">
        <v>46</v>
      </c>
      <c r="AH3" s="8" t="s">
        <v>46</v>
      </c>
      <c r="AI3" s="8" t="s">
        <v>46</v>
      </c>
      <c r="AJ3" s="8" t="s">
        <v>46</v>
      </c>
      <c r="AK3" s="8" t="s">
        <v>46</v>
      </c>
      <c r="BO3" s="8" t="s">
        <v>46</v>
      </c>
      <c r="BP3" s="8" t="s">
        <v>46</v>
      </c>
      <c r="BQ3" s="8" t="s">
        <v>46</v>
      </c>
      <c r="BR3" s="8" t="s">
        <v>46</v>
      </c>
      <c r="BS3" s="8" t="s">
        <v>46</v>
      </c>
      <c r="BT3" s="8" t="s">
        <v>46</v>
      </c>
      <c r="BU3" s="8" t="s">
        <v>46</v>
      </c>
    </row>
    <row r="4" ht="21" customHeight="1" spans="1:73">
      <c r="A4" s="8" t="s">
        <v>48</v>
      </c>
      <c r="B4" s="8" t="s">
        <v>49</v>
      </c>
      <c r="C4" s="8" t="s">
        <v>50</v>
      </c>
      <c r="D4" s="8" t="s">
        <v>51</v>
      </c>
      <c r="E4" s="8" t="s">
        <v>52</v>
      </c>
      <c r="F4" s="8" t="s">
        <v>53</v>
      </c>
      <c r="G4" s="8" t="s">
        <v>54</v>
      </c>
      <c r="H4" s="8" t="s">
        <v>55</v>
      </c>
      <c r="I4" s="8" t="s">
        <v>56</v>
      </c>
      <c r="J4" s="8" t="s">
        <v>57</v>
      </c>
      <c r="K4" s="8" t="s">
        <v>58</v>
      </c>
      <c r="L4" s="8" t="s">
        <v>59</v>
      </c>
      <c r="M4" s="8" t="s">
        <v>60</v>
      </c>
      <c r="N4" s="8" t="s">
        <v>61</v>
      </c>
      <c r="O4" s="8" t="s">
        <v>62</v>
      </c>
      <c r="P4" s="8" t="s">
        <v>63</v>
      </c>
      <c r="Q4" s="8" t="s">
        <v>64</v>
      </c>
      <c r="R4" s="8" t="s">
        <v>65</v>
      </c>
      <c r="S4" s="8" t="s">
        <v>66</v>
      </c>
      <c r="T4" s="8" t="s">
        <v>67</v>
      </c>
      <c r="U4" s="8" t="s">
        <v>68</v>
      </c>
      <c r="V4" s="8" t="s">
        <v>69</v>
      </c>
      <c r="W4" s="8" t="s">
        <v>70</v>
      </c>
      <c r="X4" s="8" t="s">
        <v>71</v>
      </c>
      <c r="Y4" s="8" t="s">
        <v>71</v>
      </c>
      <c r="Z4" s="8" t="s">
        <v>71</v>
      </c>
      <c r="AA4" s="8" t="s">
        <v>72</v>
      </c>
      <c r="AB4" s="11" t="s">
        <v>73</v>
      </c>
      <c r="AC4" s="8" t="s">
        <v>74</v>
      </c>
      <c r="AD4" s="8" t="s">
        <v>75</v>
      </c>
      <c r="AE4" s="8" t="s">
        <v>76</v>
      </c>
      <c r="AF4" s="8" t="s">
        <v>77</v>
      </c>
      <c r="AG4" s="8" t="s">
        <v>78</v>
      </c>
      <c r="AH4" s="8" t="s">
        <v>79</v>
      </c>
      <c r="AI4" s="8" t="s">
        <v>80</v>
      </c>
      <c r="AJ4" s="8" t="s">
        <v>81</v>
      </c>
      <c r="AK4" s="8" t="s">
        <v>82</v>
      </c>
      <c r="AL4" s="8" t="s">
        <v>83</v>
      </c>
      <c r="AM4" s="8" t="s">
        <v>84</v>
      </c>
      <c r="AN4" s="8" t="s">
        <v>85</v>
      </c>
      <c r="AO4" s="8" t="s">
        <v>86</v>
      </c>
      <c r="AP4" s="8" t="s">
        <v>87</v>
      </c>
      <c r="AQ4" s="8" t="s">
        <v>88</v>
      </c>
      <c r="AR4" s="8" t="s">
        <v>89</v>
      </c>
      <c r="AS4" s="8" t="s">
        <v>90</v>
      </c>
      <c r="AT4" s="8" t="s">
        <v>91</v>
      </c>
      <c r="AU4" s="8" t="s">
        <v>92</v>
      </c>
      <c r="AV4" s="8" t="s">
        <v>93</v>
      </c>
      <c r="AW4" s="8" t="s">
        <v>94</v>
      </c>
      <c r="AX4" s="8" t="s">
        <v>95</v>
      </c>
      <c r="AY4" s="8" t="s">
        <v>96</v>
      </c>
      <c r="AZ4" s="8" t="s">
        <v>97</v>
      </c>
      <c r="BA4" s="8" t="s">
        <v>98</v>
      </c>
      <c r="BB4" s="8" t="s">
        <v>99</v>
      </c>
      <c r="BC4" s="8" t="s">
        <v>100</v>
      </c>
      <c r="BD4" s="8" t="s">
        <v>101</v>
      </c>
      <c r="BE4" s="8" t="s">
        <v>102</v>
      </c>
      <c r="BF4" s="8" t="s">
        <v>103</v>
      </c>
      <c r="BG4" s="8" t="s">
        <v>104</v>
      </c>
      <c r="BH4" s="8" t="s">
        <v>105</v>
      </c>
      <c r="BI4" s="8" t="s">
        <v>106</v>
      </c>
      <c r="BJ4" s="8" t="s">
        <v>107</v>
      </c>
      <c r="BK4" s="8" t="s">
        <v>108</v>
      </c>
      <c r="BL4" s="8" t="s">
        <v>109</v>
      </c>
      <c r="BM4" s="8" t="s">
        <v>110</v>
      </c>
      <c r="BN4" s="8" t="s">
        <v>111</v>
      </c>
      <c r="BO4" s="8" t="s">
        <v>112</v>
      </c>
      <c r="BP4" s="8" t="s">
        <v>113</v>
      </c>
      <c r="BQ4" s="8" t="s">
        <v>114</v>
      </c>
      <c r="BR4" s="8" t="s">
        <v>115</v>
      </c>
      <c r="BS4" s="8" t="s">
        <v>116</v>
      </c>
      <c r="BT4" s="8" t="s">
        <v>117</v>
      </c>
      <c r="BU4" s="8" t="s">
        <v>118</v>
      </c>
    </row>
    <row r="5" ht="16.5" customHeight="1" spans="1:73">
      <c r="B5" s="8">
        <f>60000000+INDEX(编号表!$B:$B,MATCH(J5,编号表!$A:$A,0))*10000+INDEX(编号表!$B:$B,MATCH(K5,编号表!$C:$C,0))*1000+L5</f>
        <v>60011001</v>
      </c>
      <c r="C5" s="8" t="s">
        <v>119</v>
      </c>
      <c r="D5" s="8" t="s">
        <v>120</v>
      </c>
      <c r="E5" s="8" t="s">
        <v>120</v>
      </c>
      <c r="F5" s="8">
        <v>5</v>
      </c>
      <c r="G5" s="8" t="str">
        <f>INDEX(编号表!$E:$E,MATCH(K5,编号表!$C:$C,0))</f>
        <v>白色</v>
      </c>
      <c r="H5" s="8">
        <v>1</v>
      </c>
      <c r="I5" s="8" t="s">
        <v>121</v>
      </c>
      <c r="J5" s="8" t="s">
        <v>122</v>
      </c>
      <c r="K5" s="8" t="s">
        <v>123</v>
      </c>
      <c r="L5" s="8">
        <v>1</v>
      </c>
      <c r="M5" s="8">
        <v>1</v>
      </c>
      <c r="N5" s="8"/>
      <c r="O5" s="8"/>
      <c r="P5" s="8">
        <v>10</v>
      </c>
      <c r="Q5" s="8">
        <v>100000</v>
      </c>
      <c r="R5" s="8"/>
      <c r="S5" s="8"/>
      <c r="T5" s="8" t="b">
        <v>0</v>
      </c>
      <c r="U5" s="16">
        <v>40010001</v>
      </c>
      <c r="V5" s="8"/>
      <c r="X5" s="8">
        <v>11010001</v>
      </c>
      <c r="Y5" s="8">
        <v>11020001</v>
      </c>
      <c r="Z5" s="8"/>
      <c r="AA5" s="8" t="s">
        <v>124</v>
      </c>
      <c r="AB5" s="11">
        <v>20001</v>
      </c>
      <c r="AC5" s="8"/>
      <c r="AD5" s="8">
        <v>10</v>
      </c>
      <c r="AE5" s="8">
        <v>10</v>
      </c>
      <c r="AF5" s="8">
        <v>10</v>
      </c>
      <c r="AG5" s="8">
        <v>20</v>
      </c>
      <c r="AH5" s="8" t="s">
        <v>125</v>
      </c>
      <c r="AJ5" s="17"/>
      <c r="AL5" s="18">
        <v>12</v>
      </c>
      <c r="AM5" s="8" t="s">
        <v>126</v>
      </c>
      <c r="AN5" s="19">
        <v>1</v>
      </c>
      <c r="AO5" s="8" t="s">
        <v>127</v>
      </c>
      <c r="AP5" s="8">
        <v>0</v>
      </c>
      <c r="AQ5" s="8" t="s">
        <v>128</v>
      </c>
      <c r="AR5" s="8">
        <v>0</v>
      </c>
      <c r="AS5" s="8" t="s">
        <v>129</v>
      </c>
      <c r="AT5" s="8">
        <v>0</v>
      </c>
      <c r="AU5" s="8" t="s">
        <v>130</v>
      </c>
      <c r="AV5" s="8">
        <v>0</v>
      </c>
      <c r="AW5" s="8" t="s">
        <v>131</v>
      </c>
      <c r="AX5" s="8">
        <v>1</v>
      </c>
      <c r="AY5" s="8" t="s">
        <v>132</v>
      </c>
      <c r="AZ5" s="8">
        <v>2</v>
      </c>
      <c r="BA5" s="8" t="s">
        <v>133</v>
      </c>
      <c r="BB5" s="8">
        <v>1</v>
      </c>
      <c r="BC5" s="8" t="s">
        <v>134</v>
      </c>
      <c r="BD5" s="8">
        <v>2</v>
      </c>
      <c r="BE5" s="8" t="s">
        <v>133</v>
      </c>
      <c r="BF5" s="8">
        <v>1</v>
      </c>
      <c r="BG5" s="8" t="s">
        <v>134</v>
      </c>
      <c r="BH5" s="8">
        <v>2</v>
      </c>
      <c r="BI5" s="8" t="s">
        <v>135</v>
      </c>
      <c r="BJ5" s="8">
        <v>100</v>
      </c>
      <c r="BK5" s="8" t="s">
        <v>136</v>
      </c>
      <c r="BL5" s="8">
        <v>10</v>
      </c>
      <c r="BM5" s="8" t="s">
        <v>137</v>
      </c>
      <c r="BN5" s="8">
        <v>200</v>
      </c>
      <c r="BQ5" s="8">
        <v>1</v>
      </c>
      <c r="BR5" s="8">
        <v>2500</v>
      </c>
      <c r="BS5" s="8">
        <v>2</v>
      </c>
      <c r="BT5" s="8">
        <v>2500</v>
      </c>
      <c r="BU5" s="8" t="s">
        <v>138</v>
      </c>
    </row>
    <row r="6" ht="16.5" customHeight="1" spans="1:73">
      <c r="B6" s="8">
        <f>60000000+INDEX(编号表!$B:$B,MATCH(J6,编号表!$A:$A,0))*10000+INDEX(编号表!$B:$B,MATCH(K6,编号表!$C:$C,0))*1000+L6</f>
        <v>60011002</v>
      </c>
      <c r="C6" s="8" t="s">
        <v>139</v>
      </c>
      <c r="D6" s="8" t="s">
        <v>140</v>
      </c>
      <c r="E6" s="8" t="s">
        <v>140</v>
      </c>
      <c r="F6" s="8">
        <v>5</v>
      </c>
      <c r="G6" s="8" t="str">
        <f>INDEX(编号表!$E:$E,MATCH(K6,编号表!$C:$C,0))</f>
        <v>白色</v>
      </c>
      <c r="H6" s="8">
        <v>1</v>
      </c>
      <c r="I6" s="8" t="s">
        <v>121</v>
      </c>
      <c r="J6" s="8" t="s">
        <v>122</v>
      </c>
      <c r="K6" s="8" t="s">
        <v>123</v>
      </c>
      <c r="L6" s="8">
        <v>2</v>
      </c>
      <c r="M6" s="8">
        <v>2</v>
      </c>
      <c r="N6" s="8"/>
      <c r="O6" s="8"/>
      <c r="P6" s="8">
        <v>10</v>
      </c>
      <c r="Q6" s="8">
        <v>150000</v>
      </c>
      <c r="R6" s="8"/>
      <c r="S6" s="8"/>
      <c r="T6" s="8" t="b">
        <v>0</v>
      </c>
      <c r="U6" s="16">
        <v>40010001</v>
      </c>
      <c r="V6" s="16"/>
      <c r="X6" s="8">
        <v>11010001</v>
      </c>
      <c r="Y6" s="8">
        <v>11020001</v>
      </c>
      <c r="Z6" s="8"/>
      <c r="AA6" s="8" t="s">
        <v>124</v>
      </c>
      <c r="AB6" s="11">
        <v>20002</v>
      </c>
      <c r="AC6" s="8"/>
      <c r="AD6" s="8">
        <v>10</v>
      </c>
      <c r="AE6" s="8">
        <v>10</v>
      </c>
      <c r="AF6" s="8">
        <v>10</v>
      </c>
      <c r="AG6" s="8">
        <v>20</v>
      </c>
      <c r="AH6" s="8" t="s">
        <v>125</v>
      </c>
      <c r="AJ6" s="17"/>
      <c r="AL6" s="18">
        <v>33</v>
      </c>
      <c r="AM6" s="8" t="s">
        <v>126</v>
      </c>
      <c r="AN6" s="19">
        <v>1</v>
      </c>
      <c r="AO6" s="8" t="s">
        <v>127</v>
      </c>
      <c r="AP6" s="8">
        <v>0</v>
      </c>
      <c r="AQ6" s="8" t="s">
        <v>128</v>
      </c>
      <c r="AR6" s="8">
        <v>0</v>
      </c>
      <c r="AS6" s="8" t="s">
        <v>129</v>
      </c>
      <c r="AT6" s="8">
        <v>0</v>
      </c>
      <c r="AU6" s="8" t="s">
        <v>130</v>
      </c>
      <c r="AV6" s="8">
        <v>0</v>
      </c>
      <c r="AW6" s="8" t="s">
        <v>131</v>
      </c>
      <c r="AX6" s="8">
        <v>1</v>
      </c>
      <c r="AY6" s="8" t="s">
        <v>132</v>
      </c>
      <c r="AZ6" s="8">
        <v>2</v>
      </c>
      <c r="BA6" s="8" t="s">
        <v>133</v>
      </c>
      <c r="BB6" s="8">
        <v>1</v>
      </c>
      <c r="BC6" s="8" t="s">
        <v>134</v>
      </c>
      <c r="BD6" s="8">
        <v>2</v>
      </c>
      <c r="BE6" s="8" t="s">
        <v>133</v>
      </c>
      <c r="BF6" s="8">
        <v>1</v>
      </c>
      <c r="BG6" s="8" t="s">
        <v>134</v>
      </c>
      <c r="BH6" s="8">
        <v>2</v>
      </c>
      <c r="BI6" s="8" t="s">
        <v>135</v>
      </c>
      <c r="BJ6" s="8">
        <v>100</v>
      </c>
      <c r="BK6" s="8" t="s">
        <v>136</v>
      </c>
      <c r="BL6" s="8">
        <v>10</v>
      </c>
      <c r="BM6" s="8" t="s">
        <v>137</v>
      </c>
      <c r="BN6" s="8">
        <v>200</v>
      </c>
      <c r="BQ6" s="8">
        <v>1</v>
      </c>
      <c r="BR6" s="8">
        <v>2500</v>
      </c>
      <c r="BS6" s="8">
        <v>2</v>
      </c>
      <c r="BT6" s="8">
        <v>2500</v>
      </c>
      <c r="BU6" s="8" t="s">
        <v>138</v>
      </c>
    </row>
    <row r="7" ht="16.5" customHeight="1" spans="1:73">
      <c r="B7" s="8">
        <f>60000000+INDEX(编号表!$B:$B,MATCH(J7,编号表!$A:$A,0))*10000+INDEX(编号表!$B:$B,MATCH(K7,编号表!$C:$C,0))*1000+L7</f>
        <v>60011003</v>
      </c>
      <c r="C7" s="8" t="s">
        <v>141</v>
      </c>
      <c r="D7" s="8" t="s">
        <v>142</v>
      </c>
      <c r="E7" s="8" t="s">
        <v>142</v>
      </c>
      <c r="F7" s="8">
        <v>5</v>
      </c>
      <c r="G7" s="8" t="str">
        <f>INDEX(编号表!$E:$E,MATCH(K7,编号表!$C:$C,0))</f>
        <v>白色</v>
      </c>
      <c r="H7" s="8">
        <v>1</v>
      </c>
      <c r="I7" s="8" t="s">
        <v>121</v>
      </c>
      <c r="J7" s="8" t="s">
        <v>122</v>
      </c>
      <c r="K7" s="8" t="s">
        <v>123</v>
      </c>
      <c r="L7" s="8">
        <v>3</v>
      </c>
      <c r="M7" s="8">
        <v>3</v>
      </c>
      <c r="N7" s="8"/>
      <c r="O7" s="8"/>
      <c r="P7" s="8">
        <v>10</v>
      </c>
      <c r="Q7" s="8">
        <v>300000</v>
      </c>
      <c r="R7" s="8"/>
      <c r="S7" s="8"/>
      <c r="T7" s="8" t="b">
        <v>0</v>
      </c>
      <c r="U7" s="16">
        <v>40010001</v>
      </c>
      <c r="V7" s="16"/>
      <c r="X7" s="8">
        <v>11010001</v>
      </c>
      <c r="Y7" s="8">
        <v>11020001</v>
      </c>
      <c r="Z7" s="8"/>
      <c r="AA7" s="8" t="s">
        <v>124</v>
      </c>
      <c r="AB7" s="11">
        <v>20003</v>
      </c>
      <c r="AC7" s="8"/>
      <c r="AD7" s="8">
        <v>30</v>
      </c>
      <c r="AE7" s="8">
        <v>30</v>
      </c>
      <c r="AF7" s="8">
        <v>10</v>
      </c>
      <c r="AG7" s="8">
        <v>20</v>
      </c>
      <c r="AH7" s="8" t="s">
        <v>125</v>
      </c>
      <c r="AJ7" s="17"/>
      <c r="AL7" s="18">
        <v>36</v>
      </c>
      <c r="AM7" s="8" t="s">
        <v>126</v>
      </c>
      <c r="AN7" s="19">
        <v>1</v>
      </c>
      <c r="AO7" s="8" t="s">
        <v>127</v>
      </c>
      <c r="AP7" s="8">
        <v>0</v>
      </c>
      <c r="AQ7" s="8" t="s">
        <v>128</v>
      </c>
      <c r="AR7" s="8">
        <v>0</v>
      </c>
      <c r="AS7" s="8" t="s">
        <v>129</v>
      </c>
      <c r="AT7" s="8">
        <v>0</v>
      </c>
      <c r="AU7" s="8" t="s">
        <v>130</v>
      </c>
      <c r="AV7" s="8">
        <v>0</v>
      </c>
      <c r="AW7" s="8" t="s">
        <v>131</v>
      </c>
      <c r="AX7" s="8">
        <v>1</v>
      </c>
      <c r="AY7" s="8" t="s">
        <v>132</v>
      </c>
      <c r="AZ7" s="8">
        <v>2</v>
      </c>
      <c r="BA7" s="8" t="s">
        <v>133</v>
      </c>
      <c r="BB7" s="8">
        <v>1</v>
      </c>
      <c r="BC7" s="8" t="s">
        <v>134</v>
      </c>
      <c r="BD7" s="8">
        <v>2</v>
      </c>
      <c r="BE7" s="8" t="s">
        <v>133</v>
      </c>
      <c r="BF7" s="8">
        <v>1</v>
      </c>
      <c r="BG7" s="8" t="s">
        <v>134</v>
      </c>
      <c r="BH7" s="8">
        <v>2</v>
      </c>
      <c r="BI7" s="8" t="s">
        <v>135</v>
      </c>
      <c r="BJ7" s="8">
        <v>100</v>
      </c>
      <c r="BK7" s="8" t="s">
        <v>136</v>
      </c>
      <c r="BL7" s="8">
        <v>10</v>
      </c>
      <c r="BM7" s="8" t="s">
        <v>137</v>
      </c>
      <c r="BN7" s="8">
        <v>200</v>
      </c>
      <c r="BQ7" s="8">
        <v>1</v>
      </c>
      <c r="BR7" s="8">
        <v>2500</v>
      </c>
      <c r="BS7" s="8">
        <v>2</v>
      </c>
      <c r="BT7" s="8">
        <v>2500</v>
      </c>
      <c r="BU7" s="8" t="s">
        <v>138</v>
      </c>
    </row>
    <row r="8" ht="16.5" customHeight="1" spans="1:73">
      <c r="B8" s="8">
        <f>60000000+INDEX(编号表!$B:$B,MATCH(J8,编号表!$A:$A,0))*10000+INDEX(编号表!$B:$B,MATCH(K8,编号表!$C:$C,0))*1000+L8</f>
        <v>60011004</v>
      </c>
      <c r="C8" s="8" t="s">
        <v>143</v>
      </c>
      <c r="D8" s="8" t="s">
        <v>144</v>
      </c>
      <c r="E8" s="8" t="s">
        <v>144</v>
      </c>
      <c r="F8" s="8">
        <v>5</v>
      </c>
      <c r="G8" s="8" t="str">
        <f>INDEX(编号表!$E:$E,MATCH(K8,编号表!$C:$C,0))</f>
        <v>白色</v>
      </c>
      <c r="H8" s="8">
        <v>1</v>
      </c>
      <c r="I8" s="8" t="s">
        <v>121</v>
      </c>
      <c r="J8" s="8" t="s">
        <v>122</v>
      </c>
      <c r="K8" s="8" t="s">
        <v>123</v>
      </c>
      <c r="L8" s="8">
        <v>4</v>
      </c>
      <c r="M8" s="8">
        <v>4</v>
      </c>
      <c r="N8" s="8"/>
      <c r="O8" s="8"/>
      <c r="P8" s="8">
        <v>10</v>
      </c>
      <c r="Q8" s="8">
        <v>150000</v>
      </c>
      <c r="R8" s="8"/>
      <c r="S8" s="8"/>
      <c r="T8" s="8" t="b">
        <v>0</v>
      </c>
      <c r="U8" s="16">
        <v>40010001</v>
      </c>
      <c r="V8" s="8"/>
      <c r="X8" s="8">
        <v>11010001</v>
      </c>
      <c r="Y8" s="8">
        <v>11020001</v>
      </c>
      <c r="Z8" s="8"/>
      <c r="AA8" s="8" t="s">
        <v>124</v>
      </c>
      <c r="AB8" s="11">
        <v>20004</v>
      </c>
      <c r="AC8" s="8"/>
      <c r="AD8" s="8">
        <v>10</v>
      </c>
      <c r="AE8" s="8">
        <v>10</v>
      </c>
      <c r="AF8" s="8">
        <v>10</v>
      </c>
      <c r="AG8" s="8">
        <v>20</v>
      </c>
      <c r="AH8" s="8" t="s">
        <v>125</v>
      </c>
      <c r="AJ8" s="17"/>
      <c r="AL8" s="18">
        <v>26</v>
      </c>
      <c r="AM8" s="8" t="s">
        <v>126</v>
      </c>
      <c r="AN8" s="19">
        <v>1</v>
      </c>
      <c r="AO8" s="8" t="s">
        <v>127</v>
      </c>
      <c r="AP8" s="8">
        <v>2</v>
      </c>
      <c r="AQ8" s="8" t="s">
        <v>128</v>
      </c>
      <c r="AR8" s="8">
        <v>3</v>
      </c>
      <c r="AS8" s="8" t="s">
        <v>129</v>
      </c>
      <c r="AT8" s="8">
        <v>2</v>
      </c>
      <c r="AU8" s="8" t="s">
        <v>130</v>
      </c>
      <c r="AV8" s="8">
        <v>3</v>
      </c>
      <c r="AW8" s="8" t="s">
        <v>131</v>
      </c>
      <c r="AX8" s="8">
        <v>5</v>
      </c>
      <c r="AY8" s="8" t="s">
        <v>132</v>
      </c>
      <c r="AZ8" s="8">
        <v>7</v>
      </c>
      <c r="BA8" s="8" t="s">
        <v>133</v>
      </c>
      <c r="BB8" s="8">
        <v>5</v>
      </c>
      <c r="BC8" s="8" t="s">
        <v>134</v>
      </c>
      <c r="BD8" s="8">
        <v>7</v>
      </c>
      <c r="BE8" s="8" t="s">
        <v>133</v>
      </c>
      <c r="BF8" s="8">
        <v>0</v>
      </c>
      <c r="BG8" s="8" t="s">
        <v>134</v>
      </c>
      <c r="BH8" s="8">
        <v>0</v>
      </c>
      <c r="BI8" s="8" t="s">
        <v>135</v>
      </c>
      <c r="BJ8" s="8">
        <v>100</v>
      </c>
      <c r="BK8" s="8" t="s">
        <v>136</v>
      </c>
      <c r="BL8" s="8">
        <v>10</v>
      </c>
      <c r="BM8" s="8" t="s">
        <v>137</v>
      </c>
      <c r="BN8" s="8">
        <v>200</v>
      </c>
      <c r="BQ8" s="8">
        <v>1</v>
      </c>
      <c r="BR8" s="8">
        <v>2500</v>
      </c>
      <c r="BS8" s="8">
        <v>2</v>
      </c>
      <c r="BT8" s="8">
        <v>2500</v>
      </c>
      <c r="BU8" s="8" t="s">
        <v>138</v>
      </c>
    </row>
    <row r="9" ht="16.5" customHeight="1" spans="1:73">
      <c r="B9" s="8">
        <f>60000000+INDEX(编号表!$B:$B,MATCH(J9,编号表!$A:$A,0))*10000+INDEX(编号表!$B:$B,MATCH(K9,编号表!$C:$C,0))*1000+L9</f>
        <v>60011005</v>
      </c>
      <c r="C9" s="8" t="s">
        <v>145</v>
      </c>
      <c r="D9" s="8" t="s">
        <v>146</v>
      </c>
      <c r="E9" s="8" t="s">
        <v>146</v>
      </c>
      <c r="F9" s="8">
        <v>5</v>
      </c>
      <c r="G9" s="8" t="str">
        <f>INDEX(编号表!$E:$E,MATCH(K9,编号表!$C:$C,0))</f>
        <v>白色</v>
      </c>
      <c r="H9" s="8">
        <v>1</v>
      </c>
      <c r="I9" s="8" t="s">
        <v>121</v>
      </c>
      <c r="J9" s="8" t="s">
        <v>122</v>
      </c>
      <c r="K9" s="8" t="s">
        <v>123</v>
      </c>
      <c r="L9" s="8">
        <v>5</v>
      </c>
      <c r="M9" s="8">
        <v>5</v>
      </c>
      <c r="N9" s="8"/>
      <c r="O9" s="8"/>
      <c r="P9" s="8">
        <v>10</v>
      </c>
      <c r="Q9" s="8">
        <v>150000</v>
      </c>
      <c r="R9" s="8"/>
      <c r="S9" s="8"/>
      <c r="T9" s="8" t="b">
        <v>0</v>
      </c>
      <c r="U9" s="16">
        <v>40010001</v>
      </c>
      <c r="V9" s="8"/>
      <c r="X9" s="8">
        <v>11010001</v>
      </c>
      <c r="Y9" s="8">
        <v>11020001</v>
      </c>
      <c r="Z9" s="8"/>
      <c r="AA9" s="8" t="s">
        <v>124</v>
      </c>
      <c r="AB9" s="11">
        <v>20005</v>
      </c>
      <c r="AC9" s="8"/>
      <c r="AD9" s="8">
        <v>10</v>
      </c>
      <c r="AE9" s="8">
        <v>10</v>
      </c>
      <c r="AF9" s="8">
        <v>10</v>
      </c>
      <c r="AG9" s="8">
        <v>20</v>
      </c>
      <c r="AH9" s="8" t="s">
        <v>125</v>
      </c>
      <c r="AJ9" s="17"/>
      <c r="AL9" s="18">
        <v>33</v>
      </c>
      <c r="AM9" s="8" t="s">
        <v>126</v>
      </c>
      <c r="AN9" s="19">
        <v>1</v>
      </c>
      <c r="AO9" s="8" t="s">
        <v>127</v>
      </c>
      <c r="AP9" s="8">
        <v>3</v>
      </c>
      <c r="AQ9" s="8" t="s">
        <v>128</v>
      </c>
      <c r="AR9" s="8">
        <v>4</v>
      </c>
      <c r="AS9" s="8" t="s">
        <v>129</v>
      </c>
      <c r="AT9" s="8">
        <v>3</v>
      </c>
      <c r="AU9" s="8" t="s">
        <v>130</v>
      </c>
      <c r="AV9" s="8">
        <v>4</v>
      </c>
      <c r="AW9" s="8" t="s">
        <v>131</v>
      </c>
      <c r="AX9" s="8">
        <v>7</v>
      </c>
      <c r="AY9" s="8" t="s">
        <v>132</v>
      </c>
      <c r="AZ9" s="8">
        <v>9</v>
      </c>
      <c r="BA9" s="8" t="s">
        <v>133</v>
      </c>
      <c r="BB9" s="8">
        <v>7</v>
      </c>
      <c r="BC9" s="8" t="s">
        <v>134</v>
      </c>
      <c r="BD9" s="8">
        <v>9</v>
      </c>
      <c r="BE9" s="8" t="s">
        <v>133</v>
      </c>
      <c r="BF9" s="8">
        <v>0</v>
      </c>
      <c r="BG9" s="8" t="s">
        <v>134</v>
      </c>
      <c r="BH9" s="8">
        <v>0</v>
      </c>
      <c r="BI9" s="8" t="s">
        <v>135</v>
      </c>
      <c r="BJ9" s="8">
        <v>100</v>
      </c>
      <c r="BK9" s="8" t="s">
        <v>136</v>
      </c>
      <c r="BL9" s="8">
        <v>10</v>
      </c>
      <c r="BM9" s="8" t="s">
        <v>137</v>
      </c>
      <c r="BN9" s="8">
        <v>200</v>
      </c>
      <c r="BQ9" s="8">
        <v>1</v>
      </c>
      <c r="BR9" s="8">
        <v>2500</v>
      </c>
      <c r="BS9" s="8">
        <v>2</v>
      </c>
      <c r="BT9" s="8">
        <v>2500</v>
      </c>
      <c r="BU9" s="8" t="s">
        <v>138</v>
      </c>
    </row>
    <row r="10" ht="16.5" customHeight="1" spans="1:73">
      <c r="B10" s="8">
        <f>60000000+INDEX(编号表!$B:$B,MATCH(J10,编号表!$A:$A,0))*10000+INDEX(编号表!$B:$B,MATCH(K10,编号表!$C:$C,0))*1000+L10</f>
        <v>60011006</v>
      </c>
      <c r="C10" s="8" t="s">
        <v>147</v>
      </c>
      <c r="D10" s="8" t="s">
        <v>148</v>
      </c>
      <c r="E10" s="8" t="s">
        <v>148</v>
      </c>
      <c r="F10" s="8">
        <v>5</v>
      </c>
      <c r="G10" s="8" t="str">
        <f>INDEX(编号表!$E:$E,MATCH(K10,编号表!$C:$C,0))</f>
        <v>白色</v>
      </c>
      <c r="H10" s="8">
        <v>1</v>
      </c>
      <c r="I10" s="8" t="s">
        <v>121</v>
      </c>
      <c r="J10" s="8" t="s">
        <v>122</v>
      </c>
      <c r="K10" s="8" t="s">
        <v>123</v>
      </c>
      <c r="L10" s="8">
        <v>6</v>
      </c>
      <c r="M10" s="8">
        <v>6</v>
      </c>
      <c r="N10" s="8"/>
      <c r="O10" s="8"/>
      <c r="P10" s="8">
        <v>10</v>
      </c>
      <c r="Q10" s="8">
        <v>150000</v>
      </c>
      <c r="R10" s="8"/>
      <c r="S10" s="8"/>
      <c r="T10" s="8" t="b">
        <v>0</v>
      </c>
      <c r="U10" s="16">
        <v>40010001</v>
      </c>
      <c r="V10" s="8"/>
      <c r="X10" s="8">
        <v>11010001</v>
      </c>
      <c r="Y10" s="8">
        <v>11020001</v>
      </c>
      <c r="Z10" s="8"/>
      <c r="AA10" s="8" t="s">
        <v>124</v>
      </c>
      <c r="AC10" s="8"/>
      <c r="AD10" s="8">
        <v>30</v>
      </c>
      <c r="AE10" s="8">
        <v>30</v>
      </c>
      <c r="AF10" s="8">
        <v>10</v>
      </c>
      <c r="AG10" s="8">
        <v>20</v>
      </c>
      <c r="AH10" s="8" t="s">
        <v>125</v>
      </c>
      <c r="AJ10" s="17"/>
      <c r="AL10" s="18">
        <v>49</v>
      </c>
      <c r="AM10" s="8" t="s">
        <v>126</v>
      </c>
      <c r="AN10" s="19">
        <v>1</v>
      </c>
      <c r="AO10" s="8" t="s">
        <v>127</v>
      </c>
      <c r="AP10" s="8">
        <v>4</v>
      </c>
      <c r="AQ10" s="8" t="s">
        <v>128</v>
      </c>
      <c r="AR10" s="8">
        <v>6</v>
      </c>
      <c r="AS10" s="8" t="s">
        <v>129</v>
      </c>
      <c r="AT10" s="8">
        <v>4</v>
      </c>
      <c r="AU10" s="8" t="s">
        <v>130</v>
      </c>
      <c r="AV10" s="8">
        <v>5</v>
      </c>
      <c r="AW10" s="8" t="s">
        <v>131</v>
      </c>
      <c r="AX10" s="8">
        <v>10</v>
      </c>
      <c r="AY10" s="8" t="s">
        <v>132</v>
      </c>
      <c r="AZ10" s="8">
        <v>13</v>
      </c>
      <c r="BA10" s="8" t="s">
        <v>133</v>
      </c>
      <c r="BB10" s="8">
        <v>10</v>
      </c>
      <c r="BC10" s="8" t="s">
        <v>134</v>
      </c>
      <c r="BD10" s="8">
        <v>13</v>
      </c>
      <c r="BE10" s="8" t="s">
        <v>133</v>
      </c>
      <c r="BF10" s="8">
        <v>0</v>
      </c>
      <c r="BG10" s="8" t="s">
        <v>134</v>
      </c>
      <c r="BH10" s="8">
        <v>0</v>
      </c>
      <c r="BI10" s="8" t="s">
        <v>135</v>
      </c>
      <c r="BJ10" s="8">
        <v>100</v>
      </c>
      <c r="BK10" s="8" t="s">
        <v>136</v>
      </c>
      <c r="BL10" s="8">
        <v>10</v>
      </c>
      <c r="BM10" s="8" t="s">
        <v>137</v>
      </c>
      <c r="BN10" s="8">
        <v>200</v>
      </c>
      <c r="BQ10" s="8">
        <v>1</v>
      </c>
      <c r="BR10" s="8">
        <v>2500</v>
      </c>
      <c r="BS10" s="8">
        <v>2</v>
      </c>
      <c r="BT10" s="8">
        <v>2500</v>
      </c>
      <c r="BU10" s="8" t="s">
        <v>138</v>
      </c>
    </row>
    <row r="11" ht="16.5" customHeight="1" spans="1:73">
      <c r="B11" s="8">
        <f>60000000+INDEX(编号表!$B:$B,MATCH(J11,编号表!$A:$A,0))*10000+INDEX(编号表!$B:$B,MATCH(K11,编号表!$C:$C,0))*1000+L11</f>
        <v>60011007</v>
      </c>
      <c r="C11" s="8" t="s">
        <v>149</v>
      </c>
      <c r="D11" s="8" t="s">
        <v>150</v>
      </c>
      <c r="E11" s="8" t="s">
        <v>150</v>
      </c>
      <c r="F11" s="8">
        <v>5</v>
      </c>
      <c r="G11" s="8" t="str">
        <f>INDEX(编号表!$E:$E,MATCH(K11,编号表!$C:$C,0))</f>
        <v>白色</v>
      </c>
      <c r="H11" s="8">
        <v>1</v>
      </c>
      <c r="I11" s="8" t="s">
        <v>121</v>
      </c>
      <c r="J11" s="8" t="s">
        <v>122</v>
      </c>
      <c r="K11" s="8" t="s">
        <v>123</v>
      </c>
      <c r="L11" s="8">
        <v>7</v>
      </c>
      <c r="M11" s="8">
        <v>7</v>
      </c>
      <c r="N11" s="8"/>
      <c r="O11" s="8"/>
      <c r="P11" s="8">
        <v>10</v>
      </c>
      <c r="Q11" s="8">
        <v>300000</v>
      </c>
      <c r="R11" s="8"/>
      <c r="S11" s="8"/>
      <c r="T11" s="8" t="b">
        <v>0</v>
      </c>
      <c r="U11" s="16">
        <v>40010001</v>
      </c>
      <c r="V11" s="8"/>
      <c r="X11" s="8">
        <v>11010001</v>
      </c>
      <c r="Y11" s="8">
        <v>11020001</v>
      </c>
      <c r="Z11" s="8"/>
      <c r="AA11" s="8" t="s">
        <v>124</v>
      </c>
      <c r="AC11" s="8"/>
      <c r="AD11" s="8">
        <v>30</v>
      </c>
      <c r="AE11" s="8">
        <v>30</v>
      </c>
      <c r="AF11" s="8">
        <v>10</v>
      </c>
      <c r="AG11" s="8">
        <v>20</v>
      </c>
      <c r="AH11" s="8" t="s">
        <v>125</v>
      </c>
      <c r="AJ11" s="17"/>
      <c r="AL11" s="18">
        <v>58</v>
      </c>
      <c r="AM11" s="8" t="s">
        <v>126</v>
      </c>
      <c r="AN11" s="19">
        <v>1</v>
      </c>
      <c r="AO11" s="8" t="s">
        <v>127</v>
      </c>
      <c r="AP11" s="8">
        <v>5</v>
      </c>
      <c r="AQ11" s="8" t="s">
        <v>128</v>
      </c>
      <c r="AR11" s="8">
        <v>7</v>
      </c>
      <c r="AS11" s="8" t="s">
        <v>129</v>
      </c>
      <c r="AT11" s="8">
        <v>4</v>
      </c>
      <c r="AU11" s="8" t="s">
        <v>130</v>
      </c>
      <c r="AV11" s="8">
        <v>6</v>
      </c>
      <c r="AW11" s="8" t="s">
        <v>131</v>
      </c>
      <c r="AX11" s="8">
        <v>11</v>
      </c>
      <c r="AY11" s="8" t="s">
        <v>132</v>
      </c>
      <c r="AZ11" s="8">
        <v>14</v>
      </c>
      <c r="BA11" s="8" t="s">
        <v>133</v>
      </c>
      <c r="BB11" s="8">
        <v>11</v>
      </c>
      <c r="BC11" s="8" t="s">
        <v>134</v>
      </c>
      <c r="BD11" s="8">
        <v>14</v>
      </c>
      <c r="BE11" s="8" t="s">
        <v>133</v>
      </c>
      <c r="BF11" s="8">
        <v>1</v>
      </c>
      <c r="BG11" s="8" t="s">
        <v>134</v>
      </c>
      <c r="BH11" s="8">
        <v>2</v>
      </c>
      <c r="BI11" s="8" t="s">
        <v>135</v>
      </c>
      <c r="BJ11" s="8">
        <v>100</v>
      </c>
      <c r="BK11" s="8" t="s">
        <v>136</v>
      </c>
      <c r="BL11" s="8">
        <v>10</v>
      </c>
      <c r="BM11" s="8" t="s">
        <v>137</v>
      </c>
      <c r="BN11" s="8">
        <v>200</v>
      </c>
      <c r="BQ11" s="8">
        <v>1</v>
      </c>
      <c r="BR11" s="8">
        <v>2500</v>
      </c>
      <c r="BS11" s="8">
        <v>2</v>
      </c>
      <c r="BT11" s="8">
        <v>2500</v>
      </c>
      <c r="BU11" s="8" t="s">
        <v>138</v>
      </c>
    </row>
    <row r="12" ht="16.5" customHeight="1" spans="1:73">
      <c r="B12" s="8">
        <f>60000000+INDEX(编号表!$B:$B,MATCH(J12,编号表!$A:$A,0))*10000+INDEX(编号表!$B:$B,MATCH(K12,编号表!$C:$C,0))*1000+L12</f>
        <v>60011008</v>
      </c>
      <c r="C12" s="8" t="s">
        <v>151</v>
      </c>
      <c r="D12" s="8" t="s">
        <v>152</v>
      </c>
      <c r="E12" s="8" t="s">
        <v>152</v>
      </c>
      <c r="F12" s="8">
        <v>5</v>
      </c>
      <c r="G12" s="8" t="str">
        <f>INDEX(编号表!$E:$E,MATCH(K12,编号表!$C:$C,0))</f>
        <v>白色</v>
      </c>
      <c r="H12" s="8">
        <v>1</v>
      </c>
      <c r="I12" s="8" t="s">
        <v>121</v>
      </c>
      <c r="J12" s="8" t="s">
        <v>122</v>
      </c>
      <c r="K12" s="8" t="s">
        <v>123</v>
      </c>
      <c r="L12" s="8">
        <v>8</v>
      </c>
      <c r="M12" s="8">
        <v>8</v>
      </c>
      <c r="N12" s="8"/>
      <c r="O12" s="8"/>
      <c r="P12" s="8">
        <v>10</v>
      </c>
      <c r="Q12" s="8">
        <v>300000</v>
      </c>
      <c r="R12" s="8"/>
      <c r="S12" s="8"/>
      <c r="T12" s="8" t="b">
        <v>0</v>
      </c>
      <c r="U12" s="16">
        <v>40010001</v>
      </c>
      <c r="V12" s="8"/>
      <c r="X12" s="8">
        <v>11010001</v>
      </c>
      <c r="Y12" s="8">
        <v>11020001</v>
      </c>
      <c r="Z12" s="8"/>
      <c r="AA12" s="8" t="s">
        <v>124</v>
      </c>
      <c r="AB12" s="11">
        <v>20009</v>
      </c>
      <c r="AC12" s="8"/>
      <c r="AD12" s="8">
        <v>30</v>
      </c>
      <c r="AE12" s="8">
        <v>30</v>
      </c>
      <c r="AF12" s="8">
        <v>10</v>
      </c>
      <c r="AG12" s="8">
        <v>20</v>
      </c>
      <c r="AH12" s="8" t="s">
        <v>125</v>
      </c>
      <c r="AJ12" s="17"/>
      <c r="AL12" s="18">
        <v>53</v>
      </c>
      <c r="AM12" s="8" t="s">
        <v>126</v>
      </c>
      <c r="AN12" s="19">
        <v>1</v>
      </c>
      <c r="AO12" s="8" t="s">
        <v>127</v>
      </c>
      <c r="AP12" s="8">
        <v>4</v>
      </c>
      <c r="AQ12" s="8" t="s">
        <v>128</v>
      </c>
      <c r="AR12" s="8">
        <v>6</v>
      </c>
      <c r="AS12" s="8" t="s">
        <v>129</v>
      </c>
      <c r="AT12" s="8">
        <v>4</v>
      </c>
      <c r="AU12" s="8" t="s">
        <v>130</v>
      </c>
      <c r="AV12" s="8">
        <v>6</v>
      </c>
      <c r="AW12" s="8" t="s">
        <v>131</v>
      </c>
      <c r="AX12" s="8">
        <v>11</v>
      </c>
      <c r="AY12" s="8" t="s">
        <v>132</v>
      </c>
      <c r="AZ12" s="8">
        <v>15</v>
      </c>
      <c r="BA12" s="8" t="s">
        <v>133</v>
      </c>
      <c r="BB12" s="8">
        <v>11</v>
      </c>
      <c r="BC12" s="8" t="s">
        <v>134</v>
      </c>
      <c r="BD12" s="8">
        <v>15</v>
      </c>
      <c r="BE12" s="8" t="s">
        <v>133</v>
      </c>
      <c r="BF12" s="8">
        <v>1</v>
      </c>
      <c r="BG12" s="8" t="s">
        <v>134</v>
      </c>
      <c r="BH12" s="8">
        <v>2</v>
      </c>
      <c r="BI12" s="8" t="s">
        <v>135</v>
      </c>
      <c r="BJ12" s="8">
        <v>100</v>
      </c>
      <c r="BK12" s="8" t="s">
        <v>136</v>
      </c>
      <c r="BL12" s="8">
        <v>10</v>
      </c>
      <c r="BM12" s="8" t="s">
        <v>137</v>
      </c>
      <c r="BN12" s="8">
        <v>200</v>
      </c>
      <c r="BQ12" s="8">
        <v>1</v>
      </c>
      <c r="BR12" s="8">
        <v>2500</v>
      </c>
      <c r="BS12" s="8">
        <v>2</v>
      </c>
      <c r="BT12" s="8">
        <v>2500</v>
      </c>
      <c r="BU12" s="8" t="s">
        <v>138</v>
      </c>
    </row>
    <row r="13" ht="16.5" customHeight="1" spans="1:73">
      <c r="B13" s="8">
        <f>60000000+INDEX(编号表!$B:$B,MATCH(J13,编号表!$A:$A,0))*10000+INDEX(编号表!$B:$B,MATCH(K13,编号表!$C:$C,0))*1000+L13</f>
        <v>60011009</v>
      </c>
      <c r="C13" s="8" t="s">
        <v>153</v>
      </c>
      <c r="D13" s="8" t="s">
        <v>154</v>
      </c>
      <c r="E13" s="8" t="s">
        <v>154</v>
      </c>
      <c r="F13" s="8">
        <v>5</v>
      </c>
      <c r="G13" s="8" t="str">
        <f>INDEX(编号表!$E:$E,MATCH(K13,编号表!$C:$C,0))</f>
        <v>白色</v>
      </c>
      <c r="H13" s="8">
        <v>1</v>
      </c>
      <c r="I13" s="8" t="s">
        <v>121</v>
      </c>
      <c r="J13" s="8" t="s">
        <v>122</v>
      </c>
      <c r="K13" s="8" t="s">
        <v>123</v>
      </c>
      <c r="L13" s="8">
        <v>9</v>
      </c>
      <c r="M13" s="8">
        <v>9</v>
      </c>
      <c r="N13" s="8"/>
      <c r="O13" s="8"/>
      <c r="P13" s="8">
        <v>10</v>
      </c>
      <c r="Q13" s="8">
        <v>300000</v>
      </c>
      <c r="R13" s="8"/>
      <c r="S13" s="8"/>
      <c r="T13" s="8" t="b">
        <v>0</v>
      </c>
      <c r="U13" s="16">
        <v>40010001</v>
      </c>
      <c r="V13" s="8"/>
      <c r="X13" s="8">
        <v>11010001</v>
      </c>
      <c r="Y13" s="8">
        <v>11020001</v>
      </c>
      <c r="Z13" s="8"/>
      <c r="AA13" s="8" t="s">
        <v>124</v>
      </c>
      <c r="AC13" s="8"/>
      <c r="AD13" s="8">
        <v>30</v>
      </c>
      <c r="AE13" s="8">
        <v>30</v>
      </c>
      <c r="AF13" s="8">
        <v>10</v>
      </c>
      <c r="AG13" s="8">
        <v>20</v>
      </c>
      <c r="AH13" s="8" t="s">
        <v>125</v>
      </c>
      <c r="AJ13" s="17"/>
      <c r="AL13" s="18">
        <v>58</v>
      </c>
      <c r="AM13" s="8" t="s">
        <v>126</v>
      </c>
      <c r="AN13" s="19">
        <v>1</v>
      </c>
      <c r="AO13" s="8" t="s">
        <v>127</v>
      </c>
      <c r="AP13" s="8">
        <v>5</v>
      </c>
      <c r="AQ13" s="8" t="s">
        <v>128</v>
      </c>
      <c r="AR13" s="8">
        <v>7</v>
      </c>
      <c r="AS13" s="8" t="s">
        <v>129</v>
      </c>
      <c r="AT13" s="8">
        <v>4</v>
      </c>
      <c r="AU13" s="8" t="s">
        <v>130</v>
      </c>
      <c r="AV13" s="8">
        <v>6</v>
      </c>
      <c r="AW13" s="8" t="s">
        <v>131</v>
      </c>
      <c r="AX13" s="8">
        <v>12</v>
      </c>
      <c r="AY13" s="8" t="s">
        <v>132</v>
      </c>
      <c r="AZ13" s="8">
        <v>16</v>
      </c>
      <c r="BA13" s="8" t="s">
        <v>133</v>
      </c>
      <c r="BB13" s="8">
        <v>12</v>
      </c>
      <c r="BC13" s="8" t="s">
        <v>134</v>
      </c>
      <c r="BD13" s="8">
        <v>16</v>
      </c>
      <c r="BE13" s="8" t="s">
        <v>133</v>
      </c>
      <c r="BF13" s="8">
        <v>1</v>
      </c>
      <c r="BG13" s="8" t="s">
        <v>134</v>
      </c>
      <c r="BH13" s="8">
        <v>2</v>
      </c>
      <c r="BI13" s="8" t="s">
        <v>135</v>
      </c>
      <c r="BJ13" s="8">
        <v>100</v>
      </c>
      <c r="BK13" s="8" t="s">
        <v>136</v>
      </c>
      <c r="BL13" s="8">
        <v>10</v>
      </c>
      <c r="BM13" s="8" t="s">
        <v>137</v>
      </c>
      <c r="BN13" s="8">
        <v>200</v>
      </c>
      <c r="BQ13" s="8">
        <v>1</v>
      </c>
      <c r="BR13" s="8">
        <v>2500</v>
      </c>
      <c r="BS13" s="8">
        <v>2</v>
      </c>
      <c r="BT13" s="8">
        <v>2500</v>
      </c>
      <c r="BU13" s="8" t="s">
        <v>138</v>
      </c>
    </row>
    <row r="14" ht="16.5" customHeight="1" spans="1:73">
      <c r="B14" s="8">
        <f>60000000+INDEX(编号表!$B:$B,MATCH(J14,编号表!$A:$A,0))*10000+INDEX(编号表!$B:$B,MATCH(K14,编号表!$C:$C,0))*1000+L14</f>
        <v>60011010</v>
      </c>
      <c r="C14" s="8" t="s">
        <v>155</v>
      </c>
      <c r="D14" s="8" t="s">
        <v>156</v>
      </c>
      <c r="E14" s="8" t="s">
        <v>156</v>
      </c>
      <c r="F14" s="8">
        <v>5</v>
      </c>
      <c r="G14" s="8" t="str">
        <f>INDEX(编号表!$E:$E,MATCH(K14,编号表!$C:$C,0))</f>
        <v>白色</v>
      </c>
      <c r="H14" s="8">
        <v>1</v>
      </c>
      <c r="I14" s="8" t="s">
        <v>121</v>
      </c>
      <c r="J14" s="8" t="s">
        <v>122</v>
      </c>
      <c r="K14" s="8" t="s">
        <v>123</v>
      </c>
      <c r="L14" s="8">
        <v>10</v>
      </c>
      <c r="M14" s="8">
        <v>10</v>
      </c>
      <c r="N14" s="8"/>
      <c r="O14" s="8"/>
      <c r="P14" s="8">
        <v>10</v>
      </c>
      <c r="Q14" s="8">
        <v>150000</v>
      </c>
      <c r="R14" s="8"/>
      <c r="S14" s="8"/>
      <c r="T14" s="8" t="b">
        <v>0</v>
      </c>
      <c r="U14" s="16">
        <v>40010001</v>
      </c>
      <c r="V14" s="16"/>
      <c r="X14" s="8">
        <v>11010001</v>
      </c>
      <c r="Y14" s="8">
        <v>11020001</v>
      </c>
      <c r="Z14" s="8"/>
      <c r="AA14" s="8" t="s">
        <v>124</v>
      </c>
      <c r="AB14" s="11">
        <v>20008</v>
      </c>
      <c r="AC14" s="8"/>
      <c r="AD14" s="8">
        <v>30</v>
      </c>
      <c r="AE14" s="8">
        <v>30</v>
      </c>
      <c r="AF14" s="8">
        <v>10</v>
      </c>
      <c r="AG14" s="8">
        <v>20</v>
      </c>
      <c r="AH14" s="8" t="s">
        <v>125</v>
      </c>
      <c r="AJ14" s="17"/>
      <c r="AL14" s="18">
        <v>49</v>
      </c>
      <c r="AM14" s="8" t="s">
        <v>126</v>
      </c>
      <c r="AN14" s="19">
        <v>1</v>
      </c>
      <c r="AO14" s="8" t="s">
        <v>127</v>
      </c>
      <c r="AP14" s="8">
        <v>4</v>
      </c>
      <c r="AQ14" s="8" t="s">
        <v>128</v>
      </c>
      <c r="AR14" s="8">
        <v>6</v>
      </c>
      <c r="AS14" s="8" t="s">
        <v>129</v>
      </c>
      <c r="AT14" s="8">
        <v>4</v>
      </c>
      <c r="AU14" s="8" t="s">
        <v>130</v>
      </c>
      <c r="AV14" s="8">
        <v>5</v>
      </c>
      <c r="AW14" s="8" t="s">
        <v>131</v>
      </c>
      <c r="AX14" s="8">
        <v>9</v>
      </c>
      <c r="AY14" s="8" t="s">
        <v>132</v>
      </c>
      <c r="AZ14" s="8">
        <v>12</v>
      </c>
      <c r="BA14" s="8" t="s">
        <v>133</v>
      </c>
      <c r="BB14" s="8">
        <v>9</v>
      </c>
      <c r="BC14" s="8" t="s">
        <v>134</v>
      </c>
      <c r="BD14" s="8">
        <v>12</v>
      </c>
      <c r="BE14" s="8" t="s">
        <v>133</v>
      </c>
      <c r="BF14" s="8">
        <v>0</v>
      </c>
      <c r="BG14" s="8" t="s">
        <v>134</v>
      </c>
      <c r="BH14" s="8">
        <v>0</v>
      </c>
      <c r="BI14" s="8" t="s">
        <v>135</v>
      </c>
      <c r="BJ14" s="8">
        <v>100</v>
      </c>
      <c r="BK14" s="8" t="s">
        <v>136</v>
      </c>
      <c r="BL14" s="8">
        <v>10</v>
      </c>
      <c r="BM14" s="8" t="s">
        <v>137</v>
      </c>
      <c r="BN14" s="8">
        <v>200</v>
      </c>
      <c r="BQ14" s="8">
        <v>1</v>
      </c>
      <c r="BR14" s="8">
        <v>2500</v>
      </c>
      <c r="BS14" s="8">
        <v>2</v>
      </c>
      <c r="BT14" s="8">
        <v>2500</v>
      </c>
      <c r="BU14" s="8" t="s">
        <v>138</v>
      </c>
    </row>
    <row r="15" ht="16.5" customHeight="1" spans="1:73">
      <c r="B15" s="8">
        <f>60000000+INDEX(编号表!$B:$B,MATCH(J15,编号表!$A:$A,0))*10000+INDEX(编号表!$B:$B,MATCH(K15,编号表!$C:$C,0))*1000+L15</f>
        <v>60011011</v>
      </c>
      <c r="C15" s="8" t="s">
        <v>157</v>
      </c>
      <c r="D15" s="8" t="s">
        <v>158</v>
      </c>
      <c r="E15" s="8" t="s">
        <v>158</v>
      </c>
      <c r="F15" s="8">
        <v>5</v>
      </c>
      <c r="G15" s="8" t="str">
        <f>INDEX(编号表!$E:$E,MATCH(K15,编号表!$C:$C,0))</f>
        <v>白色</v>
      </c>
      <c r="H15" s="8">
        <v>1</v>
      </c>
      <c r="I15" s="8" t="s">
        <v>121</v>
      </c>
      <c r="J15" s="8" t="s">
        <v>122</v>
      </c>
      <c r="K15" s="8" t="s">
        <v>123</v>
      </c>
      <c r="L15" s="8">
        <v>11</v>
      </c>
      <c r="M15" s="8">
        <v>11</v>
      </c>
      <c r="N15" s="8"/>
      <c r="O15" s="8"/>
      <c r="P15" s="8">
        <v>10</v>
      </c>
      <c r="Q15" s="8">
        <v>300000</v>
      </c>
      <c r="R15" s="8"/>
      <c r="S15" s="8"/>
      <c r="T15" s="8" t="b">
        <v>0</v>
      </c>
      <c r="U15" s="16">
        <v>40010001</v>
      </c>
      <c r="V15" s="8"/>
      <c r="X15" s="8">
        <v>11010001</v>
      </c>
      <c r="Y15" s="8">
        <v>11020001</v>
      </c>
      <c r="Z15" s="8"/>
      <c r="AA15" s="8" t="s">
        <v>124</v>
      </c>
      <c r="AB15" s="11">
        <v>20006</v>
      </c>
      <c r="AC15" s="8"/>
      <c r="AD15" s="8">
        <v>10</v>
      </c>
      <c r="AE15" s="8">
        <v>10</v>
      </c>
      <c r="AF15" s="8">
        <v>10</v>
      </c>
      <c r="AG15" s="8">
        <v>20</v>
      </c>
      <c r="AH15" s="8" t="s">
        <v>125</v>
      </c>
      <c r="AJ15" s="17"/>
      <c r="AL15" s="18">
        <v>58</v>
      </c>
      <c r="AM15" s="8" t="s">
        <v>126</v>
      </c>
      <c r="AN15" s="19">
        <v>1</v>
      </c>
      <c r="AO15" s="8" t="s">
        <v>127</v>
      </c>
      <c r="AP15" s="8">
        <v>5</v>
      </c>
      <c r="AQ15" s="8" t="s">
        <v>128</v>
      </c>
      <c r="AR15" s="8">
        <v>7</v>
      </c>
      <c r="AS15" s="8" t="s">
        <v>129</v>
      </c>
      <c r="AT15" s="8">
        <v>4</v>
      </c>
      <c r="AU15" s="8" t="s">
        <v>130</v>
      </c>
      <c r="AV15" s="8">
        <v>6</v>
      </c>
      <c r="AW15" s="8" t="s">
        <v>131</v>
      </c>
      <c r="AX15" s="8">
        <v>11</v>
      </c>
      <c r="AY15" s="8" t="s">
        <v>132</v>
      </c>
      <c r="AZ15" s="8">
        <v>14</v>
      </c>
      <c r="BA15" s="8" t="s">
        <v>133</v>
      </c>
      <c r="BB15" s="8">
        <v>11</v>
      </c>
      <c r="BC15" s="8" t="s">
        <v>134</v>
      </c>
      <c r="BD15" s="8">
        <v>14</v>
      </c>
      <c r="BE15" s="8" t="s">
        <v>133</v>
      </c>
      <c r="BF15" s="8">
        <v>1</v>
      </c>
      <c r="BG15" s="8" t="s">
        <v>134</v>
      </c>
      <c r="BH15" s="8">
        <v>2</v>
      </c>
      <c r="BI15" s="8" t="s">
        <v>135</v>
      </c>
      <c r="BJ15" s="8">
        <v>100</v>
      </c>
      <c r="BK15" s="8" t="s">
        <v>136</v>
      </c>
      <c r="BL15" s="8">
        <v>10</v>
      </c>
      <c r="BM15" s="8" t="s">
        <v>137</v>
      </c>
      <c r="BN15" s="8">
        <v>200</v>
      </c>
      <c r="BQ15" s="8">
        <v>1</v>
      </c>
      <c r="BR15" s="8">
        <v>2500</v>
      </c>
      <c r="BS15" s="8">
        <v>2</v>
      </c>
      <c r="BT15" s="8">
        <v>2500</v>
      </c>
      <c r="BU15" s="8" t="s">
        <v>138</v>
      </c>
    </row>
    <row r="16" ht="16.5" customHeight="1" spans="1:73">
      <c r="B16" s="8">
        <f>60000000+INDEX(编号表!$B:$B,MATCH(J16,编号表!$A:$A,0))*10000+INDEX(编号表!$B:$B,MATCH(K16,编号表!$C:$C,0))*1000+L16</f>
        <v>60011012</v>
      </c>
      <c r="C16" s="8" t="s">
        <v>159</v>
      </c>
      <c r="D16" s="8" t="s">
        <v>160</v>
      </c>
      <c r="E16" s="8" t="s">
        <v>160</v>
      </c>
      <c r="F16" s="8">
        <v>5</v>
      </c>
      <c r="G16" s="8" t="str">
        <f>INDEX(编号表!$E:$E,MATCH(K16,编号表!$C:$C,0))</f>
        <v>白色</v>
      </c>
      <c r="H16" s="8">
        <v>1</v>
      </c>
      <c r="I16" s="8" t="s">
        <v>121</v>
      </c>
      <c r="J16" s="8" t="s">
        <v>122</v>
      </c>
      <c r="K16" s="8" t="s">
        <v>123</v>
      </c>
      <c r="L16" s="8">
        <v>12</v>
      </c>
      <c r="M16" s="8">
        <v>12</v>
      </c>
      <c r="N16" s="8"/>
      <c r="O16" s="8"/>
      <c r="P16" s="8">
        <v>10</v>
      </c>
      <c r="Q16" s="8">
        <v>300000</v>
      </c>
      <c r="R16" s="8"/>
      <c r="S16" s="8"/>
      <c r="T16" s="8" t="b">
        <v>0</v>
      </c>
      <c r="U16" s="16">
        <v>40010001</v>
      </c>
      <c r="V16" s="8"/>
      <c r="X16" s="8">
        <v>11010001</v>
      </c>
      <c r="Y16" s="8">
        <v>11020001</v>
      </c>
      <c r="Z16" s="8"/>
      <c r="AA16" s="8" t="s">
        <v>124</v>
      </c>
      <c r="AB16" s="11">
        <v>20007</v>
      </c>
      <c r="AC16" s="8"/>
      <c r="AD16" s="8">
        <v>10</v>
      </c>
      <c r="AE16" s="8">
        <v>10</v>
      </c>
      <c r="AF16" s="8">
        <v>10</v>
      </c>
      <c r="AG16" s="8">
        <v>20</v>
      </c>
      <c r="AH16" s="8" t="s">
        <v>161</v>
      </c>
      <c r="AJ16" s="17"/>
      <c r="AL16" s="18">
        <v>58</v>
      </c>
      <c r="AM16" s="8" t="s">
        <v>126</v>
      </c>
      <c r="AN16" s="19">
        <v>1</v>
      </c>
      <c r="AO16" s="8" t="s">
        <v>127</v>
      </c>
      <c r="AP16" s="8">
        <v>5</v>
      </c>
      <c r="AQ16" s="8" t="s">
        <v>128</v>
      </c>
      <c r="AR16" s="8">
        <v>7</v>
      </c>
      <c r="AS16" s="8" t="s">
        <v>129</v>
      </c>
      <c r="AT16" s="8">
        <v>4</v>
      </c>
      <c r="AU16" s="8" t="s">
        <v>130</v>
      </c>
      <c r="AV16" s="8">
        <v>6</v>
      </c>
      <c r="AW16" s="8" t="s">
        <v>131</v>
      </c>
      <c r="AX16" s="8">
        <v>11</v>
      </c>
      <c r="AY16" s="8" t="s">
        <v>132</v>
      </c>
      <c r="AZ16" s="8">
        <v>14</v>
      </c>
      <c r="BA16" s="8" t="s">
        <v>133</v>
      </c>
      <c r="BB16" s="8">
        <v>11</v>
      </c>
      <c r="BC16" s="8" t="s">
        <v>134</v>
      </c>
      <c r="BD16" s="8">
        <v>14</v>
      </c>
      <c r="BE16" s="8" t="s">
        <v>133</v>
      </c>
      <c r="BF16" s="8">
        <v>1</v>
      </c>
      <c r="BG16" s="8" t="s">
        <v>134</v>
      </c>
      <c r="BH16" s="8">
        <v>2</v>
      </c>
      <c r="BI16" s="8" t="s">
        <v>135</v>
      </c>
      <c r="BJ16" s="8">
        <v>100</v>
      </c>
      <c r="BK16" s="8" t="s">
        <v>136</v>
      </c>
      <c r="BL16" s="8">
        <v>300</v>
      </c>
      <c r="BM16" s="8" t="s">
        <v>137</v>
      </c>
      <c r="BN16" s="8">
        <v>200</v>
      </c>
      <c r="BQ16" s="8">
        <v>1</v>
      </c>
      <c r="BR16" s="8">
        <v>2500</v>
      </c>
      <c r="BS16" s="8">
        <v>2</v>
      </c>
      <c r="BT16" s="8">
        <v>2500</v>
      </c>
      <c r="BU16" s="8" t="s">
        <v>138</v>
      </c>
    </row>
    <row r="17" ht="16.5" customHeight="1" spans="2:73">
      <c r="B17" s="8">
        <f>60000000+INDEX(编号表!$B:$B,MATCH(J17,编号表!$A:$A,0))*10000+INDEX(编号表!$B:$B,MATCH(K17,编号表!$C:$C,0))*1000+L17</f>
        <v>60011013</v>
      </c>
      <c r="C17" s="8" t="s">
        <v>162</v>
      </c>
      <c r="D17" s="8" t="s">
        <v>163</v>
      </c>
      <c r="E17" s="8" t="s">
        <v>163</v>
      </c>
      <c r="F17" s="8">
        <v>5</v>
      </c>
      <c r="G17" s="8" t="str">
        <f>INDEX(编号表!$E:$E,MATCH(K17,编号表!$C:$C,0))</f>
        <v>白色</v>
      </c>
      <c r="H17" s="8">
        <v>1</v>
      </c>
      <c r="I17" s="8" t="s">
        <v>121</v>
      </c>
      <c r="J17" s="8" t="s">
        <v>122</v>
      </c>
      <c r="K17" s="8" t="s">
        <v>123</v>
      </c>
      <c r="L17" s="8">
        <v>13</v>
      </c>
      <c r="M17" s="8">
        <v>13</v>
      </c>
      <c r="N17" s="8"/>
      <c r="O17" s="8"/>
      <c r="P17" s="8">
        <v>10</v>
      </c>
      <c r="Q17" s="8">
        <v>150000</v>
      </c>
      <c r="R17" s="8"/>
      <c r="S17" s="8"/>
      <c r="T17" s="8" t="b">
        <v>0</v>
      </c>
      <c r="U17" s="16">
        <v>40010001</v>
      </c>
      <c r="V17" s="8"/>
      <c r="X17" s="8">
        <v>11010001</v>
      </c>
      <c r="Y17" s="8">
        <v>11020001</v>
      </c>
      <c r="Z17" s="8"/>
      <c r="AA17" s="8" t="s">
        <v>124</v>
      </c>
      <c r="AB17" s="11">
        <v>20008</v>
      </c>
      <c r="AC17" s="8"/>
      <c r="AD17" s="8">
        <v>10</v>
      </c>
      <c r="AE17" s="8">
        <v>20</v>
      </c>
      <c r="AF17" s="8">
        <v>20</v>
      </c>
      <c r="AG17" s="8">
        <v>30</v>
      </c>
      <c r="AH17" s="8" t="s">
        <v>125</v>
      </c>
      <c r="AJ17" s="17"/>
      <c r="AL17" s="18">
        <v>59</v>
      </c>
      <c r="AM17" s="8" t="s">
        <v>126</v>
      </c>
      <c r="AN17" s="19">
        <v>190</v>
      </c>
      <c r="AO17" s="8" t="s">
        <v>127</v>
      </c>
      <c r="AP17" s="8">
        <v>4</v>
      </c>
      <c r="AQ17" s="8" t="s">
        <v>128</v>
      </c>
      <c r="AR17" s="8">
        <v>5</v>
      </c>
      <c r="AS17" s="8" t="s">
        <v>129</v>
      </c>
      <c r="AT17" s="8">
        <v>3</v>
      </c>
      <c r="AU17" s="8" t="s">
        <v>130</v>
      </c>
      <c r="AV17" s="8">
        <v>5</v>
      </c>
      <c r="AW17" s="8" t="s">
        <v>131</v>
      </c>
      <c r="AX17" s="8">
        <v>12</v>
      </c>
      <c r="AY17" s="8" t="s">
        <v>132</v>
      </c>
      <c r="AZ17" s="8">
        <v>16</v>
      </c>
      <c r="BA17" s="8" t="s">
        <v>133</v>
      </c>
      <c r="BB17" s="8">
        <v>12</v>
      </c>
      <c r="BC17" s="8" t="s">
        <v>134</v>
      </c>
      <c r="BD17" s="8">
        <v>16</v>
      </c>
      <c r="BE17" s="8" t="s">
        <v>133</v>
      </c>
      <c r="BF17" s="8">
        <v>0</v>
      </c>
      <c r="BG17" s="8" t="s">
        <v>134</v>
      </c>
      <c r="BH17" s="8">
        <v>0</v>
      </c>
      <c r="BI17" s="8" t="s">
        <v>135</v>
      </c>
      <c r="BJ17" s="8">
        <v>100</v>
      </c>
      <c r="BK17" s="8" t="s">
        <v>136</v>
      </c>
      <c r="BL17" s="8">
        <v>10</v>
      </c>
      <c r="BM17" s="8" t="s">
        <v>137</v>
      </c>
      <c r="BN17" s="8">
        <v>250</v>
      </c>
      <c r="BO17" s="8">
        <v>0.03</v>
      </c>
      <c r="BQ17" s="8">
        <v>1</v>
      </c>
      <c r="BR17" s="8">
        <v>2500</v>
      </c>
      <c r="BS17" s="8">
        <v>2</v>
      </c>
      <c r="BT17" s="8">
        <v>2500</v>
      </c>
      <c r="BU17" s="8" t="s">
        <v>138</v>
      </c>
    </row>
    <row r="18" ht="16.5" customHeight="1" spans="2:73">
      <c r="B18" s="8">
        <f>60000000+INDEX(编号表!$B:$B,MATCH(J18,编号表!$A:$A,0))*10000+INDEX(编号表!$B:$B,MATCH(K18,编号表!$C:$C,0))*1000+L18</f>
        <v>60021014</v>
      </c>
      <c r="C18" s="8" t="s">
        <v>164</v>
      </c>
      <c r="D18" s="20" t="s">
        <v>165</v>
      </c>
      <c r="E18" s="20" t="s">
        <v>165</v>
      </c>
      <c r="F18" s="8">
        <v>5</v>
      </c>
      <c r="G18" s="8" t="str">
        <f>INDEX(编号表!$E:$E,MATCH(K18,编号表!$C:$C,0))</f>
        <v>白色</v>
      </c>
      <c r="H18" s="8">
        <v>2</v>
      </c>
      <c r="I18" s="8" t="s">
        <v>166</v>
      </c>
      <c r="J18" s="8" t="s">
        <v>166</v>
      </c>
      <c r="K18" s="8" t="s">
        <v>123</v>
      </c>
      <c r="L18" s="8">
        <v>14</v>
      </c>
      <c r="M18" s="8">
        <v>14</v>
      </c>
      <c r="N18" s="8"/>
      <c r="O18" s="8"/>
      <c r="P18" s="8">
        <v>10</v>
      </c>
      <c r="Q18" s="8">
        <v>150000</v>
      </c>
      <c r="R18" s="8"/>
      <c r="S18" s="8"/>
      <c r="T18" s="8" t="b">
        <v>0</v>
      </c>
      <c r="U18" s="16">
        <v>40010001</v>
      </c>
      <c r="V18" s="8"/>
      <c r="X18" s="8">
        <v>11010001</v>
      </c>
      <c r="Y18" s="8">
        <v>11020001</v>
      </c>
      <c r="Z18" s="8"/>
      <c r="AA18" s="8" t="s">
        <v>124</v>
      </c>
      <c r="AB18" s="11">
        <v>20030</v>
      </c>
      <c r="AC18" s="8"/>
      <c r="AD18" s="8">
        <v>80</v>
      </c>
      <c r="AE18" s="8">
        <v>80</v>
      </c>
      <c r="AF18" s="8">
        <v>20</v>
      </c>
      <c r="AG18" s="8">
        <v>30</v>
      </c>
      <c r="AH18" s="8" t="s">
        <v>125</v>
      </c>
      <c r="AJ18" s="17"/>
      <c r="AL18" s="18">
        <v>255</v>
      </c>
      <c r="AM18" s="8" t="s">
        <v>126</v>
      </c>
      <c r="AN18" s="19">
        <v>1500</v>
      </c>
      <c r="AO18" s="8" t="s">
        <v>127</v>
      </c>
      <c r="AP18" s="8">
        <v>8</v>
      </c>
      <c r="AQ18" s="8" t="s">
        <v>128</v>
      </c>
      <c r="AR18" s="8">
        <v>12</v>
      </c>
      <c r="AS18" s="8" t="s">
        <v>129</v>
      </c>
      <c r="AT18" s="8">
        <v>8</v>
      </c>
      <c r="AU18" s="8" t="s">
        <v>130</v>
      </c>
      <c r="AV18" s="8">
        <v>11</v>
      </c>
      <c r="AW18" s="8" t="s">
        <v>131</v>
      </c>
      <c r="AX18" s="8">
        <v>21</v>
      </c>
      <c r="AY18" s="8" t="s">
        <v>132</v>
      </c>
      <c r="AZ18" s="8">
        <v>29</v>
      </c>
      <c r="BA18" s="8" t="s">
        <v>133</v>
      </c>
      <c r="BB18" s="8">
        <v>21</v>
      </c>
      <c r="BC18" s="8" t="s">
        <v>134</v>
      </c>
      <c r="BD18" s="8">
        <v>29</v>
      </c>
      <c r="BE18" s="8" t="s">
        <v>133</v>
      </c>
      <c r="BF18" s="8">
        <v>0</v>
      </c>
      <c r="BG18" s="8" t="s">
        <v>134</v>
      </c>
      <c r="BH18" s="8">
        <v>0</v>
      </c>
      <c r="BI18" s="8" t="s">
        <v>135</v>
      </c>
      <c r="BJ18" s="8">
        <v>100</v>
      </c>
      <c r="BK18" s="8" t="s">
        <v>136</v>
      </c>
      <c r="BL18" s="8">
        <v>10</v>
      </c>
      <c r="BM18" s="8" t="s">
        <v>137</v>
      </c>
      <c r="BN18" s="8">
        <v>250</v>
      </c>
      <c r="BQ18" s="8">
        <v>1</v>
      </c>
      <c r="BR18" s="8">
        <v>2500</v>
      </c>
      <c r="BS18" s="8">
        <v>2</v>
      </c>
      <c r="BT18" s="8">
        <v>2500</v>
      </c>
      <c r="BU18" s="8" t="s">
        <v>138</v>
      </c>
    </row>
    <row r="19" ht="16.5" customHeight="1" spans="2:73">
      <c r="B19" s="8">
        <f>60000000+INDEX(编号表!$B:$B,MATCH(J19,编号表!$A:$A,0))*10000+INDEX(编号表!$B:$B,MATCH(K19,编号表!$C:$C,0))*1000+L19</f>
        <v>60021015</v>
      </c>
      <c r="C19" s="8" t="s">
        <v>167</v>
      </c>
      <c r="D19" s="20" t="s">
        <v>168</v>
      </c>
      <c r="E19" s="20" t="s">
        <v>168</v>
      </c>
      <c r="F19" s="8">
        <v>5</v>
      </c>
      <c r="G19" s="8" t="str">
        <f>INDEX(编号表!$E:$E,MATCH(K19,编号表!$C:$C,0))</f>
        <v>白色</v>
      </c>
      <c r="H19" s="8">
        <v>2</v>
      </c>
      <c r="I19" s="8" t="s">
        <v>166</v>
      </c>
      <c r="J19" s="8" t="s">
        <v>166</v>
      </c>
      <c r="K19" s="8" t="s">
        <v>123</v>
      </c>
      <c r="L19" s="8">
        <v>15</v>
      </c>
      <c r="M19" s="8">
        <v>15</v>
      </c>
      <c r="N19" s="8"/>
      <c r="O19" s="8"/>
      <c r="P19" s="8">
        <v>10</v>
      </c>
      <c r="Q19" s="8">
        <v>150000</v>
      </c>
      <c r="R19" s="8"/>
      <c r="S19" s="8"/>
      <c r="T19" s="8" t="b">
        <v>0</v>
      </c>
      <c r="U19" s="16">
        <v>40010001</v>
      </c>
      <c r="V19" s="8"/>
      <c r="X19" s="8">
        <v>11010001</v>
      </c>
      <c r="Y19" s="8">
        <v>11020001</v>
      </c>
      <c r="Z19" s="8"/>
      <c r="AA19" s="8" t="s">
        <v>124</v>
      </c>
      <c r="AB19" s="11">
        <v>20031</v>
      </c>
      <c r="AC19" s="8"/>
      <c r="AD19" s="8">
        <v>80</v>
      </c>
      <c r="AE19" s="8">
        <v>80</v>
      </c>
      <c r="AF19" s="8">
        <v>20</v>
      </c>
      <c r="AG19" s="8">
        <v>30</v>
      </c>
      <c r="AH19" s="8" t="s">
        <v>125</v>
      </c>
      <c r="AJ19" s="17"/>
      <c r="AL19" s="18">
        <v>255</v>
      </c>
      <c r="AM19" s="8" t="s">
        <v>126</v>
      </c>
      <c r="AN19" s="19">
        <v>1500</v>
      </c>
      <c r="AO19" s="8" t="s">
        <v>127</v>
      </c>
      <c r="AP19" s="8">
        <v>8</v>
      </c>
      <c r="AQ19" s="8" t="s">
        <v>128</v>
      </c>
      <c r="AR19" s="8">
        <v>12</v>
      </c>
      <c r="AS19" s="8" t="s">
        <v>129</v>
      </c>
      <c r="AT19" s="8">
        <v>8</v>
      </c>
      <c r="AU19" s="8" t="s">
        <v>130</v>
      </c>
      <c r="AV19" s="8">
        <v>11</v>
      </c>
      <c r="AW19" s="8" t="s">
        <v>131</v>
      </c>
      <c r="AX19" s="8">
        <v>21</v>
      </c>
      <c r="AY19" s="8" t="s">
        <v>132</v>
      </c>
      <c r="AZ19" s="8">
        <v>29</v>
      </c>
      <c r="BA19" s="8" t="s">
        <v>133</v>
      </c>
      <c r="BB19" s="8">
        <v>21</v>
      </c>
      <c r="BC19" s="8" t="s">
        <v>134</v>
      </c>
      <c r="BD19" s="8">
        <v>29</v>
      </c>
      <c r="BE19" s="8" t="s">
        <v>133</v>
      </c>
      <c r="BF19" s="8">
        <v>0</v>
      </c>
      <c r="BG19" s="8" t="s">
        <v>134</v>
      </c>
      <c r="BH19" s="8">
        <v>0</v>
      </c>
      <c r="BI19" s="8" t="s">
        <v>135</v>
      </c>
      <c r="BJ19" s="8">
        <v>100</v>
      </c>
      <c r="BK19" s="8" t="s">
        <v>136</v>
      </c>
      <c r="BL19" s="8">
        <v>10</v>
      </c>
      <c r="BM19" s="8" t="s">
        <v>137</v>
      </c>
      <c r="BN19" s="8">
        <v>250</v>
      </c>
      <c r="BQ19" s="8">
        <v>1</v>
      </c>
      <c r="BR19" s="8">
        <v>2500</v>
      </c>
      <c r="BS19" s="8">
        <v>2</v>
      </c>
      <c r="BT19" s="8">
        <v>2500</v>
      </c>
      <c r="BU19" s="8" t="s">
        <v>138</v>
      </c>
    </row>
    <row r="20" s="8" customFormat="1" ht="16.5" customHeight="1" spans="2:73">
      <c r="B20" s="8">
        <f>60000000+INDEX(编号表!$B:$B,MATCH(J20,编号表!$A:$A,0))*10000+INDEX(编号表!$B:$B,MATCH(K20,编号表!$C:$C,0))*1000+L20</f>
        <v>60021016</v>
      </c>
      <c r="C20" s="8" t="s">
        <v>169</v>
      </c>
      <c r="D20" s="20" t="s">
        <v>170</v>
      </c>
      <c r="E20" s="20" t="s">
        <v>170</v>
      </c>
      <c r="F20" s="8">
        <v>5</v>
      </c>
      <c r="G20" s="8" t="str">
        <f>INDEX(编号表!$E:$E,MATCH(K20,编号表!$C:$C,0))</f>
        <v>白色</v>
      </c>
      <c r="H20" s="8">
        <v>2</v>
      </c>
      <c r="I20" s="8" t="s">
        <v>166</v>
      </c>
      <c r="J20" s="8" t="s">
        <v>166</v>
      </c>
      <c r="K20" s="8" t="s">
        <v>123</v>
      </c>
      <c r="L20" s="8">
        <v>16</v>
      </c>
      <c r="M20" s="8">
        <v>16</v>
      </c>
      <c r="N20" s="8"/>
      <c r="O20" s="8"/>
      <c r="P20" s="8">
        <v>10</v>
      </c>
      <c r="Q20" s="8">
        <v>150000</v>
      </c>
      <c r="R20" s="8"/>
      <c r="S20" s="8"/>
      <c r="T20" s="8" t="b">
        <v>0</v>
      </c>
      <c r="U20" s="16">
        <v>40010001</v>
      </c>
      <c r="V20" s="8"/>
      <c r="X20" s="8">
        <v>11010001</v>
      </c>
      <c r="Y20" s="8">
        <v>11020001</v>
      </c>
      <c r="Z20" s="8"/>
      <c r="AA20" s="8" t="s">
        <v>124</v>
      </c>
      <c r="AB20" s="11">
        <v>20032</v>
      </c>
      <c r="AC20" s="8"/>
      <c r="AD20" s="8">
        <v>80</v>
      </c>
      <c r="AE20" s="8">
        <v>80</v>
      </c>
      <c r="AF20" s="8">
        <v>20</v>
      </c>
      <c r="AG20" s="8">
        <v>30</v>
      </c>
      <c r="AH20" s="8" t="s">
        <v>125</v>
      </c>
      <c r="AJ20" s="17"/>
      <c r="AL20" s="18">
        <v>255</v>
      </c>
      <c r="AM20" s="8" t="s">
        <v>126</v>
      </c>
      <c r="AN20" s="19">
        <v>1500</v>
      </c>
      <c r="AO20" s="8" t="s">
        <v>127</v>
      </c>
      <c r="AP20" s="8">
        <v>8</v>
      </c>
      <c r="AQ20" s="8" t="s">
        <v>128</v>
      </c>
      <c r="AR20" s="8">
        <v>12</v>
      </c>
      <c r="AS20" s="8" t="s">
        <v>129</v>
      </c>
      <c r="AT20" s="8">
        <v>8</v>
      </c>
      <c r="AU20" s="8" t="s">
        <v>130</v>
      </c>
      <c r="AV20" s="8">
        <v>11</v>
      </c>
      <c r="AW20" s="8" t="s">
        <v>131</v>
      </c>
      <c r="AX20" s="8">
        <v>21</v>
      </c>
      <c r="AY20" s="8" t="s">
        <v>132</v>
      </c>
      <c r="AZ20" s="8">
        <v>29</v>
      </c>
      <c r="BA20" s="8" t="s">
        <v>133</v>
      </c>
      <c r="BB20" s="8">
        <v>21</v>
      </c>
      <c r="BC20" s="8" t="s">
        <v>134</v>
      </c>
      <c r="BD20" s="8">
        <v>29</v>
      </c>
      <c r="BE20" s="8" t="s">
        <v>133</v>
      </c>
      <c r="BF20" s="8">
        <v>0</v>
      </c>
      <c r="BG20" s="8" t="s">
        <v>134</v>
      </c>
      <c r="BH20" s="8">
        <v>0</v>
      </c>
      <c r="BI20" s="8" t="s">
        <v>135</v>
      </c>
      <c r="BJ20" s="8">
        <v>100</v>
      </c>
      <c r="BK20" s="8" t="s">
        <v>136</v>
      </c>
      <c r="BL20" s="8">
        <v>10</v>
      </c>
      <c r="BM20" s="8" t="s">
        <v>137</v>
      </c>
      <c r="BN20" s="8">
        <v>250</v>
      </c>
      <c r="BQ20" s="8">
        <v>1</v>
      </c>
      <c r="BR20" s="8">
        <v>2500</v>
      </c>
      <c r="BS20" s="8">
        <v>2</v>
      </c>
      <c r="BT20" s="8">
        <v>2500</v>
      </c>
      <c r="BU20" s="8" t="s">
        <v>138</v>
      </c>
    </row>
    <row r="21" s="8" customFormat="1" ht="16.5" customHeight="1" spans="2:73">
      <c r="B21" s="8">
        <f>60000000+INDEX(编号表!$B:$B,MATCH(J21,编号表!$A:$A,0))*10000+INDEX(编号表!$B:$B,MATCH(K21,编号表!$C:$C,0))*1000+L21</f>
        <v>60021017</v>
      </c>
      <c r="C21" s="8" t="s">
        <v>171</v>
      </c>
      <c r="D21" s="20" t="s">
        <v>172</v>
      </c>
      <c r="E21" s="20" t="s">
        <v>172</v>
      </c>
      <c r="F21" s="8">
        <v>5</v>
      </c>
      <c r="G21" s="8" t="str">
        <f>INDEX(编号表!$E:$E,MATCH(K21,编号表!$C:$C,0))</f>
        <v>白色</v>
      </c>
      <c r="H21" s="8">
        <v>2</v>
      </c>
      <c r="I21" s="8" t="s">
        <v>166</v>
      </c>
      <c r="J21" s="8" t="s">
        <v>166</v>
      </c>
      <c r="K21" s="8" t="s">
        <v>123</v>
      </c>
      <c r="L21" s="8">
        <v>17</v>
      </c>
      <c r="M21" s="8">
        <v>17</v>
      </c>
      <c r="N21" s="8"/>
      <c r="O21" s="8"/>
      <c r="P21" s="8">
        <v>10</v>
      </c>
      <c r="Q21" s="8">
        <v>150000</v>
      </c>
      <c r="R21" s="8"/>
      <c r="S21" s="8"/>
      <c r="T21" s="8" t="b">
        <v>0</v>
      </c>
      <c r="U21" s="16">
        <v>40010001</v>
      </c>
      <c r="V21" s="8"/>
      <c r="X21" s="8">
        <v>11010001</v>
      </c>
      <c r="Y21" s="8">
        <v>11020001</v>
      </c>
      <c r="Z21" s="8"/>
      <c r="AA21" s="8" t="s">
        <v>124</v>
      </c>
      <c r="AB21" s="11">
        <v>20033</v>
      </c>
      <c r="AC21" s="8"/>
      <c r="AD21" s="8">
        <v>80</v>
      </c>
      <c r="AE21" s="8">
        <v>80</v>
      </c>
      <c r="AF21" s="8">
        <v>20</v>
      </c>
      <c r="AG21" s="8">
        <v>30</v>
      </c>
      <c r="AH21" s="8" t="s">
        <v>125</v>
      </c>
      <c r="AJ21" s="17"/>
      <c r="AL21" s="18">
        <v>255</v>
      </c>
      <c r="AM21" s="8" t="s">
        <v>126</v>
      </c>
      <c r="AN21" s="19">
        <v>1500</v>
      </c>
      <c r="AO21" s="8" t="s">
        <v>127</v>
      </c>
      <c r="AP21" s="8">
        <v>8</v>
      </c>
      <c r="AQ21" s="8" t="s">
        <v>128</v>
      </c>
      <c r="AR21" s="8">
        <v>12</v>
      </c>
      <c r="AS21" s="8" t="s">
        <v>129</v>
      </c>
      <c r="AT21" s="8">
        <v>8</v>
      </c>
      <c r="AU21" s="8" t="s">
        <v>130</v>
      </c>
      <c r="AV21" s="8">
        <v>11</v>
      </c>
      <c r="AW21" s="8" t="s">
        <v>131</v>
      </c>
      <c r="AX21" s="8">
        <v>21</v>
      </c>
      <c r="AY21" s="8" t="s">
        <v>132</v>
      </c>
      <c r="AZ21" s="8">
        <v>29</v>
      </c>
      <c r="BA21" s="8" t="s">
        <v>133</v>
      </c>
      <c r="BB21" s="8">
        <v>21</v>
      </c>
      <c r="BC21" s="8" t="s">
        <v>134</v>
      </c>
      <c r="BD21" s="8">
        <v>29</v>
      </c>
      <c r="BE21" s="8" t="s">
        <v>133</v>
      </c>
      <c r="BF21" s="8">
        <v>0</v>
      </c>
      <c r="BG21" s="8" t="s">
        <v>134</v>
      </c>
      <c r="BH21" s="8">
        <v>0</v>
      </c>
      <c r="BI21" s="8" t="s">
        <v>135</v>
      </c>
      <c r="BJ21" s="8">
        <v>100</v>
      </c>
      <c r="BK21" s="8" t="s">
        <v>136</v>
      </c>
      <c r="BL21" s="8">
        <v>10</v>
      </c>
      <c r="BM21" s="8" t="s">
        <v>137</v>
      </c>
      <c r="BN21" s="8">
        <v>250</v>
      </c>
      <c r="BQ21" s="8">
        <v>1</v>
      </c>
      <c r="BR21" s="8">
        <v>2500</v>
      </c>
      <c r="BS21" s="8">
        <v>2</v>
      </c>
      <c r="BT21" s="8">
        <v>2500</v>
      </c>
      <c r="BU21" s="8" t="s">
        <v>138</v>
      </c>
    </row>
    <row r="22" s="8" customFormat="1" ht="16.5" customHeight="1" spans="2:73">
      <c r="B22" s="8">
        <f>60000000+INDEX(编号表!$B:$B,MATCH(J22,编号表!$A:$A,0))*10000+INDEX(编号表!$B:$B,MATCH(K22,编号表!$C:$C,0))*1000+L22</f>
        <v>60022018</v>
      </c>
      <c r="C22" s="8" t="s">
        <v>173</v>
      </c>
      <c r="D22" s="20" t="s">
        <v>172</v>
      </c>
      <c r="E22" s="20" t="s">
        <v>172</v>
      </c>
      <c r="F22" s="8">
        <v>5</v>
      </c>
      <c r="G22" s="8" t="str">
        <f>INDEX(编号表!$E:$E,MATCH(K22,编号表!$C:$C,0))</f>
        <v>绿色</v>
      </c>
      <c r="H22" s="8">
        <v>2</v>
      </c>
      <c r="I22" s="8" t="s">
        <v>166</v>
      </c>
      <c r="J22" s="8" t="s">
        <v>166</v>
      </c>
      <c r="K22" s="8" t="s">
        <v>174</v>
      </c>
      <c r="L22" s="8">
        <v>18</v>
      </c>
      <c r="M22" s="8">
        <v>18</v>
      </c>
      <c r="P22" s="8">
        <v>10</v>
      </c>
      <c r="Q22" s="8">
        <v>150000</v>
      </c>
      <c r="T22" s="8" t="b">
        <v>0</v>
      </c>
      <c r="U22" s="16">
        <v>40010001</v>
      </c>
      <c r="X22" s="8">
        <v>11010001</v>
      </c>
      <c r="Y22" s="8">
        <v>11020001</v>
      </c>
      <c r="AA22" s="8" t="s">
        <v>124</v>
      </c>
      <c r="AB22" s="11">
        <v>20033</v>
      </c>
      <c r="AC22" s="8">
        <v>1.5</v>
      </c>
      <c r="AD22" s="8">
        <v>80</v>
      </c>
      <c r="AE22" s="8">
        <v>80</v>
      </c>
      <c r="AF22" s="8">
        <v>20</v>
      </c>
      <c r="AG22" s="8">
        <v>30</v>
      </c>
      <c r="AH22" s="8" t="s">
        <v>125</v>
      </c>
      <c r="AJ22" s="17">
        <v>30010</v>
      </c>
      <c r="AL22" s="18">
        <v>255</v>
      </c>
      <c r="AM22" s="8" t="s">
        <v>126</v>
      </c>
      <c r="AN22" s="19">
        <v>1500</v>
      </c>
      <c r="AO22" s="8" t="s">
        <v>127</v>
      </c>
      <c r="AP22" s="8">
        <v>8</v>
      </c>
      <c r="AQ22" s="8" t="s">
        <v>128</v>
      </c>
      <c r="AR22" s="8">
        <v>12</v>
      </c>
      <c r="AS22" s="8" t="s">
        <v>129</v>
      </c>
      <c r="AT22" s="8">
        <v>8</v>
      </c>
      <c r="AU22" s="8" t="s">
        <v>130</v>
      </c>
      <c r="AV22" s="8">
        <v>11</v>
      </c>
      <c r="AW22" s="8" t="s">
        <v>131</v>
      </c>
      <c r="AX22" s="8">
        <v>21</v>
      </c>
      <c r="AY22" s="8" t="s">
        <v>132</v>
      </c>
      <c r="AZ22" s="8">
        <v>29</v>
      </c>
      <c r="BA22" s="8" t="s">
        <v>133</v>
      </c>
      <c r="BB22" s="8">
        <v>21</v>
      </c>
      <c r="BC22" s="8" t="s">
        <v>134</v>
      </c>
      <c r="BD22" s="8">
        <v>29</v>
      </c>
      <c r="BE22" s="8" t="s">
        <v>133</v>
      </c>
      <c r="BF22" s="8">
        <v>0</v>
      </c>
      <c r="BG22" s="8" t="s">
        <v>134</v>
      </c>
      <c r="BH22" s="8">
        <v>0</v>
      </c>
      <c r="BI22" s="8" t="s">
        <v>135</v>
      </c>
      <c r="BJ22" s="8">
        <v>100</v>
      </c>
      <c r="BK22" s="8" t="s">
        <v>136</v>
      </c>
      <c r="BL22" s="8">
        <v>10</v>
      </c>
      <c r="BM22" s="8" t="s">
        <v>137</v>
      </c>
      <c r="BN22" s="8">
        <v>250</v>
      </c>
      <c r="BQ22" s="8">
        <v>1</v>
      </c>
      <c r="BR22" s="8">
        <v>2500</v>
      </c>
      <c r="BS22" s="8">
        <v>2</v>
      </c>
      <c r="BT22" s="8">
        <v>2500</v>
      </c>
      <c r="BU22" s="8" t="s">
        <v>138</v>
      </c>
    </row>
    <row r="23" s="8" customFormat="1" ht="16.5" customHeight="1" spans="2:73">
      <c r="B23" s="8">
        <f>60000000+INDEX(编号表!$B:$B,MATCH(J23,编号表!$A:$A,0))*10000+INDEX(编号表!$B:$B,MATCH(K23,编号表!$C:$C,0))*1000+L23</f>
        <v>60031019</v>
      </c>
      <c r="C23" s="8" t="s">
        <v>175</v>
      </c>
      <c r="D23" s="20" t="s">
        <v>176</v>
      </c>
      <c r="E23" s="20" t="s">
        <v>176</v>
      </c>
      <c r="F23" s="8">
        <v>5</v>
      </c>
      <c r="G23" s="8" t="str">
        <f>INDEX(编号表!$E:$E,MATCH(K23,编号表!$C:$C,0))</f>
        <v>白色</v>
      </c>
      <c r="H23" s="8">
        <v>3</v>
      </c>
      <c r="I23" s="8" t="s">
        <v>177</v>
      </c>
      <c r="J23" s="8" t="s">
        <v>177</v>
      </c>
      <c r="K23" s="8" t="s">
        <v>123</v>
      </c>
      <c r="L23" s="8">
        <v>19</v>
      </c>
      <c r="M23" s="8">
        <v>19</v>
      </c>
      <c r="P23" s="8">
        <v>10</v>
      </c>
      <c r="Q23" s="8">
        <v>150000</v>
      </c>
      <c r="T23" s="8" t="b">
        <v>0</v>
      </c>
      <c r="U23" s="16">
        <v>40010001</v>
      </c>
      <c r="X23" s="8">
        <v>11010001</v>
      </c>
      <c r="Y23" s="8">
        <v>11020001</v>
      </c>
      <c r="AA23" s="8" t="s">
        <v>124</v>
      </c>
      <c r="AB23" s="11">
        <v>20013</v>
      </c>
      <c r="AC23" s="8"/>
      <c r="AD23" s="8">
        <v>80</v>
      </c>
      <c r="AE23" s="8">
        <v>80</v>
      </c>
      <c r="AF23" s="8">
        <v>20</v>
      </c>
      <c r="AG23" s="8">
        <v>30</v>
      </c>
      <c r="AH23" s="8" t="s">
        <v>125</v>
      </c>
      <c r="AJ23" s="17"/>
      <c r="AL23" s="18">
        <v>255</v>
      </c>
      <c r="AM23" s="8" t="s">
        <v>126</v>
      </c>
      <c r="AN23" s="19">
        <v>1500</v>
      </c>
      <c r="AO23" s="8" t="s">
        <v>127</v>
      </c>
      <c r="AP23" s="8">
        <v>8</v>
      </c>
      <c r="AQ23" s="8" t="s">
        <v>128</v>
      </c>
      <c r="AR23" s="8">
        <v>12</v>
      </c>
      <c r="AS23" s="8" t="s">
        <v>129</v>
      </c>
      <c r="AT23" s="8">
        <v>8</v>
      </c>
      <c r="AU23" s="8" t="s">
        <v>130</v>
      </c>
      <c r="AV23" s="8">
        <v>11</v>
      </c>
      <c r="AW23" s="8" t="s">
        <v>131</v>
      </c>
      <c r="AX23" s="8">
        <v>21</v>
      </c>
      <c r="AY23" s="8" t="s">
        <v>132</v>
      </c>
      <c r="AZ23" s="8">
        <v>29</v>
      </c>
      <c r="BA23" s="8" t="s">
        <v>133</v>
      </c>
      <c r="BB23" s="8">
        <v>21</v>
      </c>
      <c r="BC23" s="8" t="s">
        <v>134</v>
      </c>
      <c r="BD23" s="8">
        <v>29</v>
      </c>
      <c r="BE23" s="8" t="s">
        <v>133</v>
      </c>
      <c r="BF23" s="8">
        <v>0</v>
      </c>
      <c r="BG23" s="8" t="s">
        <v>134</v>
      </c>
      <c r="BH23" s="8">
        <v>0</v>
      </c>
      <c r="BI23" s="8" t="s">
        <v>135</v>
      </c>
      <c r="BJ23" s="8">
        <v>100</v>
      </c>
      <c r="BK23" s="8" t="s">
        <v>136</v>
      </c>
      <c r="BL23" s="8">
        <v>10</v>
      </c>
      <c r="BM23" s="8" t="s">
        <v>137</v>
      </c>
      <c r="BN23" s="8">
        <v>250</v>
      </c>
      <c r="BQ23" s="8">
        <v>1</v>
      </c>
      <c r="BR23" s="8">
        <v>2500</v>
      </c>
      <c r="BS23" s="8">
        <v>2</v>
      </c>
      <c r="BT23" s="8">
        <v>2500</v>
      </c>
      <c r="BU23" s="8" t="s">
        <v>138</v>
      </c>
    </row>
    <row r="24" s="8" customFormat="1" ht="16.5" customHeight="1" spans="2:73">
      <c r="B24" s="8">
        <f>60000000+INDEX(编号表!$B:$B,MATCH(J24,编号表!$A:$A,0))*10000+INDEX(编号表!$B:$B,MATCH(K24,编号表!$C:$C,0))*1000+L24</f>
        <v>60031020</v>
      </c>
      <c r="C24" s="8" t="s">
        <v>178</v>
      </c>
      <c r="D24" s="20" t="s">
        <v>179</v>
      </c>
      <c r="E24" s="20" t="s">
        <v>179</v>
      </c>
      <c r="F24" s="8">
        <v>5</v>
      </c>
      <c r="G24" s="8" t="str">
        <f>INDEX(编号表!$E:$E,MATCH(K24,编号表!$C:$C,0))</f>
        <v>白色</v>
      </c>
      <c r="H24" s="8">
        <v>3</v>
      </c>
      <c r="I24" s="8" t="s">
        <v>177</v>
      </c>
      <c r="J24" s="8" t="s">
        <v>177</v>
      </c>
      <c r="K24" s="8" t="s">
        <v>123</v>
      </c>
      <c r="L24" s="8">
        <v>20</v>
      </c>
      <c r="M24" s="8">
        <v>20</v>
      </c>
      <c r="P24" s="8">
        <v>10</v>
      </c>
      <c r="Q24" s="8">
        <v>150000</v>
      </c>
      <c r="T24" s="8" t="b">
        <v>0</v>
      </c>
      <c r="U24" s="16">
        <v>40010001</v>
      </c>
      <c r="X24" s="8">
        <v>11010001</v>
      </c>
      <c r="Y24" s="8">
        <v>11020001</v>
      </c>
      <c r="AA24" s="8" t="s">
        <v>124</v>
      </c>
      <c r="AB24" s="11">
        <v>20014</v>
      </c>
      <c r="AC24" s="8"/>
      <c r="AD24" s="8">
        <v>80</v>
      </c>
      <c r="AE24" s="8">
        <v>80</v>
      </c>
      <c r="AF24" s="8">
        <v>20</v>
      </c>
      <c r="AG24" s="8">
        <v>30</v>
      </c>
      <c r="AH24" s="8" t="s">
        <v>125</v>
      </c>
      <c r="AJ24" s="17"/>
      <c r="AL24" s="18">
        <v>255</v>
      </c>
      <c r="AM24" s="8" t="s">
        <v>126</v>
      </c>
      <c r="AN24" s="19">
        <v>1500</v>
      </c>
      <c r="AO24" s="8" t="s">
        <v>127</v>
      </c>
      <c r="AP24" s="8">
        <v>8</v>
      </c>
      <c r="AQ24" s="8" t="s">
        <v>128</v>
      </c>
      <c r="AR24" s="8">
        <v>12</v>
      </c>
      <c r="AS24" s="8" t="s">
        <v>129</v>
      </c>
      <c r="AT24" s="8">
        <v>8</v>
      </c>
      <c r="AU24" s="8" t="s">
        <v>130</v>
      </c>
      <c r="AV24" s="8">
        <v>11</v>
      </c>
      <c r="AW24" s="8" t="s">
        <v>131</v>
      </c>
      <c r="AX24" s="8">
        <v>21</v>
      </c>
      <c r="AY24" s="8" t="s">
        <v>132</v>
      </c>
      <c r="AZ24" s="8">
        <v>29</v>
      </c>
      <c r="BA24" s="8" t="s">
        <v>133</v>
      </c>
      <c r="BB24" s="8">
        <v>21</v>
      </c>
      <c r="BC24" s="8" t="s">
        <v>134</v>
      </c>
      <c r="BD24" s="8">
        <v>29</v>
      </c>
      <c r="BE24" s="8" t="s">
        <v>133</v>
      </c>
      <c r="BF24" s="8">
        <v>0</v>
      </c>
      <c r="BG24" s="8" t="s">
        <v>134</v>
      </c>
      <c r="BH24" s="8">
        <v>0</v>
      </c>
      <c r="BI24" s="8" t="s">
        <v>135</v>
      </c>
      <c r="BJ24" s="8">
        <v>100</v>
      </c>
      <c r="BK24" s="8" t="s">
        <v>136</v>
      </c>
      <c r="BL24" s="8">
        <v>10</v>
      </c>
      <c r="BM24" s="8" t="s">
        <v>137</v>
      </c>
      <c r="BN24" s="8">
        <v>250</v>
      </c>
      <c r="BQ24" s="8">
        <v>1</v>
      </c>
      <c r="BR24" s="8">
        <v>2500</v>
      </c>
      <c r="BS24" s="8">
        <v>2</v>
      </c>
      <c r="BT24" s="8">
        <v>2500</v>
      </c>
      <c r="BU24" s="8" t="s">
        <v>138</v>
      </c>
    </row>
    <row r="25" s="8" customFormat="1" ht="16.5" customHeight="1" spans="2:73">
      <c r="B25" s="8">
        <f>60000000+INDEX(编号表!$B:$B,MATCH(J25,编号表!$A:$A,0))*10000+INDEX(编号表!$B:$B,MATCH(K25,编号表!$C:$C,0))*1000+L25</f>
        <v>60031021</v>
      </c>
      <c r="C25" s="8" t="s">
        <v>180</v>
      </c>
      <c r="D25" s="20" t="s">
        <v>181</v>
      </c>
      <c r="E25" s="20" t="s">
        <v>181</v>
      </c>
      <c r="F25" s="8">
        <v>5</v>
      </c>
      <c r="G25" s="8" t="str">
        <f>INDEX(编号表!$E:$E,MATCH(K25,编号表!$C:$C,0))</f>
        <v>白色</v>
      </c>
      <c r="H25" s="8">
        <v>3</v>
      </c>
      <c r="I25" s="8" t="s">
        <v>177</v>
      </c>
      <c r="J25" s="8" t="s">
        <v>177</v>
      </c>
      <c r="K25" s="8" t="s">
        <v>123</v>
      </c>
      <c r="L25" s="8">
        <v>21</v>
      </c>
      <c r="M25" s="8">
        <v>21</v>
      </c>
      <c r="P25" s="8">
        <v>10</v>
      </c>
      <c r="Q25" s="8">
        <v>150000</v>
      </c>
      <c r="T25" s="8" t="b">
        <v>0</v>
      </c>
      <c r="U25" s="16">
        <v>40010001</v>
      </c>
      <c r="X25" s="8">
        <v>11010001</v>
      </c>
      <c r="Y25" s="8">
        <v>11020001</v>
      </c>
      <c r="AA25" s="8" t="s">
        <v>124</v>
      </c>
      <c r="AB25" s="11">
        <v>20016</v>
      </c>
      <c r="AC25" s="8"/>
      <c r="AD25" s="8">
        <v>80</v>
      </c>
      <c r="AE25" s="8">
        <v>80</v>
      </c>
      <c r="AF25" s="8">
        <v>20</v>
      </c>
      <c r="AG25" s="8">
        <v>30</v>
      </c>
      <c r="AH25" s="8" t="s">
        <v>125</v>
      </c>
      <c r="AJ25" s="17"/>
      <c r="AL25" s="18">
        <v>255</v>
      </c>
      <c r="AM25" s="8" t="s">
        <v>126</v>
      </c>
      <c r="AN25" s="19">
        <v>1500</v>
      </c>
      <c r="AO25" s="8" t="s">
        <v>127</v>
      </c>
      <c r="AP25" s="8">
        <v>8</v>
      </c>
      <c r="AQ25" s="8" t="s">
        <v>128</v>
      </c>
      <c r="AR25" s="8">
        <v>12</v>
      </c>
      <c r="AS25" s="8" t="s">
        <v>129</v>
      </c>
      <c r="AT25" s="8">
        <v>8</v>
      </c>
      <c r="AU25" s="8" t="s">
        <v>130</v>
      </c>
      <c r="AV25" s="8">
        <v>11</v>
      </c>
      <c r="AW25" s="8" t="s">
        <v>131</v>
      </c>
      <c r="AX25" s="8">
        <v>21</v>
      </c>
      <c r="AY25" s="8" t="s">
        <v>132</v>
      </c>
      <c r="AZ25" s="8">
        <v>29</v>
      </c>
      <c r="BA25" s="8" t="s">
        <v>133</v>
      </c>
      <c r="BB25" s="8">
        <v>21</v>
      </c>
      <c r="BC25" s="8" t="s">
        <v>134</v>
      </c>
      <c r="BD25" s="8">
        <v>29</v>
      </c>
      <c r="BE25" s="8" t="s">
        <v>133</v>
      </c>
      <c r="BF25" s="8">
        <v>0</v>
      </c>
      <c r="BG25" s="8" t="s">
        <v>134</v>
      </c>
      <c r="BH25" s="8">
        <v>0</v>
      </c>
      <c r="BI25" s="8" t="s">
        <v>135</v>
      </c>
      <c r="BJ25" s="8">
        <v>100</v>
      </c>
      <c r="BK25" s="8" t="s">
        <v>136</v>
      </c>
      <c r="BL25" s="8">
        <v>10</v>
      </c>
      <c r="BM25" s="8" t="s">
        <v>137</v>
      </c>
      <c r="BN25" s="8">
        <v>250</v>
      </c>
      <c r="BQ25" s="8">
        <v>1</v>
      </c>
      <c r="BR25" s="8">
        <v>2500</v>
      </c>
      <c r="BS25" s="8">
        <v>2</v>
      </c>
      <c r="BT25" s="8">
        <v>2500</v>
      </c>
      <c r="BU25" s="8" t="s">
        <v>138</v>
      </c>
    </row>
    <row r="26" s="8" customFormat="1" ht="16.5" customHeight="1" spans="2:73">
      <c r="B26" s="8">
        <f>60000000+INDEX(编号表!$B:$B,MATCH(J26,编号表!$A:$A,0))*10000+INDEX(编号表!$B:$B,MATCH(K26,编号表!$C:$C,0))*1000+L26</f>
        <v>60031022</v>
      </c>
      <c r="C26" s="8" t="s">
        <v>182</v>
      </c>
      <c r="D26" s="20" t="s">
        <v>183</v>
      </c>
      <c r="E26" s="20" t="s">
        <v>183</v>
      </c>
      <c r="F26" s="8">
        <v>5</v>
      </c>
      <c r="G26" s="8" t="str">
        <f>INDEX(编号表!$E:$E,MATCH(K26,编号表!$C:$C,0))</f>
        <v>白色</v>
      </c>
      <c r="H26" s="8">
        <v>3</v>
      </c>
      <c r="I26" s="8" t="s">
        <v>177</v>
      </c>
      <c r="J26" s="8" t="s">
        <v>177</v>
      </c>
      <c r="K26" s="8" t="s">
        <v>123</v>
      </c>
      <c r="L26" s="8">
        <v>22</v>
      </c>
      <c r="M26" s="8">
        <v>22</v>
      </c>
      <c r="P26" s="8">
        <v>10</v>
      </c>
      <c r="Q26" s="8">
        <v>150000</v>
      </c>
      <c r="T26" s="8" t="b">
        <v>0</v>
      </c>
      <c r="U26" s="16">
        <v>40010001</v>
      </c>
      <c r="X26" s="8">
        <v>11010001</v>
      </c>
      <c r="Y26" s="8">
        <v>11020001</v>
      </c>
      <c r="AA26" s="8" t="s">
        <v>124</v>
      </c>
      <c r="AB26" s="11">
        <v>20017</v>
      </c>
      <c r="AC26" s="8"/>
      <c r="AD26" s="8">
        <v>80</v>
      </c>
      <c r="AE26" s="8">
        <v>80</v>
      </c>
      <c r="AF26" s="8">
        <v>20</v>
      </c>
      <c r="AG26" s="8">
        <v>30</v>
      </c>
      <c r="AH26" s="8" t="s">
        <v>125</v>
      </c>
      <c r="AJ26" s="17"/>
      <c r="AL26" s="18">
        <v>255</v>
      </c>
      <c r="AM26" s="8" t="s">
        <v>126</v>
      </c>
      <c r="AN26" s="19">
        <v>1500</v>
      </c>
      <c r="AO26" s="8" t="s">
        <v>127</v>
      </c>
      <c r="AP26" s="8">
        <v>8</v>
      </c>
      <c r="AQ26" s="8" t="s">
        <v>128</v>
      </c>
      <c r="AR26" s="8">
        <v>12</v>
      </c>
      <c r="AS26" s="8" t="s">
        <v>129</v>
      </c>
      <c r="AT26" s="8">
        <v>8</v>
      </c>
      <c r="AU26" s="8" t="s">
        <v>130</v>
      </c>
      <c r="AV26" s="8">
        <v>11</v>
      </c>
      <c r="AW26" s="8" t="s">
        <v>131</v>
      </c>
      <c r="AX26" s="8">
        <v>21</v>
      </c>
      <c r="AY26" s="8" t="s">
        <v>132</v>
      </c>
      <c r="AZ26" s="8">
        <v>29</v>
      </c>
      <c r="BA26" s="8" t="s">
        <v>133</v>
      </c>
      <c r="BB26" s="8">
        <v>21</v>
      </c>
      <c r="BC26" s="8" t="s">
        <v>134</v>
      </c>
      <c r="BD26" s="8">
        <v>29</v>
      </c>
      <c r="BE26" s="8" t="s">
        <v>133</v>
      </c>
      <c r="BF26" s="8">
        <v>0</v>
      </c>
      <c r="BG26" s="8" t="s">
        <v>134</v>
      </c>
      <c r="BH26" s="8">
        <v>0</v>
      </c>
      <c r="BI26" s="8" t="s">
        <v>135</v>
      </c>
      <c r="BJ26" s="8">
        <v>100</v>
      </c>
      <c r="BK26" s="8" t="s">
        <v>136</v>
      </c>
      <c r="BL26" s="8">
        <v>10</v>
      </c>
      <c r="BM26" s="8" t="s">
        <v>137</v>
      </c>
      <c r="BN26" s="8">
        <v>250</v>
      </c>
      <c r="BQ26" s="8">
        <v>1</v>
      </c>
      <c r="BR26" s="8">
        <v>2500</v>
      </c>
      <c r="BS26" s="8">
        <v>2</v>
      </c>
      <c r="BT26" s="8">
        <v>2500</v>
      </c>
      <c r="BU26" s="8" t="s">
        <v>138</v>
      </c>
    </row>
    <row r="27" s="8" customFormat="1" ht="16.5" customHeight="1" spans="2:73">
      <c r="B27" s="8">
        <f>60000000+INDEX(编号表!$B:$B,MATCH(J27,编号表!$A:$A,0))*10000+INDEX(编号表!$B:$B,MATCH(K27,编号表!$C:$C,0))*1000+L27</f>
        <v>60031023</v>
      </c>
      <c r="C27" s="8" t="s">
        <v>184</v>
      </c>
      <c r="D27" s="20" t="s">
        <v>185</v>
      </c>
      <c r="E27" s="20" t="s">
        <v>185</v>
      </c>
      <c r="F27" s="8">
        <v>5</v>
      </c>
      <c r="G27" s="8" t="str">
        <f>INDEX(编号表!$E:$E,MATCH(K27,编号表!$C:$C,0))</f>
        <v>白色</v>
      </c>
      <c r="H27" s="8">
        <v>3</v>
      </c>
      <c r="I27" s="8" t="s">
        <v>177</v>
      </c>
      <c r="J27" s="8" t="s">
        <v>177</v>
      </c>
      <c r="K27" s="8" t="s">
        <v>123</v>
      </c>
      <c r="L27" s="8">
        <v>23</v>
      </c>
      <c r="M27" s="8">
        <v>23</v>
      </c>
      <c r="P27" s="8">
        <v>10</v>
      </c>
      <c r="Q27" s="8">
        <v>150000</v>
      </c>
      <c r="T27" s="8" t="b">
        <v>0</v>
      </c>
      <c r="U27" s="16">
        <v>40010001</v>
      </c>
      <c r="X27" s="8">
        <v>11010001</v>
      </c>
      <c r="Y27" s="8">
        <v>11020001</v>
      </c>
      <c r="AA27" s="8" t="s">
        <v>124</v>
      </c>
      <c r="AB27" s="11">
        <v>20036</v>
      </c>
      <c r="AC27" s="8"/>
      <c r="AD27" s="8">
        <v>80</v>
      </c>
      <c r="AE27" s="8">
        <v>80</v>
      </c>
      <c r="AF27" s="8">
        <v>20</v>
      </c>
      <c r="AG27" s="8">
        <v>30</v>
      </c>
      <c r="AH27" s="8" t="s">
        <v>125</v>
      </c>
      <c r="AJ27" s="17"/>
      <c r="AL27" s="18">
        <v>255</v>
      </c>
      <c r="AM27" s="8" t="s">
        <v>126</v>
      </c>
      <c r="AN27" s="19">
        <v>1500</v>
      </c>
      <c r="AO27" s="8" t="s">
        <v>127</v>
      </c>
      <c r="AP27" s="8">
        <v>8</v>
      </c>
      <c r="AQ27" s="8" t="s">
        <v>128</v>
      </c>
      <c r="AR27" s="8">
        <v>12</v>
      </c>
      <c r="AS27" s="8" t="s">
        <v>129</v>
      </c>
      <c r="AT27" s="8">
        <v>8</v>
      </c>
      <c r="AU27" s="8" t="s">
        <v>130</v>
      </c>
      <c r="AV27" s="8">
        <v>11</v>
      </c>
      <c r="AW27" s="8" t="s">
        <v>131</v>
      </c>
      <c r="AX27" s="8">
        <v>21</v>
      </c>
      <c r="AY27" s="8" t="s">
        <v>132</v>
      </c>
      <c r="AZ27" s="8">
        <v>29</v>
      </c>
      <c r="BA27" s="8" t="s">
        <v>133</v>
      </c>
      <c r="BB27" s="8">
        <v>21</v>
      </c>
      <c r="BC27" s="8" t="s">
        <v>134</v>
      </c>
      <c r="BD27" s="8">
        <v>29</v>
      </c>
      <c r="BE27" s="8" t="s">
        <v>133</v>
      </c>
      <c r="BF27" s="8">
        <v>0</v>
      </c>
      <c r="BG27" s="8" t="s">
        <v>134</v>
      </c>
      <c r="BH27" s="8">
        <v>0</v>
      </c>
      <c r="BI27" s="8" t="s">
        <v>135</v>
      </c>
      <c r="BJ27" s="8">
        <v>100</v>
      </c>
      <c r="BK27" s="8" t="s">
        <v>136</v>
      </c>
      <c r="BL27" s="8">
        <v>10</v>
      </c>
      <c r="BM27" s="8" t="s">
        <v>137</v>
      </c>
      <c r="BN27" s="8">
        <v>250</v>
      </c>
      <c r="BQ27" s="8">
        <v>1</v>
      </c>
      <c r="BR27" s="8">
        <v>2500</v>
      </c>
      <c r="BS27" s="8">
        <v>2</v>
      </c>
      <c r="BT27" s="8">
        <v>2500</v>
      </c>
      <c r="BU27" s="8" t="s">
        <v>138</v>
      </c>
    </row>
    <row r="28" s="8" customFormat="1" ht="16.5" customHeight="1" spans="2:73">
      <c r="B28" s="8">
        <f>60000000+INDEX(编号表!$B:$B,MATCH(J28,编号表!$A:$A,0))*10000+INDEX(编号表!$B:$B,MATCH(K28,编号表!$C:$C,0))*1000+L28</f>
        <v>60032024</v>
      </c>
      <c r="C28" s="8" t="s">
        <v>186</v>
      </c>
      <c r="D28" s="20" t="s">
        <v>185</v>
      </c>
      <c r="E28" s="20" t="s">
        <v>185</v>
      </c>
      <c r="F28" s="8">
        <v>5</v>
      </c>
      <c r="G28" s="8" t="str">
        <f>INDEX(编号表!$E:$E,MATCH(K28,编号表!$C:$C,0))</f>
        <v>绿色</v>
      </c>
      <c r="H28" s="8">
        <v>3</v>
      </c>
      <c r="I28" s="8" t="s">
        <v>177</v>
      </c>
      <c r="J28" s="8" t="s">
        <v>177</v>
      </c>
      <c r="K28" s="8" t="s">
        <v>174</v>
      </c>
      <c r="L28" s="8">
        <v>24</v>
      </c>
      <c r="M28" s="8">
        <v>24</v>
      </c>
      <c r="P28" s="8">
        <v>10</v>
      </c>
      <c r="Q28" s="8">
        <v>150000</v>
      </c>
      <c r="T28" s="8" t="b">
        <v>0</v>
      </c>
      <c r="U28" s="16">
        <v>40010001</v>
      </c>
      <c r="X28" s="8">
        <v>11010001</v>
      </c>
      <c r="Y28" s="8">
        <v>11020001</v>
      </c>
      <c r="AA28" s="8" t="s">
        <v>124</v>
      </c>
      <c r="AB28" s="11">
        <v>20036</v>
      </c>
      <c r="AC28" s="8">
        <v>1.5</v>
      </c>
      <c r="AD28" s="8">
        <v>80</v>
      </c>
      <c r="AE28" s="8">
        <v>80</v>
      </c>
      <c r="AF28" s="8">
        <v>20</v>
      </c>
      <c r="AG28" s="8">
        <v>30</v>
      </c>
      <c r="AH28" s="8" t="s">
        <v>125</v>
      </c>
      <c r="AJ28" s="17">
        <v>30010</v>
      </c>
      <c r="AL28" s="18">
        <v>255</v>
      </c>
      <c r="AM28" s="8" t="s">
        <v>126</v>
      </c>
      <c r="AN28" s="19">
        <v>1500</v>
      </c>
      <c r="AO28" s="8" t="s">
        <v>127</v>
      </c>
      <c r="AP28" s="8">
        <v>8</v>
      </c>
      <c r="AQ28" s="8" t="s">
        <v>128</v>
      </c>
      <c r="AR28" s="8">
        <v>12</v>
      </c>
      <c r="AS28" s="8" t="s">
        <v>129</v>
      </c>
      <c r="AT28" s="8">
        <v>8</v>
      </c>
      <c r="AU28" s="8" t="s">
        <v>130</v>
      </c>
      <c r="AV28" s="8">
        <v>11</v>
      </c>
      <c r="AW28" s="8" t="s">
        <v>131</v>
      </c>
      <c r="AX28" s="8">
        <v>21</v>
      </c>
      <c r="AY28" s="8" t="s">
        <v>132</v>
      </c>
      <c r="AZ28" s="8">
        <v>29</v>
      </c>
      <c r="BA28" s="8" t="s">
        <v>133</v>
      </c>
      <c r="BB28" s="8">
        <v>21</v>
      </c>
      <c r="BC28" s="8" t="s">
        <v>134</v>
      </c>
      <c r="BD28" s="8">
        <v>29</v>
      </c>
      <c r="BE28" s="8" t="s">
        <v>133</v>
      </c>
      <c r="BF28" s="8">
        <v>0</v>
      </c>
      <c r="BG28" s="8" t="s">
        <v>134</v>
      </c>
      <c r="BH28" s="8">
        <v>0</v>
      </c>
      <c r="BI28" s="8" t="s">
        <v>135</v>
      </c>
      <c r="BJ28" s="8">
        <v>100</v>
      </c>
      <c r="BK28" s="8" t="s">
        <v>136</v>
      </c>
      <c r="BL28" s="8">
        <v>10</v>
      </c>
      <c r="BM28" s="8" t="s">
        <v>137</v>
      </c>
      <c r="BN28" s="8">
        <v>250</v>
      </c>
      <c r="BQ28" s="8">
        <v>1</v>
      </c>
      <c r="BR28" s="8">
        <v>2500</v>
      </c>
      <c r="BS28" s="8">
        <v>2</v>
      </c>
      <c r="BT28" s="8">
        <v>2500</v>
      </c>
      <c r="BU28" s="8" t="s">
        <v>138</v>
      </c>
    </row>
    <row r="29" s="8" customFormat="1" ht="16.5" customHeight="1" spans="2:73">
      <c r="B29" s="8">
        <f>60000000+INDEX(编号表!$B:$B,MATCH(J29,编号表!$A:$A,0))*10000+INDEX(编号表!$B:$B,MATCH(K29,编号表!$C:$C,0))*1000+L29</f>
        <v>60041025</v>
      </c>
      <c r="C29" s="8" t="s">
        <v>187</v>
      </c>
      <c r="D29" s="20" t="s">
        <v>188</v>
      </c>
      <c r="E29" s="20" t="s">
        <v>188</v>
      </c>
      <c r="F29" s="8">
        <v>5</v>
      </c>
      <c r="G29" s="8" t="str">
        <f>INDEX(编号表!$E:$E,MATCH(K29,编号表!$C:$C,0))</f>
        <v>白色</v>
      </c>
      <c r="H29" s="8">
        <v>4</v>
      </c>
      <c r="I29" s="8" t="s">
        <v>189</v>
      </c>
      <c r="J29" s="8" t="s">
        <v>189</v>
      </c>
      <c r="K29" s="8" t="s">
        <v>123</v>
      </c>
      <c r="L29" s="8">
        <v>25</v>
      </c>
      <c r="M29" s="8">
        <v>25</v>
      </c>
      <c r="P29" s="8">
        <v>10</v>
      </c>
      <c r="Q29" s="8">
        <v>150000</v>
      </c>
      <c r="T29" s="8" t="b">
        <v>0</v>
      </c>
      <c r="U29" s="16">
        <v>40010001</v>
      </c>
      <c r="X29" s="8">
        <v>11010001</v>
      </c>
      <c r="Y29" s="8">
        <v>11020001</v>
      </c>
      <c r="AA29" s="8" t="s">
        <v>124</v>
      </c>
      <c r="AB29" s="11">
        <v>20011</v>
      </c>
      <c r="AC29" s="8"/>
      <c r="AD29" s="8">
        <v>80</v>
      </c>
      <c r="AE29" s="8">
        <v>80</v>
      </c>
      <c r="AF29" s="8">
        <v>20</v>
      </c>
      <c r="AG29" s="8">
        <v>30</v>
      </c>
      <c r="AH29" s="8" t="s">
        <v>125</v>
      </c>
      <c r="AJ29" s="17"/>
      <c r="AL29" s="18">
        <v>255</v>
      </c>
      <c r="AM29" s="8" t="s">
        <v>126</v>
      </c>
      <c r="AN29" s="19">
        <v>1500</v>
      </c>
      <c r="AO29" s="8" t="s">
        <v>127</v>
      </c>
      <c r="AP29" s="8">
        <v>8</v>
      </c>
      <c r="AQ29" s="8" t="s">
        <v>128</v>
      </c>
      <c r="AR29" s="8">
        <v>12</v>
      </c>
      <c r="AS29" s="8" t="s">
        <v>129</v>
      </c>
      <c r="AT29" s="8">
        <v>8</v>
      </c>
      <c r="AU29" s="8" t="s">
        <v>130</v>
      </c>
      <c r="AV29" s="8">
        <v>11</v>
      </c>
      <c r="AW29" s="8" t="s">
        <v>131</v>
      </c>
      <c r="AX29" s="8">
        <v>21</v>
      </c>
      <c r="AY29" s="8" t="s">
        <v>132</v>
      </c>
      <c r="AZ29" s="8">
        <v>29</v>
      </c>
      <c r="BA29" s="8" t="s">
        <v>133</v>
      </c>
      <c r="BB29" s="8">
        <v>21</v>
      </c>
      <c r="BC29" s="8" t="s">
        <v>134</v>
      </c>
      <c r="BD29" s="8">
        <v>29</v>
      </c>
      <c r="BE29" s="8" t="s">
        <v>133</v>
      </c>
      <c r="BF29" s="8">
        <v>0</v>
      </c>
      <c r="BG29" s="8" t="s">
        <v>134</v>
      </c>
      <c r="BH29" s="8">
        <v>0</v>
      </c>
      <c r="BI29" s="8" t="s">
        <v>135</v>
      </c>
      <c r="BJ29" s="8">
        <v>100</v>
      </c>
      <c r="BK29" s="8" t="s">
        <v>136</v>
      </c>
      <c r="BL29" s="8">
        <v>10</v>
      </c>
      <c r="BM29" s="8" t="s">
        <v>137</v>
      </c>
      <c r="BN29" s="8">
        <v>250</v>
      </c>
      <c r="BQ29" s="8">
        <v>1</v>
      </c>
      <c r="BR29" s="8">
        <v>2500</v>
      </c>
      <c r="BS29" s="8">
        <v>2</v>
      </c>
      <c r="BT29" s="8">
        <v>2500</v>
      </c>
      <c r="BU29" s="8" t="s">
        <v>138</v>
      </c>
    </row>
    <row r="30" s="8" customFormat="1" ht="16.5" customHeight="1" spans="2:73">
      <c r="B30" s="8">
        <f>60000000+INDEX(编号表!$B:$B,MATCH(J30,编号表!$A:$A,0))*10000+INDEX(编号表!$B:$B,MATCH(K30,编号表!$C:$C,0))*1000+L30</f>
        <v>60041026</v>
      </c>
      <c r="C30" s="8" t="s">
        <v>190</v>
      </c>
      <c r="D30" s="20" t="s">
        <v>191</v>
      </c>
      <c r="E30" s="20" t="s">
        <v>191</v>
      </c>
      <c r="F30" s="8">
        <v>5</v>
      </c>
      <c r="G30" s="8" t="str">
        <f>INDEX(编号表!$E:$E,MATCH(K30,编号表!$C:$C,0))</f>
        <v>白色</v>
      </c>
      <c r="H30" s="8">
        <v>4</v>
      </c>
      <c r="I30" s="8" t="s">
        <v>189</v>
      </c>
      <c r="J30" s="8" t="s">
        <v>189</v>
      </c>
      <c r="K30" s="8" t="s">
        <v>123</v>
      </c>
      <c r="L30" s="8">
        <v>26</v>
      </c>
      <c r="M30" s="8">
        <v>26</v>
      </c>
      <c r="P30" s="8">
        <v>10</v>
      </c>
      <c r="Q30" s="8">
        <v>150000</v>
      </c>
      <c r="T30" s="8" t="b">
        <v>0</v>
      </c>
      <c r="U30" s="16">
        <v>40010001</v>
      </c>
      <c r="X30" s="8">
        <v>11010001</v>
      </c>
      <c r="Y30" s="8">
        <v>11020001</v>
      </c>
      <c r="AA30" s="8" t="s">
        <v>124</v>
      </c>
      <c r="AB30" s="11">
        <v>20012</v>
      </c>
      <c r="AC30" s="8"/>
      <c r="AD30" s="8">
        <v>80</v>
      </c>
      <c r="AE30" s="8">
        <v>80</v>
      </c>
      <c r="AF30" s="8">
        <v>20</v>
      </c>
      <c r="AG30" s="8">
        <v>30</v>
      </c>
      <c r="AH30" s="8" t="s">
        <v>125</v>
      </c>
      <c r="AJ30" s="17"/>
      <c r="AL30" s="18">
        <v>255</v>
      </c>
      <c r="AM30" s="8" t="s">
        <v>126</v>
      </c>
      <c r="AN30" s="19">
        <v>1500</v>
      </c>
      <c r="AO30" s="8" t="s">
        <v>127</v>
      </c>
      <c r="AP30" s="8">
        <v>8</v>
      </c>
      <c r="AQ30" s="8" t="s">
        <v>128</v>
      </c>
      <c r="AR30" s="8">
        <v>12</v>
      </c>
      <c r="AS30" s="8" t="s">
        <v>129</v>
      </c>
      <c r="AT30" s="8">
        <v>8</v>
      </c>
      <c r="AU30" s="8" t="s">
        <v>130</v>
      </c>
      <c r="AV30" s="8">
        <v>11</v>
      </c>
      <c r="AW30" s="8" t="s">
        <v>131</v>
      </c>
      <c r="AX30" s="8">
        <v>21</v>
      </c>
      <c r="AY30" s="8" t="s">
        <v>132</v>
      </c>
      <c r="AZ30" s="8">
        <v>29</v>
      </c>
      <c r="BA30" s="8" t="s">
        <v>133</v>
      </c>
      <c r="BB30" s="8">
        <v>21</v>
      </c>
      <c r="BC30" s="8" t="s">
        <v>134</v>
      </c>
      <c r="BD30" s="8">
        <v>29</v>
      </c>
      <c r="BE30" s="8" t="s">
        <v>133</v>
      </c>
      <c r="BF30" s="8">
        <v>0</v>
      </c>
      <c r="BG30" s="8" t="s">
        <v>134</v>
      </c>
      <c r="BH30" s="8">
        <v>0</v>
      </c>
      <c r="BI30" s="8" t="s">
        <v>135</v>
      </c>
      <c r="BJ30" s="8">
        <v>100</v>
      </c>
      <c r="BK30" s="8" t="s">
        <v>136</v>
      </c>
      <c r="BL30" s="8">
        <v>10</v>
      </c>
      <c r="BM30" s="8" t="s">
        <v>137</v>
      </c>
      <c r="BN30" s="8">
        <v>250</v>
      </c>
      <c r="BQ30" s="8">
        <v>1</v>
      </c>
      <c r="BR30" s="8">
        <v>2500</v>
      </c>
      <c r="BS30" s="8">
        <v>2</v>
      </c>
      <c r="BT30" s="8">
        <v>2500</v>
      </c>
      <c r="BU30" s="8" t="s">
        <v>138</v>
      </c>
    </row>
    <row r="31" s="8" customFormat="1" ht="16.5" customHeight="1" spans="2:73">
      <c r="B31" s="8">
        <f>60000000+INDEX(编号表!$B:$B,MATCH(J31,编号表!$A:$A,0))*10000+INDEX(编号表!$B:$B,MATCH(K31,编号表!$C:$C,0))*1000+L31</f>
        <v>60041027</v>
      </c>
      <c r="C31" s="8" t="s">
        <v>192</v>
      </c>
      <c r="D31" s="20" t="s">
        <v>193</v>
      </c>
      <c r="E31" s="20" t="s">
        <v>193</v>
      </c>
      <c r="F31" s="8">
        <v>5</v>
      </c>
      <c r="G31" s="8" t="str">
        <f>INDEX(编号表!$E:$E,MATCH(K31,编号表!$C:$C,0))</f>
        <v>白色</v>
      </c>
      <c r="H31" s="8">
        <v>4</v>
      </c>
      <c r="I31" s="8" t="s">
        <v>189</v>
      </c>
      <c r="J31" s="8" t="s">
        <v>189</v>
      </c>
      <c r="K31" s="8" t="s">
        <v>123</v>
      </c>
      <c r="L31" s="8">
        <v>27</v>
      </c>
      <c r="M31" s="8">
        <v>27</v>
      </c>
      <c r="P31" s="8">
        <v>10</v>
      </c>
      <c r="Q31" s="8">
        <v>150000</v>
      </c>
      <c r="T31" s="8" t="b">
        <v>0</v>
      </c>
      <c r="U31" s="16">
        <v>40010001</v>
      </c>
      <c r="X31" s="8">
        <v>11010001</v>
      </c>
      <c r="Y31" s="8">
        <v>11020001</v>
      </c>
      <c r="AA31" s="8" t="s">
        <v>124</v>
      </c>
      <c r="AB31" s="11">
        <v>20015</v>
      </c>
      <c r="AC31" s="8"/>
      <c r="AD31" s="8">
        <v>80</v>
      </c>
      <c r="AE31" s="8">
        <v>80</v>
      </c>
      <c r="AF31" s="8">
        <v>20</v>
      </c>
      <c r="AG31" s="8">
        <v>30</v>
      </c>
      <c r="AH31" s="8" t="s">
        <v>125</v>
      </c>
      <c r="AJ31" s="17"/>
      <c r="AL31" s="18">
        <v>255</v>
      </c>
      <c r="AM31" s="8" t="s">
        <v>126</v>
      </c>
      <c r="AN31" s="19">
        <v>1500</v>
      </c>
      <c r="AO31" s="8" t="s">
        <v>127</v>
      </c>
      <c r="AP31" s="8">
        <v>8</v>
      </c>
      <c r="AQ31" s="8" t="s">
        <v>128</v>
      </c>
      <c r="AR31" s="8">
        <v>12</v>
      </c>
      <c r="AS31" s="8" t="s">
        <v>129</v>
      </c>
      <c r="AT31" s="8">
        <v>8</v>
      </c>
      <c r="AU31" s="8" t="s">
        <v>130</v>
      </c>
      <c r="AV31" s="8">
        <v>11</v>
      </c>
      <c r="AW31" s="8" t="s">
        <v>131</v>
      </c>
      <c r="AX31" s="8">
        <v>21</v>
      </c>
      <c r="AY31" s="8" t="s">
        <v>132</v>
      </c>
      <c r="AZ31" s="8">
        <v>29</v>
      </c>
      <c r="BA31" s="8" t="s">
        <v>133</v>
      </c>
      <c r="BB31" s="8">
        <v>21</v>
      </c>
      <c r="BC31" s="8" t="s">
        <v>134</v>
      </c>
      <c r="BD31" s="8">
        <v>29</v>
      </c>
      <c r="BE31" s="8" t="s">
        <v>133</v>
      </c>
      <c r="BF31" s="8">
        <v>0</v>
      </c>
      <c r="BG31" s="8" t="s">
        <v>134</v>
      </c>
      <c r="BH31" s="8">
        <v>0</v>
      </c>
      <c r="BI31" s="8" t="s">
        <v>135</v>
      </c>
      <c r="BJ31" s="8">
        <v>100</v>
      </c>
      <c r="BK31" s="8" t="s">
        <v>136</v>
      </c>
      <c r="BL31" s="8">
        <v>10</v>
      </c>
      <c r="BM31" s="8" t="s">
        <v>137</v>
      </c>
      <c r="BN31" s="8">
        <v>250</v>
      </c>
      <c r="BQ31" s="8">
        <v>1</v>
      </c>
      <c r="BR31" s="8">
        <v>2500</v>
      </c>
      <c r="BS31" s="8">
        <v>2</v>
      </c>
      <c r="BT31" s="8">
        <v>2500</v>
      </c>
      <c r="BU31" s="8" t="s">
        <v>138</v>
      </c>
    </row>
    <row r="32" s="8" customFormat="1" ht="16.5" customHeight="1" spans="2:73">
      <c r="B32" s="8">
        <f>60000000+INDEX(编号表!$B:$B,MATCH(J32,编号表!$A:$A,0))*10000+INDEX(编号表!$B:$B,MATCH(K32,编号表!$C:$C,0))*1000+L32</f>
        <v>60041028</v>
      </c>
      <c r="C32" s="8" t="s">
        <v>194</v>
      </c>
      <c r="D32" s="20" t="s">
        <v>195</v>
      </c>
      <c r="E32" s="20" t="s">
        <v>195</v>
      </c>
      <c r="F32" s="8">
        <v>5</v>
      </c>
      <c r="G32" s="8" t="str">
        <f>INDEX(编号表!$E:$E,MATCH(K32,编号表!$C:$C,0))</f>
        <v>白色</v>
      </c>
      <c r="H32" s="8">
        <v>4</v>
      </c>
      <c r="I32" s="8" t="s">
        <v>189</v>
      </c>
      <c r="J32" s="8" t="s">
        <v>189</v>
      </c>
      <c r="K32" s="8" t="s">
        <v>123</v>
      </c>
      <c r="L32" s="8">
        <v>28</v>
      </c>
      <c r="M32" s="8">
        <v>28</v>
      </c>
      <c r="P32" s="8">
        <v>10</v>
      </c>
      <c r="Q32" s="8">
        <v>150000</v>
      </c>
      <c r="T32" s="8" t="b">
        <v>0</v>
      </c>
      <c r="U32" s="16">
        <v>40010001</v>
      </c>
      <c r="X32" s="8">
        <v>11010001</v>
      </c>
      <c r="Y32" s="8">
        <v>11020001</v>
      </c>
      <c r="AA32" s="8" t="s">
        <v>124</v>
      </c>
      <c r="AB32" s="11">
        <v>20022</v>
      </c>
      <c r="AC32" s="8"/>
      <c r="AD32" s="8">
        <v>80</v>
      </c>
      <c r="AE32" s="8">
        <v>80</v>
      </c>
      <c r="AF32" s="8">
        <v>20</v>
      </c>
      <c r="AG32" s="8">
        <v>30</v>
      </c>
      <c r="AH32" s="8" t="s">
        <v>125</v>
      </c>
      <c r="AJ32" s="17"/>
      <c r="AL32" s="18">
        <v>255</v>
      </c>
      <c r="AM32" s="8" t="s">
        <v>126</v>
      </c>
      <c r="AN32" s="19">
        <v>1500</v>
      </c>
      <c r="AO32" s="8" t="s">
        <v>127</v>
      </c>
      <c r="AP32" s="8">
        <v>8</v>
      </c>
      <c r="AQ32" s="8" t="s">
        <v>128</v>
      </c>
      <c r="AR32" s="8">
        <v>12</v>
      </c>
      <c r="AS32" s="8" t="s">
        <v>129</v>
      </c>
      <c r="AT32" s="8">
        <v>8</v>
      </c>
      <c r="AU32" s="8" t="s">
        <v>130</v>
      </c>
      <c r="AV32" s="8">
        <v>11</v>
      </c>
      <c r="AW32" s="8" t="s">
        <v>131</v>
      </c>
      <c r="AX32" s="8">
        <v>21</v>
      </c>
      <c r="AY32" s="8" t="s">
        <v>132</v>
      </c>
      <c r="AZ32" s="8">
        <v>29</v>
      </c>
      <c r="BA32" s="8" t="s">
        <v>133</v>
      </c>
      <c r="BB32" s="8">
        <v>21</v>
      </c>
      <c r="BC32" s="8" t="s">
        <v>134</v>
      </c>
      <c r="BD32" s="8">
        <v>29</v>
      </c>
      <c r="BE32" s="8" t="s">
        <v>133</v>
      </c>
      <c r="BF32" s="8">
        <v>0</v>
      </c>
      <c r="BG32" s="8" t="s">
        <v>134</v>
      </c>
      <c r="BH32" s="8">
        <v>0</v>
      </c>
      <c r="BI32" s="8" t="s">
        <v>135</v>
      </c>
      <c r="BJ32" s="8">
        <v>100</v>
      </c>
      <c r="BK32" s="8" t="s">
        <v>136</v>
      </c>
      <c r="BL32" s="8">
        <v>10</v>
      </c>
      <c r="BM32" s="8" t="s">
        <v>137</v>
      </c>
      <c r="BN32" s="8">
        <v>250</v>
      </c>
      <c r="BQ32" s="8">
        <v>1</v>
      </c>
      <c r="BR32" s="8">
        <v>2500</v>
      </c>
      <c r="BS32" s="8">
        <v>2</v>
      </c>
      <c r="BT32" s="8">
        <v>2500</v>
      </c>
      <c r="BU32" s="8" t="s">
        <v>138</v>
      </c>
    </row>
    <row r="33" s="8" customFormat="1" ht="16.5" customHeight="1" spans="2:73">
      <c r="B33" s="8">
        <f>60000000+INDEX(编号表!$B:$B,MATCH(J33,编号表!$A:$A,0))*10000+INDEX(编号表!$B:$B,MATCH(K33,编号表!$C:$C,0))*1000+L33</f>
        <v>60041029</v>
      </c>
      <c r="C33" s="8" t="s">
        <v>196</v>
      </c>
      <c r="D33" s="20" t="s">
        <v>197</v>
      </c>
      <c r="E33" s="20" t="s">
        <v>197</v>
      </c>
      <c r="F33" s="8">
        <v>5</v>
      </c>
      <c r="G33" s="8" t="str">
        <f>INDEX(编号表!$E:$E,MATCH(K33,编号表!$C:$C,0))</f>
        <v>白色</v>
      </c>
      <c r="H33" s="8">
        <v>4</v>
      </c>
      <c r="I33" s="8" t="s">
        <v>189</v>
      </c>
      <c r="J33" s="8" t="s">
        <v>189</v>
      </c>
      <c r="K33" s="8" t="s">
        <v>123</v>
      </c>
      <c r="L33" s="8">
        <v>29</v>
      </c>
      <c r="M33" s="8">
        <v>29</v>
      </c>
      <c r="P33" s="8">
        <v>10</v>
      </c>
      <c r="Q33" s="8">
        <v>150000</v>
      </c>
      <c r="T33" s="8" t="b">
        <v>0</v>
      </c>
      <c r="U33" s="16">
        <v>40010001</v>
      </c>
      <c r="X33" s="8">
        <v>11010001</v>
      </c>
      <c r="Y33" s="8">
        <v>11020001</v>
      </c>
      <c r="AA33" s="8" t="s">
        <v>124</v>
      </c>
      <c r="AB33" s="11">
        <v>20024</v>
      </c>
      <c r="AC33" s="8"/>
      <c r="AD33" s="8">
        <v>80</v>
      </c>
      <c r="AE33" s="8">
        <v>80</v>
      </c>
      <c r="AF33" s="8">
        <v>20</v>
      </c>
      <c r="AG33" s="8">
        <v>30</v>
      </c>
      <c r="AH33" s="8" t="s">
        <v>125</v>
      </c>
      <c r="AJ33" s="17"/>
      <c r="AL33" s="18">
        <v>255</v>
      </c>
      <c r="AM33" s="8" t="s">
        <v>126</v>
      </c>
      <c r="AN33" s="19">
        <v>1500</v>
      </c>
      <c r="AO33" s="8" t="s">
        <v>127</v>
      </c>
      <c r="AP33" s="8">
        <v>8</v>
      </c>
      <c r="AQ33" s="8" t="s">
        <v>128</v>
      </c>
      <c r="AR33" s="8">
        <v>12</v>
      </c>
      <c r="AS33" s="8" t="s">
        <v>129</v>
      </c>
      <c r="AT33" s="8">
        <v>8</v>
      </c>
      <c r="AU33" s="8" t="s">
        <v>130</v>
      </c>
      <c r="AV33" s="8">
        <v>11</v>
      </c>
      <c r="AW33" s="8" t="s">
        <v>131</v>
      </c>
      <c r="AX33" s="8">
        <v>21</v>
      </c>
      <c r="AY33" s="8" t="s">
        <v>132</v>
      </c>
      <c r="AZ33" s="8">
        <v>29</v>
      </c>
      <c r="BA33" s="8" t="s">
        <v>133</v>
      </c>
      <c r="BB33" s="8">
        <v>21</v>
      </c>
      <c r="BC33" s="8" t="s">
        <v>134</v>
      </c>
      <c r="BD33" s="8">
        <v>29</v>
      </c>
      <c r="BE33" s="8" t="s">
        <v>133</v>
      </c>
      <c r="BF33" s="8">
        <v>0</v>
      </c>
      <c r="BG33" s="8" t="s">
        <v>134</v>
      </c>
      <c r="BH33" s="8">
        <v>0</v>
      </c>
      <c r="BI33" s="8" t="s">
        <v>135</v>
      </c>
      <c r="BJ33" s="8">
        <v>100</v>
      </c>
      <c r="BK33" s="8" t="s">
        <v>136</v>
      </c>
      <c r="BL33" s="8">
        <v>10</v>
      </c>
      <c r="BM33" s="8" t="s">
        <v>137</v>
      </c>
      <c r="BN33" s="8">
        <v>250</v>
      </c>
      <c r="BQ33" s="8">
        <v>1</v>
      </c>
      <c r="BR33" s="8">
        <v>2500</v>
      </c>
      <c r="BS33" s="8">
        <v>2</v>
      </c>
      <c r="BT33" s="8">
        <v>2500</v>
      </c>
      <c r="BU33" s="8" t="s">
        <v>138</v>
      </c>
    </row>
    <row r="34" s="8" customFormat="1" ht="16.5" customHeight="1" spans="2:73">
      <c r="B34" s="8">
        <f>60000000+INDEX(编号表!$B:$B,MATCH(J34,编号表!$A:$A,0))*10000+INDEX(编号表!$B:$B,MATCH(K34,编号表!$C:$C,0))*1000+L34</f>
        <v>60042030</v>
      </c>
      <c r="C34" s="8" t="s">
        <v>198</v>
      </c>
      <c r="D34" s="20" t="s">
        <v>197</v>
      </c>
      <c r="E34" s="20" t="s">
        <v>197</v>
      </c>
      <c r="F34" s="8">
        <v>5</v>
      </c>
      <c r="G34" s="8" t="str">
        <f>INDEX(编号表!$E:$E,MATCH(K34,编号表!$C:$C,0))</f>
        <v>绿色</v>
      </c>
      <c r="H34" s="8">
        <v>4</v>
      </c>
      <c r="I34" s="8" t="s">
        <v>189</v>
      </c>
      <c r="J34" s="8" t="s">
        <v>189</v>
      </c>
      <c r="K34" s="8" t="s">
        <v>174</v>
      </c>
      <c r="L34" s="8">
        <v>30</v>
      </c>
      <c r="M34" s="8">
        <v>30</v>
      </c>
      <c r="P34" s="8">
        <v>10</v>
      </c>
      <c r="Q34" s="8">
        <v>150000</v>
      </c>
      <c r="T34" s="8" t="b">
        <v>0</v>
      </c>
      <c r="U34" s="16">
        <v>40010001</v>
      </c>
      <c r="X34" s="8">
        <v>11010001</v>
      </c>
      <c r="Y34" s="8">
        <v>11020001</v>
      </c>
      <c r="AA34" s="8" t="s">
        <v>124</v>
      </c>
      <c r="AB34" s="11">
        <v>20024</v>
      </c>
      <c r="AC34" s="8"/>
      <c r="AD34" s="8">
        <v>80</v>
      </c>
      <c r="AE34" s="8">
        <v>80</v>
      </c>
      <c r="AF34" s="8">
        <v>20</v>
      </c>
      <c r="AG34" s="8">
        <v>30</v>
      </c>
      <c r="AH34" s="8" t="s">
        <v>125</v>
      </c>
      <c r="AJ34" s="17">
        <v>30010</v>
      </c>
      <c r="AL34" s="18">
        <v>255</v>
      </c>
      <c r="AM34" s="8" t="s">
        <v>126</v>
      </c>
      <c r="AN34" s="19">
        <v>1500</v>
      </c>
      <c r="AO34" s="8" t="s">
        <v>127</v>
      </c>
      <c r="AP34" s="8">
        <v>8</v>
      </c>
      <c r="AQ34" s="8" t="s">
        <v>128</v>
      </c>
      <c r="AR34" s="8">
        <v>12</v>
      </c>
      <c r="AS34" s="8" t="s">
        <v>129</v>
      </c>
      <c r="AT34" s="8">
        <v>8</v>
      </c>
      <c r="AU34" s="8" t="s">
        <v>130</v>
      </c>
      <c r="AV34" s="8">
        <v>11</v>
      </c>
      <c r="AW34" s="8" t="s">
        <v>131</v>
      </c>
      <c r="AX34" s="8">
        <v>21</v>
      </c>
      <c r="AY34" s="8" t="s">
        <v>132</v>
      </c>
      <c r="AZ34" s="8">
        <v>29</v>
      </c>
      <c r="BA34" s="8" t="s">
        <v>133</v>
      </c>
      <c r="BB34" s="8">
        <v>21</v>
      </c>
      <c r="BC34" s="8" t="s">
        <v>134</v>
      </c>
      <c r="BD34" s="8">
        <v>29</v>
      </c>
      <c r="BE34" s="8" t="s">
        <v>133</v>
      </c>
      <c r="BF34" s="8">
        <v>0</v>
      </c>
      <c r="BG34" s="8" t="s">
        <v>134</v>
      </c>
      <c r="BH34" s="8">
        <v>0</v>
      </c>
      <c r="BI34" s="8" t="s">
        <v>135</v>
      </c>
      <c r="BJ34" s="8">
        <v>100</v>
      </c>
      <c r="BK34" s="8" t="s">
        <v>136</v>
      </c>
      <c r="BL34" s="8">
        <v>10</v>
      </c>
      <c r="BM34" s="8" t="s">
        <v>137</v>
      </c>
      <c r="BN34" s="8">
        <v>250</v>
      </c>
      <c r="BQ34" s="8">
        <v>1</v>
      </c>
      <c r="BR34" s="8">
        <v>2500</v>
      </c>
      <c r="BS34" s="8">
        <v>2</v>
      </c>
      <c r="BT34" s="8">
        <v>2500</v>
      </c>
      <c r="BU34" s="8" t="s">
        <v>138</v>
      </c>
    </row>
    <row r="35" s="8" customFormat="1" ht="16.5" customHeight="1" spans="2:73">
      <c r="B35" s="8">
        <f>60000000+INDEX(编号表!$B:$B,MATCH(J35,编号表!$A:$A,0))*10000+INDEX(编号表!$B:$B,MATCH(K35,编号表!$C:$C,0))*1000+L35</f>
        <v>60051031</v>
      </c>
      <c r="C35" s="8" t="s">
        <v>199</v>
      </c>
      <c r="D35" s="20" t="s">
        <v>200</v>
      </c>
      <c r="E35" s="20" t="s">
        <v>200</v>
      </c>
      <c r="F35" s="8">
        <v>5</v>
      </c>
      <c r="G35" s="8" t="str">
        <f>INDEX(编号表!$E:$E,MATCH(K35,编号表!$C:$C,0))</f>
        <v>白色</v>
      </c>
      <c r="H35" s="8">
        <v>5</v>
      </c>
      <c r="I35" s="8" t="s">
        <v>201</v>
      </c>
      <c r="J35" s="8" t="s">
        <v>201</v>
      </c>
      <c r="K35" s="8" t="s">
        <v>123</v>
      </c>
      <c r="L35" s="8">
        <v>31</v>
      </c>
      <c r="M35" s="8">
        <v>31</v>
      </c>
      <c r="P35" s="8">
        <v>10</v>
      </c>
      <c r="Q35" s="8">
        <v>150000</v>
      </c>
      <c r="T35" s="8" t="b">
        <v>0</v>
      </c>
      <c r="U35" s="16">
        <v>40010001</v>
      </c>
      <c r="X35" s="8">
        <v>11010001</v>
      </c>
      <c r="Y35" s="8">
        <v>11020001</v>
      </c>
      <c r="AA35" s="8" t="s">
        <v>124</v>
      </c>
      <c r="AB35" s="11">
        <v>20010</v>
      </c>
      <c r="AC35" s="8"/>
      <c r="AD35" s="8">
        <v>80</v>
      </c>
      <c r="AE35" s="8">
        <v>80</v>
      </c>
      <c r="AF35" s="8">
        <v>20</v>
      </c>
      <c r="AG35" s="8">
        <v>30</v>
      </c>
      <c r="AH35" s="8" t="s">
        <v>125</v>
      </c>
      <c r="AJ35" s="17"/>
      <c r="AL35" s="18">
        <v>255</v>
      </c>
      <c r="AM35" s="8" t="s">
        <v>126</v>
      </c>
      <c r="AN35" s="19">
        <v>1500</v>
      </c>
      <c r="AO35" s="8" t="s">
        <v>127</v>
      </c>
      <c r="AP35" s="8">
        <v>8</v>
      </c>
      <c r="AQ35" s="8" t="s">
        <v>128</v>
      </c>
      <c r="AR35" s="8">
        <v>12</v>
      </c>
      <c r="AS35" s="8" t="s">
        <v>129</v>
      </c>
      <c r="AT35" s="8">
        <v>8</v>
      </c>
      <c r="AU35" s="8" t="s">
        <v>130</v>
      </c>
      <c r="AV35" s="8">
        <v>11</v>
      </c>
      <c r="AW35" s="8" t="s">
        <v>131</v>
      </c>
      <c r="AX35" s="8">
        <v>21</v>
      </c>
      <c r="AY35" s="8" t="s">
        <v>132</v>
      </c>
      <c r="AZ35" s="8">
        <v>29</v>
      </c>
      <c r="BA35" s="8" t="s">
        <v>133</v>
      </c>
      <c r="BB35" s="8">
        <v>21</v>
      </c>
      <c r="BC35" s="8" t="s">
        <v>134</v>
      </c>
      <c r="BD35" s="8">
        <v>29</v>
      </c>
      <c r="BE35" s="8" t="s">
        <v>133</v>
      </c>
      <c r="BF35" s="8">
        <v>0</v>
      </c>
      <c r="BG35" s="8" t="s">
        <v>134</v>
      </c>
      <c r="BH35" s="8">
        <v>0</v>
      </c>
      <c r="BI35" s="8" t="s">
        <v>135</v>
      </c>
      <c r="BJ35" s="8">
        <v>100</v>
      </c>
      <c r="BK35" s="8" t="s">
        <v>136</v>
      </c>
      <c r="BL35" s="8">
        <v>10</v>
      </c>
      <c r="BM35" s="8" t="s">
        <v>137</v>
      </c>
      <c r="BN35" s="8">
        <v>250</v>
      </c>
      <c r="BQ35" s="8">
        <v>1</v>
      </c>
      <c r="BR35" s="8">
        <v>2500</v>
      </c>
      <c r="BS35" s="8">
        <v>2</v>
      </c>
      <c r="BT35" s="8">
        <v>2500</v>
      </c>
      <c r="BU35" s="8" t="s">
        <v>138</v>
      </c>
    </row>
    <row r="36" s="8" customFormat="1" ht="16.5" customHeight="1" spans="2:73">
      <c r="B36" s="8">
        <f>60000000+INDEX(编号表!$B:$B,MATCH(J36,编号表!$A:$A,0))*10000+INDEX(编号表!$B:$B,MATCH(K36,编号表!$C:$C,0))*1000+L36</f>
        <v>60051032</v>
      </c>
      <c r="C36" s="8" t="s">
        <v>202</v>
      </c>
      <c r="D36" s="20" t="s">
        <v>203</v>
      </c>
      <c r="E36" s="20" t="s">
        <v>203</v>
      </c>
      <c r="F36" s="8">
        <v>5</v>
      </c>
      <c r="G36" s="8" t="str">
        <f>INDEX(编号表!$E:$E,MATCH(K36,编号表!$C:$C,0))</f>
        <v>白色</v>
      </c>
      <c r="H36" s="8">
        <v>5</v>
      </c>
      <c r="I36" s="8" t="s">
        <v>201</v>
      </c>
      <c r="J36" s="8" t="s">
        <v>201</v>
      </c>
      <c r="K36" s="8" t="s">
        <v>123</v>
      </c>
      <c r="L36" s="8">
        <v>32</v>
      </c>
      <c r="M36" s="8">
        <v>32</v>
      </c>
      <c r="P36" s="8">
        <v>10</v>
      </c>
      <c r="Q36" s="8">
        <v>150000</v>
      </c>
      <c r="T36" s="8" t="b">
        <v>0</v>
      </c>
      <c r="U36" s="16">
        <v>40010001</v>
      </c>
      <c r="X36" s="8">
        <v>11010001</v>
      </c>
      <c r="Y36" s="8">
        <v>11020001</v>
      </c>
      <c r="AA36" s="8" t="s">
        <v>124</v>
      </c>
      <c r="AB36" s="11">
        <v>20023</v>
      </c>
      <c r="AC36" s="8"/>
      <c r="AD36" s="8">
        <v>80</v>
      </c>
      <c r="AE36" s="8">
        <v>80</v>
      </c>
      <c r="AF36" s="8">
        <v>20</v>
      </c>
      <c r="AG36" s="8">
        <v>30</v>
      </c>
      <c r="AH36" s="8" t="s">
        <v>125</v>
      </c>
      <c r="AJ36" s="17"/>
      <c r="AL36" s="18">
        <v>255</v>
      </c>
      <c r="AM36" s="8" t="s">
        <v>126</v>
      </c>
      <c r="AN36" s="19">
        <v>1500</v>
      </c>
      <c r="AO36" s="8" t="s">
        <v>127</v>
      </c>
      <c r="AP36" s="8">
        <v>8</v>
      </c>
      <c r="AQ36" s="8" t="s">
        <v>128</v>
      </c>
      <c r="AR36" s="8">
        <v>12</v>
      </c>
      <c r="AS36" s="8" t="s">
        <v>129</v>
      </c>
      <c r="AT36" s="8">
        <v>8</v>
      </c>
      <c r="AU36" s="8" t="s">
        <v>130</v>
      </c>
      <c r="AV36" s="8">
        <v>11</v>
      </c>
      <c r="AW36" s="8" t="s">
        <v>131</v>
      </c>
      <c r="AX36" s="8">
        <v>21</v>
      </c>
      <c r="AY36" s="8" t="s">
        <v>132</v>
      </c>
      <c r="AZ36" s="8">
        <v>29</v>
      </c>
      <c r="BA36" s="8" t="s">
        <v>133</v>
      </c>
      <c r="BB36" s="8">
        <v>21</v>
      </c>
      <c r="BC36" s="8" t="s">
        <v>134</v>
      </c>
      <c r="BD36" s="8">
        <v>29</v>
      </c>
      <c r="BE36" s="8" t="s">
        <v>133</v>
      </c>
      <c r="BF36" s="8">
        <v>0</v>
      </c>
      <c r="BG36" s="8" t="s">
        <v>134</v>
      </c>
      <c r="BH36" s="8">
        <v>0</v>
      </c>
      <c r="BI36" s="8" t="s">
        <v>135</v>
      </c>
      <c r="BJ36" s="8">
        <v>100</v>
      </c>
      <c r="BK36" s="8" t="s">
        <v>136</v>
      </c>
      <c r="BL36" s="8">
        <v>10</v>
      </c>
      <c r="BM36" s="8" t="s">
        <v>137</v>
      </c>
      <c r="BN36" s="8">
        <v>250</v>
      </c>
      <c r="BQ36" s="8">
        <v>1</v>
      </c>
      <c r="BR36" s="8">
        <v>2500</v>
      </c>
      <c r="BS36" s="8">
        <v>2</v>
      </c>
      <c r="BT36" s="8">
        <v>2500</v>
      </c>
      <c r="BU36" s="8" t="s">
        <v>138</v>
      </c>
    </row>
    <row r="37" s="8" customFormat="1" ht="16.5" customHeight="1" spans="2:73">
      <c r="B37" s="8">
        <f>60000000+INDEX(编号表!$B:$B,MATCH(J37,编号表!$A:$A,0))*10000+INDEX(编号表!$B:$B,MATCH(K37,编号表!$C:$C,0))*1000+L37</f>
        <v>60051033</v>
      </c>
      <c r="C37" s="8" t="s">
        <v>204</v>
      </c>
      <c r="D37" s="20" t="s">
        <v>205</v>
      </c>
      <c r="E37" s="20" t="s">
        <v>205</v>
      </c>
      <c r="F37" s="8">
        <v>5</v>
      </c>
      <c r="G37" s="8" t="str">
        <f>INDEX(编号表!$E:$E,MATCH(K37,编号表!$C:$C,0))</f>
        <v>白色</v>
      </c>
      <c r="H37" s="8">
        <v>5</v>
      </c>
      <c r="I37" s="8" t="s">
        <v>201</v>
      </c>
      <c r="J37" s="8" t="s">
        <v>201</v>
      </c>
      <c r="K37" s="8" t="s">
        <v>123</v>
      </c>
      <c r="L37" s="8">
        <v>33</v>
      </c>
      <c r="M37" s="8">
        <v>33</v>
      </c>
      <c r="P37" s="8">
        <v>10</v>
      </c>
      <c r="Q37" s="8">
        <v>150000</v>
      </c>
      <c r="T37" s="8" t="b">
        <v>0</v>
      </c>
      <c r="U37" s="16">
        <v>40010001</v>
      </c>
      <c r="X37" s="8">
        <v>11010001</v>
      </c>
      <c r="Y37" s="8">
        <v>11020001</v>
      </c>
      <c r="AA37" s="8" t="s">
        <v>124</v>
      </c>
      <c r="AB37" s="11">
        <v>20037</v>
      </c>
      <c r="AC37" s="8"/>
      <c r="AD37" s="8">
        <v>80</v>
      </c>
      <c r="AE37" s="8">
        <v>80</v>
      </c>
      <c r="AF37" s="8">
        <v>20</v>
      </c>
      <c r="AG37" s="8">
        <v>30</v>
      </c>
      <c r="AH37" s="8" t="s">
        <v>125</v>
      </c>
      <c r="AJ37" s="17"/>
      <c r="AL37" s="18">
        <v>255</v>
      </c>
      <c r="AM37" s="8" t="s">
        <v>126</v>
      </c>
      <c r="AN37" s="19">
        <v>1500</v>
      </c>
      <c r="AO37" s="8" t="s">
        <v>127</v>
      </c>
      <c r="AP37" s="8">
        <v>8</v>
      </c>
      <c r="AQ37" s="8" t="s">
        <v>128</v>
      </c>
      <c r="AR37" s="8">
        <v>12</v>
      </c>
      <c r="AS37" s="8" t="s">
        <v>129</v>
      </c>
      <c r="AT37" s="8">
        <v>8</v>
      </c>
      <c r="AU37" s="8" t="s">
        <v>130</v>
      </c>
      <c r="AV37" s="8">
        <v>11</v>
      </c>
      <c r="AW37" s="8" t="s">
        <v>131</v>
      </c>
      <c r="AX37" s="8">
        <v>21</v>
      </c>
      <c r="AY37" s="8" t="s">
        <v>132</v>
      </c>
      <c r="AZ37" s="8">
        <v>29</v>
      </c>
      <c r="BA37" s="8" t="s">
        <v>133</v>
      </c>
      <c r="BB37" s="8">
        <v>21</v>
      </c>
      <c r="BC37" s="8" t="s">
        <v>134</v>
      </c>
      <c r="BD37" s="8">
        <v>29</v>
      </c>
      <c r="BE37" s="8" t="s">
        <v>133</v>
      </c>
      <c r="BF37" s="8">
        <v>0</v>
      </c>
      <c r="BG37" s="8" t="s">
        <v>134</v>
      </c>
      <c r="BH37" s="8">
        <v>0</v>
      </c>
      <c r="BI37" s="8" t="s">
        <v>135</v>
      </c>
      <c r="BJ37" s="8">
        <v>100</v>
      </c>
      <c r="BK37" s="8" t="s">
        <v>136</v>
      </c>
      <c r="BL37" s="8">
        <v>10</v>
      </c>
      <c r="BM37" s="8" t="s">
        <v>137</v>
      </c>
      <c r="BN37" s="8">
        <v>250</v>
      </c>
      <c r="BQ37" s="8">
        <v>1</v>
      </c>
      <c r="BR37" s="8">
        <v>2500</v>
      </c>
      <c r="BS37" s="8">
        <v>2</v>
      </c>
      <c r="BT37" s="8">
        <v>2500</v>
      </c>
      <c r="BU37" s="8" t="s">
        <v>138</v>
      </c>
    </row>
    <row r="38" s="8" customFormat="1" ht="16.5" customHeight="1" spans="2:73">
      <c r="B38" s="8">
        <f>60000000+INDEX(编号表!$B:$B,MATCH(J38,编号表!$A:$A,0))*10000+INDEX(编号表!$B:$B,MATCH(K38,编号表!$C:$C,0))*1000+L38</f>
        <v>60051034</v>
      </c>
      <c r="C38" s="8" t="s">
        <v>206</v>
      </c>
      <c r="D38" s="20" t="s">
        <v>207</v>
      </c>
      <c r="E38" s="20" t="s">
        <v>207</v>
      </c>
      <c r="F38" s="8">
        <v>5</v>
      </c>
      <c r="G38" s="8" t="str">
        <f>INDEX(编号表!$E:$E,MATCH(K38,编号表!$C:$C,0))</f>
        <v>白色</v>
      </c>
      <c r="H38" s="8">
        <v>5</v>
      </c>
      <c r="I38" s="8" t="s">
        <v>201</v>
      </c>
      <c r="J38" s="8" t="s">
        <v>201</v>
      </c>
      <c r="K38" s="8" t="s">
        <v>123</v>
      </c>
      <c r="L38" s="8">
        <v>34</v>
      </c>
      <c r="M38" s="8">
        <v>34</v>
      </c>
      <c r="P38" s="8">
        <v>10</v>
      </c>
      <c r="Q38" s="8">
        <v>150000</v>
      </c>
      <c r="T38" s="8" t="b">
        <v>0</v>
      </c>
      <c r="U38" s="16">
        <v>40010001</v>
      </c>
      <c r="X38" s="8">
        <v>11010001</v>
      </c>
      <c r="Y38" s="8">
        <v>11020001</v>
      </c>
      <c r="AA38" s="8" t="s">
        <v>124</v>
      </c>
      <c r="AB38" s="11">
        <v>20025</v>
      </c>
      <c r="AC38" s="8"/>
      <c r="AD38" s="8">
        <v>80</v>
      </c>
      <c r="AE38" s="8">
        <v>80</v>
      </c>
      <c r="AF38" s="8">
        <v>20</v>
      </c>
      <c r="AG38" s="8">
        <v>30</v>
      </c>
      <c r="AH38" s="8" t="s">
        <v>125</v>
      </c>
      <c r="AJ38" s="17"/>
      <c r="AL38" s="18">
        <v>255</v>
      </c>
      <c r="AM38" s="8" t="s">
        <v>126</v>
      </c>
      <c r="AN38" s="19">
        <v>1500</v>
      </c>
      <c r="AO38" s="8" t="s">
        <v>127</v>
      </c>
      <c r="AP38" s="8">
        <v>8</v>
      </c>
      <c r="AQ38" s="8" t="s">
        <v>128</v>
      </c>
      <c r="AR38" s="8">
        <v>12</v>
      </c>
      <c r="AS38" s="8" t="s">
        <v>129</v>
      </c>
      <c r="AT38" s="8">
        <v>8</v>
      </c>
      <c r="AU38" s="8" t="s">
        <v>130</v>
      </c>
      <c r="AV38" s="8">
        <v>11</v>
      </c>
      <c r="AW38" s="8" t="s">
        <v>131</v>
      </c>
      <c r="AX38" s="8">
        <v>21</v>
      </c>
      <c r="AY38" s="8" t="s">
        <v>132</v>
      </c>
      <c r="AZ38" s="8">
        <v>29</v>
      </c>
      <c r="BA38" s="8" t="s">
        <v>133</v>
      </c>
      <c r="BB38" s="8">
        <v>21</v>
      </c>
      <c r="BC38" s="8" t="s">
        <v>134</v>
      </c>
      <c r="BD38" s="8">
        <v>29</v>
      </c>
      <c r="BE38" s="8" t="s">
        <v>133</v>
      </c>
      <c r="BF38" s="8">
        <v>0</v>
      </c>
      <c r="BG38" s="8" t="s">
        <v>134</v>
      </c>
      <c r="BH38" s="8">
        <v>0</v>
      </c>
      <c r="BI38" s="8" t="s">
        <v>135</v>
      </c>
      <c r="BJ38" s="8">
        <v>100</v>
      </c>
      <c r="BK38" s="8" t="s">
        <v>136</v>
      </c>
      <c r="BL38" s="8">
        <v>10</v>
      </c>
      <c r="BM38" s="8" t="s">
        <v>137</v>
      </c>
      <c r="BN38" s="8">
        <v>250</v>
      </c>
      <c r="BQ38" s="8">
        <v>1</v>
      </c>
      <c r="BR38" s="8">
        <v>2500</v>
      </c>
      <c r="BS38" s="8">
        <v>2</v>
      </c>
      <c r="BT38" s="8">
        <v>2500</v>
      </c>
      <c r="BU38" s="8" t="s">
        <v>138</v>
      </c>
    </row>
    <row r="39" s="8" customFormat="1" ht="16.5" customHeight="1" spans="2:73">
      <c r="B39" s="8">
        <f>60000000+INDEX(编号表!$B:$B,MATCH(J39,编号表!$A:$A,0))*10000+INDEX(编号表!$B:$B,MATCH(K39,编号表!$C:$C,0))*1000+L39</f>
        <v>60052035</v>
      </c>
      <c r="C39" s="8" t="s">
        <v>208</v>
      </c>
      <c r="D39" s="20" t="s">
        <v>207</v>
      </c>
      <c r="E39" s="20" t="s">
        <v>207</v>
      </c>
      <c r="F39" s="8">
        <v>5</v>
      </c>
      <c r="G39" s="8" t="str">
        <f>INDEX(编号表!$E:$E,MATCH(K39,编号表!$C:$C,0))</f>
        <v>绿色</v>
      </c>
      <c r="H39" s="8">
        <v>5</v>
      </c>
      <c r="I39" s="8" t="s">
        <v>201</v>
      </c>
      <c r="J39" s="8" t="s">
        <v>201</v>
      </c>
      <c r="K39" s="8" t="s">
        <v>174</v>
      </c>
      <c r="L39" s="8">
        <v>35</v>
      </c>
      <c r="M39" s="8">
        <v>35</v>
      </c>
      <c r="P39" s="8">
        <v>10</v>
      </c>
      <c r="Q39" s="8">
        <v>150000</v>
      </c>
      <c r="T39" s="8" t="b">
        <v>0</v>
      </c>
      <c r="U39" s="16">
        <v>40010001</v>
      </c>
      <c r="X39" s="8">
        <v>11010001</v>
      </c>
      <c r="Y39" s="8">
        <v>11020001</v>
      </c>
      <c r="AA39" s="8" t="s">
        <v>124</v>
      </c>
      <c r="AB39" s="11">
        <v>20026</v>
      </c>
      <c r="AC39" s="8">
        <v>1.5</v>
      </c>
      <c r="AD39" s="8">
        <v>80</v>
      </c>
      <c r="AE39" s="8">
        <v>80</v>
      </c>
      <c r="AF39" s="8">
        <v>20</v>
      </c>
      <c r="AG39" s="8">
        <v>30</v>
      </c>
      <c r="AH39" s="8" t="s">
        <v>125</v>
      </c>
      <c r="AJ39" s="17">
        <v>30010</v>
      </c>
      <c r="AL39" s="18">
        <v>255</v>
      </c>
      <c r="AM39" s="8" t="s">
        <v>126</v>
      </c>
      <c r="AN39" s="19">
        <v>1500</v>
      </c>
      <c r="AO39" s="8" t="s">
        <v>127</v>
      </c>
      <c r="AP39" s="8">
        <v>8</v>
      </c>
      <c r="AQ39" s="8" t="s">
        <v>128</v>
      </c>
      <c r="AR39" s="8">
        <v>12</v>
      </c>
      <c r="AS39" s="8" t="s">
        <v>129</v>
      </c>
      <c r="AT39" s="8">
        <v>8</v>
      </c>
      <c r="AU39" s="8" t="s">
        <v>130</v>
      </c>
      <c r="AV39" s="8">
        <v>11</v>
      </c>
      <c r="AW39" s="8" t="s">
        <v>131</v>
      </c>
      <c r="AX39" s="8">
        <v>21</v>
      </c>
      <c r="AY39" s="8" t="s">
        <v>132</v>
      </c>
      <c r="AZ39" s="8">
        <v>29</v>
      </c>
      <c r="BA39" s="8" t="s">
        <v>133</v>
      </c>
      <c r="BB39" s="8">
        <v>21</v>
      </c>
      <c r="BC39" s="8" t="s">
        <v>134</v>
      </c>
      <c r="BD39" s="8">
        <v>29</v>
      </c>
      <c r="BE39" s="8" t="s">
        <v>133</v>
      </c>
      <c r="BF39" s="8">
        <v>0</v>
      </c>
      <c r="BG39" s="8" t="s">
        <v>134</v>
      </c>
      <c r="BH39" s="8">
        <v>0</v>
      </c>
      <c r="BI39" s="8" t="s">
        <v>135</v>
      </c>
      <c r="BJ39" s="8">
        <v>100</v>
      </c>
      <c r="BK39" s="8" t="s">
        <v>136</v>
      </c>
      <c r="BL39" s="8">
        <v>10</v>
      </c>
      <c r="BM39" s="8" t="s">
        <v>137</v>
      </c>
      <c r="BN39" s="8">
        <v>250</v>
      </c>
      <c r="BQ39" s="8">
        <v>1</v>
      </c>
      <c r="BR39" s="8">
        <v>2500</v>
      </c>
      <c r="BS39" s="8">
        <v>2</v>
      </c>
      <c r="BT39" s="8">
        <v>2500</v>
      </c>
      <c r="BU39" s="8" t="s">
        <v>138</v>
      </c>
    </row>
    <row r="40" s="8" customFormat="1" ht="16.5" customHeight="1" spans="2:73">
      <c r="B40" s="8">
        <f>60000000+INDEX(编号表!$B:$B,MATCH(J40,编号表!$A:$A,0))*10000+INDEX(编号表!$B:$B,MATCH(K40,编号表!$C:$C,0))*1000+L40</f>
        <v>60054036</v>
      </c>
      <c r="C40" s="8" t="s">
        <v>209</v>
      </c>
      <c r="D40" s="20" t="s">
        <v>210</v>
      </c>
      <c r="E40" s="20" t="s">
        <v>210</v>
      </c>
      <c r="F40" s="8">
        <v>5</v>
      </c>
      <c r="G40" s="8" t="str">
        <f>INDEX(编号表!$E:$E,MATCH(K40,编号表!$C:$C,0))</f>
        <v>橙色</v>
      </c>
      <c r="H40" s="8">
        <v>5</v>
      </c>
      <c r="I40" s="8" t="s">
        <v>201</v>
      </c>
      <c r="J40" s="8" t="s">
        <v>201</v>
      </c>
      <c r="K40" s="8" t="s">
        <v>211</v>
      </c>
      <c r="L40" s="8">
        <v>36</v>
      </c>
      <c r="M40" s="8">
        <v>36</v>
      </c>
      <c r="P40" s="8">
        <v>10</v>
      </c>
      <c r="Q40" s="8">
        <v>150000</v>
      </c>
      <c r="T40" s="8" t="b">
        <v>0</v>
      </c>
      <c r="U40" s="16">
        <v>40010001</v>
      </c>
      <c r="X40" s="8">
        <v>11010001</v>
      </c>
      <c r="Y40" s="8">
        <v>11020001</v>
      </c>
      <c r="AA40" s="8" t="s">
        <v>124</v>
      </c>
      <c r="AB40" s="11">
        <v>20021</v>
      </c>
      <c r="AC40" s="8">
        <v>2</v>
      </c>
      <c r="AD40" s="8">
        <v>80</v>
      </c>
      <c r="AE40" s="8">
        <v>80</v>
      </c>
      <c r="AF40" s="8">
        <v>20</v>
      </c>
      <c r="AG40" s="8">
        <v>30</v>
      </c>
      <c r="AH40" s="8" t="s">
        <v>125</v>
      </c>
      <c r="AJ40" s="17">
        <v>30011</v>
      </c>
      <c r="AL40" s="18">
        <v>255</v>
      </c>
      <c r="AM40" s="8" t="s">
        <v>126</v>
      </c>
      <c r="AN40" s="19">
        <v>1500</v>
      </c>
      <c r="AO40" s="8" t="s">
        <v>127</v>
      </c>
      <c r="AP40" s="8">
        <v>8</v>
      </c>
      <c r="AQ40" s="8" t="s">
        <v>128</v>
      </c>
      <c r="AR40" s="8">
        <v>12</v>
      </c>
      <c r="AS40" s="8" t="s">
        <v>129</v>
      </c>
      <c r="AT40" s="8">
        <v>8</v>
      </c>
      <c r="AU40" s="8" t="s">
        <v>130</v>
      </c>
      <c r="AV40" s="8">
        <v>11</v>
      </c>
      <c r="AW40" s="8" t="s">
        <v>131</v>
      </c>
      <c r="AX40" s="8">
        <v>21</v>
      </c>
      <c r="AY40" s="8" t="s">
        <v>132</v>
      </c>
      <c r="AZ40" s="8">
        <v>29</v>
      </c>
      <c r="BA40" s="8" t="s">
        <v>133</v>
      </c>
      <c r="BB40" s="8">
        <v>21</v>
      </c>
      <c r="BC40" s="8" t="s">
        <v>134</v>
      </c>
      <c r="BD40" s="8">
        <v>29</v>
      </c>
      <c r="BE40" s="8" t="s">
        <v>133</v>
      </c>
      <c r="BF40" s="8">
        <v>0</v>
      </c>
      <c r="BG40" s="8" t="s">
        <v>134</v>
      </c>
      <c r="BH40" s="8">
        <v>0</v>
      </c>
      <c r="BI40" s="8" t="s">
        <v>135</v>
      </c>
      <c r="BJ40" s="8">
        <v>100</v>
      </c>
      <c r="BK40" s="8" t="s">
        <v>136</v>
      </c>
      <c r="BL40" s="8">
        <v>10</v>
      </c>
      <c r="BM40" s="8" t="s">
        <v>137</v>
      </c>
      <c r="BN40" s="8">
        <v>250</v>
      </c>
      <c r="BQ40" s="8">
        <v>1</v>
      </c>
      <c r="BR40" s="8">
        <v>2500</v>
      </c>
      <c r="BS40" s="8">
        <v>2</v>
      </c>
      <c r="BT40" s="8">
        <v>2500</v>
      </c>
      <c r="BU40" s="8" t="s">
        <v>138</v>
      </c>
    </row>
    <row r="41" s="8" customFormat="1" ht="16.5" customHeight="1" spans="2:73">
      <c r="B41" s="8">
        <f>60000000+INDEX(编号表!$B:$B,MATCH(J41,编号表!$A:$A,0))*10000+INDEX(编号表!$B:$B,MATCH(K41,编号表!$C:$C,0))*1000+L41</f>
        <v>60061037</v>
      </c>
      <c r="C41" s="8" t="s">
        <v>212</v>
      </c>
      <c r="D41" s="20" t="s">
        <v>120</v>
      </c>
      <c r="E41" s="20" t="s">
        <v>120</v>
      </c>
      <c r="F41" s="8">
        <v>5</v>
      </c>
      <c r="G41" s="8" t="str">
        <f>INDEX(编号表!$E:$E,MATCH(K41,编号表!$C:$C,0))</f>
        <v>白色</v>
      </c>
      <c r="H41" s="8">
        <v>5</v>
      </c>
      <c r="I41" s="8" t="s">
        <v>213</v>
      </c>
      <c r="J41" s="8" t="s">
        <v>213</v>
      </c>
      <c r="K41" s="8" t="s">
        <v>123</v>
      </c>
      <c r="L41" s="8">
        <v>37</v>
      </c>
      <c r="M41" s="8">
        <v>37</v>
      </c>
      <c r="P41" s="8">
        <v>10</v>
      </c>
      <c r="Q41" s="8">
        <v>150000</v>
      </c>
      <c r="T41" s="8" t="b">
        <v>0</v>
      </c>
      <c r="U41" s="16">
        <v>40010001</v>
      </c>
      <c r="X41" s="8">
        <v>11010001</v>
      </c>
      <c r="Y41" s="8">
        <v>11020001</v>
      </c>
      <c r="AA41" s="8" t="s">
        <v>124</v>
      </c>
      <c r="AB41" s="11">
        <v>20001</v>
      </c>
      <c r="AC41" s="8"/>
      <c r="AD41" s="8">
        <v>80</v>
      </c>
      <c r="AE41" s="8">
        <v>80</v>
      </c>
      <c r="AF41" s="8">
        <v>20</v>
      </c>
      <c r="AG41" s="8">
        <v>30</v>
      </c>
      <c r="AH41" s="8" t="s">
        <v>125</v>
      </c>
      <c r="AJ41" s="17"/>
      <c r="AL41" s="18">
        <v>255</v>
      </c>
      <c r="AM41" s="8" t="s">
        <v>126</v>
      </c>
      <c r="AN41" s="19">
        <v>1500</v>
      </c>
      <c r="AO41" s="8" t="s">
        <v>127</v>
      </c>
      <c r="AP41" s="8">
        <v>8</v>
      </c>
      <c r="AQ41" s="8" t="s">
        <v>128</v>
      </c>
      <c r="AR41" s="8">
        <v>12</v>
      </c>
      <c r="AS41" s="8" t="s">
        <v>129</v>
      </c>
      <c r="AT41" s="8">
        <v>8</v>
      </c>
      <c r="AU41" s="8" t="s">
        <v>130</v>
      </c>
      <c r="AV41" s="8">
        <v>11</v>
      </c>
      <c r="AW41" s="8" t="s">
        <v>131</v>
      </c>
      <c r="AX41" s="8">
        <v>21</v>
      </c>
      <c r="AY41" s="8" t="s">
        <v>132</v>
      </c>
      <c r="AZ41" s="8">
        <v>29</v>
      </c>
      <c r="BA41" s="8" t="s">
        <v>133</v>
      </c>
      <c r="BB41" s="8">
        <v>21</v>
      </c>
      <c r="BC41" s="8" t="s">
        <v>134</v>
      </c>
      <c r="BD41" s="8">
        <v>29</v>
      </c>
      <c r="BE41" s="8" t="s">
        <v>133</v>
      </c>
      <c r="BF41" s="8">
        <v>0</v>
      </c>
      <c r="BG41" s="8" t="s">
        <v>134</v>
      </c>
      <c r="BH41" s="8">
        <v>0</v>
      </c>
      <c r="BI41" s="8" t="s">
        <v>135</v>
      </c>
      <c r="BJ41" s="8">
        <v>100</v>
      </c>
      <c r="BK41" s="8" t="s">
        <v>136</v>
      </c>
      <c r="BL41" s="8">
        <v>10</v>
      </c>
      <c r="BM41" s="8" t="s">
        <v>137</v>
      </c>
      <c r="BN41" s="8">
        <v>250</v>
      </c>
      <c r="BQ41" s="8">
        <v>1</v>
      </c>
      <c r="BR41" s="8">
        <v>2500</v>
      </c>
      <c r="BS41" s="8">
        <v>2</v>
      </c>
      <c r="BT41" s="8">
        <v>2500</v>
      </c>
      <c r="BU41" s="8" t="s">
        <v>138</v>
      </c>
    </row>
    <row r="42" s="8" customFormat="1" ht="16.5" customHeight="1" spans="2:73">
      <c r="B42" s="8">
        <f>60000000+INDEX(编号表!$B:$B,MATCH(J42,编号表!$A:$A,0))*10000+INDEX(编号表!$B:$B,MATCH(K42,编号表!$C:$C,0))*1000+L42</f>
        <v>60061038</v>
      </c>
      <c r="C42" s="8" t="s">
        <v>214</v>
      </c>
      <c r="D42" s="20" t="s">
        <v>140</v>
      </c>
      <c r="E42" s="20" t="s">
        <v>140</v>
      </c>
      <c r="F42" s="8">
        <v>5</v>
      </c>
      <c r="G42" s="8" t="str">
        <f>INDEX(编号表!$E:$E,MATCH(K42,编号表!$C:$C,0))</f>
        <v>白色</v>
      </c>
      <c r="H42" s="8">
        <v>5</v>
      </c>
      <c r="I42" s="8" t="s">
        <v>213</v>
      </c>
      <c r="J42" s="8" t="s">
        <v>213</v>
      </c>
      <c r="K42" s="8" t="s">
        <v>123</v>
      </c>
      <c r="L42" s="8">
        <v>38</v>
      </c>
      <c r="M42" s="8">
        <v>38</v>
      </c>
      <c r="P42" s="8">
        <v>10</v>
      </c>
      <c r="Q42" s="8">
        <v>150000</v>
      </c>
      <c r="T42" s="8" t="b">
        <v>0</v>
      </c>
      <c r="U42" s="16">
        <v>40010001</v>
      </c>
      <c r="X42" s="8">
        <v>11010001</v>
      </c>
      <c r="Y42" s="8">
        <v>11020001</v>
      </c>
      <c r="AA42" s="8" t="s">
        <v>124</v>
      </c>
      <c r="AB42" s="11">
        <v>20002</v>
      </c>
      <c r="AC42" s="8"/>
      <c r="AD42" s="8">
        <v>80</v>
      </c>
      <c r="AE42" s="8">
        <v>80</v>
      </c>
      <c r="AF42" s="8">
        <v>20</v>
      </c>
      <c r="AG42" s="8">
        <v>30</v>
      </c>
      <c r="AH42" s="8" t="s">
        <v>125</v>
      </c>
      <c r="AJ42" s="17"/>
      <c r="AL42" s="18">
        <v>255</v>
      </c>
      <c r="AM42" s="8" t="s">
        <v>126</v>
      </c>
      <c r="AN42" s="19">
        <v>1500</v>
      </c>
      <c r="AO42" s="8" t="s">
        <v>127</v>
      </c>
      <c r="AP42" s="8">
        <v>8</v>
      </c>
      <c r="AQ42" s="8" t="s">
        <v>128</v>
      </c>
      <c r="AR42" s="8">
        <v>12</v>
      </c>
      <c r="AS42" s="8" t="s">
        <v>129</v>
      </c>
      <c r="AT42" s="8">
        <v>8</v>
      </c>
      <c r="AU42" s="8" t="s">
        <v>130</v>
      </c>
      <c r="AV42" s="8">
        <v>11</v>
      </c>
      <c r="AW42" s="8" t="s">
        <v>131</v>
      </c>
      <c r="AX42" s="8">
        <v>21</v>
      </c>
      <c r="AY42" s="8" t="s">
        <v>132</v>
      </c>
      <c r="AZ42" s="8">
        <v>29</v>
      </c>
      <c r="BA42" s="8" t="s">
        <v>133</v>
      </c>
      <c r="BB42" s="8">
        <v>21</v>
      </c>
      <c r="BC42" s="8" t="s">
        <v>134</v>
      </c>
      <c r="BD42" s="8">
        <v>29</v>
      </c>
      <c r="BE42" s="8" t="s">
        <v>133</v>
      </c>
      <c r="BF42" s="8">
        <v>0</v>
      </c>
      <c r="BG42" s="8" t="s">
        <v>134</v>
      </c>
      <c r="BH42" s="8">
        <v>0</v>
      </c>
      <c r="BI42" s="8" t="s">
        <v>135</v>
      </c>
      <c r="BJ42" s="8">
        <v>100</v>
      </c>
      <c r="BK42" s="8" t="s">
        <v>136</v>
      </c>
      <c r="BL42" s="8">
        <v>10</v>
      </c>
      <c r="BM42" s="8" t="s">
        <v>137</v>
      </c>
      <c r="BN42" s="8">
        <v>250</v>
      </c>
      <c r="BQ42" s="8">
        <v>1</v>
      </c>
      <c r="BR42" s="8">
        <v>2500</v>
      </c>
      <c r="BS42" s="8">
        <v>2</v>
      </c>
      <c r="BT42" s="8">
        <v>2500</v>
      </c>
      <c r="BU42" s="8" t="s">
        <v>138</v>
      </c>
    </row>
    <row r="43" s="8" customFormat="1" ht="16.5" customHeight="1" spans="2:73">
      <c r="B43" s="8">
        <f>60000000+INDEX(编号表!$B:$B,MATCH(J43,编号表!$A:$A,0))*10000+INDEX(编号表!$B:$B,MATCH(K43,编号表!$C:$C,0))*1000+L43</f>
        <v>60061039</v>
      </c>
      <c r="C43" s="8" t="s">
        <v>215</v>
      </c>
      <c r="D43" s="20" t="s">
        <v>142</v>
      </c>
      <c r="E43" s="20" t="s">
        <v>142</v>
      </c>
      <c r="F43" s="8">
        <v>5</v>
      </c>
      <c r="G43" s="8" t="str">
        <f>INDEX(编号表!$E:$E,MATCH(K43,编号表!$C:$C,0))</f>
        <v>白色</v>
      </c>
      <c r="H43" s="8">
        <v>5</v>
      </c>
      <c r="I43" s="8" t="s">
        <v>213</v>
      </c>
      <c r="J43" s="8" t="s">
        <v>213</v>
      </c>
      <c r="K43" s="8" t="s">
        <v>123</v>
      </c>
      <c r="L43" s="8">
        <v>39</v>
      </c>
      <c r="M43" s="8">
        <v>39</v>
      </c>
      <c r="P43" s="8">
        <v>10</v>
      </c>
      <c r="Q43" s="8">
        <v>150000</v>
      </c>
      <c r="T43" s="8" t="b">
        <v>0</v>
      </c>
      <c r="U43" s="16">
        <v>40010001</v>
      </c>
      <c r="X43" s="8">
        <v>11010001</v>
      </c>
      <c r="Y43" s="8">
        <v>11020001</v>
      </c>
      <c r="AA43" s="8" t="s">
        <v>124</v>
      </c>
      <c r="AB43" s="11">
        <v>20003</v>
      </c>
      <c r="AC43" s="8"/>
      <c r="AD43" s="8">
        <v>80</v>
      </c>
      <c r="AE43" s="8">
        <v>80</v>
      </c>
      <c r="AF43" s="8">
        <v>20</v>
      </c>
      <c r="AG43" s="8">
        <v>30</v>
      </c>
      <c r="AH43" s="8" t="s">
        <v>125</v>
      </c>
      <c r="AJ43" s="17"/>
      <c r="AL43" s="18">
        <v>255</v>
      </c>
      <c r="AM43" s="8" t="s">
        <v>126</v>
      </c>
      <c r="AN43" s="19">
        <v>1500</v>
      </c>
      <c r="AO43" s="8" t="s">
        <v>127</v>
      </c>
      <c r="AP43" s="8">
        <v>8</v>
      </c>
      <c r="AQ43" s="8" t="s">
        <v>128</v>
      </c>
      <c r="AR43" s="8">
        <v>12</v>
      </c>
      <c r="AS43" s="8" t="s">
        <v>129</v>
      </c>
      <c r="AT43" s="8">
        <v>8</v>
      </c>
      <c r="AU43" s="8" t="s">
        <v>130</v>
      </c>
      <c r="AV43" s="8">
        <v>11</v>
      </c>
      <c r="AW43" s="8" t="s">
        <v>131</v>
      </c>
      <c r="AX43" s="8">
        <v>21</v>
      </c>
      <c r="AY43" s="8" t="s">
        <v>132</v>
      </c>
      <c r="AZ43" s="8">
        <v>29</v>
      </c>
      <c r="BA43" s="8" t="s">
        <v>133</v>
      </c>
      <c r="BB43" s="8">
        <v>21</v>
      </c>
      <c r="BC43" s="8" t="s">
        <v>134</v>
      </c>
      <c r="BD43" s="8">
        <v>29</v>
      </c>
      <c r="BE43" s="8" t="s">
        <v>133</v>
      </c>
      <c r="BF43" s="8">
        <v>0</v>
      </c>
      <c r="BG43" s="8" t="s">
        <v>134</v>
      </c>
      <c r="BH43" s="8">
        <v>0</v>
      </c>
      <c r="BI43" s="8" t="s">
        <v>135</v>
      </c>
      <c r="BJ43" s="8">
        <v>100</v>
      </c>
      <c r="BK43" s="8" t="s">
        <v>136</v>
      </c>
      <c r="BL43" s="8">
        <v>10</v>
      </c>
      <c r="BM43" s="8" t="s">
        <v>137</v>
      </c>
      <c r="BN43" s="8">
        <v>250</v>
      </c>
      <c r="BQ43" s="8">
        <v>1</v>
      </c>
      <c r="BR43" s="8">
        <v>2500</v>
      </c>
      <c r="BS43" s="8">
        <v>2</v>
      </c>
      <c r="BT43" s="8">
        <v>2500</v>
      </c>
      <c r="BU43" s="8" t="s">
        <v>138</v>
      </c>
    </row>
    <row r="44" s="8" customFormat="1" ht="16.5" customHeight="1" spans="2:73">
      <c r="B44" s="8">
        <f>60000000+INDEX(编号表!$B:$B,MATCH(J44,编号表!$A:$A,0))*10000+INDEX(编号表!$B:$B,MATCH(K44,编号表!$C:$C,0))*1000+L44</f>
        <v>60071040</v>
      </c>
      <c r="C44" s="8" t="s">
        <v>216</v>
      </c>
      <c r="D44" s="20" t="s">
        <v>146</v>
      </c>
      <c r="E44" s="20" t="s">
        <v>146</v>
      </c>
      <c r="F44" s="8">
        <v>5</v>
      </c>
      <c r="G44" s="8" t="str">
        <f>INDEX(编号表!$E:$E,MATCH(K44,编号表!$C:$C,0))</f>
        <v>白色</v>
      </c>
      <c r="H44" s="8">
        <v>5</v>
      </c>
      <c r="I44" s="8" t="s">
        <v>217</v>
      </c>
      <c r="J44" s="8" t="s">
        <v>217</v>
      </c>
      <c r="K44" s="8" t="s">
        <v>123</v>
      </c>
      <c r="L44" s="8">
        <v>40</v>
      </c>
      <c r="M44" s="8">
        <v>40</v>
      </c>
      <c r="P44" s="8">
        <v>10</v>
      </c>
      <c r="Q44" s="8">
        <v>150000</v>
      </c>
      <c r="T44" s="8" t="b">
        <v>0</v>
      </c>
      <c r="U44" s="16">
        <v>40010001</v>
      </c>
      <c r="X44" s="8">
        <v>11010001</v>
      </c>
      <c r="Y44" s="8">
        <v>11020001</v>
      </c>
      <c r="AA44" s="8" t="s">
        <v>124</v>
      </c>
      <c r="AB44" s="11">
        <v>20005</v>
      </c>
      <c r="AC44" s="8"/>
      <c r="AD44" s="8">
        <v>80</v>
      </c>
      <c r="AE44" s="8">
        <v>80</v>
      </c>
      <c r="AF44" s="8">
        <v>20</v>
      </c>
      <c r="AG44" s="8">
        <v>30</v>
      </c>
      <c r="AH44" s="8" t="s">
        <v>125</v>
      </c>
      <c r="AJ44" s="17"/>
      <c r="AL44" s="18">
        <v>255</v>
      </c>
      <c r="AM44" s="8" t="s">
        <v>126</v>
      </c>
      <c r="AN44" s="19">
        <v>1500</v>
      </c>
      <c r="AO44" s="8" t="s">
        <v>127</v>
      </c>
      <c r="AP44" s="8">
        <v>8</v>
      </c>
      <c r="AQ44" s="8" t="s">
        <v>128</v>
      </c>
      <c r="AR44" s="8">
        <v>12</v>
      </c>
      <c r="AS44" s="8" t="s">
        <v>129</v>
      </c>
      <c r="AT44" s="8">
        <v>8</v>
      </c>
      <c r="AU44" s="8" t="s">
        <v>130</v>
      </c>
      <c r="AV44" s="8">
        <v>11</v>
      </c>
      <c r="AW44" s="8" t="s">
        <v>131</v>
      </c>
      <c r="AX44" s="8">
        <v>21</v>
      </c>
      <c r="AY44" s="8" t="s">
        <v>132</v>
      </c>
      <c r="AZ44" s="8">
        <v>29</v>
      </c>
      <c r="BA44" s="8" t="s">
        <v>133</v>
      </c>
      <c r="BB44" s="8">
        <v>21</v>
      </c>
      <c r="BC44" s="8" t="s">
        <v>134</v>
      </c>
      <c r="BD44" s="8">
        <v>29</v>
      </c>
      <c r="BE44" s="8" t="s">
        <v>133</v>
      </c>
      <c r="BF44" s="8">
        <v>0</v>
      </c>
      <c r="BG44" s="8" t="s">
        <v>134</v>
      </c>
      <c r="BH44" s="8">
        <v>0</v>
      </c>
      <c r="BI44" s="8" t="s">
        <v>135</v>
      </c>
      <c r="BJ44" s="8">
        <v>100</v>
      </c>
      <c r="BK44" s="8" t="s">
        <v>136</v>
      </c>
      <c r="BL44" s="8">
        <v>10</v>
      </c>
      <c r="BM44" s="8" t="s">
        <v>137</v>
      </c>
      <c r="BN44" s="8">
        <v>250</v>
      </c>
      <c r="BQ44" s="8">
        <v>1</v>
      </c>
      <c r="BR44" s="8">
        <v>2500</v>
      </c>
      <c r="BS44" s="8">
        <v>2</v>
      </c>
      <c r="BT44" s="8">
        <v>2500</v>
      </c>
      <c r="BU44" s="8" t="s">
        <v>138</v>
      </c>
    </row>
    <row r="45" s="8" customFormat="1" ht="16.5" customHeight="1" spans="2:73">
      <c r="B45" s="8">
        <f>60000000+INDEX(编号表!$B:$B,MATCH(J45,编号表!$A:$A,0))*10000+INDEX(编号表!$B:$B,MATCH(K45,编号表!$C:$C,0))*1000+L45</f>
        <v>60071041</v>
      </c>
      <c r="C45" s="8" t="s">
        <v>218</v>
      </c>
      <c r="D45" s="20" t="s">
        <v>156</v>
      </c>
      <c r="E45" s="20" t="s">
        <v>156</v>
      </c>
      <c r="F45" s="8">
        <v>5</v>
      </c>
      <c r="G45" s="8" t="str">
        <f>INDEX(编号表!$E:$E,MATCH(K45,编号表!$C:$C,0))</f>
        <v>白色</v>
      </c>
      <c r="H45" s="8">
        <v>5</v>
      </c>
      <c r="I45" s="8" t="s">
        <v>217</v>
      </c>
      <c r="J45" s="8" t="s">
        <v>217</v>
      </c>
      <c r="K45" s="8" t="s">
        <v>123</v>
      </c>
      <c r="L45" s="8">
        <v>41</v>
      </c>
      <c r="M45" s="8">
        <v>41</v>
      </c>
      <c r="P45" s="8">
        <v>10</v>
      </c>
      <c r="Q45" s="8">
        <v>150000</v>
      </c>
      <c r="T45" s="8" t="b">
        <v>0</v>
      </c>
      <c r="U45" s="16">
        <v>40010001</v>
      </c>
      <c r="X45" s="8">
        <v>11010001</v>
      </c>
      <c r="Y45" s="8">
        <v>11020001</v>
      </c>
      <c r="AA45" s="8" t="s">
        <v>124</v>
      </c>
      <c r="AB45" s="11">
        <v>20008</v>
      </c>
      <c r="AC45" s="8"/>
      <c r="AD45" s="8">
        <v>80</v>
      </c>
      <c r="AE45" s="8">
        <v>80</v>
      </c>
      <c r="AF45" s="8">
        <v>20</v>
      </c>
      <c r="AG45" s="8">
        <v>30</v>
      </c>
      <c r="AH45" s="8" t="s">
        <v>125</v>
      </c>
      <c r="AJ45" s="17"/>
      <c r="AL45" s="18">
        <v>255</v>
      </c>
      <c r="AM45" s="8" t="s">
        <v>126</v>
      </c>
      <c r="AN45" s="19">
        <v>1500</v>
      </c>
      <c r="AO45" s="8" t="s">
        <v>127</v>
      </c>
      <c r="AP45" s="8">
        <v>8</v>
      </c>
      <c r="AQ45" s="8" t="s">
        <v>128</v>
      </c>
      <c r="AR45" s="8">
        <v>12</v>
      </c>
      <c r="AS45" s="8" t="s">
        <v>129</v>
      </c>
      <c r="AT45" s="8">
        <v>8</v>
      </c>
      <c r="AU45" s="8" t="s">
        <v>130</v>
      </c>
      <c r="AV45" s="8">
        <v>11</v>
      </c>
      <c r="AW45" s="8" t="s">
        <v>131</v>
      </c>
      <c r="AX45" s="8">
        <v>21</v>
      </c>
      <c r="AY45" s="8" t="s">
        <v>132</v>
      </c>
      <c r="AZ45" s="8">
        <v>29</v>
      </c>
      <c r="BA45" s="8" t="s">
        <v>133</v>
      </c>
      <c r="BB45" s="8">
        <v>21</v>
      </c>
      <c r="BC45" s="8" t="s">
        <v>134</v>
      </c>
      <c r="BD45" s="8">
        <v>29</v>
      </c>
      <c r="BE45" s="8" t="s">
        <v>133</v>
      </c>
      <c r="BF45" s="8">
        <v>0</v>
      </c>
      <c r="BG45" s="8" t="s">
        <v>134</v>
      </c>
      <c r="BH45" s="8">
        <v>0</v>
      </c>
      <c r="BI45" s="8" t="s">
        <v>135</v>
      </c>
      <c r="BJ45" s="8">
        <v>100</v>
      </c>
      <c r="BK45" s="8" t="s">
        <v>136</v>
      </c>
      <c r="BL45" s="8">
        <v>10</v>
      </c>
      <c r="BM45" s="8" t="s">
        <v>137</v>
      </c>
      <c r="BN45" s="8">
        <v>250</v>
      </c>
      <c r="BQ45" s="8">
        <v>1</v>
      </c>
      <c r="BR45" s="8">
        <v>2500</v>
      </c>
      <c r="BS45" s="8">
        <v>2</v>
      </c>
      <c r="BT45" s="8">
        <v>2500</v>
      </c>
      <c r="BU45" s="8" t="s">
        <v>138</v>
      </c>
    </row>
    <row r="46" s="8" customFormat="1" ht="16.5" customHeight="1" spans="2:73">
      <c r="B46" s="8">
        <f>60000000+INDEX(编号表!$B:$B,MATCH(J46,编号表!$A:$A,0))*10000+INDEX(编号表!$B:$B,MATCH(K46,编号表!$C:$C,0))*1000+L46</f>
        <v>60071042</v>
      </c>
      <c r="C46" s="8" t="s">
        <v>219</v>
      </c>
      <c r="D46" s="20" t="s">
        <v>152</v>
      </c>
      <c r="E46" s="20" t="s">
        <v>152</v>
      </c>
      <c r="F46" s="8">
        <v>5</v>
      </c>
      <c r="G46" s="8" t="str">
        <f>INDEX(编号表!$E:$E,MATCH(K46,编号表!$C:$C,0))</f>
        <v>白色</v>
      </c>
      <c r="H46" s="8">
        <v>5</v>
      </c>
      <c r="I46" s="8" t="s">
        <v>217</v>
      </c>
      <c r="J46" s="8" t="s">
        <v>217</v>
      </c>
      <c r="K46" s="8" t="s">
        <v>123</v>
      </c>
      <c r="L46" s="8">
        <v>42</v>
      </c>
      <c r="M46" s="8">
        <v>42</v>
      </c>
      <c r="P46" s="8">
        <v>10</v>
      </c>
      <c r="Q46" s="8">
        <v>150000</v>
      </c>
      <c r="T46" s="8" t="b">
        <v>0</v>
      </c>
      <c r="U46" s="16">
        <v>40010001</v>
      </c>
      <c r="X46" s="8">
        <v>11010001</v>
      </c>
      <c r="Y46" s="8">
        <v>11020001</v>
      </c>
      <c r="AA46" s="8" t="s">
        <v>124</v>
      </c>
      <c r="AB46" s="11">
        <v>20009</v>
      </c>
      <c r="AC46" s="8"/>
      <c r="AD46" s="8">
        <v>80</v>
      </c>
      <c r="AE46" s="8">
        <v>80</v>
      </c>
      <c r="AF46" s="8">
        <v>20</v>
      </c>
      <c r="AG46" s="8">
        <v>30</v>
      </c>
      <c r="AH46" s="8" t="s">
        <v>125</v>
      </c>
      <c r="AJ46" s="17"/>
      <c r="AL46" s="18">
        <v>255</v>
      </c>
      <c r="AM46" s="8" t="s">
        <v>126</v>
      </c>
      <c r="AN46" s="19">
        <v>1500</v>
      </c>
      <c r="AO46" s="8" t="s">
        <v>127</v>
      </c>
      <c r="AP46" s="8">
        <v>8</v>
      </c>
      <c r="AQ46" s="8" t="s">
        <v>128</v>
      </c>
      <c r="AR46" s="8">
        <v>12</v>
      </c>
      <c r="AS46" s="8" t="s">
        <v>129</v>
      </c>
      <c r="AT46" s="8">
        <v>8</v>
      </c>
      <c r="AU46" s="8" t="s">
        <v>130</v>
      </c>
      <c r="AV46" s="8">
        <v>11</v>
      </c>
      <c r="AW46" s="8" t="s">
        <v>131</v>
      </c>
      <c r="AX46" s="8">
        <v>21</v>
      </c>
      <c r="AY46" s="8" t="s">
        <v>132</v>
      </c>
      <c r="AZ46" s="8">
        <v>29</v>
      </c>
      <c r="BA46" s="8" t="s">
        <v>133</v>
      </c>
      <c r="BB46" s="8">
        <v>21</v>
      </c>
      <c r="BC46" s="8" t="s">
        <v>134</v>
      </c>
      <c r="BD46" s="8">
        <v>29</v>
      </c>
      <c r="BE46" s="8" t="s">
        <v>133</v>
      </c>
      <c r="BF46" s="8">
        <v>0</v>
      </c>
      <c r="BG46" s="8" t="s">
        <v>134</v>
      </c>
      <c r="BH46" s="8">
        <v>0</v>
      </c>
      <c r="BI46" s="8" t="s">
        <v>135</v>
      </c>
      <c r="BJ46" s="8">
        <v>100</v>
      </c>
      <c r="BK46" s="8" t="s">
        <v>136</v>
      </c>
      <c r="BL46" s="8">
        <v>10</v>
      </c>
      <c r="BM46" s="8" t="s">
        <v>137</v>
      </c>
      <c r="BN46" s="8">
        <v>250</v>
      </c>
      <c r="BQ46" s="8">
        <v>1</v>
      </c>
      <c r="BR46" s="8">
        <v>2500</v>
      </c>
      <c r="BS46" s="8">
        <v>2</v>
      </c>
      <c r="BT46" s="8">
        <v>2500</v>
      </c>
      <c r="BU46" s="8" t="s">
        <v>138</v>
      </c>
    </row>
    <row r="47" s="8" customFormat="1" ht="16.5" customHeight="1" spans="2:73">
      <c r="B47" s="8">
        <f>60000000+INDEX(编号表!$B:$B,MATCH(J47,编号表!$A:$A,0))*10000+INDEX(编号表!$B:$B,MATCH(K47,编号表!$C:$C,0))*1000+L47</f>
        <v>60081043</v>
      </c>
      <c r="C47" s="8" t="s">
        <v>220</v>
      </c>
      <c r="D47" s="20" t="s">
        <v>221</v>
      </c>
      <c r="E47" s="20" t="s">
        <v>221</v>
      </c>
      <c r="F47" s="8">
        <v>5</v>
      </c>
      <c r="G47" s="8" t="str">
        <f>INDEX(编号表!$E:$E,MATCH(K47,编号表!$C:$C,0))</f>
        <v>白色</v>
      </c>
      <c r="H47" s="8">
        <v>5</v>
      </c>
      <c r="I47" s="8" t="s">
        <v>222</v>
      </c>
      <c r="J47" s="8" t="s">
        <v>222</v>
      </c>
      <c r="K47" s="8" t="s">
        <v>123</v>
      </c>
      <c r="L47" s="8">
        <v>43</v>
      </c>
      <c r="M47" s="8">
        <v>43</v>
      </c>
      <c r="P47" s="8">
        <v>10</v>
      </c>
      <c r="Q47" s="8">
        <v>150000</v>
      </c>
      <c r="T47" s="8" t="b">
        <v>0</v>
      </c>
      <c r="U47" s="16">
        <v>40010001</v>
      </c>
      <c r="X47" s="8">
        <v>11010001</v>
      </c>
      <c r="Y47" s="8">
        <v>11020001</v>
      </c>
      <c r="AA47" s="8" t="s">
        <v>124</v>
      </c>
      <c r="AB47" s="11">
        <v>20018</v>
      </c>
      <c r="AC47" s="8"/>
      <c r="AD47" s="8">
        <v>80</v>
      </c>
      <c r="AE47" s="8">
        <v>80</v>
      </c>
      <c r="AF47" s="8">
        <v>20</v>
      </c>
      <c r="AG47" s="8">
        <v>30</v>
      </c>
      <c r="AH47" s="8" t="s">
        <v>125</v>
      </c>
      <c r="AJ47" s="17"/>
      <c r="AL47" s="18">
        <v>255</v>
      </c>
      <c r="AM47" s="8" t="s">
        <v>126</v>
      </c>
      <c r="AN47" s="19">
        <v>1500</v>
      </c>
      <c r="AO47" s="8" t="s">
        <v>127</v>
      </c>
      <c r="AP47" s="8">
        <v>8</v>
      </c>
      <c r="AQ47" s="8" t="s">
        <v>128</v>
      </c>
      <c r="AR47" s="8">
        <v>12</v>
      </c>
      <c r="AS47" s="8" t="s">
        <v>129</v>
      </c>
      <c r="AT47" s="8">
        <v>8</v>
      </c>
      <c r="AU47" s="8" t="s">
        <v>130</v>
      </c>
      <c r="AV47" s="8">
        <v>11</v>
      </c>
      <c r="AW47" s="8" t="s">
        <v>131</v>
      </c>
      <c r="AX47" s="8">
        <v>21</v>
      </c>
      <c r="AY47" s="8" t="s">
        <v>132</v>
      </c>
      <c r="AZ47" s="8">
        <v>29</v>
      </c>
      <c r="BA47" s="8" t="s">
        <v>133</v>
      </c>
      <c r="BB47" s="8">
        <v>21</v>
      </c>
      <c r="BC47" s="8" t="s">
        <v>134</v>
      </c>
      <c r="BD47" s="8">
        <v>29</v>
      </c>
      <c r="BE47" s="8" t="s">
        <v>133</v>
      </c>
      <c r="BF47" s="8">
        <v>0</v>
      </c>
      <c r="BG47" s="8" t="s">
        <v>134</v>
      </c>
      <c r="BH47" s="8">
        <v>0</v>
      </c>
      <c r="BI47" s="8" t="s">
        <v>135</v>
      </c>
      <c r="BJ47" s="8">
        <v>100</v>
      </c>
      <c r="BK47" s="8" t="s">
        <v>136</v>
      </c>
      <c r="BL47" s="8">
        <v>10</v>
      </c>
      <c r="BM47" s="8" t="s">
        <v>137</v>
      </c>
      <c r="BN47" s="8">
        <v>250</v>
      </c>
      <c r="BQ47" s="8">
        <v>1</v>
      </c>
      <c r="BR47" s="8">
        <v>2500</v>
      </c>
      <c r="BS47" s="8">
        <v>2</v>
      </c>
      <c r="BT47" s="8">
        <v>2500</v>
      </c>
      <c r="BU47" s="8" t="s">
        <v>138</v>
      </c>
    </row>
    <row r="48" s="8" customFormat="1" ht="16.5" customHeight="1" spans="2:73">
      <c r="B48" s="8">
        <f>60000000+INDEX(编号表!$B:$B,MATCH(J48,编号表!$A:$A,0))*10000+INDEX(编号表!$B:$B,MATCH(K48,编号表!$C:$C,0))*1000+L48</f>
        <v>60081044</v>
      </c>
      <c r="C48" s="8" t="s">
        <v>223</v>
      </c>
      <c r="D48" s="20" t="s">
        <v>224</v>
      </c>
      <c r="E48" s="20" t="s">
        <v>224</v>
      </c>
      <c r="F48" s="8">
        <v>5</v>
      </c>
      <c r="G48" s="8" t="str">
        <f>INDEX(编号表!$E:$E,MATCH(K48,编号表!$C:$C,0))</f>
        <v>白色</v>
      </c>
      <c r="H48" s="8">
        <v>5</v>
      </c>
      <c r="I48" s="8" t="s">
        <v>222</v>
      </c>
      <c r="J48" s="8" t="s">
        <v>222</v>
      </c>
      <c r="K48" s="8" t="s">
        <v>123</v>
      </c>
      <c r="L48" s="8">
        <v>44</v>
      </c>
      <c r="M48" s="8">
        <v>44</v>
      </c>
      <c r="P48" s="8">
        <v>10</v>
      </c>
      <c r="Q48" s="8">
        <v>150000</v>
      </c>
      <c r="T48" s="8" t="b">
        <v>0</v>
      </c>
      <c r="U48" s="16">
        <v>40010001</v>
      </c>
      <c r="X48" s="8">
        <v>11010001</v>
      </c>
      <c r="Y48" s="8">
        <v>11020001</v>
      </c>
      <c r="AA48" s="8" t="s">
        <v>124</v>
      </c>
      <c r="AB48" s="11">
        <v>20020</v>
      </c>
      <c r="AC48" s="8"/>
      <c r="AD48" s="8">
        <v>80</v>
      </c>
      <c r="AE48" s="8">
        <v>80</v>
      </c>
      <c r="AF48" s="8">
        <v>20</v>
      </c>
      <c r="AG48" s="8">
        <v>30</v>
      </c>
      <c r="AH48" s="8" t="s">
        <v>125</v>
      </c>
      <c r="AJ48" s="17"/>
      <c r="AL48" s="18">
        <v>255</v>
      </c>
      <c r="AM48" s="8" t="s">
        <v>126</v>
      </c>
      <c r="AN48" s="19">
        <v>1500</v>
      </c>
      <c r="AO48" s="8" t="s">
        <v>127</v>
      </c>
      <c r="AP48" s="8">
        <v>8</v>
      </c>
      <c r="AQ48" s="8" t="s">
        <v>128</v>
      </c>
      <c r="AR48" s="8">
        <v>12</v>
      </c>
      <c r="AS48" s="8" t="s">
        <v>129</v>
      </c>
      <c r="AT48" s="8">
        <v>8</v>
      </c>
      <c r="AU48" s="8" t="s">
        <v>130</v>
      </c>
      <c r="AV48" s="8">
        <v>11</v>
      </c>
      <c r="AW48" s="8" t="s">
        <v>131</v>
      </c>
      <c r="AX48" s="8">
        <v>21</v>
      </c>
      <c r="AY48" s="8" t="s">
        <v>132</v>
      </c>
      <c r="AZ48" s="8">
        <v>29</v>
      </c>
      <c r="BA48" s="8" t="s">
        <v>133</v>
      </c>
      <c r="BB48" s="8">
        <v>21</v>
      </c>
      <c r="BC48" s="8" t="s">
        <v>134</v>
      </c>
      <c r="BD48" s="8">
        <v>29</v>
      </c>
      <c r="BE48" s="8" t="s">
        <v>133</v>
      </c>
      <c r="BF48" s="8">
        <v>0</v>
      </c>
      <c r="BG48" s="8" t="s">
        <v>134</v>
      </c>
      <c r="BH48" s="8">
        <v>0</v>
      </c>
      <c r="BI48" s="8" t="s">
        <v>135</v>
      </c>
      <c r="BJ48" s="8">
        <v>100</v>
      </c>
      <c r="BK48" s="8" t="s">
        <v>136</v>
      </c>
      <c r="BL48" s="8">
        <v>10</v>
      </c>
      <c r="BM48" s="8" t="s">
        <v>137</v>
      </c>
      <c r="BN48" s="8">
        <v>250</v>
      </c>
      <c r="BQ48" s="8">
        <v>1</v>
      </c>
      <c r="BR48" s="8">
        <v>2500</v>
      </c>
      <c r="BS48" s="8">
        <v>2</v>
      </c>
      <c r="BT48" s="8">
        <v>2500</v>
      </c>
      <c r="BU48" s="8" t="s">
        <v>138</v>
      </c>
    </row>
    <row r="49" s="8" customFormat="1" ht="16.5" customHeight="1" spans="2:73">
      <c r="B49" s="8">
        <f>60000000+INDEX(编号表!$B:$B,MATCH(J49,编号表!$A:$A,0))*10000+INDEX(编号表!$B:$B,MATCH(K49,编号表!$C:$C,0))*1000+L49</f>
        <v>60081045</v>
      </c>
      <c r="C49" s="8" t="s">
        <v>225</v>
      </c>
      <c r="D49" s="20" t="s">
        <v>226</v>
      </c>
      <c r="E49" s="20" t="s">
        <v>226</v>
      </c>
      <c r="F49" s="8">
        <v>5</v>
      </c>
      <c r="G49" s="8" t="str">
        <f>INDEX(编号表!$E:$E,MATCH(K49,编号表!$C:$C,0))</f>
        <v>白色</v>
      </c>
      <c r="H49" s="8">
        <v>5</v>
      </c>
      <c r="I49" s="8" t="s">
        <v>222</v>
      </c>
      <c r="J49" s="8" t="s">
        <v>222</v>
      </c>
      <c r="K49" s="8" t="s">
        <v>123</v>
      </c>
      <c r="L49" s="8">
        <v>45</v>
      </c>
      <c r="M49" s="8">
        <v>45</v>
      </c>
      <c r="P49" s="8">
        <v>10</v>
      </c>
      <c r="Q49" s="8">
        <v>150000</v>
      </c>
      <c r="T49" s="8" t="b">
        <v>0</v>
      </c>
      <c r="U49" s="16">
        <v>40010001</v>
      </c>
      <c r="X49" s="8">
        <v>11010001</v>
      </c>
      <c r="Y49" s="8">
        <v>11020001</v>
      </c>
      <c r="AA49" s="8" t="s">
        <v>124</v>
      </c>
      <c r="AB49" s="11">
        <v>20027</v>
      </c>
      <c r="AC49" s="8"/>
      <c r="AD49" s="8">
        <v>80</v>
      </c>
      <c r="AE49" s="8">
        <v>80</v>
      </c>
      <c r="AF49" s="8">
        <v>20</v>
      </c>
      <c r="AG49" s="8">
        <v>30</v>
      </c>
      <c r="AH49" s="8" t="s">
        <v>125</v>
      </c>
      <c r="AJ49" s="17"/>
      <c r="AL49" s="18">
        <v>255</v>
      </c>
      <c r="AM49" s="8" t="s">
        <v>126</v>
      </c>
      <c r="AN49" s="19">
        <v>1500</v>
      </c>
      <c r="AO49" s="8" t="s">
        <v>127</v>
      </c>
      <c r="AP49" s="8">
        <v>8</v>
      </c>
      <c r="AQ49" s="8" t="s">
        <v>128</v>
      </c>
      <c r="AR49" s="8">
        <v>12</v>
      </c>
      <c r="AS49" s="8" t="s">
        <v>129</v>
      </c>
      <c r="AT49" s="8">
        <v>8</v>
      </c>
      <c r="AU49" s="8" t="s">
        <v>130</v>
      </c>
      <c r="AV49" s="8">
        <v>11</v>
      </c>
      <c r="AW49" s="8" t="s">
        <v>131</v>
      </c>
      <c r="AX49" s="8">
        <v>21</v>
      </c>
      <c r="AY49" s="8" t="s">
        <v>132</v>
      </c>
      <c r="AZ49" s="8">
        <v>29</v>
      </c>
      <c r="BA49" s="8" t="s">
        <v>133</v>
      </c>
      <c r="BB49" s="8">
        <v>21</v>
      </c>
      <c r="BC49" s="8" t="s">
        <v>134</v>
      </c>
      <c r="BD49" s="8">
        <v>29</v>
      </c>
      <c r="BE49" s="8" t="s">
        <v>133</v>
      </c>
      <c r="BF49" s="8">
        <v>0</v>
      </c>
      <c r="BG49" s="8" t="s">
        <v>134</v>
      </c>
      <c r="BH49" s="8">
        <v>0</v>
      </c>
      <c r="BI49" s="8" t="s">
        <v>135</v>
      </c>
      <c r="BJ49" s="8">
        <v>100</v>
      </c>
      <c r="BK49" s="8" t="s">
        <v>136</v>
      </c>
      <c r="BL49" s="8">
        <v>10</v>
      </c>
      <c r="BM49" s="8" t="s">
        <v>137</v>
      </c>
      <c r="BN49" s="8">
        <v>250</v>
      </c>
      <c r="BQ49" s="8">
        <v>1</v>
      </c>
      <c r="BR49" s="8">
        <v>2500</v>
      </c>
      <c r="BS49" s="8">
        <v>2</v>
      </c>
      <c r="BT49" s="8">
        <v>2500</v>
      </c>
      <c r="BU49" s="8" t="s">
        <v>138</v>
      </c>
    </row>
    <row r="50" s="8" customFormat="1" ht="16.5" customHeight="1" spans="2:73">
      <c r="B50" s="8">
        <f>60000000+INDEX(编号表!$B:$B,MATCH(J50,编号表!$A:$A,0))*10000+INDEX(编号表!$B:$B,MATCH(K50,编号表!$C:$C,0))*1000+L50</f>
        <v>60082046</v>
      </c>
      <c r="C50" s="8" t="s">
        <v>227</v>
      </c>
      <c r="D50" s="20" t="s">
        <v>226</v>
      </c>
      <c r="E50" s="20" t="s">
        <v>226</v>
      </c>
      <c r="F50" s="8">
        <v>5</v>
      </c>
      <c r="G50" s="8" t="str">
        <f>INDEX(编号表!$E:$E,MATCH(K50,编号表!$C:$C,0))</f>
        <v>绿色</v>
      </c>
      <c r="H50" s="8">
        <v>5</v>
      </c>
      <c r="I50" s="8" t="s">
        <v>222</v>
      </c>
      <c r="J50" s="8" t="s">
        <v>222</v>
      </c>
      <c r="K50" s="8" t="s">
        <v>174</v>
      </c>
      <c r="L50" s="8">
        <v>46</v>
      </c>
      <c r="M50" s="8">
        <v>46</v>
      </c>
      <c r="P50" s="8">
        <v>10</v>
      </c>
      <c r="Q50" s="8">
        <v>150000</v>
      </c>
      <c r="T50" s="8" t="b">
        <v>0</v>
      </c>
      <c r="U50" s="16">
        <v>40010001</v>
      </c>
      <c r="X50" s="8">
        <v>11010001</v>
      </c>
      <c r="Y50" s="8">
        <v>11020001</v>
      </c>
      <c r="AA50" s="8" t="s">
        <v>124</v>
      </c>
      <c r="AB50" s="11">
        <v>20027</v>
      </c>
      <c r="AC50" s="8">
        <v>1.5</v>
      </c>
      <c r="AD50" s="8">
        <v>80</v>
      </c>
      <c r="AE50" s="8">
        <v>80</v>
      </c>
      <c r="AF50" s="8">
        <v>20</v>
      </c>
      <c r="AG50" s="8">
        <v>30</v>
      </c>
      <c r="AH50" s="8" t="s">
        <v>125</v>
      </c>
      <c r="AJ50" s="17">
        <v>30010</v>
      </c>
      <c r="AL50" s="18">
        <v>255</v>
      </c>
      <c r="AM50" s="8" t="s">
        <v>126</v>
      </c>
      <c r="AN50" s="19">
        <v>1500</v>
      </c>
      <c r="AO50" s="8" t="s">
        <v>127</v>
      </c>
      <c r="AP50" s="8">
        <v>8</v>
      </c>
      <c r="AQ50" s="8" t="s">
        <v>128</v>
      </c>
      <c r="AR50" s="8">
        <v>12</v>
      </c>
      <c r="AS50" s="8" t="s">
        <v>129</v>
      </c>
      <c r="AT50" s="8">
        <v>8</v>
      </c>
      <c r="AU50" s="8" t="s">
        <v>130</v>
      </c>
      <c r="AV50" s="8">
        <v>11</v>
      </c>
      <c r="AW50" s="8" t="s">
        <v>131</v>
      </c>
      <c r="AX50" s="8">
        <v>21</v>
      </c>
      <c r="AY50" s="8" t="s">
        <v>132</v>
      </c>
      <c r="AZ50" s="8">
        <v>29</v>
      </c>
      <c r="BA50" s="8" t="s">
        <v>133</v>
      </c>
      <c r="BB50" s="8">
        <v>21</v>
      </c>
      <c r="BC50" s="8" t="s">
        <v>134</v>
      </c>
      <c r="BD50" s="8">
        <v>29</v>
      </c>
      <c r="BE50" s="8" t="s">
        <v>133</v>
      </c>
      <c r="BF50" s="8">
        <v>0</v>
      </c>
      <c r="BG50" s="8" t="s">
        <v>134</v>
      </c>
      <c r="BH50" s="8">
        <v>0</v>
      </c>
      <c r="BI50" s="8" t="s">
        <v>135</v>
      </c>
      <c r="BJ50" s="8">
        <v>100</v>
      </c>
      <c r="BK50" s="8" t="s">
        <v>136</v>
      </c>
      <c r="BL50" s="8">
        <v>10</v>
      </c>
      <c r="BM50" s="8" t="s">
        <v>137</v>
      </c>
      <c r="BN50" s="8">
        <v>250</v>
      </c>
      <c r="BQ50" s="8">
        <v>1</v>
      </c>
      <c r="BR50" s="8">
        <v>2500</v>
      </c>
      <c r="BS50" s="8">
        <v>2</v>
      </c>
      <c r="BT50" s="8">
        <v>2500</v>
      </c>
      <c r="BU50" s="8" t="s">
        <v>138</v>
      </c>
    </row>
    <row r="51" s="8" customFormat="1" ht="16.5" customHeight="1" spans="2:73">
      <c r="B51" s="8">
        <f>60000000+INDEX(编号表!$B:$B,MATCH(J51,编号表!$A:$A,0))*10000+INDEX(编号表!$B:$B,MATCH(K51,编号表!$C:$C,0))*1000+L51</f>
        <v>60084047</v>
      </c>
      <c r="C51" s="8" t="s">
        <v>228</v>
      </c>
      <c r="D51" s="20" t="s">
        <v>229</v>
      </c>
      <c r="E51" s="20" t="s">
        <v>229</v>
      </c>
      <c r="F51" s="8">
        <v>5</v>
      </c>
      <c r="G51" s="8" t="str">
        <f>INDEX(编号表!$E:$E,MATCH(K51,编号表!$C:$C,0))</f>
        <v>橙色</v>
      </c>
      <c r="H51" s="8">
        <v>5</v>
      </c>
      <c r="I51" s="8" t="s">
        <v>222</v>
      </c>
      <c r="J51" s="8" t="s">
        <v>222</v>
      </c>
      <c r="K51" s="8" t="s">
        <v>211</v>
      </c>
      <c r="L51" s="8">
        <v>47</v>
      </c>
      <c r="M51" s="8">
        <v>47</v>
      </c>
      <c r="P51" s="8">
        <v>10</v>
      </c>
      <c r="Q51" s="8">
        <v>150000</v>
      </c>
      <c r="T51" s="8" t="b">
        <v>0</v>
      </c>
      <c r="U51" s="16">
        <v>40010001</v>
      </c>
      <c r="X51" s="8">
        <v>11010001</v>
      </c>
      <c r="Y51" s="8">
        <v>11020001</v>
      </c>
      <c r="AA51" s="8" t="s">
        <v>124</v>
      </c>
      <c r="AB51" s="11">
        <v>20019</v>
      </c>
      <c r="AC51" s="8">
        <v>2</v>
      </c>
      <c r="AD51" s="8">
        <v>80</v>
      </c>
      <c r="AE51" s="8">
        <v>80</v>
      </c>
      <c r="AF51" s="8">
        <v>20</v>
      </c>
      <c r="AG51" s="8">
        <v>30</v>
      </c>
      <c r="AH51" s="8" t="s">
        <v>125</v>
      </c>
      <c r="AJ51" s="17">
        <v>30011</v>
      </c>
      <c r="AL51" s="18">
        <v>255</v>
      </c>
      <c r="AM51" s="8" t="s">
        <v>126</v>
      </c>
      <c r="AN51" s="19">
        <v>1500</v>
      </c>
      <c r="AO51" s="8" t="s">
        <v>127</v>
      </c>
      <c r="AP51" s="8">
        <v>8</v>
      </c>
      <c r="AQ51" s="8" t="s">
        <v>128</v>
      </c>
      <c r="AR51" s="8">
        <v>12</v>
      </c>
      <c r="AS51" s="8" t="s">
        <v>129</v>
      </c>
      <c r="AT51" s="8">
        <v>8</v>
      </c>
      <c r="AU51" s="8" t="s">
        <v>130</v>
      </c>
      <c r="AV51" s="8">
        <v>11</v>
      </c>
      <c r="AW51" s="8" t="s">
        <v>131</v>
      </c>
      <c r="AX51" s="8">
        <v>21</v>
      </c>
      <c r="AY51" s="8" t="s">
        <v>132</v>
      </c>
      <c r="AZ51" s="8">
        <v>29</v>
      </c>
      <c r="BA51" s="8" t="s">
        <v>133</v>
      </c>
      <c r="BB51" s="8">
        <v>21</v>
      </c>
      <c r="BC51" s="8" t="s">
        <v>134</v>
      </c>
      <c r="BD51" s="8">
        <v>29</v>
      </c>
      <c r="BE51" s="8" t="s">
        <v>133</v>
      </c>
      <c r="BF51" s="8">
        <v>0</v>
      </c>
      <c r="BG51" s="8" t="s">
        <v>134</v>
      </c>
      <c r="BH51" s="8">
        <v>0</v>
      </c>
      <c r="BI51" s="8" t="s">
        <v>135</v>
      </c>
      <c r="BJ51" s="8">
        <v>100</v>
      </c>
      <c r="BK51" s="8" t="s">
        <v>136</v>
      </c>
      <c r="BL51" s="8">
        <v>10</v>
      </c>
      <c r="BM51" s="8" t="s">
        <v>137</v>
      </c>
      <c r="BN51" s="8">
        <v>250</v>
      </c>
      <c r="BQ51" s="8">
        <v>1</v>
      </c>
      <c r="BR51" s="8">
        <v>2500</v>
      </c>
      <c r="BS51" s="8">
        <v>2</v>
      </c>
      <c r="BT51" s="8">
        <v>2500</v>
      </c>
      <c r="BU51" s="8" t="s">
        <v>138</v>
      </c>
    </row>
    <row r="52" s="8" customFormat="1" ht="16.5" customHeight="1" spans="2:73">
      <c r="B52" s="8">
        <f>60000000+INDEX(编号表!$B:$B,MATCH(J52,编号表!$A:$A,0))*10000+INDEX(编号表!$B:$B,MATCH(K52,编号表!$C:$C,0))*1000+L52</f>
        <v>60091048</v>
      </c>
      <c r="C52" s="8" t="s">
        <v>230</v>
      </c>
      <c r="D52" s="20" t="s">
        <v>231</v>
      </c>
      <c r="E52" s="20" t="s">
        <v>231</v>
      </c>
      <c r="F52" s="8">
        <v>5</v>
      </c>
      <c r="G52" s="8" t="str">
        <f>INDEX(编号表!$E:$E,MATCH(K52,编号表!$C:$C,0))</f>
        <v>白色</v>
      </c>
      <c r="H52" s="8">
        <v>5</v>
      </c>
      <c r="I52" s="8" t="s">
        <v>232</v>
      </c>
      <c r="J52" s="8" t="s">
        <v>232</v>
      </c>
      <c r="K52" s="8" t="s">
        <v>123</v>
      </c>
      <c r="L52" s="8">
        <v>48</v>
      </c>
      <c r="M52" s="8">
        <v>48</v>
      </c>
      <c r="P52" s="8">
        <v>10</v>
      </c>
      <c r="Q52" s="8">
        <v>150000</v>
      </c>
      <c r="T52" s="8" t="b">
        <v>0</v>
      </c>
      <c r="U52" s="16">
        <v>40010001</v>
      </c>
      <c r="X52" s="8">
        <v>11010001</v>
      </c>
      <c r="Y52" s="8">
        <v>11020001</v>
      </c>
      <c r="AA52" s="8" t="s">
        <v>124</v>
      </c>
      <c r="AB52" s="11">
        <v>20029</v>
      </c>
      <c r="AC52" s="8"/>
      <c r="AD52" s="8">
        <v>80</v>
      </c>
      <c r="AE52" s="8">
        <v>80</v>
      </c>
      <c r="AF52" s="8">
        <v>20</v>
      </c>
      <c r="AG52" s="8">
        <v>30</v>
      </c>
      <c r="AH52" s="8" t="s">
        <v>125</v>
      </c>
      <c r="AJ52" s="17"/>
      <c r="AL52" s="18">
        <v>255</v>
      </c>
      <c r="AM52" s="8" t="s">
        <v>126</v>
      </c>
      <c r="AN52" s="19">
        <v>1500</v>
      </c>
      <c r="AO52" s="8" t="s">
        <v>127</v>
      </c>
      <c r="AP52" s="8">
        <v>8</v>
      </c>
      <c r="AQ52" s="8" t="s">
        <v>128</v>
      </c>
      <c r="AR52" s="8">
        <v>12</v>
      </c>
      <c r="AS52" s="8" t="s">
        <v>129</v>
      </c>
      <c r="AT52" s="8">
        <v>8</v>
      </c>
      <c r="AU52" s="8" t="s">
        <v>130</v>
      </c>
      <c r="AV52" s="8">
        <v>11</v>
      </c>
      <c r="AW52" s="8" t="s">
        <v>131</v>
      </c>
      <c r="AX52" s="8">
        <v>21</v>
      </c>
      <c r="AY52" s="8" t="s">
        <v>132</v>
      </c>
      <c r="AZ52" s="8">
        <v>29</v>
      </c>
      <c r="BA52" s="8" t="s">
        <v>133</v>
      </c>
      <c r="BB52" s="8">
        <v>21</v>
      </c>
      <c r="BC52" s="8" t="s">
        <v>134</v>
      </c>
      <c r="BD52" s="8">
        <v>29</v>
      </c>
      <c r="BE52" s="8" t="s">
        <v>133</v>
      </c>
      <c r="BF52" s="8">
        <v>0</v>
      </c>
      <c r="BG52" s="8" t="s">
        <v>134</v>
      </c>
      <c r="BH52" s="8">
        <v>0</v>
      </c>
      <c r="BI52" s="8" t="s">
        <v>135</v>
      </c>
      <c r="BJ52" s="8">
        <v>100</v>
      </c>
      <c r="BK52" s="8" t="s">
        <v>136</v>
      </c>
      <c r="BL52" s="8">
        <v>10</v>
      </c>
      <c r="BM52" s="8" t="s">
        <v>137</v>
      </c>
      <c r="BN52" s="8">
        <v>250</v>
      </c>
      <c r="BQ52" s="8">
        <v>1</v>
      </c>
      <c r="BR52" s="8">
        <v>2500</v>
      </c>
      <c r="BS52" s="8">
        <v>2</v>
      </c>
      <c r="BT52" s="8">
        <v>2500</v>
      </c>
      <c r="BU52" s="8" t="s">
        <v>138</v>
      </c>
    </row>
    <row r="53" s="8" customFormat="1" ht="16.5" customHeight="1" spans="2:73">
      <c r="B53" s="8">
        <f>60000000+INDEX(编号表!$B:$B,MATCH(J53,编号表!$A:$A,0))*10000+INDEX(编号表!$B:$B,MATCH(K53,编号表!$C:$C,0))*1000+L53</f>
        <v>60091049</v>
      </c>
      <c r="C53" s="8" t="s">
        <v>233</v>
      </c>
      <c r="D53" s="20" t="s">
        <v>234</v>
      </c>
      <c r="E53" s="20" t="s">
        <v>234</v>
      </c>
      <c r="F53" s="8">
        <v>5</v>
      </c>
      <c r="G53" s="8" t="str">
        <f>INDEX(编号表!$E:$E,MATCH(K53,编号表!$C:$C,0))</f>
        <v>白色</v>
      </c>
      <c r="H53" s="8">
        <v>5</v>
      </c>
      <c r="I53" s="8" t="s">
        <v>232</v>
      </c>
      <c r="J53" s="8" t="s">
        <v>232</v>
      </c>
      <c r="K53" s="8" t="s">
        <v>123</v>
      </c>
      <c r="L53" s="8">
        <v>49</v>
      </c>
      <c r="M53" s="8">
        <v>49</v>
      </c>
      <c r="P53" s="8">
        <v>10</v>
      </c>
      <c r="Q53" s="8">
        <v>150000</v>
      </c>
      <c r="T53" s="8" t="b">
        <v>0</v>
      </c>
      <c r="U53" s="16">
        <v>40010001</v>
      </c>
      <c r="X53" s="8">
        <v>11010001</v>
      </c>
      <c r="Y53" s="8">
        <v>11020001</v>
      </c>
      <c r="AA53" s="8" t="s">
        <v>124</v>
      </c>
      <c r="AB53" s="11">
        <v>20028</v>
      </c>
      <c r="AC53" s="8"/>
      <c r="AD53" s="8">
        <v>80</v>
      </c>
      <c r="AE53" s="8">
        <v>80</v>
      </c>
      <c r="AF53" s="8">
        <v>20</v>
      </c>
      <c r="AG53" s="8">
        <v>30</v>
      </c>
      <c r="AH53" s="8" t="s">
        <v>125</v>
      </c>
      <c r="AJ53" s="17"/>
      <c r="AL53" s="18">
        <v>255</v>
      </c>
      <c r="AM53" s="8" t="s">
        <v>126</v>
      </c>
      <c r="AN53" s="19">
        <v>1500</v>
      </c>
      <c r="AO53" s="8" t="s">
        <v>127</v>
      </c>
      <c r="AP53" s="8">
        <v>8</v>
      </c>
      <c r="AQ53" s="8" t="s">
        <v>128</v>
      </c>
      <c r="AR53" s="8">
        <v>12</v>
      </c>
      <c r="AS53" s="8" t="s">
        <v>129</v>
      </c>
      <c r="AT53" s="8">
        <v>8</v>
      </c>
      <c r="AU53" s="8" t="s">
        <v>130</v>
      </c>
      <c r="AV53" s="8">
        <v>11</v>
      </c>
      <c r="AW53" s="8" t="s">
        <v>131</v>
      </c>
      <c r="AX53" s="8">
        <v>21</v>
      </c>
      <c r="AY53" s="8" t="s">
        <v>132</v>
      </c>
      <c r="AZ53" s="8">
        <v>29</v>
      </c>
      <c r="BA53" s="8" t="s">
        <v>133</v>
      </c>
      <c r="BB53" s="8">
        <v>21</v>
      </c>
      <c r="BC53" s="8" t="s">
        <v>134</v>
      </c>
      <c r="BD53" s="8">
        <v>29</v>
      </c>
      <c r="BE53" s="8" t="s">
        <v>133</v>
      </c>
      <c r="BF53" s="8">
        <v>0</v>
      </c>
      <c r="BG53" s="8" t="s">
        <v>134</v>
      </c>
      <c r="BH53" s="8">
        <v>0</v>
      </c>
      <c r="BI53" s="8" t="s">
        <v>135</v>
      </c>
      <c r="BJ53" s="8">
        <v>100</v>
      </c>
      <c r="BK53" s="8" t="s">
        <v>136</v>
      </c>
      <c r="BL53" s="8">
        <v>10</v>
      </c>
      <c r="BM53" s="8" t="s">
        <v>137</v>
      </c>
      <c r="BN53" s="8">
        <v>250</v>
      </c>
      <c r="BQ53" s="8">
        <v>1</v>
      </c>
      <c r="BR53" s="8">
        <v>2500</v>
      </c>
      <c r="BS53" s="8">
        <v>2</v>
      </c>
      <c r="BT53" s="8">
        <v>2500</v>
      </c>
      <c r="BU53" s="8" t="s">
        <v>138</v>
      </c>
    </row>
    <row r="54" s="8" customFormat="1" ht="16.5" customHeight="1" spans="2:73">
      <c r="B54" s="8">
        <f>60000000+INDEX(编号表!$B:$B,MATCH(J54,编号表!$A:$A,0))*10000+INDEX(编号表!$B:$B,MATCH(K54,编号表!$C:$C,0))*1000+L54</f>
        <v>60091050</v>
      </c>
      <c r="C54" s="8" t="s">
        <v>235</v>
      </c>
      <c r="D54" s="20" t="s">
        <v>236</v>
      </c>
      <c r="E54" s="20" t="s">
        <v>236</v>
      </c>
      <c r="F54" s="8">
        <v>5</v>
      </c>
      <c r="G54" s="8" t="str">
        <f>INDEX(编号表!$E:$E,MATCH(K54,编号表!$C:$C,0))</f>
        <v>白色</v>
      </c>
      <c r="H54" s="8">
        <v>5</v>
      </c>
      <c r="I54" s="8" t="s">
        <v>232</v>
      </c>
      <c r="J54" s="8" t="s">
        <v>232</v>
      </c>
      <c r="K54" s="8" t="s">
        <v>123</v>
      </c>
      <c r="L54" s="8">
        <v>50</v>
      </c>
      <c r="M54" s="8">
        <v>50</v>
      </c>
      <c r="P54" s="8">
        <v>10</v>
      </c>
      <c r="Q54" s="8">
        <v>150000</v>
      </c>
      <c r="T54" s="8" t="b">
        <v>0</v>
      </c>
      <c r="U54" s="16">
        <v>40010001</v>
      </c>
      <c r="X54" s="8">
        <v>11010001</v>
      </c>
      <c r="Y54" s="8">
        <v>11020001</v>
      </c>
      <c r="AA54" s="8" t="s">
        <v>124</v>
      </c>
      <c r="AB54" s="11">
        <v>20034</v>
      </c>
      <c r="AC54" s="8"/>
      <c r="AD54" s="8">
        <v>80</v>
      </c>
      <c r="AE54" s="8">
        <v>80</v>
      </c>
      <c r="AF54" s="8">
        <v>20</v>
      </c>
      <c r="AG54" s="8">
        <v>30</v>
      </c>
      <c r="AH54" s="8" t="s">
        <v>125</v>
      </c>
      <c r="AJ54" s="17"/>
      <c r="AL54" s="18">
        <v>255</v>
      </c>
      <c r="AM54" s="8" t="s">
        <v>126</v>
      </c>
      <c r="AN54" s="19">
        <v>1500</v>
      </c>
      <c r="AO54" s="8" t="s">
        <v>127</v>
      </c>
      <c r="AP54" s="8">
        <v>8</v>
      </c>
      <c r="AQ54" s="8" t="s">
        <v>128</v>
      </c>
      <c r="AR54" s="8">
        <v>12</v>
      </c>
      <c r="AS54" s="8" t="s">
        <v>129</v>
      </c>
      <c r="AT54" s="8">
        <v>8</v>
      </c>
      <c r="AU54" s="8" t="s">
        <v>130</v>
      </c>
      <c r="AV54" s="8">
        <v>11</v>
      </c>
      <c r="AW54" s="8" t="s">
        <v>131</v>
      </c>
      <c r="AX54" s="8">
        <v>21</v>
      </c>
      <c r="AY54" s="8" t="s">
        <v>132</v>
      </c>
      <c r="AZ54" s="8">
        <v>29</v>
      </c>
      <c r="BA54" s="8" t="s">
        <v>133</v>
      </c>
      <c r="BB54" s="8">
        <v>21</v>
      </c>
      <c r="BC54" s="8" t="s">
        <v>134</v>
      </c>
      <c r="BD54" s="8">
        <v>29</v>
      </c>
      <c r="BE54" s="8" t="s">
        <v>133</v>
      </c>
      <c r="BF54" s="8">
        <v>0</v>
      </c>
      <c r="BG54" s="8" t="s">
        <v>134</v>
      </c>
      <c r="BH54" s="8">
        <v>0</v>
      </c>
      <c r="BI54" s="8" t="s">
        <v>135</v>
      </c>
      <c r="BJ54" s="8">
        <v>100</v>
      </c>
      <c r="BK54" s="8" t="s">
        <v>136</v>
      </c>
      <c r="BL54" s="8">
        <v>10</v>
      </c>
      <c r="BM54" s="8" t="s">
        <v>137</v>
      </c>
      <c r="BN54" s="8">
        <v>250</v>
      </c>
      <c r="BQ54" s="8">
        <v>1</v>
      </c>
      <c r="BR54" s="8">
        <v>2500</v>
      </c>
      <c r="BS54" s="8">
        <v>2</v>
      </c>
      <c r="BT54" s="8">
        <v>2500</v>
      </c>
      <c r="BU54" s="8" t="s">
        <v>138</v>
      </c>
    </row>
    <row r="55" s="8" customFormat="1" ht="16.5" customHeight="1" spans="2:73">
      <c r="B55" s="8">
        <f>60000000+INDEX(编号表!$B:$B,MATCH(J55,编号表!$A:$A,0))*10000+INDEX(编号表!$B:$B,MATCH(K55,编号表!$C:$C,0))*1000+L55</f>
        <v>60091051</v>
      </c>
      <c r="C55" s="8" t="s">
        <v>237</v>
      </c>
      <c r="D55" s="20" t="s">
        <v>238</v>
      </c>
      <c r="E55" s="20" t="s">
        <v>238</v>
      </c>
      <c r="F55" s="8">
        <v>5</v>
      </c>
      <c r="G55" s="8" t="str">
        <f>INDEX(编号表!$E:$E,MATCH(K55,编号表!$C:$C,0))</f>
        <v>白色</v>
      </c>
      <c r="H55" s="8">
        <v>5</v>
      </c>
      <c r="I55" s="8" t="s">
        <v>232</v>
      </c>
      <c r="J55" s="8" t="s">
        <v>232</v>
      </c>
      <c r="K55" s="8" t="s">
        <v>123</v>
      </c>
      <c r="L55" s="8">
        <v>51</v>
      </c>
      <c r="M55" s="8">
        <v>51</v>
      </c>
      <c r="P55" s="8">
        <v>10</v>
      </c>
      <c r="Q55" s="8">
        <v>150000</v>
      </c>
      <c r="T55" s="8" t="b">
        <v>0</v>
      </c>
      <c r="U55" s="16">
        <v>40010001</v>
      </c>
      <c r="X55" s="8">
        <v>11010001</v>
      </c>
      <c r="Y55" s="8">
        <v>11020001</v>
      </c>
      <c r="AA55" s="8" t="s">
        <v>124</v>
      </c>
      <c r="AB55" s="11">
        <v>20035</v>
      </c>
      <c r="AC55" s="8"/>
      <c r="AD55" s="8">
        <v>80</v>
      </c>
      <c r="AE55" s="8">
        <v>80</v>
      </c>
      <c r="AF55" s="8">
        <v>20</v>
      </c>
      <c r="AG55" s="8">
        <v>30</v>
      </c>
      <c r="AH55" s="8" t="s">
        <v>125</v>
      </c>
      <c r="AJ55" s="17"/>
      <c r="AL55" s="18">
        <v>255</v>
      </c>
      <c r="AM55" s="8" t="s">
        <v>126</v>
      </c>
      <c r="AN55" s="19">
        <v>1500</v>
      </c>
      <c r="AO55" s="8" t="s">
        <v>127</v>
      </c>
      <c r="AP55" s="8">
        <v>8</v>
      </c>
      <c r="AQ55" s="8" t="s">
        <v>128</v>
      </c>
      <c r="AR55" s="8">
        <v>12</v>
      </c>
      <c r="AS55" s="8" t="s">
        <v>129</v>
      </c>
      <c r="AT55" s="8">
        <v>8</v>
      </c>
      <c r="AU55" s="8" t="s">
        <v>130</v>
      </c>
      <c r="AV55" s="8">
        <v>11</v>
      </c>
      <c r="AW55" s="8" t="s">
        <v>131</v>
      </c>
      <c r="AX55" s="8">
        <v>21</v>
      </c>
      <c r="AY55" s="8" t="s">
        <v>132</v>
      </c>
      <c r="AZ55" s="8">
        <v>29</v>
      </c>
      <c r="BA55" s="8" t="s">
        <v>133</v>
      </c>
      <c r="BB55" s="8">
        <v>21</v>
      </c>
      <c r="BC55" s="8" t="s">
        <v>134</v>
      </c>
      <c r="BD55" s="8">
        <v>29</v>
      </c>
      <c r="BE55" s="8" t="s">
        <v>133</v>
      </c>
      <c r="BF55" s="8">
        <v>0</v>
      </c>
      <c r="BG55" s="8" t="s">
        <v>134</v>
      </c>
      <c r="BH55" s="8">
        <v>0</v>
      </c>
      <c r="BI55" s="8" t="s">
        <v>135</v>
      </c>
      <c r="BJ55" s="8">
        <v>100</v>
      </c>
      <c r="BK55" s="8" t="s">
        <v>136</v>
      </c>
      <c r="BL55" s="8">
        <v>10</v>
      </c>
      <c r="BM55" s="8" t="s">
        <v>137</v>
      </c>
      <c r="BN55" s="8">
        <v>250</v>
      </c>
      <c r="BQ55" s="8">
        <v>1</v>
      </c>
      <c r="BR55" s="8">
        <v>2500</v>
      </c>
      <c r="BS55" s="8">
        <v>2</v>
      </c>
      <c r="BT55" s="8">
        <v>2500</v>
      </c>
      <c r="BU55" s="8" t="s">
        <v>138</v>
      </c>
    </row>
    <row r="56" s="8" customFormat="1" ht="16.5" customHeight="1" spans="2:73">
      <c r="B56" s="8">
        <f>60000000+INDEX(编号表!$B:$B,MATCH(J56,编号表!$A:$A,0))*10000+INDEX(编号表!$B:$B,MATCH(K56,编号表!$C:$C,0))*1000+L56</f>
        <v>60092052</v>
      </c>
      <c r="C56" s="8" t="s">
        <v>239</v>
      </c>
      <c r="D56" s="20" t="s">
        <v>238</v>
      </c>
      <c r="E56" s="20" t="s">
        <v>238</v>
      </c>
      <c r="F56" s="8">
        <v>5</v>
      </c>
      <c r="G56" s="8" t="str">
        <f>INDEX(编号表!$E:$E,MATCH(K56,编号表!$C:$C,0))</f>
        <v>绿色</v>
      </c>
      <c r="H56" s="8">
        <v>5</v>
      </c>
      <c r="I56" s="8" t="s">
        <v>232</v>
      </c>
      <c r="J56" s="8" t="s">
        <v>232</v>
      </c>
      <c r="K56" s="8" t="s">
        <v>174</v>
      </c>
      <c r="L56" s="8">
        <v>52</v>
      </c>
      <c r="M56" s="8">
        <v>52</v>
      </c>
      <c r="P56" s="8">
        <v>10</v>
      </c>
      <c r="Q56" s="8">
        <v>150000</v>
      </c>
      <c r="T56" s="8" t="b">
        <v>0</v>
      </c>
      <c r="U56" s="16">
        <v>40010001</v>
      </c>
      <c r="X56" s="8">
        <v>11010001</v>
      </c>
      <c r="Y56" s="8">
        <v>11020001</v>
      </c>
      <c r="AA56" s="8" t="s">
        <v>124</v>
      </c>
      <c r="AB56" s="11">
        <v>20035</v>
      </c>
      <c r="AC56" s="8">
        <v>1.5</v>
      </c>
      <c r="AD56" s="8">
        <v>80</v>
      </c>
      <c r="AE56" s="8">
        <v>80</v>
      </c>
      <c r="AF56" s="8">
        <v>20</v>
      </c>
      <c r="AG56" s="8">
        <v>30</v>
      </c>
      <c r="AH56" s="8" t="s">
        <v>125</v>
      </c>
      <c r="AJ56" s="17">
        <v>30010</v>
      </c>
      <c r="AL56" s="18">
        <v>255</v>
      </c>
      <c r="AM56" s="8" t="s">
        <v>126</v>
      </c>
      <c r="AN56" s="19">
        <v>1500</v>
      </c>
      <c r="AO56" s="8" t="s">
        <v>127</v>
      </c>
      <c r="AP56" s="8">
        <v>8</v>
      </c>
      <c r="AQ56" s="8" t="s">
        <v>128</v>
      </c>
      <c r="AR56" s="8">
        <v>12</v>
      </c>
      <c r="AS56" s="8" t="s">
        <v>129</v>
      </c>
      <c r="AT56" s="8">
        <v>8</v>
      </c>
      <c r="AU56" s="8" t="s">
        <v>130</v>
      </c>
      <c r="AV56" s="8">
        <v>11</v>
      </c>
      <c r="AW56" s="8" t="s">
        <v>131</v>
      </c>
      <c r="AX56" s="8">
        <v>21</v>
      </c>
      <c r="AY56" s="8" t="s">
        <v>132</v>
      </c>
      <c r="AZ56" s="8">
        <v>29</v>
      </c>
      <c r="BA56" s="8" t="s">
        <v>133</v>
      </c>
      <c r="BB56" s="8">
        <v>21</v>
      </c>
      <c r="BC56" s="8" t="s">
        <v>134</v>
      </c>
      <c r="BD56" s="8">
        <v>29</v>
      </c>
      <c r="BE56" s="8" t="s">
        <v>133</v>
      </c>
      <c r="BF56" s="8">
        <v>0</v>
      </c>
      <c r="BG56" s="8" t="s">
        <v>134</v>
      </c>
      <c r="BH56" s="8">
        <v>0</v>
      </c>
      <c r="BI56" s="8" t="s">
        <v>135</v>
      </c>
      <c r="BJ56" s="8">
        <v>100</v>
      </c>
      <c r="BK56" s="8" t="s">
        <v>136</v>
      </c>
      <c r="BL56" s="8">
        <v>10</v>
      </c>
      <c r="BM56" s="8" t="s">
        <v>137</v>
      </c>
      <c r="BN56" s="8">
        <v>250</v>
      </c>
      <c r="BQ56" s="8">
        <v>1</v>
      </c>
      <c r="BR56" s="8">
        <v>2500</v>
      </c>
      <c r="BS56" s="8">
        <v>2</v>
      </c>
      <c r="BT56" s="8">
        <v>2500</v>
      </c>
      <c r="BU56" s="8" t="s">
        <v>138</v>
      </c>
    </row>
    <row r="57" s="8" customFormat="1" spans="2:73">
      <c r="AB57" s="11"/>
    </row>
    <row r="58" s="8" customFormat="1" spans="2:73">
      <c r="AB58" s="11"/>
    </row>
    <row r="59" s="8" customFormat="1" spans="2:73">
      <c r="AB59" s="11"/>
    </row>
    <row r="60" s="8" customFormat="1" spans="2:73">
      <c r="AB60" s="11"/>
    </row>
    <row r="61" s="8" customFormat="1" spans="2:73">
      <c r="AB61" s="11"/>
    </row>
    <row r="62" s="8" customFormat="1" spans="2:73">
      <c r="AB62" s="11"/>
    </row>
    <row r="63" s="8" customFormat="1" spans="2:73">
      <c r="AB63" s="11"/>
    </row>
    <row r="64" s="8" customFormat="1" spans="2:73">
      <c r="AB64" s="11"/>
    </row>
    <row r="65" s="8" customFormat="1" spans="28:28">
      <c r="AB65" s="11"/>
    </row>
    <row r="66" s="8" customFormat="1" spans="28:28">
      <c r="AB66" s="11"/>
    </row>
    <row r="67" s="8" customFormat="1" spans="28:28">
      <c r="AB67" s="11"/>
    </row>
    <row r="68" s="8" customFormat="1" spans="28:28">
      <c r="AB68" s="11"/>
    </row>
    <row r="69" s="8" customFormat="1" spans="28:28">
      <c r="AB69" s="11"/>
    </row>
    <row r="70" s="8" customFormat="1" spans="28:28">
      <c r="AB70" s="11"/>
    </row>
    <row r="71" s="8" customFormat="1" spans="28:28">
      <c r="AB71" s="11"/>
    </row>
    <row r="72" s="8" customFormat="1" spans="28:28">
      <c r="AB72" s="11"/>
    </row>
    <row r="73" s="8" customFormat="1" spans="28:28">
      <c r="AB73" s="11"/>
    </row>
    <row r="74" s="8" customFormat="1" spans="28:28">
      <c r="AB74" s="11"/>
    </row>
    <row r="75" s="8" customFormat="1" spans="28:28">
      <c r="AB75" s="11"/>
    </row>
    <row r="76" s="8" customFormat="1" spans="28:28">
      <c r="AB76" s="11"/>
    </row>
    <row r="77" s="8" customFormat="1" spans="28:28">
      <c r="AB77" s="11"/>
    </row>
    <row r="78" s="8" customFormat="1" spans="28:28">
      <c r="AB78" s="11"/>
    </row>
    <row r="79" s="8" customFormat="1" spans="28:28">
      <c r="AB79" s="11"/>
    </row>
    <row r="80" s="8" customFormat="1" spans="28:28">
      <c r="AB80" s="11"/>
    </row>
    <row r="81" s="8" customFormat="1" spans="28:28">
      <c r="AB81" s="11"/>
    </row>
    <row r="82" s="8" customFormat="1" spans="28:28">
      <c r="AB82" s="11"/>
    </row>
    <row r="83" s="8" customFormat="1" spans="28:28">
      <c r="AB83" s="11"/>
    </row>
    <row r="84" s="8" customFormat="1" spans="28:28">
      <c r="AB84" s="11"/>
    </row>
    <row r="85" s="8" customFormat="1" spans="28:28">
      <c r="AB85" s="11"/>
    </row>
    <row r="86" s="8" customFormat="1" spans="28:28">
      <c r="AB86" s="11"/>
    </row>
    <row r="87" s="8" customFormat="1" spans="28:28">
      <c r="AB87" s="11"/>
    </row>
    <row r="88" s="8" customFormat="1" spans="28:28">
      <c r="AB88" s="11"/>
    </row>
    <row r="89" s="8" customFormat="1" spans="28:28">
      <c r="AB89" s="11"/>
    </row>
    <row r="90" s="8" customFormat="1" spans="28:28">
      <c r="AB90" s="11"/>
    </row>
    <row r="91" s="8" customFormat="1" spans="28:28">
      <c r="AB91" s="11"/>
    </row>
    <row r="92" s="8" customFormat="1" spans="28:28">
      <c r="AB92" s="11"/>
    </row>
    <row r="93" s="8" customFormat="1" spans="28:28">
      <c r="AB93" s="11"/>
    </row>
    <row r="94" s="8" customFormat="1" spans="28:28">
      <c r="AB94" s="11"/>
    </row>
    <row r="95" s="8" customFormat="1" spans="28:28">
      <c r="AB95" s="11"/>
    </row>
    <row r="96" s="8" customFormat="1" spans="28:28">
      <c r="AB96" s="11"/>
    </row>
    <row r="97" s="8" customFormat="1" spans="28:28">
      <c r="AB97" s="11"/>
    </row>
    <row r="98" s="8" customFormat="1" spans="28:28">
      <c r="AB98" s="11"/>
    </row>
    <row r="99" s="8" customFormat="1" spans="28:28">
      <c r="AB99" s="11"/>
    </row>
    <row r="100" s="8" customFormat="1" spans="28:28">
      <c r="AB100" s="11"/>
    </row>
    <row r="101" s="8" customFormat="1" spans="28:28">
      <c r="AB101" s="11"/>
    </row>
    <row r="102" s="8" customFormat="1" spans="28:28">
      <c r="AB102" s="11"/>
    </row>
    <row r="103" s="8" customFormat="1" spans="28:28">
      <c r="AB103" s="11"/>
    </row>
    <row r="104" s="8" customFormat="1" spans="28:28">
      <c r="AB104" s="11"/>
    </row>
    <row r="105" s="8" customFormat="1" spans="28:28">
      <c r="AB105" s="11"/>
    </row>
    <row r="106" s="8" customFormat="1" spans="28:28">
      <c r="AB106" s="11"/>
    </row>
    <row r="107" s="8" customFormat="1" spans="28:28">
      <c r="AB107" s="11"/>
    </row>
    <row r="108" s="8" customFormat="1" spans="28:28">
      <c r="AB108" s="11"/>
    </row>
    <row r="109" s="8" customFormat="1" spans="28:28">
      <c r="AB109" s="11"/>
    </row>
    <row r="110" s="8" customFormat="1" spans="28:28">
      <c r="AB110" s="11"/>
    </row>
    <row r="111" s="8" customFormat="1" spans="28:28">
      <c r="AB111" s="11"/>
    </row>
    <row r="112" s="8" customFormat="1" spans="28:28">
      <c r="AB112" s="11"/>
    </row>
    <row r="113" s="8" customFormat="1" spans="28:28">
      <c r="AB113" s="11"/>
    </row>
    <row r="114" s="8" customFormat="1" spans="28:28">
      <c r="AB114" s="11"/>
    </row>
    <row r="115" s="8" customFormat="1" spans="28:28">
      <c r="AB115" s="11"/>
    </row>
    <row r="116" s="8" customFormat="1" spans="28:28">
      <c r="AB116" s="11"/>
    </row>
    <row r="117" s="8" customFormat="1" spans="28:28">
      <c r="AB117" s="11"/>
    </row>
    <row r="118" s="8" customFormat="1" spans="28:28">
      <c r="AB118" s="11"/>
    </row>
    <row r="119" s="8" customFormat="1" spans="28:28">
      <c r="AB119" s="11"/>
    </row>
    <row r="120" s="8" customFormat="1" spans="28:28">
      <c r="AB120" s="11"/>
    </row>
    <row r="121" s="8" customFormat="1" spans="28:28">
      <c r="AB121" s="11"/>
    </row>
    <row r="122" s="8" customFormat="1" spans="28:28">
      <c r="AB122" s="11"/>
    </row>
    <row r="123" s="8" customFormat="1" spans="28:28">
      <c r="AB123" s="11"/>
    </row>
    <row r="124" s="8" customFormat="1" spans="28:28">
      <c r="AB124" s="11"/>
    </row>
    <row r="125" s="8" customFormat="1" spans="28:28">
      <c r="AB125" s="11"/>
    </row>
    <row r="126" s="8" customFormat="1" spans="28:28">
      <c r="AB126" s="11"/>
    </row>
    <row r="127" s="8" customFormat="1" spans="28:28">
      <c r="AB127" s="11"/>
    </row>
    <row r="128" s="8" customFormat="1" spans="28:28">
      <c r="AB128" s="11"/>
    </row>
    <row r="129" s="8" customFormat="1" spans="28:28">
      <c r="AB129" s="11"/>
    </row>
    <row r="130" s="8" customFormat="1" spans="28:28">
      <c r="AB130" s="11"/>
    </row>
    <row r="131" s="8" customFormat="1" spans="28:28">
      <c r="AB131" s="11"/>
    </row>
    <row r="132" s="8" customFormat="1" spans="28:28">
      <c r="AB132" s="11"/>
    </row>
    <row r="133" s="8" customFormat="1" spans="28:28">
      <c r="AB133" s="11"/>
    </row>
    <row r="134" s="8" customFormat="1" spans="28:28">
      <c r="AB134" s="11"/>
    </row>
    <row r="135" s="8" customFormat="1" spans="28:28">
      <c r="AB135" s="11"/>
    </row>
    <row r="136" s="8" customFormat="1" spans="28:28">
      <c r="AB136" s="11"/>
    </row>
    <row r="137" s="8" customFormat="1" spans="28:28">
      <c r="AB137" s="11"/>
    </row>
    <row r="138" s="8" customFormat="1" spans="28:28">
      <c r="AB138" s="11"/>
    </row>
    <row r="139" s="8" customFormat="1" spans="28:28">
      <c r="AB139" s="11"/>
    </row>
    <row r="140" s="8" customFormat="1" spans="28:28">
      <c r="AB140" s="11"/>
    </row>
    <row r="141" s="8" customFormat="1" spans="28:28">
      <c r="AB141" s="11"/>
    </row>
    <row r="142" s="8" customFormat="1" spans="28:28">
      <c r="AB142" s="11"/>
    </row>
    <row r="143" s="8" customFormat="1" spans="28:28">
      <c r="AB143" s="11"/>
    </row>
    <row r="144" s="8" customFormat="1" spans="28:28">
      <c r="AB144" s="11"/>
    </row>
    <row r="145" s="8" customFormat="1" spans="28:28">
      <c r="AB145" s="11"/>
    </row>
    <row r="146" s="8" customFormat="1" spans="28:28">
      <c r="AB146" s="11"/>
    </row>
    <row r="147" s="8" customFormat="1" spans="28:28">
      <c r="AB147" s="11"/>
    </row>
    <row r="148" s="8" customFormat="1" spans="28:28">
      <c r="AB148" s="11"/>
    </row>
    <row r="149" s="8" customFormat="1" spans="28:28">
      <c r="AB149" s="11"/>
    </row>
    <row r="150" s="8" customFormat="1" spans="28:28">
      <c r="AB150" s="11"/>
    </row>
    <row r="151" s="8" customFormat="1" spans="28:28">
      <c r="AB151" s="11"/>
    </row>
    <row r="152" s="8" customFormat="1" spans="28:28">
      <c r="AB152" s="11"/>
    </row>
    <row r="153" s="8" customFormat="1" spans="28:28">
      <c r="AB153" s="11"/>
    </row>
    <row r="154" s="8" customFormat="1" spans="28:28">
      <c r="AB154" s="11"/>
    </row>
    <row r="155" s="8" customFormat="1" spans="28:28">
      <c r="AB155" s="11"/>
    </row>
    <row r="156" s="8" customFormat="1" spans="28:28">
      <c r="AB156" s="11"/>
    </row>
    <row r="157" s="8" customFormat="1" spans="28:28">
      <c r="AB157" s="11"/>
    </row>
    <row r="158" s="8" customFormat="1" spans="28:28">
      <c r="AB158" s="11"/>
    </row>
    <row r="159" s="8" customFormat="1" spans="28:28">
      <c r="AB159" s="11"/>
    </row>
    <row r="160" s="8" customFormat="1" spans="28:28">
      <c r="AB160" s="11"/>
    </row>
    <row r="161" s="8" customFormat="1" spans="28:28">
      <c r="AB161" s="11"/>
    </row>
    <row r="162" s="8" customFormat="1" spans="28:28">
      <c r="AB162" s="11"/>
    </row>
    <row r="163" s="8" customFormat="1" spans="28:28">
      <c r="AB163" s="11"/>
    </row>
    <row r="164" s="8" customFormat="1" spans="28:28">
      <c r="AB164" s="11"/>
    </row>
    <row r="165" s="8" customFormat="1" spans="28:28">
      <c r="AB165" s="11"/>
    </row>
    <row r="166" s="8" customFormat="1" spans="28:28">
      <c r="AB166" s="11"/>
    </row>
    <row r="167" s="8" customFormat="1" spans="28:28">
      <c r="AB167" s="11"/>
    </row>
    <row r="168" s="8" customFormat="1" spans="28:28">
      <c r="AB168" s="11"/>
    </row>
    <row r="169" s="8" customFormat="1" spans="28:28">
      <c r="AB169" s="11"/>
    </row>
    <row r="170" s="8" customFormat="1" spans="28:28">
      <c r="AB170" s="11"/>
    </row>
    <row r="171" s="8" customFormat="1" spans="28:28">
      <c r="AB171" s="11"/>
    </row>
    <row r="172" s="8" customFormat="1" spans="28:28">
      <c r="AB172" s="11"/>
    </row>
    <row r="173" s="8" customFormat="1" spans="28:28">
      <c r="AB173" s="11"/>
    </row>
    <row r="174" s="8" customFormat="1" spans="28:28">
      <c r="AB174" s="11"/>
    </row>
    <row r="175" s="8" customFormat="1" spans="28:28">
      <c r="AB175" s="11"/>
    </row>
    <row r="176" s="8" customFormat="1" spans="28:28">
      <c r="AB176" s="11"/>
    </row>
    <row r="177" s="8" customFormat="1" spans="28:28">
      <c r="AB177" s="11"/>
    </row>
    <row r="178" s="8" customFormat="1" spans="28:28">
      <c r="AB178" s="11"/>
    </row>
    <row r="179" s="8" customFormat="1" spans="28:28">
      <c r="AB179" s="11"/>
    </row>
    <row r="180" s="8" customFormat="1" spans="28:28">
      <c r="AB180" s="11"/>
    </row>
    <row r="181" s="8" customFormat="1" spans="28:28">
      <c r="AB181" s="11"/>
    </row>
    <row r="182" s="8" customFormat="1" spans="28:28">
      <c r="AB182" s="11"/>
    </row>
    <row r="183" s="8" customFormat="1" spans="28:28">
      <c r="AB183" s="11"/>
    </row>
    <row r="184" s="8" customFormat="1" spans="28:28">
      <c r="AB184" s="11"/>
    </row>
    <row r="185" s="8" customFormat="1" spans="28:28">
      <c r="AB185" s="11"/>
    </row>
    <row r="186" s="8" customFormat="1" spans="28:28">
      <c r="AB186" s="11"/>
    </row>
    <row r="187" s="8" customFormat="1" spans="28:28">
      <c r="AB187" s="11"/>
    </row>
    <row r="188" s="8" customFormat="1" spans="28:28">
      <c r="AB188" s="11"/>
    </row>
    <row r="189" s="8" customFormat="1" spans="28:28">
      <c r="AB189" s="11"/>
    </row>
    <row r="190" s="8" customFormat="1" spans="28:28">
      <c r="AB190" s="11"/>
    </row>
    <row r="191" s="8" customFormat="1" spans="28:28">
      <c r="AB191" s="11"/>
    </row>
    <row r="192" s="8" customFormat="1" spans="28:28">
      <c r="AB192" s="11"/>
    </row>
    <row r="193" s="8" customFormat="1" spans="28:28">
      <c r="AB193" s="11"/>
    </row>
    <row r="194" s="8" customFormat="1" spans="28:28">
      <c r="AB194" s="11"/>
    </row>
    <row r="195" s="8" customFormat="1" spans="28:28">
      <c r="AB195" s="11"/>
    </row>
    <row r="196" s="8" customFormat="1" spans="28:28">
      <c r="AB196" s="11"/>
    </row>
    <row r="197" s="8" customFormat="1" spans="28:28">
      <c r="AB197" s="11"/>
    </row>
    <row r="198" s="8" customFormat="1" spans="28:28">
      <c r="AB198" s="11"/>
    </row>
    <row r="199" s="8" customFormat="1" spans="28:28">
      <c r="AB199" s="11"/>
    </row>
    <row r="200" s="8" customFormat="1" spans="28:28">
      <c r="AB200" s="11"/>
    </row>
    <row r="201" s="8" customFormat="1" spans="28:28">
      <c r="AB201" s="11"/>
    </row>
    <row r="202" s="8" customFormat="1" spans="28:28">
      <c r="AB202" s="11"/>
    </row>
    <row r="203" s="8" customFormat="1" spans="28:28">
      <c r="AB203" s="11"/>
    </row>
    <row r="204" s="8" customFormat="1" spans="28:28">
      <c r="AB204" s="11"/>
    </row>
    <row r="205" s="8" customFormat="1" spans="28:28">
      <c r="AB205" s="11"/>
    </row>
    <row r="206" s="8" customFormat="1" spans="28:28">
      <c r="AB206" s="11"/>
    </row>
    <row r="207" s="8" customFormat="1" spans="28:28">
      <c r="AB207" s="11"/>
    </row>
    <row r="208" s="8" customFormat="1" spans="28:28">
      <c r="AB208" s="11"/>
    </row>
    <row r="209" s="8" customFormat="1" spans="28:28">
      <c r="AB209" s="11"/>
    </row>
    <row r="210" s="8" customFormat="1" spans="28:28">
      <c r="AB210" s="11"/>
    </row>
    <row r="211" s="8" customFormat="1" spans="28:28">
      <c r="AB211" s="11"/>
    </row>
    <row r="212" s="8" customFormat="1" spans="28:28">
      <c r="AB212" s="11"/>
    </row>
    <row r="213" s="8" customFormat="1" spans="28:28">
      <c r="AB213" s="11"/>
    </row>
    <row r="214" s="8" customFormat="1" spans="28:28">
      <c r="AB214" s="11"/>
    </row>
    <row r="215" s="8" customFormat="1" spans="28:28">
      <c r="AB215" s="11"/>
    </row>
    <row r="216" s="8" customFormat="1" spans="28:28">
      <c r="AB216" s="11"/>
    </row>
    <row r="217" s="8" customFormat="1" spans="28:28">
      <c r="AB217" s="11"/>
    </row>
    <row r="218" s="8" customFormat="1" spans="28:28">
      <c r="AB218" s="11"/>
    </row>
    <row r="219" s="8" customFormat="1" spans="28:28">
      <c r="AB219" s="11"/>
    </row>
    <row r="220" s="8" customFormat="1" spans="28:28">
      <c r="AB220" s="11"/>
    </row>
    <row r="221" s="8" customFormat="1" spans="28:28">
      <c r="AB221" s="11"/>
    </row>
    <row r="222" s="8" customFormat="1" spans="28:28">
      <c r="AB222" s="11"/>
    </row>
    <row r="223" s="8" customFormat="1" spans="28:28">
      <c r="AB223" s="11"/>
    </row>
    <row r="224" s="8" customFormat="1" spans="28:28">
      <c r="AB224" s="11"/>
    </row>
    <row r="225" s="8" customFormat="1" spans="28:28">
      <c r="AB225" s="11"/>
    </row>
    <row r="226" s="8" customFormat="1" spans="28:28">
      <c r="AB226" s="11"/>
    </row>
    <row r="227" s="8" customFormat="1" spans="28:28">
      <c r="AB227" s="11"/>
    </row>
    <row r="228" s="8" customFormat="1" spans="28:28">
      <c r="AB228" s="11"/>
    </row>
    <row r="229" s="8" customFormat="1" spans="28:28">
      <c r="AB229" s="11"/>
    </row>
    <row r="230" s="8" customFormat="1" spans="28:28">
      <c r="AB230" s="11"/>
    </row>
    <row r="231" s="8" customFormat="1" spans="28:28">
      <c r="AB231" s="11"/>
    </row>
    <row r="232" s="8" customFormat="1" spans="28:28">
      <c r="AB232" s="11"/>
    </row>
    <row r="233" s="8" customFormat="1" spans="28:28">
      <c r="AB233" s="11"/>
    </row>
    <row r="234" s="8" customFormat="1" spans="28:28">
      <c r="AB234" s="11"/>
    </row>
    <row r="235" s="8" customFormat="1" spans="28:28">
      <c r="AB235" s="11"/>
    </row>
    <row r="236" s="8" customFormat="1" spans="28:28">
      <c r="AB236" s="11"/>
    </row>
    <row r="237" s="8" customFormat="1" spans="28:28">
      <c r="AB237" s="11"/>
    </row>
    <row r="238" s="8" customFormat="1" spans="28:28">
      <c r="AB238" s="11"/>
    </row>
    <row r="239" s="8" customFormat="1" spans="28:28">
      <c r="AB239" s="11"/>
    </row>
    <row r="240" s="8" customFormat="1" spans="28:28">
      <c r="AB240" s="11"/>
    </row>
    <row r="241" s="8" customFormat="1" spans="28:28">
      <c r="AB241" s="11"/>
    </row>
    <row r="242" s="8" customFormat="1" spans="28:28">
      <c r="AB242" s="11"/>
    </row>
    <row r="243" s="8" customFormat="1" spans="28:28">
      <c r="AB243" s="11"/>
    </row>
    <row r="244" s="8" customFormat="1" spans="28:28">
      <c r="AB244" s="11"/>
    </row>
    <row r="245" s="8" customFormat="1" spans="28:28">
      <c r="AB245" s="11"/>
    </row>
    <row r="246" s="8" customFormat="1" spans="28:28">
      <c r="AB246" s="11"/>
    </row>
    <row r="247" s="8" customFormat="1" spans="28:28">
      <c r="AB247" s="11"/>
    </row>
    <row r="248" s="8" customFormat="1" spans="28:28">
      <c r="AB248" s="11"/>
    </row>
    <row r="249" s="8" customFormat="1" spans="28:28">
      <c r="AB249" s="11"/>
    </row>
    <row r="250" s="8" customFormat="1" spans="28:28">
      <c r="AB250" s="11"/>
    </row>
    <row r="251" s="8" customFormat="1" spans="28:28">
      <c r="AB251" s="11"/>
    </row>
    <row r="252" s="8" customFormat="1" spans="28:28">
      <c r="AB252" s="11"/>
    </row>
    <row r="253" s="8" customFormat="1" spans="28:28">
      <c r="AB253" s="11"/>
    </row>
    <row r="254" s="8" customFormat="1" spans="28:28">
      <c r="AB254" s="11"/>
    </row>
    <row r="255" s="8" customFormat="1" spans="28:28">
      <c r="AB255" s="11"/>
    </row>
    <row r="256" s="8" customFormat="1" spans="28:28">
      <c r="AB256" s="11"/>
    </row>
    <row r="257" s="8" customFormat="1" spans="28:28">
      <c r="AB257" s="11"/>
    </row>
    <row r="258" s="8" customFormat="1" spans="28:28">
      <c r="AB258" s="11"/>
    </row>
    <row r="259" s="8" customFormat="1" spans="28:28">
      <c r="AB259" s="11"/>
    </row>
    <row r="260" s="8" customFormat="1" spans="28:28">
      <c r="AB260" s="11"/>
    </row>
    <row r="261" s="8" customFormat="1" spans="28:28">
      <c r="AB261" s="11"/>
    </row>
    <row r="262" s="8" customFormat="1" spans="28:28">
      <c r="AB262" s="11"/>
    </row>
    <row r="263" s="8" customFormat="1" spans="28:28">
      <c r="AB263" s="11"/>
    </row>
    <row r="264" s="8" customFormat="1" spans="28:28">
      <c r="AB264" s="11"/>
    </row>
    <row r="265" s="8" customFormat="1" spans="28:28">
      <c r="AB265" s="11"/>
    </row>
    <row r="266" s="8" customFormat="1" spans="28:28">
      <c r="AB266" s="11"/>
    </row>
    <row r="267" s="8" customFormat="1" spans="28:28">
      <c r="AB267" s="11"/>
    </row>
    <row r="268" s="8" customFormat="1" spans="28:28">
      <c r="AB268" s="11"/>
    </row>
    <row r="269" s="8" customFormat="1" spans="28:28">
      <c r="AB269" s="11"/>
    </row>
    <row r="270" s="8" customFormat="1" spans="28:28">
      <c r="AB270" s="11"/>
    </row>
    <row r="271" s="8" customFormat="1" spans="28:28">
      <c r="AB271" s="11"/>
    </row>
    <row r="272" s="8" customFormat="1" spans="28:28">
      <c r="AB272" s="11"/>
    </row>
    <row r="273" s="8" customFormat="1" spans="28:28">
      <c r="AB273" s="11"/>
    </row>
    <row r="274" s="8" customFormat="1" spans="28:28">
      <c r="AB274" s="11"/>
    </row>
    <row r="275" s="8" customFormat="1" spans="28:28">
      <c r="AB275" s="11"/>
    </row>
    <row r="276" s="8" customFormat="1" spans="28:28">
      <c r="AB276" s="11"/>
    </row>
    <row r="277" s="8" customFormat="1" spans="28:28">
      <c r="AB277" s="11"/>
    </row>
    <row r="278" s="8" customFormat="1" spans="28:28">
      <c r="AB278" s="11"/>
    </row>
    <row r="279" s="8" customFormat="1" spans="28:28">
      <c r="AB279" s="11"/>
    </row>
    <row r="280" s="8" customFormat="1" spans="28:28">
      <c r="AB280" s="11"/>
    </row>
  </sheetData>
  <autoFilter xmlns:etc="http://www.wps.cn/officeDocument/2017/etCustomData" ref="A2:BT56" etc:filterBottomFollowUsedRange="0">
    <extLst/>
  </autoFilter>
  <mergeCells count="8">
    <mergeCell ref="U1:W1"/>
    <mergeCell ref="X1:Z1"/>
    <mergeCell ref="AM1:BN1"/>
    <mergeCell ref="U2:W2"/>
    <mergeCell ref="X2:Z2"/>
    <mergeCell ref="AM2:BN2"/>
    <mergeCell ref="U3:W3"/>
    <mergeCell ref="X3:Z3"/>
  </mergeCells>
  <conditionalFormatting sqref="T3">
    <cfRule type="duplicateValues" dxfId="0" priority="323"/>
    <cfRule type="duplicateValues" dxfId="1" priority="324"/>
  </conditionalFormatting>
  <conditionalFormatting sqref="T4">
    <cfRule type="duplicateValues" dxfId="0" priority="320"/>
    <cfRule type="duplicateValues" dxfId="1" priority="321"/>
  </conditionalFormatting>
  <conditionalFormatting sqref="U4">
    <cfRule type="expression" dxfId="2" priority="316">
      <formula>AND(#REF!&lt;&gt;"",COUNTIF($A:$A,#REF!)&gt;1)</formula>
    </cfRule>
    <cfRule type="duplicateValues" dxfId="0" priority="329"/>
    <cfRule type="duplicateValues" dxfId="1" priority="330"/>
  </conditionalFormatting>
  <conditionalFormatting sqref="U9">
    <cfRule type="expression" dxfId="2" priority="471">
      <formula>AND(#REF!&lt;&gt;"",COUNTIF($A:$A,#REF!)&gt;1)</formula>
    </cfRule>
    <cfRule type="duplicateValues" dxfId="0" priority="472"/>
    <cfRule type="duplicateValues" dxfId="1" priority="473"/>
  </conditionalFormatting>
  <conditionalFormatting sqref="T10">
    <cfRule type="expression" dxfId="2" priority="474">
      <formula>AND(T11&lt;&gt;"",COUNTIF($A:$A,T11)&gt;1)</formula>
    </cfRule>
  </conditionalFormatting>
  <conditionalFormatting sqref="U10">
    <cfRule type="expression" dxfId="2" priority="475">
      <formula>AND(#REF!&lt;&gt;"",COUNTIF($A:$A,#REF!)&gt;1)</formula>
    </cfRule>
    <cfRule type="duplicateValues" dxfId="0" priority="476"/>
    <cfRule type="duplicateValues" dxfId="1" priority="477"/>
  </conditionalFormatting>
  <conditionalFormatting sqref="U16">
    <cfRule type="expression" dxfId="2" priority="484">
      <formula>AND(#REF!&lt;&gt;"",COUNTIF($A:$A,#REF!)&gt;1)</formula>
    </cfRule>
    <cfRule type="duplicateValues" dxfId="0" priority="485"/>
    <cfRule type="duplicateValues" dxfId="1" priority="486"/>
  </conditionalFormatting>
  <conditionalFormatting sqref="T17">
    <cfRule type="expression" dxfId="2" priority="463">
      <formula>AND(#REF!&lt;&gt;"",COUNTIF($A:$A,#REF!)&gt;1)</formula>
    </cfRule>
  </conditionalFormatting>
  <conditionalFormatting sqref="U17">
    <cfRule type="expression" dxfId="2" priority="467">
      <formula>AND(#REF!&lt;&gt;"",COUNTIF($A:$A,#REF!)&gt;1)</formula>
    </cfRule>
    <cfRule type="duplicateValues" dxfId="0" priority="468"/>
    <cfRule type="duplicateValues" dxfId="1" priority="469"/>
  </conditionalFormatting>
  <conditionalFormatting sqref="A18">
    <cfRule type="duplicateValues" dxfId="1" priority="292"/>
  </conditionalFormatting>
  <conditionalFormatting sqref="B18">
    <cfRule type="duplicateValues" dxfId="1" priority="296"/>
  </conditionalFormatting>
  <conditionalFormatting sqref="T18">
    <cfRule type="duplicateValues" dxfId="0" priority="284"/>
    <cfRule type="duplicateValues" dxfId="1" priority="288"/>
    <cfRule type="expression" dxfId="2" priority="300">
      <formula>AND(#REF!&lt;&gt;"",COUNTIF($A:$A,#REF!)&gt;1)</formula>
    </cfRule>
  </conditionalFormatting>
  <conditionalFormatting sqref="U18">
    <cfRule type="expression" dxfId="2" priority="304">
      <formula>AND(#REF!&lt;&gt;"",COUNTIF($A:$A,#REF!)&gt;1)</formula>
    </cfRule>
    <cfRule type="duplicateValues" dxfId="0" priority="308"/>
    <cfRule type="duplicateValues" dxfId="1" priority="312"/>
  </conditionalFormatting>
  <conditionalFormatting sqref="A19">
    <cfRule type="duplicateValues" dxfId="1" priority="291"/>
  </conditionalFormatting>
  <conditionalFormatting sqref="B19">
    <cfRule type="duplicateValues" dxfId="1" priority="295"/>
  </conditionalFormatting>
  <conditionalFormatting sqref="T19">
    <cfRule type="duplicateValues" dxfId="0" priority="283"/>
    <cfRule type="duplicateValues" dxfId="1" priority="287"/>
    <cfRule type="expression" dxfId="2" priority="299">
      <formula>AND(#REF!&lt;&gt;"",COUNTIF($A:$A,#REF!)&gt;1)</formula>
    </cfRule>
  </conditionalFormatting>
  <conditionalFormatting sqref="U19">
    <cfRule type="expression" dxfId="2" priority="303">
      <formula>AND(#REF!&lt;&gt;"",COUNTIF($A:$A,#REF!)&gt;1)</formula>
    </cfRule>
    <cfRule type="duplicateValues" dxfId="0" priority="307"/>
    <cfRule type="duplicateValues" dxfId="1" priority="311"/>
  </conditionalFormatting>
  <conditionalFormatting sqref="A20">
    <cfRule type="duplicateValues" dxfId="1" priority="290"/>
  </conditionalFormatting>
  <conditionalFormatting sqref="B20">
    <cfRule type="duplicateValues" dxfId="1" priority="294"/>
  </conditionalFormatting>
  <conditionalFormatting sqref="T20">
    <cfRule type="duplicateValues" dxfId="0" priority="282"/>
    <cfRule type="duplicateValues" dxfId="1" priority="286"/>
    <cfRule type="expression" dxfId="2" priority="298">
      <formula>AND(#REF!&lt;&gt;"",COUNTIF($A:$A,#REF!)&gt;1)</formula>
    </cfRule>
  </conditionalFormatting>
  <conditionalFormatting sqref="U20">
    <cfRule type="expression" dxfId="2" priority="302">
      <formula>AND(#REF!&lt;&gt;"",COUNTIF($A:$A,#REF!)&gt;1)</formula>
    </cfRule>
    <cfRule type="duplicateValues" dxfId="0" priority="306"/>
    <cfRule type="duplicateValues" dxfId="1" priority="310"/>
  </conditionalFormatting>
  <conditionalFormatting sqref="A21">
    <cfRule type="duplicateValues" dxfId="1" priority="289"/>
  </conditionalFormatting>
  <conditionalFormatting sqref="B21">
    <cfRule type="duplicateValues" dxfId="1" priority="293"/>
  </conditionalFormatting>
  <conditionalFormatting sqref="T21">
    <cfRule type="duplicateValues" dxfId="0" priority="281"/>
    <cfRule type="duplicateValues" dxfId="1" priority="285"/>
    <cfRule type="expression" dxfId="2" priority="297">
      <formula>AND(#REF!&lt;&gt;"",COUNTIF($A:$A,#REF!)&gt;1)</formula>
    </cfRule>
  </conditionalFormatting>
  <conditionalFormatting sqref="U21">
    <cfRule type="expression" dxfId="2" priority="301">
      <formula>AND(#REF!&lt;&gt;"",COUNTIF($A:$A,#REF!)&gt;1)</formula>
    </cfRule>
    <cfRule type="duplicateValues" dxfId="0" priority="305"/>
    <cfRule type="duplicateValues" dxfId="1" priority="309"/>
  </conditionalFormatting>
  <conditionalFormatting sqref="A22">
    <cfRule type="duplicateValues" dxfId="1" priority="275"/>
  </conditionalFormatting>
  <conditionalFormatting sqref="B22">
    <cfRule type="duplicateValues" dxfId="1" priority="276"/>
  </conditionalFormatting>
  <conditionalFormatting sqref="T22">
    <cfRule type="duplicateValues" dxfId="0" priority="273"/>
    <cfRule type="duplicateValues" dxfId="1" priority="274"/>
    <cfRule type="expression" dxfId="2" priority="277">
      <formula>AND(#REF!&lt;&gt;"",COUNTIF($A:$A,#REF!)&gt;1)</formula>
    </cfRule>
  </conditionalFormatting>
  <conditionalFormatting sqref="U22">
    <cfRule type="expression" dxfId="2" priority="278">
      <formula>AND(#REF!&lt;&gt;"",COUNTIF($A:$A,#REF!)&gt;1)</formula>
    </cfRule>
    <cfRule type="duplicateValues" dxfId="0" priority="279"/>
    <cfRule type="duplicateValues" dxfId="1" priority="280"/>
  </conditionalFormatting>
  <conditionalFormatting sqref="A23">
    <cfRule type="duplicateValues" dxfId="1" priority="247"/>
  </conditionalFormatting>
  <conditionalFormatting sqref="B23">
    <cfRule type="duplicateValues" dxfId="1" priority="252"/>
  </conditionalFormatting>
  <conditionalFormatting sqref="T23">
    <cfRule type="duplicateValues" dxfId="0" priority="237"/>
    <cfRule type="duplicateValues" dxfId="1" priority="242"/>
    <cfRule type="expression" dxfId="2" priority="257">
      <formula>AND(#REF!&lt;&gt;"",COUNTIF($A:$A,#REF!)&gt;1)</formula>
    </cfRule>
  </conditionalFormatting>
  <conditionalFormatting sqref="U23">
    <cfRule type="expression" dxfId="2" priority="262">
      <formula>AND(#REF!&lt;&gt;"",COUNTIF($A:$A,#REF!)&gt;1)</formula>
    </cfRule>
    <cfRule type="duplicateValues" dxfId="0" priority="267"/>
    <cfRule type="duplicateValues" dxfId="1" priority="272"/>
  </conditionalFormatting>
  <conditionalFormatting sqref="A24">
    <cfRule type="duplicateValues" dxfId="1" priority="246"/>
  </conditionalFormatting>
  <conditionalFormatting sqref="B24">
    <cfRule type="duplicateValues" dxfId="1" priority="251"/>
  </conditionalFormatting>
  <conditionalFormatting sqref="T24">
    <cfRule type="duplicateValues" dxfId="0" priority="236"/>
    <cfRule type="duplicateValues" dxfId="1" priority="241"/>
    <cfRule type="expression" dxfId="2" priority="256">
      <formula>AND(#REF!&lt;&gt;"",COUNTIF($A:$A,#REF!)&gt;1)</formula>
    </cfRule>
  </conditionalFormatting>
  <conditionalFormatting sqref="U24">
    <cfRule type="expression" dxfId="2" priority="261">
      <formula>AND(#REF!&lt;&gt;"",COUNTIF($A:$A,#REF!)&gt;1)</formula>
    </cfRule>
    <cfRule type="duplicateValues" dxfId="0" priority="266"/>
    <cfRule type="duplicateValues" dxfId="1" priority="271"/>
  </conditionalFormatting>
  <conditionalFormatting sqref="A25">
    <cfRule type="duplicateValues" dxfId="1" priority="245"/>
  </conditionalFormatting>
  <conditionalFormatting sqref="B25">
    <cfRule type="duplicateValues" dxfId="1" priority="250"/>
  </conditionalFormatting>
  <conditionalFormatting sqref="T25">
    <cfRule type="duplicateValues" dxfId="0" priority="235"/>
    <cfRule type="duplicateValues" dxfId="1" priority="240"/>
    <cfRule type="expression" dxfId="2" priority="255">
      <formula>AND(#REF!&lt;&gt;"",COUNTIF($A:$A,#REF!)&gt;1)</formula>
    </cfRule>
  </conditionalFormatting>
  <conditionalFormatting sqref="U25">
    <cfRule type="expression" dxfId="2" priority="260">
      <formula>AND(#REF!&lt;&gt;"",COUNTIF($A:$A,#REF!)&gt;1)</formula>
    </cfRule>
    <cfRule type="duplicateValues" dxfId="0" priority="265"/>
    <cfRule type="duplicateValues" dxfId="1" priority="270"/>
  </conditionalFormatting>
  <conditionalFormatting sqref="A26">
    <cfRule type="duplicateValues" dxfId="1" priority="244"/>
  </conditionalFormatting>
  <conditionalFormatting sqref="B26">
    <cfRule type="duplicateValues" dxfId="1" priority="249"/>
  </conditionalFormatting>
  <conditionalFormatting sqref="T26">
    <cfRule type="duplicateValues" dxfId="0" priority="234"/>
    <cfRule type="duplicateValues" dxfId="1" priority="239"/>
    <cfRule type="expression" dxfId="2" priority="254">
      <formula>AND(#REF!&lt;&gt;"",COUNTIF($A:$A,#REF!)&gt;1)</formula>
    </cfRule>
  </conditionalFormatting>
  <conditionalFormatting sqref="U26">
    <cfRule type="expression" dxfId="2" priority="259">
      <formula>AND(#REF!&lt;&gt;"",COUNTIF($A:$A,#REF!)&gt;1)</formula>
    </cfRule>
    <cfRule type="duplicateValues" dxfId="0" priority="264"/>
    <cfRule type="duplicateValues" dxfId="1" priority="269"/>
  </conditionalFormatting>
  <conditionalFormatting sqref="A27">
    <cfRule type="duplicateValues" dxfId="1" priority="243"/>
  </conditionalFormatting>
  <conditionalFormatting sqref="B27">
    <cfRule type="duplicateValues" dxfId="1" priority="248"/>
  </conditionalFormatting>
  <conditionalFormatting sqref="T27">
    <cfRule type="duplicateValues" dxfId="0" priority="233"/>
    <cfRule type="duplicateValues" dxfId="1" priority="238"/>
    <cfRule type="expression" dxfId="2" priority="253">
      <formula>AND(#REF!&lt;&gt;"",COUNTIF($A:$A,#REF!)&gt;1)</formula>
    </cfRule>
  </conditionalFormatting>
  <conditionalFormatting sqref="U27">
    <cfRule type="expression" dxfId="2" priority="258">
      <formula>AND(#REF!&lt;&gt;"",COUNTIF($A:$A,#REF!)&gt;1)</formula>
    </cfRule>
    <cfRule type="duplicateValues" dxfId="0" priority="263"/>
    <cfRule type="duplicateValues" dxfId="1" priority="268"/>
  </conditionalFormatting>
  <conditionalFormatting sqref="A28">
    <cfRule type="duplicateValues" dxfId="1" priority="227"/>
  </conditionalFormatting>
  <conditionalFormatting sqref="B28">
    <cfRule type="duplicateValues" dxfId="1" priority="228"/>
  </conditionalFormatting>
  <conditionalFormatting sqref="T28">
    <cfRule type="duplicateValues" dxfId="0" priority="225"/>
    <cfRule type="duplicateValues" dxfId="1" priority="226"/>
    <cfRule type="expression" dxfId="2" priority="229">
      <formula>AND(#REF!&lt;&gt;"",COUNTIF($A:$A,#REF!)&gt;1)</formula>
    </cfRule>
  </conditionalFormatting>
  <conditionalFormatting sqref="U28">
    <cfRule type="expression" dxfId="2" priority="230">
      <formula>AND(#REF!&lt;&gt;"",COUNTIF($A:$A,#REF!)&gt;1)</formula>
    </cfRule>
    <cfRule type="duplicateValues" dxfId="0" priority="231"/>
    <cfRule type="duplicateValues" dxfId="1" priority="232"/>
  </conditionalFormatting>
  <conditionalFormatting sqref="A29">
    <cfRule type="duplicateValues" dxfId="1" priority="169"/>
  </conditionalFormatting>
  <conditionalFormatting sqref="B29">
    <cfRule type="duplicateValues" dxfId="1" priority="180"/>
  </conditionalFormatting>
  <conditionalFormatting sqref="T29">
    <cfRule type="expression" dxfId="2" priority="191">
      <formula>AND(#REF!&lt;&gt;"",COUNTIF($A:$A,#REF!)&gt;1)</formula>
    </cfRule>
    <cfRule type="duplicateValues" dxfId="1" priority="158"/>
    <cfRule type="duplicateValues" dxfId="0" priority="147"/>
  </conditionalFormatting>
  <conditionalFormatting sqref="U29">
    <cfRule type="duplicateValues" dxfId="1" priority="224"/>
    <cfRule type="duplicateValues" dxfId="0" priority="213"/>
    <cfRule type="expression" dxfId="2" priority="202">
      <formula>AND(#REF!&lt;&gt;"",COUNTIF($A:$A,#REF!)&gt;1)</formula>
    </cfRule>
  </conditionalFormatting>
  <conditionalFormatting sqref="A30">
    <cfRule type="duplicateValues" dxfId="1" priority="168"/>
  </conditionalFormatting>
  <conditionalFormatting sqref="B30">
    <cfRule type="duplicateValues" dxfId="1" priority="179"/>
  </conditionalFormatting>
  <conditionalFormatting sqref="T30">
    <cfRule type="expression" dxfId="2" priority="190">
      <formula>AND(#REF!&lt;&gt;"",COUNTIF($A:$A,#REF!)&gt;1)</formula>
    </cfRule>
    <cfRule type="duplicateValues" dxfId="1" priority="157"/>
    <cfRule type="duplicateValues" dxfId="0" priority="146"/>
  </conditionalFormatting>
  <conditionalFormatting sqref="U30">
    <cfRule type="duplicateValues" dxfId="1" priority="223"/>
    <cfRule type="duplicateValues" dxfId="0" priority="212"/>
    <cfRule type="expression" dxfId="2" priority="201">
      <formula>AND(#REF!&lt;&gt;"",COUNTIF($A:$A,#REF!)&gt;1)</formula>
    </cfRule>
  </conditionalFormatting>
  <conditionalFormatting sqref="A31">
    <cfRule type="duplicateValues" dxfId="1" priority="167"/>
  </conditionalFormatting>
  <conditionalFormatting sqref="B31">
    <cfRule type="duplicateValues" dxfId="1" priority="178"/>
  </conditionalFormatting>
  <conditionalFormatting sqref="T31">
    <cfRule type="expression" dxfId="2" priority="189">
      <formula>AND(#REF!&lt;&gt;"",COUNTIF($A:$A,#REF!)&gt;1)</formula>
    </cfRule>
    <cfRule type="duplicateValues" dxfId="1" priority="156"/>
    <cfRule type="duplicateValues" dxfId="0" priority="145"/>
  </conditionalFormatting>
  <conditionalFormatting sqref="U31">
    <cfRule type="duplicateValues" dxfId="1" priority="222"/>
    <cfRule type="duplicateValues" dxfId="0" priority="211"/>
    <cfRule type="expression" dxfId="2" priority="200">
      <formula>AND(#REF!&lt;&gt;"",COUNTIF($A:$A,#REF!)&gt;1)</formula>
    </cfRule>
  </conditionalFormatting>
  <conditionalFormatting sqref="A32">
    <cfRule type="duplicateValues" dxfId="1" priority="166"/>
  </conditionalFormatting>
  <conditionalFormatting sqref="B32">
    <cfRule type="duplicateValues" dxfId="1" priority="177"/>
  </conditionalFormatting>
  <conditionalFormatting sqref="T32">
    <cfRule type="expression" dxfId="2" priority="188">
      <formula>AND(#REF!&lt;&gt;"",COUNTIF($A:$A,#REF!)&gt;1)</formula>
    </cfRule>
    <cfRule type="duplicateValues" dxfId="1" priority="155"/>
    <cfRule type="duplicateValues" dxfId="0" priority="144"/>
  </conditionalFormatting>
  <conditionalFormatting sqref="U32">
    <cfRule type="duplicateValues" dxfId="1" priority="221"/>
    <cfRule type="duplicateValues" dxfId="0" priority="210"/>
    <cfRule type="expression" dxfId="2" priority="199">
      <formula>AND(#REF!&lt;&gt;"",COUNTIF($A:$A,#REF!)&gt;1)</formula>
    </cfRule>
  </conditionalFormatting>
  <conditionalFormatting sqref="A33">
    <cfRule type="duplicateValues" dxfId="1" priority="165"/>
  </conditionalFormatting>
  <conditionalFormatting sqref="B33">
    <cfRule type="duplicateValues" dxfId="1" priority="176"/>
  </conditionalFormatting>
  <conditionalFormatting sqref="T33">
    <cfRule type="expression" dxfId="2" priority="187">
      <formula>AND(#REF!&lt;&gt;"",COUNTIF($A:$A,#REF!)&gt;1)</formula>
    </cfRule>
    <cfRule type="duplicateValues" dxfId="1" priority="154"/>
    <cfRule type="duplicateValues" dxfId="0" priority="143"/>
  </conditionalFormatting>
  <conditionalFormatting sqref="U33">
    <cfRule type="duplicateValues" dxfId="1" priority="220"/>
    <cfRule type="duplicateValues" dxfId="0" priority="209"/>
    <cfRule type="expression" dxfId="2" priority="198">
      <formula>AND(#REF!&lt;&gt;"",COUNTIF($A:$A,#REF!)&gt;1)</formula>
    </cfRule>
  </conditionalFormatting>
  <conditionalFormatting sqref="A34">
    <cfRule type="duplicateValues" dxfId="1" priority="164"/>
  </conditionalFormatting>
  <conditionalFormatting sqref="B34">
    <cfRule type="duplicateValues" dxfId="1" priority="175"/>
  </conditionalFormatting>
  <conditionalFormatting sqref="T34">
    <cfRule type="expression" dxfId="2" priority="186">
      <formula>AND(#REF!&lt;&gt;"",COUNTIF($A:$A,#REF!)&gt;1)</formula>
    </cfRule>
    <cfRule type="duplicateValues" dxfId="1" priority="153"/>
    <cfRule type="duplicateValues" dxfId="0" priority="142"/>
  </conditionalFormatting>
  <conditionalFormatting sqref="U34">
    <cfRule type="duplicateValues" dxfId="1" priority="219"/>
    <cfRule type="duplicateValues" dxfId="0" priority="208"/>
    <cfRule type="expression" dxfId="2" priority="197">
      <formula>AND(#REF!&lt;&gt;"",COUNTIF($A:$A,#REF!)&gt;1)</formula>
    </cfRule>
  </conditionalFormatting>
  <conditionalFormatting sqref="A35">
    <cfRule type="duplicateValues" dxfId="1" priority="163"/>
  </conditionalFormatting>
  <conditionalFormatting sqref="B35">
    <cfRule type="duplicateValues" dxfId="1" priority="174"/>
  </conditionalFormatting>
  <conditionalFormatting sqref="T35">
    <cfRule type="expression" dxfId="2" priority="185">
      <formula>AND(#REF!&lt;&gt;"",COUNTIF($A:$A,#REF!)&gt;1)</formula>
    </cfRule>
    <cfRule type="duplicateValues" dxfId="1" priority="152"/>
    <cfRule type="duplicateValues" dxfId="0" priority="141"/>
  </conditionalFormatting>
  <conditionalFormatting sqref="U35">
    <cfRule type="duplicateValues" dxfId="1" priority="218"/>
    <cfRule type="duplicateValues" dxfId="0" priority="207"/>
    <cfRule type="expression" dxfId="2" priority="196">
      <formula>AND(#REF!&lt;&gt;"",COUNTIF($A:$A,#REF!)&gt;1)</formula>
    </cfRule>
  </conditionalFormatting>
  <conditionalFormatting sqref="A36">
    <cfRule type="duplicateValues" dxfId="1" priority="162"/>
  </conditionalFormatting>
  <conditionalFormatting sqref="B36">
    <cfRule type="duplicateValues" dxfId="1" priority="173"/>
  </conditionalFormatting>
  <conditionalFormatting sqref="T36">
    <cfRule type="expression" dxfId="2" priority="184">
      <formula>AND(#REF!&lt;&gt;"",COUNTIF($A:$A,#REF!)&gt;1)</formula>
    </cfRule>
    <cfRule type="duplicateValues" dxfId="1" priority="151"/>
    <cfRule type="duplicateValues" dxfId="0" priority="140"/>
  </conditionalFormatting>
  <conditionalFormatting sqref="U36">
    <cfRule type="duplicateValues" dxfId="1" priority="217"/>
    <cfRule type="duplicateValues" dxfId="0" priority="206"/>
    <cfRule type="expression" dxfId="2" priority="195">
      <formula>AND(#REF!&lt;&gt;"",COUNTIF($A:$A,#REF!)&gt;1)</formula>
    </cfRule>
  </conditionalFormatting>
  <conditionalFormatting sqref="A37">
    <cfRule type="duplicateValues" dxfId="1" priority="161"/>
  </conditionalFormatting>
  <conditionalFormatting sqref="B37">
    <cfRule type="duplicateValues" dxfId="1" priority="172"/>
  </conditionalFormatting>
  <conditionalFormatting sqref="T37">
    <cfRule type="expression" dxfId="2" priority="183">
      <formula>AND(#REF!&lt;&gt;"",COUNTIF($A:$A,#REF!)&gt;1)</formula>
    </cfRule>
    <cfRule type="duplicateValues" dxfId="1" priority="150"/>
    <cfRule type="duplicateValues" dxfId="0" priority="139"/>
  </conditionalFormatting>
  <conditionalFormatting sqref="U37">
    <cfRule type="duplicateValues" dxfId="1" priority="216"/>
    <cfRule type="duplicateValues" dxfId="0" priority="205"/>
    <cfRule type="expression" dxfId="2" priority="194">
      <formula>AND(#REF!&lt;&gt;"",COUNTIF($A:$A,#REF!)&gt;1)</formula>
    </cfRule>
  </conditionalFormatting>
  <conditionalFormatting sqref="A38">
    <cfRule type="duplicateValues" dxfId="1" priority="160"/>
  </conditionalFormatting>
  <conditionalFormatting sqref="B38">
    <cfRule type="duplicateValues" dxfId="1" priority="171"/>
  </conditionalFormatting>
  <conditionalFormatting sqref="T38">
    <cfRule type="expression" dxfId="2" priority="182">
      <formula>AND(#REF!&lt;&gt;"",COUNTIF($A:$A,#REF!)&gt;1)</formula>
    </cfRule>
    <cfRule type="duplicateValues" dxfId="1" priority="149"/>
    <cfRule type="duplicateValues" dxfId="0" priority="138"/>
  </conditionalFormatting>
  <conditionalFormatting sqref="U38">
    <cfRule type="duplicateValues" dxfId="1" priority="215"/>
    <cfRule type="duplicateValues" dxfId="0" priority="204"/>
    <cfRule type="expression" dxfId="2" priority="193">
      <formula>AND(#REF!&lt;&gt;"",COUNTIF($A:$A,#REF!)&gt;1)</formula>
    </cfRule>
  </conditionalFormatting>
  <conditionalFormatting sqref="A39">
    <cfRule type="duplicateValues" dxfId="1" priority="159"/>
  </conditionalFormatting>
  <conditionalFormatting sqref="B39">
    <cfRule type="duplicateValues" dxfId="1" priority="170"/>
  </conditionalFormatting>
  <conditionalFormatting sqref="T39">
    <cfRule type="expression" dxfId="2" priority="181">
      <formula>AND(#REF!&lt;&gt;"",COUNTIF($A:$A,#REF!)&gt;1)</formula>
    </cfRule>
    <cfRule type="duplicateValues" dxfId="1" priority="148"/>
    <cfRule type="duplicateValues" dxfId="0" priority="137"/>
  </conditionalFormatting>
  <conditionalFormatting sqref="U39">
    <cfRule type="duplicateValues" dxfId="1" priority="214"/>
    <cfRule type="duplicateValues" dxfId="0" priority="203"/>
    <cfRule type="expression" dxfId="2" priority="192">
      <formula>AND(#REF!&lt;&gt;"",COUNTIF($A:$A,#REF!)&gt;1)</formula>
    </cfRule>
  </conditionalFormatting>
  <conditionalFormatting sqref="A40">
    <cfRule type="duplicateValues" dxfId="1" priority="131"/>
  </conditionalFormatting>
  <conditionalFormatting sqref="B40">
    <cfRule type="duplicateValues" dxfId="1" priority="132"/>
  </conditionalFormatting>
  <conditionalFormatting sqref="T40">
    <cfRule type="expression" dxfId="2" priority="133">
      <formula>AND(#REF!&lt;&gt;"",COUNTIF($A:$A,#REF!)&gt;1)</formula>
    </cfRule>
    <cfRule type="duplicateValues" dxfId="1" priority="130"/>
    <cfRule type="duplicateValues" dxfId="0" priority="129"/>
  </conditionalFormatting>
  <conditionalFormatting sqref="U40">
    <cfRule type="duplicateValues" dxfId="1" priority="136"/>
    <cfRule type="duplicateValues" dxfId="0" priority="135"/>
    <cfRule type="expression" dxfId="2" priority="134">
      <formula>AND(#REF!&lt;&gt;"",COUNTIF($A:$A,#REF!)&gt;1)</formula>
    </cfRule>
  </conditionalFormatting>
  <conditionalFormatting sqref="A41">
    <cfRule type="duplicateValues" dxfId="1" priority="88"/>
  </conditionalFormatting>
  <conditionalFormatting sqref="B41">
    <cfRule type="duplicateValues" dxfId="1" priority="96"/>
  </conditionalFormatting>
  <conditionalFormatting sqref="T41">
    <cfRule type="expression" dxfId="2" priority="104">
      <formula>AND(#REF!&lt;&gt;"",COUNTIF($A:$A,#REF!)&gt;1)</formula>
    </cfRule>
    <cfRule type="duplicateValues" dxfId="1" priority="80"/>
    <cfRule type="duplicateValues" dxfId="0" priority="72"/>
  </conditionalFormatting>
  <conditionalFormatting sqref="U41">
    <cfRule type="duplicateValues" dxfId="1" priority="128"/>
    <cfRule type="duplicateValues" dxfId="0" priority="120"/>
    <cfRule type="expression" dxfId="2" priority="112">
      <formula>AND(#REF!&lt;&gt;"",COUNTIF($A:$A,#REF!)&gt;1)</formula>
    </cfRule>
  </conditionalFormatting>
  <conditionalFormatting sqref="A42">
    <cfRule type="duplicateValues" dxfId="1" priority="87"/>
  </conditionalFormatting>
  <conditionalFormatting sqref="B42">
    <cfRule type="duplicateValues" dxfId="1" priority="95"/>
  </conditionalFormatting>
  <conditionalFormatting sqref="T42">
    <cfRule type="expression" dxfId="2" priority="103">
      <formula>AND(#REF!&lt;&gt;"",COUNTIF($A:$A,#REF!)&gt;1)</formula>
    </cfRule>
    <cfRule type="duplicateValues" dxfId="1" priority="79"/>
    <cfRule type="duplicateValues" dxfId="0" priority="71"/>
  </conditionalFormatting>
  <conditionalFormatting sqref="U42">
    <cfRule type="duplicateValues" dxfId="1" priority="127"/>
    <cfRule type="duplicateValues" dxfId="0" priority="119"/>
    <cfRule type="expression" dxfId="2" priority="111">
      <formula>AND(#REF!&lt;&gt;"",COUNTIF($A:$A,#REF!)&gt;1)</formula>
    </cfRule>
  </conditionalFormatting>
  <conditionalFormatting sqref="A43">
    <cfRule type="duplicateValues" dxfId="1" priority="86"/>
  </conditionalFormatting>
  <conditionalFormatting sqref="B43">
    <cfRule type="duplicateValues" dxfId="1" priority="94"/>
  </conditionalFormatting>
  <conditionalFormatting sqref="T43">
    <cfRule type="expression" dxfId="2" priority="102">
      <formula>AND(#REF!&lt;&gt;"",COUNTIF($A:$A,#REF!)&gt;1)</formula>
    </cfRule>
    <cfRule type="duplicateValues" dxfId="1" priority="78"/>
    <cfRule type="duplicateValues" dxfId="0" priority="70"/>
  </conditionalFormatting>
  <conditionalFormatting sqref="U43">
    <cfRule type="duplicateValues" dxfId="1" priority="126"/>
    <cfRule type="duplicateValues" dxfId="0" priority="118"/>
    <cfRule type="expression" dxfId="2" priority="110">
      <formula>AND(#REF!&lt;&gt;"",COUNTIF($A:$A,#REF!)&gt;1)</formula>
    </cfRule>
  </conditionalFormatting>
  <conditionalFormatting sqref="A44">
    <cfRule type="duplicateValues" dxfId="1" priority="85"/>
  </conditionalFormatting>
  <conditionalFormatting sqref="B44">
    <cfRule type="duplicateValues" dxfId="1" priority="93"/>
  </conditionalFormatting>
  <conditionalFormatting sqref="T44">
    <cfRule type="expression" dxfId="2" priority="101">
      <formula>AND(#REF!&lt;&gt;"",COUNTIF($A:$A,#REF!)&gt;1)</formula>
    </cfRule>
    <cfRule type="duplicateValues" dxfId="1" priority="77"/>
    <cfRule type="duplicateValues" dxfId="0" priority="69"/>
  </conditionalFormatting>
  <conditionalFormatting sqref="U44">
    <cfRule type="duplicateValues" dxfId="1" priority="125"/>
    <cfRule type="duplicateValues" dxfId="0" priority="117"/>
    <cfRule type="expression" dxfId="2" priority="109">
      <formula>AND(#REF!&lt;&gt;"",COUNTIF($A:$A,#REF!)&gt;1)</formula>
    </cfRule>
  </conditionalFormatting>
  <conditionalFormatting sqref="A45">
    <cfRule type="duplicateValues" dxfId="1" priority="84"/>
  </conditionalFormatting>
  <conditionalFormatting sqref="B45">
    <cfRule type="duplicateValues" dxfId="1" priority="92"/>
  </conditionalFormatting>
  <conditionalFormatting sqref="T45">
    <cfRule type="expression" dxfId="2" priority="100">
      <formula>AND(#REF!&lt;&gt;"",COUNTIF($A:$A,#REF!)&gt;1)</formula>
    </cfRule>
    <cfRule type="duplicateValues" dxfId="1" priority="76"/>
    <cfRule type="duplicateValues" dxfId="0" priority="68"/>
  </conditionalFormatting>
  <conditionalFormatting sqref="U45">
    <cfRule type="duplicateValues" dxfId="1" priority="124"/>
    <cfRule type="duplicateValues" dxfId="0" priority="116"/>
    <cfRule type="expression" dxfId="2" priority="108">
      <formula>AND(#REF!&lt;&gt;"",COUNTIF($A:$A,#REF!)&gt;1)</formula>
    </cfRule>
  </conditionalFormatting>
  <conditionalFormatting sqref="A46">
    <cfRule type="duplicateValues" dxfId="1" priority="83"/>
  </conditionalFormatting>
  <conditionalFormatting sqref="B46">
    <cfRule type="duplicateValues" dxfId="1" priority="91"/>
  </conditionalFormatting>
  <conditionalFormatting sqref="T46">
    <cfRule type="expression" dxfId="2" priority="99">
      <formula>AND(#REF!&lt;&gt;"",COUNTIF($A:$A,#REF!)&gt;1)</formula>
    </cfRule>
    <cfRule type="duplicateValues" dxfId="1" priority="75"/>
    <cfRule type="duplicateValues" dxfId="0" priority="67"/>
  </conditionalFormatting>
  <conditionalFormatting sqref="U46">
    <cfRule type="duplicateValues" dxfId="1" priority="123"/>
    <cfRule type="duplicateValues" dxfId="0" priority="115"/>
    <cfRule type="expression" dxfId="2" priority="107">
      <formula>AND(#REF!&lt;&gt;"",COUNTIF($A:$A,#REF!)&gt;1)</formula>
    </cfRule>
  </conditionalFormatting>
  <conditionalFormatting sqref="A47">
    <cfRule type="duplicateValues" dxfId="1" priority="82"/>
  </conditionalFormatting>
  <conditionalFormatting sqref="B47">
    <cfRule type="duplicateValues" dxfId="1" priority="90"/>
  </conditionalFormatting>
  <conditionalFormatting sqref="T47">
    <cfRule type="expression" dxfId="2" priority="98">
      <formula>AND(#REF!&lt;&gt;"",COUNTIF($A:$A,#REF!)&gt;1)</formula>
    </cfRule>
    <cfRule type="duplicateValues" dxfId="1" priority="74"/>
    <cfRule type="duplicateValues" dxfId="0" priority="66"/>
  </conditionalFormatting>
  <conditionalFormatting sqref="U47">
    <cfRule type="duplicateValues" dxfId="1" priority="122"/>
    <cfRule type="duplicateValues" dxfId="0" priority="114"/>
    <cfRule type="expression" dxfId="2" priority="106">
      <formula>AND(#REF!&lt;&gt;"",COUNTIF($A:$A,#REF!)&gt;1)</formula>
    </cfRule>
  </conditionalFormatting>
  <conditionalFormatting sqref="A48">
    <cfRule type="duplicateValues" dxfId="1" priority="81"/>
  </conditionalFormatting>
  <conditionalFormatting sqref="B48">
    <cfRule type="duplicateValues" dxfId="1" priority="89"/>
  </conditionalFormatting>
  <conditionalFormatting sqref="T48">
    <cfRule type="expression" dxfId="2" priority="97">
      <formula>AND(#REF!&lt;&gt;"",COUNTIF($A:$A,#REF!)&gt;1)</formula>
    </cfRule>
    <cfRule type="duplicateValues" dxfId="1" priority="73"/>
    <cfRule type="duplicateValues" dxfId="0" priority="65"/>
  </conditionalFormatting>
  <conditionalFormatting sqref="U48">
    <cfRule type="duplicateValues" dxfId="1" priority="121"/>
    <cfRule type="duplicateValues" dxfId="0" priority="113"/>
    <cfRule type="expression" dxfId="2" priority="105">
      <formula>AND(#REF!&lt;&gt;"",COUNTIF($A:$A,#REF!)&gt;1)</formula>
    </cfRule>
  </conditionalFormatting>
  <conditionalFormatting sqref="A49">
    <cfRule type="duplicateValues" dxfId="1" priority="29"/>
  </conditionalFormatting>
  <conditionalFormatting sqref="B49">
    <cfRule type="duplicateValues" dxfId="1" priority="36"/>
  </conditionalFormatting>
  <conditionalFormatting sqref="T49">
    <cfRule type="expression" dxfId="2" priority="43">
      <formula>AND(#REF!&lt;&gt;"",COUNTIF($A:$A,#REF!)&gt;1)</formula>
    </cfRule>
    <cfRule type="duplicateValues" dxfId="1" priority="22"/>
    <cfRule type="duplicateValues" dxfId="0" priority="15"/>
  </conditionalFormatting>
  <conditionalFormatting sqref="U49">
    <cfRule type="duplicateValues" dxfId="1" priority="64"/>
    <cfRule type="duplicateValues" dxfId="0" priority="57"/>
    <cfRule type="expression" dxfId="2" priority="50">
      <formula>AND(#REF!&lt;&gt;"",COUNTIF($A:$A,#REF!)&gt;1)</formula>
    </cfRule>
  </conditionalFormatting>
  <conditionalFormatting sqref="A50">
    <cfRule type="duplicateValues" dxfId="1" priority="28"/>
  </conditionalFormatting>
  <conditionalFormatting sqref="B50">
    <cfRule type="duplicateValues" dxfId="1" priority="35"/>
  </conditionalFormatting>
  <conditionalFormatting sqref="T50">
    <cfRule type="expression" dxfId="2" priority="42">
      <formula>AND(#REF!&lt;&gt;"",COUNTIF($A:$A,#REF!)&gt;1)</formula>
    </cfRule>
    <cfRule type="duplicateValues" dxfId="1" priority="21"/>
    <cfRule type="duplicateValues" dxfId="0" priority="14"/>
  </conditionalFormatting>
  <conditionalFormatting sqref="U50">
    <cfRule type="duplicateValues" dxfId="1" priority="63"/>
    <cfRule type="duplicateValues" dxfId="0" priority="56"/>
    <cfRule type="expression" dxfId="2" priority="49">
      <formula>AND(#REF!&lt;&gt;"",COUNTIF($A:$A,#REF!)&gt;1)</formula>
    </cfRule>
  </conditionalFormatting>
  <conditionalFormatting sqref="A51">
    <cfRule type="duplicateValues" dxfId="1" priority="27"/>
  </conditionalFormatting>
  <conditionalFormatting sqref="B51">
    <cfRule type="duplicateValues" dxfId="1" priority="34"/>
  </conditionalFormatting>
  <conditionalFormatting sqref="T51">
    <cfRule type="expression" dxfId="2" priority="41">
      <formula>AND(#REF!&lt;&gt;"",COUNTIF($A:$A,#REF!)&gt;1)</formula>
    </cfRule>
    <cfRule type="duplicateValues" dxfId="1" priority="20"/>
    <cfRule type="duplicateValues" dxfId="0" priority="13"/>
  </conditionalFormatting>
  <conditionalFormatting sqref="U51">
    <cfRule type="duplicateValues" dxfId="1" priority="62"/>
    <cfRule type="duplicateValues" dxfId="0" priority="55"/>
    <cfRule type="expression" dxfId="2" priority="48">
      <formula>AND(#REF!&lt;&gt;"",COUNTIF($A:$A,#REF!)&gt;1)</formula>
    </cfRule>
  </conditionalFormatting>
  <conditionalFormatting sqref="A52">
    <cfRule type="duplicateValues" dxfId="1" priority="26"/>
  </conditionalFormatting>
  <conditionalFormatting sqref="B52">
    <cfRule type="duplicateValues" dxfId="1" priority="33"/>
  </conditionalFormatting>
  <conditionalFormatting sqref="T52">
    <cfRule type="expression" dxfId="2" priority="40">
      <formula>AND(#REF!&lt;&gt;"",COUNTIF($A:$A,#REF!)&gt;1)</formula>
    </cfRule>
    <cfRule type="duplicateValues" dxfId="1" priority="19"/>
    <cfRule type="duplicateValues" dxfId="0" priority="12"/>
  </conditionalFormatting>
  <conditionalFormatting sqref="U52">
    <cfRule type="duplicateValues" dxfId="1" priority="61"/>
    <cfRule type="duplicateValues" dxfId="0" priority="54"/>
    <cfRule type="expression" dxfId="2" priority="47">
      <formula>AND(#REF!&lt;&gt;"",COUNTIF($A:$A,#REF!)&gt;1)</formula>
    </cfRule>
  </conditionalFormatting>
  <conditionalFormatting sqref="A53">
    <cfRule type="duplicateValues" dxfId="1" priority="25"/>
  </conditionalFormatting>
  <conditionalFormatting sqref="B53">
    <cfRule type="duplicateValues" dxfId="1" priority="32"/>
  </conditionalFormatting>
  <conditionalFormatting sqref="T53">
    <cfRule type="expression" dxfId="2" priority="39">
      <formula>AND(#REF!&lt;&gt;"",COUNTIF($A:$A,#REF!)&gt;1)</formula>
    </cfRule>
    <cfRule type="duplicateValues" dxfId="1" priority="18"/>
    <cfRule type="duplicateValues" dxfId="0" priority="11"/>
  </conditionalFormatting>
  <conditionalFormatting sqref="U53">
    <cfRule type="duplicateValues" dxfId="1" priority="60"/>
    <cfRule type="duplicateValues" dxfId="0" priority="53"/>
    <cfRule type="expression" dxfId="2" priority="46">
      <formula>AND(#REF!&lt;&gt;"",COUNTIF($A:$A,#REF!)&gt;1)</formula>
    </cfRule>
  </conditionalFormatting>
  <conditionalFormatting sqref="A54">
    <cfRule type="duplicateValues" dxfId="1" priority="24"/>
  </conditionalFormatting>
  <conditionalFormatting sqref="B54">
    <cfRule type="duplicateValues" dxfId="1" priority="31"/>
  </conditionalFormatting>
  <conditionalFormatting sqref="T54">
    <cfRule type="expression" dxfId="2" priority="38">
      <formula>AND(#REF!&lt;&gt;"",COUNTIF($A:$A,#REF!)&gt;1)</formula>
    </cfRule>
    <cfRule type="duplicateValues" dxfId="1" priority="17"/>
    <cfRule type="duplicateValues" dxfId="0" priority="10"/>
  </conditionalFormatting>
  <conditionalFormatting sqref="U54">
    <cfRule type="duplicateValues" dxfId="1" priority="59"/>
    <cfRule type="duplicateValues" dxfId="0" priority="52"/>
    <cfRule type="expression" dxfId="2" priority="45">
      <formula>AND(#REF!&lt;&gt;"",COUNTIF($A:$A,#REF!)&gt;1)</formula>
    </cfRule>
  </conditionalFormatting>
  <conditionalFormatting sqref="A55">
    <cfRule type="duplicateValues" dxfId="1" priority="23"/>
  </conditionalFormatting>
  <conditionalFormatting sqref="B55">
    <cfRule type="duplicateValues" dxfId="1" priority="30"/>
  </conditionalFormatting>
  <conditionalFormatting sqref="T55">
    <cfRule type="expression" dxfId="2" priority="37">
      <formula>AND(#REF!&lt;&gt;"",COUNTIF($A:$A,#REF!)&gt;1)</formula>
    </cfRule>
    <cfRule type="duplicateValues" dxfId="1" priority="16"/>
    <cfRule type="duplicateValues" dxfId="0" priority="9"/>
  </conditionalFormatting>
  <conditionalFormatting sqref="U55">
    <cfRule type="duplicateValues" dxfId="1" priority="58"/>
    <cfRule type="duplicateValues" dxfId="0" priority="51"/>
    <cfRule type="expression" dxfId="2" priority="44">
      <formula>AND(#REF!&lt;&gt;"",COUNTIF($A:$A,#REF!)&gt;1)</formula>
    </cfRule>
  </conditionalFormatting>
  <conditionalFormatting sqref="A56">
    <cfRule type="duplicateValues" dxfId="1" priority="3"/>
  </conditionalFormatting>
  <conditionalFormatting sqref="B56">
    <cfRule type="duplicateValues" dxfId="1" priority="4"/>
  </conditionalFormatting>
  <conditionalFormatting sqref="T56">
    <cfRule type="expression" dxfId="2" priority="5">
      <formula>AND(#REF!&lt;&gt;"",COUNTIF($A:$A,#REF!)&gt;1)</formula>
    </cfRule>
    <cfRule type="duplicateValues" dxfId="1" priority="2"/>
    <cfRule type="duplicateValues" dxfId="0" priority="1"/>
  </conditionalFormatting>
  <conditionalFormatting sqref="U56">
    <cfRule type="duplicateValues" dxfId="1" priority="8"/>
    <cfRule type="duplicateValues" dxfId="0" priority="7"/>
    <cfRule type="expression" dxfId="2" priority="6">
      <formula>AND(#REF!&lt;&gt;"",COUNTIF($A:$A,#REF!)&gt;1)</formula>
    </cfRule>
  </conditionalFormatting>
  <conditionalFormatting sqref="A3:A4">
    <cfRule type="duplicateValues" dxfId="1" priority="331"/>
  </conditionalFormatting>
  <conditionalFormatting sqref="B3:B4">
    <cfRule type="duplicateValues" dxfId="1" priority="332"/>
  </conditionalFormatting>
  <conditionalFormatting sqref="T3:T4">
    <cfRule type="expression" dxfId="2" priority="319">
      <formula>AND(#REF!&lt;&gt;"",COUNTIF($A:$A,#REF!)&gt;1)</formula>
    </cfRule>
  </conditionalFormatting>
  <conditionalFormatting sqref="T5:T17">
    <cfRule type="duplicateValues" dxfId="0" priority="371"/>
    <cfRule type="duplicateValues" dxfId="1" priority="372"/>
  </conditionalFormatting>
  <conditionalFormatting sqref="T8:T9">
    <cfRule type="expression" dxfId="2" priority="470">
      <formula>AND(#REF!&lt;&gt;"",COUNTIF($A:$A,#REF!)&gt;1)</formula>
    </cfRule>
  </conditionalFormatting>
  <conditionalFormatting sqref="T15:T16">
    <cfRule type="expression" dxfId="2" priority="483">
      <formula>AND(#REF!&lt;&gt;"",COUNTIF($A:$A,#REF!)&gt;1)</formula>
    </cfRule>
  </conditionalFormatting>
  <conditionalFormatting sqref="A1:A2 A5:A17 A57:A1048576">
    <cfRule type="duplicateValues" dxfId="1" priority="450"/>
  </conditionalFormatting>
  <conditionalFormatting sqref="B1:B2 B5:B17 B57:B1048576">
    <cfRule type="duplicateValues" dxfId="1" priority="451"/>
  </conditionalFormatting>
  <conditionalFormatting sqref="T5:T7 T11:T14">
    <cfRule type="expression" dxfId="2" priority="370">
      <formula>AND(T7&lt;&gt;"",COUNTIF($A:$A,T7)&gt;1)</formula>
    </cfRule>
  </conditionalFormatting>
  <conditionalFormatting sqref="U5:U8 U11:U15">
    <cfRule type="expression" dxfId="2" priority="313">
      <formula>AND(U6&lt;&gt;"",COUNTIF($A:$A,U6)&gt;1)</formula>
    </cfRule>
    <cfRule type="duplicateValues" dxfId="0" priority="314"/>
    <cfRule type="duplicateValues" dxfId="1" priority="315"/>
  </conditionalFormatting>
  <dataValidations count="1">
    <dataValidation type="whole" operator="between" allowBlank="1" showInputMessage="1" showErrorMessage="1" sqref="T4:U56">
      <formula1>40000001</formula1>
      <formula2>49999999</formula2>
    </dataValidation>
  </dataValidations>
  <pageMargins left="0.699306" right="0.69930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workbookViewId="0">
      <selection activeCell="C5" sqref="C5"/>
    </sheetView>
  </sheetViews>
  <sheetFormatPr defaultColWidth="15.5462962962963" defaultRowHeight="13.2"/>
  <cols>
    <col min="1" max="1" width="12.3611111111111" style="8" customWidth="1"/>
    <col min="2" max="4" width="8.17592592592593" style="8" customWidth="1"/>
    <col min="5" max="5" width="12.3611111111111" style="8" customWidth="1"/>
    <col min="6" max="7" width="15.5462962962963" style="8" customWidth="1"/>
    <col min="8" max="8" width="60.0925925925926" style="8" customWidth="1"/>
    <col min="9" max="9" width="15.5462962962963" style="8" customWidth="1"/>
    <col min="10" max="16384" width="15.5462962962963" style="8"/>
  </cols>
  <sheetData>
    <row r="1" spans="1:10">
      <c r="A1" s="8" t="s">
        <v>240</v>
      </c>
      <c r="B1" s="8" t="s">
        <v>241</v>
      </c>
      <c r="C1" s="8" t="s">
        <v>58</v>
      </c>
      <c r="D1" s="8" t="s">
        <v>241</v>
      </c>
      <c r="E1" s="8" t="s">
        <v>242</v>
      </c>
      <c r="J1" s="8" t="s">
        <v>243</v>
      </c>
    </row>
    <row r="2" spans="1:10">
      <c r="A2" s="8" t="s">
        <v>122</v>
      </c>
      <c r="B2" s="8">
        <v>1</v>
      </c>
      <c r="C2" s="8" t="s">
        <v>123</v>
      </c>
      <c r="D2" s="8">
        <v>1</v>
      </c>
      <c r="E2" s="8" t="s">
        <v>244</v>
      </c>
      <c r="J2" s="8" t="s">
        <v>245</v>
      </c>
    </row>
    <row r="3" spans="1:10">
      <c r="A3" s="8" t="s">
        <v>166</v>
      </c>
      <c r="B3" s="8">
        <v>2</v>
      </c>
      <c r="C3" s="8" t="s">
        <v>174</v>
      </c>
      <c r="D3" s="8">
        <v>2</v>
      </c>
      <c r="E3" s="8" t="s">
        <v>246</v>
      </c>
      <c r="G3" s="8" t="s">
        <v>247</v>
      </c>
      <c r="J3" s="8" t="s">
        <v>248</v>
      </c>
    </row>
    <row r="4" spans="1:10">
      <c r="A4" s="8" t="s">
        <v>177</v>
      </c>
      <c r="B4" s="8">
        <v>3</v>
      </c>
      <c r="C4" s="8" t="s">
        <v>249</v>
      </c>
      <c r="D4" s="8">
        <v>3</v>
      </c>
      <c r="E4" s="8" t="s">
        <v>250</v>
      </c>
      <c r="G4" s="8" t="s">
        <v>251</v>
      </c>
      <c r="H4" s="11" t="s">
        <v>252</v>
      </c>
      <c r="J4" s="8" t="s">
        <v>253</v>
      </c>
    </row>
    <row r="5" spans="1:10">
      <c r="A5" s="8" t="s">
        <v>189</v>
      </c>
      <c r="B5" s="8">
        <v>4</v>
      </c>
      <c r="C5" s="8" t="s">
        <v>211</v>
      </c>
      <c r="D5" s="8">
        <v>4</v>
      </c>
      <c r="E5" s="8" t="s">
        <v>254</v>
      </c>
      <c r="G5" s="8" t="s">
        <v>255</v>
      </c>
      <c r="H5" s="12" t="s">
        <v>256</v>
      </c>
      <c r="J5" s="8" t="s">
        <v>257</v>
      </c>
    </row>
    <row r="6" spans="1:10">
      <c r="A6" s="8" t="s">
        <v>201</v>
      </c>
      <c r="B6" s="8">
        <v>5</v>
      </c>
      <c r="C6" s="8" t="s">
        <v>258</v>
      </c>
      <c r="D6" s="8">
        <v>5</v>
      </c>
      <c r="E6" s="8" t="s">
        <v>259</v>
      </c>
      <c r="G6" s="8" t="s">
        <v>260</v>
      </c>
      <c r="J6" s="8" t="s">
        <v>261</v>
      </c>
    </row>
    <row r="7" spans="1:10">
      <c r="A7" s="8" t="s">
        <v>213</v>
      </c>
      <c r="B7" s="8">
        <v>6</v>
      </c>
      <c r="C7" s="8" t="s">
        <v>262</v>
      </c>
      <c r="D7" s="8">
        <v>6</v>
      </c>
      <c r="E7" s="8" t="s">
        <v>254</v>
      </c>
      <c r="G7" s="8" t="s">
        <v>263</v>
      </c>
      <c r="J7" s="8" t="s">
        <v>264</v>
      </c>
    </row>
    <row r="8" spans="1:10">
      <c r="A8" s="8" t="s">
        <v>217</v>
      </c>
      <c r="B8" s="8">
        <v>7</v>
      </c>
      <c r="C8" s="8" t="s">
        <v>265</v>
      </c>
      <c r="D8" s="8">
        <v>7</v>
      </c>
      <c r="E8" s="8" t="s">
        <v>254</v>
      </c>
      <c r="G8" s="8" t="s">
        <v>266</v>
      </c>
      <c r="H8" s="8" t="s">
        <v>267</v>
      </c>
      <c r="J8" s="8" t="s">
        <v>268</v>
      </c>
    </row>
    <row r="9" spans="1:10">
      <c r="A9" s="8" t="s">
        <v>222</v>
      </c>
      <c r="B9" s="8">
        <v>8</v>
      </c>
      <c r="D9" s="8">
        <v>8</v>
      </c>
      <c r="G9" s="8" t="s">
        <v>269</v>
      </c>
      <c r="H9" s="13" t="s">
        <v>270</v>
      </c>
      <c r="J9" s="8" t="s">
        <v>271</v>
      </c>
    </row>
    <row r="10" spans="1:10">
      <c r="A10" s="8" t="s">
        <v>232</v>
      </c>
      <c r="B10" s="8">
        <v>9</v>
      </c>
      <c r="D10" s="8">
        <v>9</v>
      </c>
      <c r="G10" s="8" t="s">
        <v>272</v>
      </c>
      <c r="J10" s="8" t="s">
        <v>273</v>
      </c>
    </row>
    <row r="11" spans="1:10">
      <c r="A11" s="8" t="s">
        <v>274</v>
      </c>
      <c r="B11" s="8">
        <v>10</v>
      </c>
      <c r="D11" s="8">
        <v>10</v>
      </c>
      <c r="G11" s="8" t="s">
        <v>275</v>
      </c>
      <c r="J11" s="8" t="s">
        <v>276</v>
      </c>
    </row>
    <row r="12" spans="1:10">
      <c r="A12" s="8" t="s">
        <v>277</v>
      </c>
      <c r="B12" s="8">
        <v>11</v>
      </c>
      <c r="D12" s="8">
        <v>11</v>
      </c>
      <c r="J12" s="8" t="s">
        <v>278</v>
      </c>
    </row>
    <row r="13" spans="1:10">
      <c r="A13" s="8" t="s">
        <v>279</v>
      </c>
      <c r="B13" s="8">
        <v>12</v>
      </c>
    </row>
    <row r="14" spans="1:10">
      <c r="A14" s="8" t="s">
        <v>280</v>
      </c>
      <c r="B14" s="8">
        <v>13</v>
      </c>
    </row>
    <row r="15" spans="1:10">
      <c r="A15" s="8" t="s">
        <v>281</v>
      </c>
      <c r="B15" s="8">
        <v>14</v>
      </c>
    </row>
    <row r="16" spans="1:10">
      <c r="A16" s="8" t="s">
        <v>282</v>
      </c>
      <c r="B16" s="8">
        <v>15</v>
      </c>
    </row>
    <row r="17" spans="1:7">
      <c r="A17" s="8" t="s">
        <v>283</v>
      </c>
      <c r="B17" s="8">
        <v>16</v>
      </c>
      <c r="F17" s="8" t="s">
        <v>284</v>
      </c>
      <c r="G17" s="8" t="s">
        <v>285</v>
      </c>
    </row>
    <row r="18" spans="1:7">
      <c r="A18" s="8" t="s">
        <v>286</v>
      </c>
      <c r="B18" s="8">
        <v>17</v>
      </c>
      <c r="G18" s="8" t="s">
        <v>287</v>
      </c>
    </row>
    <row r="19" spans="1:7">
      <c r="A19" s="8" t="s">
        <v>288</v>
      </c>
      <c r="B19" s="8">
        <v>18</v>
      </c>
    </row>
    <row r="20" spans="1:7">
      <c r="A20" s="8" t="s">
        <v>289</v>
      </c>
      <c r="B20" s="8">
        <v>19</v>
      </c>
      <c r="F20" s="8" t="s">
        <v>290</v>
      </c>
    </row>
    <row r="21" spans="1:7">
      <c r="A21" s="8" t="s">
        <v>291</v>
      </c>
      <c r="B21" s="8">
        <v>20</v>
      </c>
      <c r="F21" s="8" t="s">
        <v>292</v>
      </c>
    </row>
    <row r="22" spans="1:7">
      <c r="A22" s="8" t="s">
        <v>293</v>
      </c>
      <c r="B22" s="8">
        <v>21</v>
      </c>
      <c r="F22" s="8" t="s">
        <v>294</v>
      </c>
    </row>
    <row r="23" spans="1:7">
      <c r="A23" s="8" t="s">
        <v>295</v>
      </c>
      <c r="B23" s="8">
        <v>22</v>
      </c>
      <c r="F23" s="8" t="s">
        <v>296</v>
      </c>
    </row>
    <row r="24" spans="1:7">
      <c r="A24" s="8" t="s">
        <v>297</v>
      </c>
      <c r="B24" s="8">
        <v>23</v>
      </c>
    </row>
    <row r="25" spans="1:7">
      <c r="A25" s="8" t="s">
        <v>298</v>
      </c>
      <c r="B25" s="8">
        <v>24</v>
      </c>
      <c r="F25" s="14" t="s">
        <v>299</v>
      </c>
    </row>
    <row r="26" spans="1:7">
      <c r="A26" s="8" t="s">
        <v>300</v>
      </c>
      <c r="B26" s="8">
        <v>25</v>
      </c>
    </row>
    <row r="27" spans="1:7">
      <c r="A27" s="8" t="s">
        <v>301</v>
      </c>
      <c r="B27" s="8">
        <v>26</v>
      </c>
    </row>
    <row r="28" spans="1:7">
      <c r="A28" s="8" t="s">
        <v>302</v>
      </c>
      <c r="B28" s="8">
        <v>27</v>
      </c>
    </row>
    <row r="29" spans="1:7">
      <c r="A29" s="8" t="s">
        <v>303</v>
      </c>
      <c r="B29" s="8">
        <v>28</v>
      </c>
    </row>
    <row r="30" spans="1:7">
      <c r="A30" s="8" t="s">
        <v>304</v>
      </c>
      <c r="B30" s="8">
        <v>29</v>
      </c>
    </row>
    <row r="31" spans="1:7">
      <c r="A31" s="8" t="s">
        <v>305</v>
      </c>
      <c r="B31" s="8">
        <v>30</v>
      </c>
    </row>
    <row r="32" spans="1:7">
      <c r="A32" s="8" t="s">
        <v>306</v>
      </c>
      <c r="B32" s="8">
        <v>31</v>
      </c>
    </row>
    <row r="33" spans="1:2">
      <c r="A33" s="8" t="s">
        <v>307</v>
      </c>
      <c r="B33" s="8">
        <v>32</v>
      </c>
    </row>
    <row r="34" spans="1:2">
      <c r="A34" s="8" t="s">
        <v>308</v>
      </c>
      <c r="B34" s="8">
        <v>33</v>
      </c>
    </row>
    <row r="35" spans="1:2">
      <c r="A35" s="8" t="s">
        <v>309</v>
      </c>
      <c r="B35" s="8">
        <v>34</v>
      </c>
    </row>
    <row r="36" spans="1:2">
      <c r="A36" s="8" t="s">
        <v>310</v>
      </c>
      <c r="B36" s="8">
        <v>35</v>
      </c>
    </row>
    <row r="37" spans="1:2">
      <c r="A37" s="8" t="s">
        <v>311</v>
      </c>
      <c r="B37" s="8">
        <v>36</v>
      </c>
    </row>
    <row r="38" spans="1:2">
      <c r="A38" s="8" t="s">
        <v>312</v>
      </c>
      <c r="B38" s="8">
        <v>37</v>
      </c>
    </row>
    <row r="39" spans="1:2">
      <c r="A39" s="8" t="s">
        <v>313</v>
      </c>
      <c r="B39" s="8">
        <v>38</v>
      </c>
    </row>
    <row r="40" spans="1:2">
      <c r="A40" s="8" t="s">
        <v>314</v>
      </c>
      <c r="B40" s="8">
        <v>39</v>
      </c>
    </row>
    <row r="41" spans="1:2">
      <c r="A41" s="8" t="s">
        <v>315</v>
      </c>
      <c r="B41" s="8">
        <v>40</v>
      </c>
    </row>
    <row r="42" spans="1:2">
      <c r="B42" s="8">
        <v>41</v>
      </c>
    </row>
    <row r="43" spans="1:2">
      <c r="B43" s="8">
        <v>42</v>
      </c>
    </row>
    <row r="44" spans="1:2">
      <c r="B44" s="8">
        <v>43</v>
      </c>
    </row>
    <row r="45" spans="1:2">
      <c r="B45" s="8">
        <v>44</v>
      </c>
    </row>
    <row r="46" spans="1:2">
      <c r="B46" s="8">
        <v>45</v>
      </c>
    </row>
    <row r="47" spans="1:2">
      <c r="B47" s="8">
        <v>46</v>
      </c>
    </row>
    <row r="48" spans="1:2">
      <c r="B48" s="8">
        <v>47</v>
      </c>
    </row>
    <row r="49" spans="2:2">
      <c r="B49" s="8">
        <v>48</v>
      </c>
    </row>
    <row r="50" spans="2:2">
      <c r="B50" s="8">
        <v>49</v>
      </c>
    </row>
    <row r="51" spans="2:2">
      <c r="B51" s="8">
        <v>50</v>
      </c>
    </row>
    <row r="52" spans="2:2">
      <c r="B52" s="8">
        <v>51</v>
      </c>
    </row>
    <row r="53" spans="2:2">
      <c r="B53" s="8">
        <v>52</v>
      </c>
    </row>
    <row r="54" spans="2:2">
      <c r="B54" s="8">
        <v>53</v>
      </c>
    </row>
    <row r="55" spans="2:2">
      <c r="B55" s="8">
        <v>54</v>
      </c>
    </row>
    <row r="56" spans="2:2">
      <c r="B56" s="8">
        <v>55</v>
      </c>
    </row>
    <row r="57" spans="2:2">
      <c r="B57" s="8">
        <v>56</v>
      </c>
    </row>
    <row r="58" spans="2:2">
      <c r="B58" s="8">
        <v>57</v>
      </c>
    </row>
    <row r="73" spans="3:3">
      <c r="C73" s="8" t="s">
        <v>316</v>
      </c>
    </row>
    <row r="74" spans="3:3">
      <c r="C74" s="8" t="s">
        <v>317</v>
      </c>
    </row>
    <row r="75" spans="3:3">
      <c r="C75" s="8" t="s">
        <v>318</v>
      </c>
    </row>
    <row r="76" spans="3:3">
      <c r="C76" s="8" t="s">
        <v>319</v>
      </c>
    </row>
    <row r="77" spans="3:3">
      <c r="C77" s="8" t="s">
        <v>320</v>
      </c>
    </row>
    <row r="78" spans="3:3">
      <c r="C78" s="8" t="s">
        <v>321</v>
      </c>
    </row>
    <row r="79" spans="3:3">
      <c r="C79" s="8" t="s">
        <v>322</v>
      </c>
    </row>
    <row r="80" spans="3:3">
      <c r="C80" s="8" t="s">
        <v>323</v>
      </c>
    </row>
    <row r="81" spans="3:3">
      <c r="C81" s="8" t="s">
        <v>324</v>
      </c>
    </row>
    <row r="82" spans="3:3">
      <c r="C82" s="8" t="s">
        <v>325</v>
      </c>
    </row>
    <row r="83" spans="3:3">
      <c r="C83" s="8" t="s">
        <v>326</v>
      </c>
    </row>
    <row r="84" spans="3:3">
      <c r="C84" s="8" t="s">
        <v>327</v>
      </c>
    </row>
    <row r="85" spans="3:3">
      <c r="C85" s="8" t="s">
        <v>328</v>
      </c>
    </row>
    <row r="98" spans="3:3">
      <c r="C98" s="8" t="s">
        <v>329</v>
      </c>
    </row>
    <row r="102" spans="3:3">
      <c r="C102" s="8" t="s">
        <v>330</v>
      </c>
    </row>
    <row r="103" spans="3:3">
      <c r="C103" s="8" t="s">
        <v>331</v>
      </c>
    </row>
    <row r="113" spans="3:4">
      <c r="C113" s="8" t="s">
        <v>332</v>
      </c>
      <c r="D113" s="8" t="s">
        <v>333</v>
      </c>
    </row>
    <row r="114" spans="3:4">
      <c r="C114" s="8" t="s">
        <v>334</v>
      </c>
      <c r="D114" s="8" t="s">
        <v>335</v>
      </c>
    </row>
    <row r="115" spans="3:4">
      <c r="C115" s="8" t="s">
        <v>336</v>
      </c>
      <c r="D115" s="8" t="s">
        <v>337</v>
      </c>
    </row>
    <row r="116" spans="3:4">
      <c r="C116" s="8" t="s">
        <v>338</v>
      </c>
      <c r="D116" s="8" t="s">
        <v>339</v>
      </c>
    </row>
    <row r="117" spans="3:4">
      <c r="C117" s="8" t="s">
        <v>340</v>
      </c>
      <c r="D117" s="8" t="s">
        <v>341</v>
      </c>
    </row>
    <row r="118" spans="3:4">
      <c r="C118" s="8" t="s">
        <v>342</v>
      </c>
      <c r="D118" s="8" t="s">
        <v>343</v>
      </c>
    </row>
    <row r="119" spans="3:4">
      <c r="C119" s="8" t="s">
        <v>344</v>
      </c>
      <c r="D119" s="8" t="s">
        <v>345</v>
      </c>
    </row>
    <row r="120" spans="3:4">
      <c r="C120" s="8" t="s">
        <v>346</v>
      </c>
    </row>
  </sheetData>
  <mergeCells count="2">
    <mergeCell ref="H5:H7"/>
    <mergeCell ref="H9:H11"/>
  </mergeCells>
  <pageMargins left="0.699306" right="0.69930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1"/>
  <sheetViews>
    <sheetView workbookViewId="0">
      <selection activeCell="K25" sqref="K25"/>
    </sheetView>
  </sheetViews>
  <sheetFormatPr defaultColWidth="9" defaultRowHeight="14.4"/>
  <cols>
    <col min="1" max="1" width="18.5462962962963" style="4" customWidth="1"/>
    <col min="3" max="3" width="3" style="4" customWidth="1"/>
    <col min="5" max="5" width="14.6296296296296" style="5" customWidth="1"/>
    <col min="6" max="6" width="19.5462962962963" style="4" customWidth="1"/>
    <col min="8" max="8" width="11.3611111111111" style="4" customWidth="1"/>
    <col min="11" max="11" width="13.6296296296296" style="4" customWidth="1"/>
  </cols>
  <sheetData>
    <row r="1" spans="1:18">
      <c r="A1" s="6" t="s">
        <v>347</v>
      </c>
      <c r="C1" s="6"/>
      <c r="E1" s="7" t="s">
        <v>348</v>
      </c>
      <c r="F1" s="8" t="s">
        <v>349</v>
      </c>
      <c r="H1" s="8" t="s">
        <v>350</v>
      </c>
      <c r="K1" t="s">
        <v>351</v>
      </c>
      <c r="N1" t="s">
        <v>352</v>
      </c>
      <c r="O1" t="s">
        <v>353</v>
      </c>
      <c r="Q1" t="s">
        <v>354</v>
      </c>
      <c r="R1" t="s">
        <v>355</v>
      </c>
    </row>
    <row r="2" spans="1:18">
      <c r="A2" s="6" t="s">
        <v>58</v>
      </c>
      <c r="C2" s="6"/>
      <c r="E2" s="7" t="s">
        <v>356</v>
      </c>
      <c r="F2" s="8" t="s">
        <v>357</v>
      </c>
      <c r="H2" s="8" t="s">
        <v>358</v>
      </c>
      <c r="K2" t="s">
        <v>359</v>
      </c>
      <c r="N2">
        <v>1</v>
      </c>
      <c r="O2" t="s">
        <v>246</v>
      </c>
      <c r="Q2" s="9" t="s">
        <v>360</v>
      </c>
      <c r="R2" s="9" t="s">
        <v>361</v>
      </c>
    </row>
    <row r="3" spans="1:18">
      <c r="A3" s="8" t="s">
        <v>362</v>
      </c>
      <c r="C3" s="8" t="s">
        <v>363</v>
      </c>
      <c r="E3" s="7" t="s">
        <v>364</v>
      </c>
      <c r="F3" s="8" t="s">
        <v>365</v>
      </c>
      <c r="H3" s="8" t="s">
        <v>366</v>
      </c>
      <c r="K3" t="s">
        <v>367</v>
      </c>
      <c r="N3">
        <v>2</v>
      </c>
      <c r="O3" t="s">
        <v>246</v>
      </c>
      <c r="Q3" s="10" t="s">
        <v>368</v>
      </c>
      <c r="R3" s="10" t="s">
        <v>369</v>
      </c>
    </row>
    <row r="4" spans="1:18">
      <c r="A4" s="8" t="s">
        <v>370</v>
      </c>
      <c r="C4" s="8" t="s">
        <v>371</v>
      </c>
      <c r="E4" s="7" t="s">
        <v>372</v>
      </c>
      <c r="F4" s="8" t="s">
        <v>373</v>
      </c>
      <c r="H4" s="8" t="s">
        <v>374</v>
      </c>
      <c r="K4" t="s">
        <v>375</v>
      </c>
      <c r="N4">
        <v>3</v>
      </c>
      <c r="O4" t="s">
        <v>246</v>
      </c>
      <c r="Q4" s="9" t="s">
        <v>376</v>
      </c>
      <c r="R4" s="9" t="s">
        <v>377</v>
      </c>
    </row>
    <row r="5" spans="1:18">
      <c r="A5" s="8" t="s">
        <v>378</v>
      </c>
      <c r="E5" s="7" t="s">
        <v>379</v>
      </c>
      <c r="F5" s="8" t="s">
        <v>380</v>
      </c>
      <c r="H5" s="8" t="s">
        <v>381</v>
      </c>
      <c r="N5">
        <v>4</v>
      </c>
      <c r="O5" t="s">
        <v>246</v>
      </c>
      <c r="Q5" s="9" t="s">
        <v>382</v>
      </c>
      <c r="R5" s="9" t="s">
        <v>383</v>
      </c>
    </row>
    <row r="6" spans="1:18">
      <c r="A6" s="8" t="s">
        <v>384</v>
      </c>
      <c r="E6" s="7" t="s">
        <v>385</v>
      </c>
      <c r="F6" s="8" t="s">
        <v>386</v>
      </c>
      <c r="H6" s="8" t="s">
        <v>387</v>
      </c>
      <c r="N6">
        <v>5</v>
      </c>
      <c r="O6" t="s">
        <v>246</v>
      </c>
    </row>
    <row r="7" spans="1:18">
      <c r="A7" s="8" t="s">
        <v>388</v>
      </c>
      <c r="E7" s="7" t="s">
        <v>389</v>
      </c>
      <c r="H7" s="8" t="s">
        <v>390</v>
      </c>
      <c r="N7">
        <v>6</v>
      </c>
      <c r="O7" t="s">
        <v>246</v>
      </c>
    </row>
    <row r="8" spans="1:18">
      <c r="E8" s="7" t="s">
        <v>391</v>
      </c>
      <c r="H8" s="8" t="s">
        <v>392</v>
      </c>
      <c r="N8">
        <v>7</v>
      </c>
      <c r="O8" t="s">
        <v>246</v>
      </c>
    </row>
    <row r="9" spans="1:18">
      <c r="E9" s="7" t="s">
        <v>393</v>
      </c>
      <c r="H9" s="8" t="s">
        <v>394</v>
      </c>
      <c r="N9">
        <v>8</v>
      </c>
      <c r="O9" t="s">
        <v>246</v>
      </c>
    </row>
    <row r="10" spans="1:18">
      <c r="E10" s="7" t="s">
        <v>395</v>
      </c>
      <c r="N10">
        <v>9</v>
      </c>
      <c r="O10" t="s">
        <v>246</v>
      </c>
    </row>
    <row r="11" spans="1:18">
      <c r="N11">
        <v>10</v>
      </c>
      <c r="O11" t="s">
        <v>246</v>
      </c>
    </row>
    <row r="12" spans="1:18">
      <c r="N12">
        <v>11</v>
      </c>
      <c r="O12" t="s">
        <v>246</v>
      </c>
    </row>
    <row r="13" spans="1:18">
      <c r="N13">
        <v>12</v>
      </c>
      <c r="O13" t="s">
        <v>246</v>
      </c>
    </row>
    <row r="14" spans="1:18">
      <c r="N14">
        <v>13</v>
      </c>
      <c r="O14" t="s">
        <v>246</v>
      </c>
    </row>
    <row r="15" spans="1:18">
      <c r="N15">
        <v>14</v>
      </c>
      <c r="O15" t="s">
        <v>246</v>
      </c>
    </row>
    <row r="16" spans="1:18">
      <c r="N16">
        <v>15</v>
      </c>
      <c r="O16" t="s">
        <v>396</v>
      </c>
    </row>
    <row r="17" spans="1:15">
      <c r="N17">
        <v>16</v>
      </c>
      <c r="O17" t="s">
        <v>396</v>
      </c>
    </row>
    <row r="18" spans="1:15">
      <c r="N18">
        <v>17</v>
      </c>
      <c r="O18" t="s">
        <v>396</v>
      </c>
    </row>
    <row r="19" spans="1:15">
      <c r="N19">
        <v>18</v>
      </c>
      <c r="O19" t="s">
        <v>396</v>
      </c>
    </row>
    <row r="20" spans="1:15">
      <c r="N20">
        <v>19</v>
      </c>
      <c r="O20" t="s">
        <v>396</v>
      </c>
    </row>
    <row r="21" spans="1:15">
      <c r="A21" s="8" t="s">
        <v>397</v>
      </c>
      <c r="N21">
        <v>20</v>
      </c>
      <c r="O21" t="s">
        <v>396</v>
      </c>
    </row>
    <row r="22" spans="1:15">
      <c r="A22" s="8" t="s">
        <v>398</v>
      </c>
      <c r="N22">
        <v>21</v>
      </c>
      <c r="O22" t="s">
        <v>396</v>
      </c>
    </row>
    <row r="23" spans="1:15">
      <c r="A23" s="8" t="s">
        <v>399</v>
      </c>
      <c r="N23">
        <v>22</v>
      </c>
      <c r="O23" t="s">
        <v>396</v>
      </c>
    </row>
    <row r="24" spans="1:15">
      <c r="A24" s="8" t="s">
        <v>400</v>
      </c>
      <c r="N24">
        <v>23</v>
      </c>
      <c r="O24" t="s">
        <v>396</v>
      </c>
    </row>
    <row r="25" spans="1:15">
      <c r="A25" s="8" t="s">
        <v>401</v>
      </c>
      <c r="N25">
        <v>24</v>
      </c>
      <c r="O25" t="s">
        <v>396</v>
      </c>
    </row>
    <row r="26" spans="1:15">
      <c r="A26" s="8" t="s">
        <v>402</v>
      </c>
      <c r="N26">
        <v>25</v>
      </c>
      <c r="O26" t="s">
        <v>396</v>
      </c>
    </row>
    <row r="27" spans="1:15">
      <c r="A27" s="8" t="s">
        <v>403</v>
      </c>
      <c r="N27">
        <v>26</v>
      </c>
      <c r="O27" t="s">
        <v>396</v>
      </c>
    </row>
    <row r="28" spans="1:15">
      <c r="A28" s="8" t="s">
        <v>404</v>
      </c>
      <c r="N28">
        <v>27</v>
      </c>
      <c r="O28" t="s">
        <v>396</v>
      </c>
    </row>
    <row r="29" spans="1:15">
      <c r="A29" s="8" t="s">
        <v>405</v>
      </c>
      <c r="N29">
        <v>28</v>
      </c>
      <c r="O29" t="s">
        <v>250</v>
      </c>
    </row>
    <row r="30" spans="1:15">
      <c r="N30">
        <v>29</v>
      </c>
      <c r="O30" t="s">
        <v>250</v>
      </c>
    </row>
    <row r="31" spans="1:15">
      <c r="N31">
        <v>30</v>
      </c>
      <c r="O31" t="s">
        <v>250</v>
      </c>
    </row>
    <row r="32" spans="1:15">
      <c r="N32">
        <v>31</v>
      </c>
      <c r="O32" t="s">
        <v>250</v>
      </c>
    </row>
    <row r="33" spans="14:15">
      <c r="N33">
        <v>32</v>
      </c>
      <c r="O33" t="s">
        <v>250</v>
      </c>
    </row>
    <row r="34" spans="14:15">
      <c r="N34">
        <v>33</v>
      </c>
      <c r="O34" t="s">
        <v>250</v>
      </c>
    </row>
    <row r="35" spans="14:15">
      <c r="N35">
        <v>34</v>
      </c>
      <c r="O35" t="s">
        <v>250</v>
      </c>
    </row>
    <row r="36" spans="14:15">
      <c r="N36">
        <v>35</v>
      </c>
      <c r="O36" t="s">
        <v>250</v>
      </c>
    </row>
    <row r="37" spans="14:15">
      <c r="N37">
        <v>36</v>
      </c>
      <c r="O37" t="s">
        <v>250</v>
      </c>
    </row>
    <row r="38" spans="14:15">
      <c r="N38">
        <v>37</v>
      </c>
      <c r="O38" t="s">
        <v>250</v>
      </c>
    </row>
    <row r="39" spans="14:15">
      <c r="N39">
        <v>38</v>
      </c>
      <c r="O39" t="s">
        <v>250</v>
      </c>
    </row>
    <row r="40" spans="14:15">
      <c r="N40">
        <v>39</v>
      </c>
      <c r="O40" t="s">
        <v>250</v>
      </c>
    </row>
    <row r="41" spans="14:15">
      <c r="N41">
        <v>40</v>
      </c>
      <c r="O41" t="s">
        <v>250</v>
      </c>
    </row>
    <row r="42" spans="14:15">
      <c r="N42">
        <v>41</v>
      </c>
      <c r="O42" t="s">
        <v>250</v>
      </c>
    </row>
    <row r="43" spans="14:15">
      <c r="N43">
        <v>42</v>
      </c>
      <c r="O43" t="s">
        <v>250</v>
      </c>
    </row>
    <row r="44" spans="14:15">
      <c r="N44">
        <v>43</v>
      </c>
      <c r="O44" t="s">
        <v>250</v>
      </c>
    </row>
    <row r="45" spans="14:15">
      <c r="N45">
        <v>44</v>
      </c>
      <c r="O45" t="s">
        <v>250</v>
      </c>
    </row>
    <row r="46" spans="14:15">
      <c r="N46">
        <v>45</v>
      </c>
      <c r="O46" t="s">
        <v>250</v>
      </c>
    </row>
    <row r="47" spans="14:15">
      <c r="N47">
        <v>46</v>
      </c>
      <c r="O47" t="s">
        <v>250</v>
      </c>
    </row>
    <row r="48" spans="14:15">
      <c r="N48">
        <v>47</v>
      </c>
      <c r="O48" t="s">
        <v>250</v>
      </c>
    </row>
    <row r="49" spans="14:15">
      <c r="N49">
        <v>48</v>
      </c>
      <c r="O49" t="s">
        <v>250</v>
      </c>
    </row>
    <row r="50" spans="14:15">
      <c r="N50">
        <v>49</v>
      </c>
      <c r="O50" t="s">
        <v>250</v>
      </c>
    </row>
    <row r="51" spans="14:15">
      <c r="N51">
        <v>50</v>
      </c>
      <c r="O51" t="s">
        <v>250</v>
      </c>
    </row>
    <row r="52" spans="14:15">
      <c r="N52">
        <v>51</v>
      </c>
      <c r="O52" t="s">
        <v>250</v>
      </c>
    </row>
    <row r="53" spans="14:15">
      <c r="N53">
        <v>52</v>
      </c>
      <c r="O53" t="s">
        <v>250</v>
      </c>
    </row>
    <row r="54" spans="14:15">
      <c r="N54">
        <v>53</v>
      </c>
      <c r="O54" t="s">
        <v>250</v>
      </c>
    </row>
    <row r="55" spans="14:15">
      <c r="N55">
        <v>54</v>
      </c>
      <c r="O55" t="s">
        <v>250</v>
      </c>
    </row>
    <row r="56" spans="14:15">
      <c r="N56">
        <v>55</v>
      </c>
      <c r="O56" t="s">
        <v>250</v>
      </c>
    </row>
    <row r="57" spans="14:15">
      <c r="N57">
        <v>56</v>
      </c>
      <c r="O57" t="s">
        <v>250</v>
      </c>
    </row>
    <row r="58" spans="14:15">
      <c r="N58">
        <v>57</v>
      </c>
      <c r="O58" t="s">
        <v>250</v>
      </c>
    </row>
    <row r="59" spans="14:15">
      <c r="N59">
        <v>58</v>
      </c>
      <c r="O59" t="s">
        <v>250</v>
      </c>
    </row>
    <row r="60" spans="14:15">
      <c r="N60">
        <v>59</v>
      </c>
      <c r="O60" t="s">
        <v>250</v>
      </c>
    </row>
    <row r="61" spans="14:15">
      <c r="N61">
        <v>60</v>
      </c>
      <c r="O61" t="s">
        <v>250</v>
      </c>
    </row>
    <row r="62" spans="14:15">
      <c r="N62">
        <v>61</v>
      </c>
      <c r="O62" t="s">
        <v>250</v>
      </c>
    </row>
    <row r="63" spans="14:15">
      <c r="N63">
        <v>62</v>
      </c>
      <c r="O63" t="s">
        <v>250</v>
      </c>
    </row>
    <row r="64" spans="14:15">
      <c r="N64">
        <v>63</v>
      </c>
      <c r="O64" t="s">
        <v>250</v>
      </c>
    </row>
    <row r="65" spans="14:15">
      <c r="N65">
        <v>64</v>
      </c>
      <c r="O65" t="s">
        <v>250</v>
      </c>
    </row>
    <row r="66" spans="14:15">
      <c r="N66">
        <v>65</v>
      </c>
      <c r="O66" t="s">
        <v>250</v>
      </c>
    </row>
    <row r="67" spans="14:15">
      <c r="N67">
        <v>66</v>
      </c>
      <c r="O67" t="s">
        <v>250</v>
      </c>
    </row>
    <row r="68" spans="14:15">
      <c r="N68">
        <v>67</v>
      </c>
      <c r="O68" t="s">
        <v>250</v>
      </c>
    </row>
    <row r="69" spans="14:15">
      <c r="N69">
        <v>68</v>
      </c>
      <c r="O69" t="s">
        <v>250</v>
      </c>
    </row>
    <row r="70" spans="14:15">
      <c r="N70">
        <v>69</v>
      </c>
      <c r="O70" t="s">
        <v>250</v>
      </c>
    </row>
    <row r="71" spans="14:15">
      <c r="N71">
        <v>70</v>
      </c>
      <c r="O71" t="s">
        <v>250</v>
      </c>
    </row>
    <row r="72" spans="14:15">
      <c r="N72">
        <v>71</v>
      </c>
      <c r="O72" t="s">
        <v>250</v>
      </c>
    </row>
    <row r="73" spans="14:15">
      <c r="N73">
        <v>72</v>
      </c>
      <c r="O73" t="s">
        <v>250</v>
      </c>
    </row>
    <row r="74" spans="14:15">
      <c r="N74">
        <v>73</v>
      </c>
      <c r="O74" t="s">
        <v>250</v>
      </c>
    </row>
    <row r="75" spans="14:15">
      <c r="N75">
        <v>74</v>
      </c>
      <c r="O75" t="s">
        <v>250</v>
      </c>
    </row>
    <row r="76" spans="14:15">
      <c r="N76">
        <v>75</v>
      </c>
      <c r="O76" t="s">
        <v>250</v>
      </c>
    </row>
    <row r="77" spans="14:15">
      <c r="N77">
        <v>76</v>
      </c>
      <c r="O77" t="s">
        <v>250</v>
      </c>
    </row>
    <row r="78" spans="14:15">
      <c r="N78">
        <v>77</v>
      </c>
      <c r="O78" t="s">
        <v>250</v>
      </c>
    </row>
    <row r="79" spans="14:15">
      <c r="N79">
        <v>78</v>
      </c>
      <c r="O79" t="s">
        <v>250</v>
      </c>
    </row>
    <row r="80" spans="14:15">
      <c r="N80">
        <v>79</v>
      </c>
      <c r="O80" t="s">
        <v>250</v>
      </c>
    </row>
    <row r="81" spans="14:15">
      <c r="N81">
        <v>80</v>
      </c>
      <c r="O81" t="s">
        <v>250</v>
      </c>
    </row>
    <row r="82" spans="14:15">
      <c r="N82">
        <v>81</v>
      </c>
      <c r="O82" t="s">
        <v>250</v>
      </c>
    </row>
    <row r="83" spans="14:15">
      <c r="N83">
        <v>82</v>
      </c>
      <c r="O83" t="s">
        <v>250</v>
      </c>
    </row>
    <row r="84" spans="14:15">
      <c r="N84">
        <v>83</v>
      </c>
      <c r="O84" t="s">
        <v>250</v>
      </c>
    </row>
    <row r="85" spans="14:15">
      <c r="N85">
        <v>84</v>
      </c>
      <c r="O85" t="s">
        <v>250</v>
      </c>
    </row>
    <row r="86" spans="14:15">
      <c r="N86">
        <v>85</v>
      </c>
      <c r="O86" t="s">
        <v>250</v>
      </c>
    </row>
    <row r="87" spans="14:15">
      <c r="N87">
        <v>86</v>
      </c>
      <c r="O87" t="s">
        <v>250</v>
      </c>
    </row>
    <row r="88" spans="14:15">
      <c r="N88">
        <v>87</v>
      </c>
      <c r="O88" t="s">
        <v>250</v>
      </c>
    </row>
    <row r="89" spans="14:15">
      <c r="N89">
        <v>88</v>
      </c>
      <c r="O89" t="s">
        <v>250</v>
      </c>
    </row>
    <row r="90" spans="14:15">
      <c r="N90">
        <v>89</v>
      </c>
      <c r="O90" t="s">
        <v>250</v>
      </c>
    </row>
    <row r="91" spans="14:15">
      <c r="N91">
        <v>90</v>
      </c>
      <c r="O91" t="s">
        <v>250</v>
      </c>
    </row>
    <row r="92" spans="14:15">
      <c r="N92">
        <v>91</v>
      </c>
      <c r="O92" t="s">
        <v>250</v>
      </c>
    </row>
    <row r="93" spans="14:15">
      <c r="N93">
        <v>92</v>
      </c>
      <c r="O93" t="s">
        <v>250</v>
      </c>
    </row>
    <row r="94" spans="14:15">
      <c r="N94">
        <v>93</v>
      </c>
      <c r="O94" t="s">
        <v>250</v>
      </c>
    </row>
    <row r="95" spans="14:15">
      <c r="N95">
        <v>94</v>
      </c>
      <c r="O95" t="s">
        <v>250</v>
      </c>
    </row>
    <row r="96" spans="14:15">
      <c r="N96">
        <v>95</v>
      </c>
      <c r="O96" t="s">
        <v>250</v>
      </c>
    </row>
    <row r="97" spans="14:15">
      <c r="N97">
        <v>96</v>
      </c>
      <c r="O97" t="s">
        <v>250</v>
      </c>
    </row>
    <row r="98" spans="14:15">
      <c r="N98">
        <v>97</v>
      </c>
      <c r="O98" t="s">
        <v>250</v>
      </c>
    </row>
    <row r="99" spans="14:15">
      <c r="N99">
        <v>98</v>
      </c>
      <c r="O99" t="s">
        <v>250</v>
      </c>
    </row>
    <row r="100" spans="14:15">
      <c r="N100">
        <v>99</v>
      </c>
      <c r="O100" t="s">
        <v>250</v>
      </c>
    </row>
    <row r="101" spans="14:15">
      <c r="N101">
        <v>100</v>
      </c>
      <c r="O101" t="s">
        <v>250</v>
      </c>
    </row>
    <row r="102" spans="14:15">
      <c r="N102">
        <v>101</v>
      </c>
      <c r="O102" t="s">
        <v>254</v>
      </c>
    </row>
    <row r="103" spans="14:15">
      <c r="N103">
        <v>102</v>
      </c>
      <c r="O103" t="s">
        <v>254</v>
      </c>
    </row>
    <row r="104" spans="14:15">
      <c r="N104">
        <v>103</v>
      </c>
      <c r="O104" t="s">
        <v>254</v>
      </c>
    </row>
    <row r="105" spans="14:15">
      <c r="N105">
        <v>104</v>
      </c>
      <c r="O105" t="s">
        <v>254</v>
      </c>
    </row>
    <row r="106" spans="14:15">
      <c r="N106">
        <v>105</v>
      </c>
      <c r="O106" t="s">
        <v>254</v>
      </c>
    </row>
    <row r="107" spans="14:15">
      <c r="N107">
        <v>106</v>
      </c>
      <c r="O107" t="s">
        <v>254</v>
      </c>
    </row>
    <row r="108" spans="14:15">
      <c r="N108">
        <v>107</v>
      </c>
      <c r="O108" t="s">
        <v>254</v>
      </c>
    </row>
    <row r="109" spans="14:15">
      <c r="N109">
        <v>108</v>
      </c>
      <c r="O109" t="s">
        <v>254</v>
      </c>
    </row>
    <row r="110" spans="14:15">
      <c r="N110">
        <v>109</v>
      </c>
      <c r="O110" t="s">
        <v>254</v>
      </c>
    </row>
    <row r="111" spans="14:15">
      <c r="N111">
        <v>110</v>
      </c>
      <c r="O111" t="s">
        <v>254</v>
      </c>
    </row>
    <row r="112" spans="14:15">
      <c r="N112">
        <v>111</v>
      </c>
      <c r="O112" t="s">
        <v>254</v>
      </c>
    </row>
    <row r="113" spans="14:15">
      <c r="N113">
        <v>112</v>
      </c>
      <c r="O113" t="s">
        <v>254</v>
      </c>
    </row>
    <row r="114" spans="14:15">
      <c r="N114">
        <v>113</v>
      </c>
      <c r="O114" t="s">
        <v>254</v>
      </c>
    </row>
    <row r="115" spans="14:15">
      <c r="N115">
        <v>114</v>
      </c>
      <c r="O115" t="s">
        <v>254</v>
      </c>
    </row>
    <row r="116" spans="14:15">
      <c r="N116">
        <v>115</v>
      </c>
      <c r="O116" t="s">
        <v>254</v>
      </c>
    </row>
    <row r="117" spans="14:15">
      <c r="N117">
        <v>116</v>
      </c>
      <c r="O117" t="s">
        <v>254</v>
      </c>
    </row>
    <row r="118" spans="14:15">
      <c r="N118">
        <v>117</v>
      </c>
      <c r="O118" t="s">
        <v>254</v>
      </c>
    </row>
    <row r="119" spans="14:15">
      <c r="N119">
        <v>118</v>
      </c>
      <c r="O119" t="s">
        <v>254</v>
      </c>
    </row>
    <row r="120" spans="14:15">
      <c r="N120">
        <v>119</v>
      </c>
      <c r="O120" t="s">
        <v>254</v>
      </c>
    </row>
    <row r="121" spans="14:15">
      <c r="N121">
        <v>120</v>
      </c>
      <c r="O121" t="s">
        <v>254</v>
      </c>
    </row>
    <row r="122" spans="14:15">
      <c r="N122">
        <v>121</v>
      </c>
      <c r="O122" t="s">
        <v>254</v>
      </c>
    </row>
    <row r="123" spans="14:15">
      <c r="N123">
        <v>122</v>
      </c>
      <c r="O123" t="s">
        <v>254</v>
      </c>
    </row>
    <row r="124" spans="14:15">
      <c r="N124">
        <v>123</v>
      </c>
      <c r="O124" t="s">
        <v>254</v>
      </c>
    </row>
    <row r="125" spans="14:15">
      <c r="N125">
        <v>124</v>
      </c>
      <c r="O125" t="s">
        <v>254</v>
      </c>
    </row>
    <row r="126" spans="14:15">
      <c r="N126">
        <v>125</v>
      </c>
      <c r="O126" t="s">
        <v>254</v>
      </c>
    </row>
    <row r="127" spans="14:15">
      <c r="N127">
        <v>126</v>
      </c>
      <c r="O127" t="s">
        <v>254</v>
      </c>
    </row>
    <row r="128" spans="14:15">
      <c r="N128">
        <v>127</v>
      </c>
      <c r="O128" t="s">
        <v>254</v>
      </c>
    </row>
    <row r="129" spans="14:15">
      <c r="N129">
        <v>128</v>
      </c>
      <c r="O129" t="s">
        <v>254</v>
      </c>
    </row>
    <row r="130" spans="14:15">
      <c r="N130">
        <v>129</v>
      </c>
      <c r="O130" t="s">
        <v>254</v>
      </c>
    </row>
    <row r="131" spans="14:15">
      <c r="N131">
        <v>130</v>
      </c>
      <c r="O131" t="s">
        <v>254</v>
      </c>
    </row>
    <row r="132" spans="14:15">
      <c r="N132">
        <v>131</v>
      </c>
      <c r="O132" t="s">
        <v>259</v>
      </c>
    </row>
    <row r="133" spans="14:15">
      <c r="N133">
        <v>132</v>
      </c>
      <c r="O133" t="s">
        <v>259</v>
      </c>
    </row>
    <row r="134" spans="14:15">
      <c r="N134">
        <v>133</v>
      </c>
      <c r="O134" t="s">
        <v>259</v>
      </c>
    </row>
    <row r="135" spans="14:15">
      <c r="N135">
        <v>134</v>
      </c>
      <c r="O135" t="s">
        <v>259</v>
      </c>
    </row>
    <row r="136" spans="14:15">
      <c r="N136">
        <v>135</v>
      </c>
      <c r="O136" t="s">
        <v>259</v>
      </c>
    </row>
    <row r="137" spans="14:15">
      <c r="N137">
        <v>136</v>
      </c>
      <c r="O137" t="s">
        <v>259</v>
      </c>
    </row>
    <row r="138" spans="14:15">
      <c r="N138">
        <v>137</v>
      </c>
      <c r="O138" t="s">
        <v>259</v>
      </c>
    </row>
    <row r="139" spans="14:15">
      <c r="N139">
        <v>138</v>
      </c>
      <c r="O139" t="s">
        <v>259</v>
      </c>
    </row>
    <row r="140" spans="14:15">
      <c r="N140">
        <v>139</v>
      </c>
      <c r="O140" t="s">
        <v>259</v>
      </c>
    </row>
    <row r="141" spans="14:15">
      <c r="N141">
        <v>140</v>
      </c>
      <c r="O141" t="s">
        <v>259</v>
      </c>
    </row>
    <row r="142" spans="14:15">
      <c r="N142">
        <v>141</v>
      </c>
      <c r="O142" t="s">
        <v>259</v>
      </c>
    </row>
    <row r="143" spans="14:15">
      <c r="N143">
        <v>142</v>
      </c>
      <c r="O143" t="s">
        <v>259</v>
      </c>
    </row>
    <row r="144" spans="14:15">
      <c r="N144">
        <v>143</v>
      </c>
      <c r="O144" t="s">
        <v>259</v>
      </c>
    </row>
    <row r="145" spans="14:15">
      <c r="N145">
        <v>144</v>
      </c>
      <c r="O145" t="s">
        <v>259</v>
      </c>
    </row>
    <row r="146" spans="14:15">
      <c r="N146">
        <v>145</v>
      </c>
      <c r="O146" t="s">
        <v>259</v>
      </c>
    </row>
    <row r="147" spans="14:15">
      <c r="N147">
        <v>146</v>
      </c>
      <c r="O147" t="s">
        <v>259</v>
      </c>
    </row>
    <row r="148" spans="14:15">
      <c r="N148">
        <v>147</v>
      </c>
      <c r="O148" t="s">
        <v>259</v>
      </c>
    </row>
    <row r="149" spans="14:15">
      <c r="N149">
        <v>148</v>
      </c>
      <c r="O149" t="s">
        <v>259</v>
      </c>
    </row>
    <row r="150" spans="14:15">
      <c r="N150">
        <v>149</v>
      </c>
      <c r="O150" t="s">
        <v>259</v>
      </c>
    </row>
    <row r="151" spans="14:15">
      <c r="N151">
        <v>150</v>
      </c>
      <c r="O151" t="s">
        <v>259</v>
      </c>
    </row>
    <row r="152" spans="14:15">
      <c r="N152">
        <v>151</v>
      </c>
      <c r="O152" t="s">
        <v>259</v>
      </c>
    </row>
    <row r="153" spans="14:15">
      <c r="N153">
        <v>152</v>
      </c>
      <c r="O153" t="s">
        <v>259</v>
      </c>
    </row>
    <row r="154" spans="14:15">
      <c r="N154">
        <v>153</v>
      </c>
      <c r="O154" t="s">
        <v>259</v>
      </c>
    </row>
    <row r="155" spans="14:15">
      <c r="N155">
        <v>154</v>
      </c>
      <c r="O155" t="s">
        <v>259</v>
      </c>
    </row>
    <row r="156" spans="14:15">
      <c r="N156">
        <v>155</v>
      </c>
      <c r="O156" t="s">
        <v>259</v>
      </c>
    </row>
    <row r="157" spans="14:15">
      <c r="N157">
        <v>156</v>
      </c>
      <c r="O157" t="s">
        <v>259</v>
      </c>
    </row>
    <row r="158" spans="14:15">
      <c r="N158">
        <v>157</v>
      </c>
      <c r="O158" t="s">
        <v>259</v>
      </c>
    </row>
    <row r="159" spans="14:15">
      <c r="N159">
        <v>158</v>
      </c>
      <c r="O159" t="s">
        <v>259</v>
      </c>
    </row>
    <row r="160" spans="14:15">
      <c r="N160">
        <v>159</v>
      </c>
      <c r="O160" t="s">
        <v>259</v>
      </c>
    </row>
    <row r="161" spans="14:15">
      <c r="N161">
        <v>160</v>
      </c>
      <c r="O161" t="s">
        <v>259</v>
      </c>
    </row>
  </sheetData>
  <conditionalFormatting sqref="Q2:R5">
    <cfRule type="expression" dxfId="3" priority="1">
      <formula>$F1=1</formula>
    </cfRule>
  </conditionalFormatting>
  <pageMargins left="0.699306" right="0.69930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版本变更"/>
  <dimension ref="A1:B42"/>
  <sheetViews>
    <sheetView topLeftCell="A3" workbookViewId="0">
      <selection activeCell="B34" sqref="B34"/>
    </sheetView>
  </sheetViews>
  <sheetFormatPr defaultColWidth="14" defaultRowHeight="18" customHeight="1" outlineLevelCol="1"/>
  <cols>
    <col min="1" max="1" width="14" style="1" customWidth="1"/>
    <col min="2" max="2" width="142.722222222222" style="1" customWidth="1"/>
    <col min="3" max="3" width="14" style="1" customWidth="1"/>
    <col min="4" max="16384" width="14" style="1"/>
  </cols>
  <sheetData>
    <row r="1" ht="15.6" spans="1:2">
      <c r="A1" s="1" t="s">
        <v>406</v>
      </c>
      <c r="B1" s="1" t="s">
        <v>407</v>
      </c>
    </row>
    <row r="2" ht="36" customHeight="1" spans="1:2">
      <c r="A2" s="2" t="s">
        <v>408</v>
      </c>
      <c r="B2" s="3" t="s">
        <v>409</v>
      </c>
    </row>
    <row r="3" ht="38" customHeight="1" spans="1:2">
      <c r="A3" s="2" t="s">
        <v>410</v>
      </c>
      <c r="B3" s="2" t="s">
        <v>411</v>
      </c>
    </row>
    <row r="4" ht="37" customHeight="1" spans="1:2">
      <c r="A4" s="2" t="s">
        <v>412</v>
      </c>
      <c r="B4" s="2" t="s">
        <v>413</v>
      </c>
    </row>
    <row r="5" ht="15.6" spans="1:2">
      <c r="A5" s="2" t="s">
        <v>414</v>
      </c>
      <c r="B5" s="1" t="s">
        <v>415</v>
      </c>
    </row>
    <row r="6" ht="15.6" spans="1:2">
      <c r="A6" s="2" t="s">
        <v>416</v>
      </c>
      <c r="B6" s="1" t="s">
        <v>417</v>
      </c>
    </row>
    <row r="7" ht="15.6" spans="1:2">
      <c r="A7" s="2" t="s">
        <v>418</v>
      </c>
      <c r="B7" s="1" t="s">
        <v>419</v>
      </c>
    </row>
    <row r="8" ht="15.6" spans="1:2">
      <c r="A8" s="2" t="s">
        <v>420</v>
      </c>
      <c r="B8" s="1" t="s">
        <v>421</v>
      </c>
    </row>
    <row r="9" ht="15.6" spans="1:2">
      <c r="A9" s="2" t="s">
        <v>422</v>
      </c>
      <c r="B9" s="1" t="s">
        <v>423</v>
      </c>
    </row>
    <row r="10" ht="15.6" spans="1:2">
      <c r="A10" s="2" t="s">
        <v>424</v>
      </c>
      <c r="B10" s="1" t="s">
        <v>425</v>
      </c>
    </row>
    <row r="11" ht="15.6" spans="1:2">
      <c r="A11" s="2" t="s">
        <v>426</v>
      </c>
      <c r="B11" s="1" t="s">
        <v>427</v>
      </c>
    </row>
    <row r="12" ht="15.6" spans="1:2">
      <c r="A12" s="2" t="s">
        <v>428</v>
      </c>
      <c r="B12" s="1" t="s">
        <v>429</v>
      </c>
    </row>
    <row r="13" ht="15.6" spans="1:2">
      <c r="A13" s="2" t="s">
        <v>430</v>
      </c>
      <c r="B13" s="1" t="s">
        <v>431</v>
      </c>
    </row>
    <row r="14" ht="15.6" spans="1:2">
      <c r="A14" s="2" t="s">
        <v>432</v>
      </c>
      <c r="B14" s="1" t="s">
        <v>433</v>
      </c>
    </row>
    <row r="15" ht="15.6" spans="1:2">
      <c r="A15" s="2" t="s">
        <v>434</v>
      </c>
      <c r="B15" s="1" t="s">
        <v>435</v>
      </c>
    </row>
    <row r="16" ht="15.6" spans="1:2">
      <c r="A16" s="2" t="s">
        <v>436</v>
      </c>
      <c r="B16" s="1" t="s">
        <v>437</v>
      </c>
    </row>
    <row r="17" ht="15.6" spans="1:2">
      <c r="A17" s="2" t="s">
        <v>438</v>
      </c>
      <c r="B17" s="1" t="s">
        <v>439</v>
      </c>
    </row>
    <row r="18" ht="15.6" spans="1:2">
      <c r="A18" s="2" t="s">
        <v>440</v>
      </c>
      <c r="B18" s="1" t="s">
        <v>441</v>
      </c>
    </row>
    <row r="19" ht="15.6" spans="1:2">
      <c r="A19" s="2" t="s">
        <v>442</v>
      </c>
    </row>
    <row r="20" ht="15.6" spans="1:2">
      <c r="A20" s="2" t="s">
        <v>443</v>
      </c>
    </row>
    <row r="21" ht="15.6" spans="1:2">
      <c r="A21" s="2" t="s">
        <v>444</v>
      </c>
    </row>
    <row r="22" ht="15.6" spans="1:2">
      <c r="A22" s="2" t="s">
        <v>445</v>
      </c>
    </row>
    <row r="23" ht="15.6" spans="1:2">
      <c r="A23" s="2" t="s">
        <v>446</v>
      </c>
    </row>
    <row r="24" ht="15.6" spans="1:2">
      <c r="A24" s="2" t="s">
        <v>447</v>
      </c>
    </row>
    <row r="25" ht="15.6" spans="1:2">
      <c r="A25" s="2" t="s">
        <v>448</v>
      </c>
      <c r="B25" s="1" t="s">
        <v>449</v>
      </c>
    </row>
    <row r="26" ht="15.6" spans="1:2">
      <c r="A26" s="2" t="s">
        <v>450</v>
      </c>
      <c r="B26" s="1" t="s">
        <v>451</v>
      </c>
    </row>
    <row r="27" ht="15.6" spans="1:2">
      <c r="A27" s="2" t="s">
        <v>452</v>
      </c>
      <c r="B27" s="1" t="s">
        <v>453</v>
      </c>
    </row>
    <row r="28" ht="59" customHeight="1" spans="1:2">
      <c r="A28" s="2" t="s">
        <v>454</v>
      </c>
      <c r="B28" s="2" t="s">
        <v>455</v>
      </c>
    </row>
    <row r="29" ht="15.6" spans="1:2">
      <c r="A29" s="2" t="s">
        <v>456</v>
      </c>
      <c r="B29" s="1" t="s">
        <v>457</v>
      </c>
    </row>
    <row r="30" ht="15.6" spans="1:2">
      <c r="A30" s="2" t="s">
        <v>458</v>
      </c>
      <c r="B30" s="1" t="s">
        <v>459</v>
      </c>
    </row>
    <row r="31" ht="15.6" spans="1:2">
      <c r="A31" s="2" t="s">
        <v>460</v>
      </c>
      <c r="B31" s="2" t="s">
        <v>461</v>
      </c>
    </row>
    <row r="32" ht="15.6" spans="1:2">
      <c r="A32" s="2" t="s">
        <v>462</v>
      </c>
      <c r="B32" s="1" t="s">
        <v>463</v>
      </c>
    </row>
    <row r="33" ht="15.6" spans="1:2">
      <c r="A33" s="2" t="s">
        <v>464</v>
      </c>
      <c r="B33" s="1" t="s">
        <v>465</v>
      </c>
    </row>
    <row r="34" ht="15.6" spans="1:2">
      <c r="A34" s="2" t="s">
        <v>466</v>
      </c>
    </row>
    <row r="35" ht="15.6" spans="1:2">
      <c r="A35" s="2" t="s">
        <v>467</v>
      </c>
    </row>
    <row r="36" ht="15.6" spans="1:2">
      <c r="A36" s="2" t="s">
        <v>468</v>
      </c>
    </row>
    <row r="37" ht="15.6" spans="1:2">
      <c r="A37" s="2" t="s">
        <v>469</v>
      </c>
    </row>
    <row r="38" ht="15.6" spans="1:2">
      <c r="A38" s="2" t="s">
        <v>470</v>
      </c>
    </row>
    <row r="39" ht="15.6" spans="1:2">
      <c r="A39" s="2" t="s">
        <v>471</v>
      </c>
    </row>
    <row r="40" ht="15.6" spans="1:2">
      <c r="A40" s="2" t="s">
        <v>472</v>
      </c>
    </row>
    <row r="41" ht="15.6" spans="1:2">
      <c r="A41" s="2"/>
    </row>
    <row r="42" ht="15.6" spans="1:2">
      <c r="A42" s="2"/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S540"/>
  <sheetViews>
    <sheetView workbookViewId="0">
      <selection activeCell="J29" sqref="J29"/>
    </sheetView>
  </sheetViews>
  <sheetFormatPr defaultColWidth="9" defaultRowHeight="14.4"/>
  <sheetData>
    <row r="1" spans="6:19">
      <c r="F1" t="s">
        <v>119</v>
      </c>
      <c r="G1" t="s">
        <v>473</v>
      </c>
      <c r="R1" t="s">
        <v>474</v>
      </c>
      <c r="S1" t="s">
        <v>473</v>
      </c>
    </row>
    <row r="2" spans="6:19">
      <c r="F2" t="s">
        <v>139</v>
      </c>
      <c r="G2" t="s">
        <v>475</v>
      </c>
      <c r="R2" t="s">
        <v>476</v>
      </c>
      <c r="S2" t="s">
        <v>473</v>
      </c>
    </row>
    <row r="3" spans="6:19">
      <c r="F3" t="s">
        <v>141</v>
      </c>
      <c r="G3" t="s">
        <v>475</v>
      </c>
      <c r="R3" t="s">
        <v>477</v>
      </c>
      <c r="S3" t="s">
        <v>473</v>
      </c>
    </row>
    <row r="4" spans="6:19">
      <c r="F4" t="s">
        <v>143</v>
      </c>
      <c r="G4" t="s">
        <v>475</v>
      </c>
      <c r="R4" t="s">
        <v>478</v>
      </c>
      <c r="S4" t="s">
        <v>473</v>
      </c>
    </row>
    <row r="5" spans="6:19">
      <c r="F5" t="s">
        <v>145</v>
      </c>
      <c r="G5" t="s">
        <v>475</v>
      </c>
      <c r="R5" t="s">
        <v>479</v>
      </c>
      <c r="S5" t="s">
        <v>473</v>
      </c>
    </row>
    <row r="6" spans="6:19">
      <c r="F6" t="s">
        <v>147</v>
      </c>
      <c r="G6" t="s">
        <v>475</v>
      </c>
      <c r="R6" t="s">
        <v>480</v>
      </c>
      <c r="S6" t="s">
        <v>473</v>
      </c>
    </row>
    <row r="7" spans="6:19">
      <c r="F7" t="s">
        <v>149</v>
      </c>
      <c r="G7" t="s">
        <v>475</v>
      </c>
      <c r="R7" t="s">
        <v>481</v>
      </c>
      <c r="S7" t="s">
        <v>473</v>
      </c>
    </row>
    <row r="8" spans="6:19">
      <c r="F8" t="s">
        <v>151</v>
      </c>
      <c r="G8" t="s">
        <v>475</v>
      </c>
      <c r="R8" t="s">
        <v>482</v>
      </c>
      <c r="S8" t="s">
        <v>473</v>
      </c>
    </row>
    <row r="9" spans="6:19">
      <c r="F9" t="s">
        <v>153</v>
      </c>
      <c r="G9" t="s">
        <v>475</v>
      </c>
      <c r="R9" t="s">
        <v>483</v>
      </c>
      <c r="S9" t="s">
        <v>473</v>
      </c>
    </row>
    <row r="10" spans="6:19">
      <c r="F10" t="s">
        <v>155</v>
      </c>
      <c r="G10" t="s">
        <v>475</v>
      </c>
      <c r="R10" t="s">
        <v>484</v>
      </c>
      <c r="S10" t="s">
        <v>473</v>
      </c>
    </row>
    <row r="11" spans="6:19">
      <c r="F11" t="s">
        <v>157</v>
      </c>
      <c r="G11" t="s">
        <v>475</v>
      </c>
      <c r="R11" t="s">
        <v>485</v>
      </c>
      <c r="S11" t="s">
        <v>473</v>
      </c>
    </row>
    <row r="12" spans="6:19">
      <c r="F12" t="s">
        <v>159</v>
      </c>
      <c r="G12" t="s">
        <v>475</v>
      </c>
      <c r="R12" t="s">
        <v>486</v>
      </c>
      <c r="S12" t="s">
        <v>473</v>
      </c>
    </row>
    <row r="13" spans="6:19">
      <c r="F13" t="s">
        <v>162</v>
      </c>
      <c r="G13" t="s">
        <v>473</v>
      </c>
      <c r="R13" t="s">
        <v>487</v>
      </c>
      <c r="S13" t="s">
        <v>473</v>
      </c>
    </row>
    <row r="14" spans="6:19">
      <c r="F14" t="s">
        <v>164</v>
      </c>
      <c r="G14" t="s">
        <v>475</v>
      </c>
      <c r="R14" t="s">
        <v>488</v>
      </c>
      <c r="S14" t="s">
        <v>473</v>
      </c>
    </row>
    <row r="15" spans="6:19">
      <c r="F15" t="s">
        <v>167</v>
      </c>
      <c r="G15" t="s">
        <v>473</v>
      </c>
      <c r="R15" t="s">
        <v>489</v>
      </c>
      <c r="S15" t="s">
        <v>473</v>
      </c>
    </row>
    <row r="16" spans="6:19">
      <c r="F16" t="s">
        <v>169</v>
      </c>
      <c r="G16" t="s">
        <v>475</v>
      </c>
      <c r="R16" t="s">
        <v>490</v>
      </c>
      <c r="S16" t="s">
        <v>473</v>
      </c>
    </row>
    <row r="17" spans="6:19">
      <c r="F17" t="s">
        <v>171</v>
      </c>
      <c r="G17" t="s">
        <v>473</v>
      </c>
      <c r="R17" t="s">
        <v>491</v>
      </c>
      <c r="S17" t="s">
        <v>473</v>
      </c>
    </row>
    <row r="18" spans="6:19">
      <c r="F18" t="s">
        <v>173</v>
      </c>
      <c r="G18" t="s">
        <v>475</v>
      </c>
      <c r="R18" t="s">
        <v>492</v>
      </c>
      <c r="S18" t="s">
        <v>473</v>
      </c>
    </row>
    <row r="19" spans="6:19">
      <c r="F19" t="s">
        <v>175</v>
      </c>
      <c r="G19" t="s">
        <v>475</v>
      </c>
      <c r="R19" t="s">
        <v>493</v>
      </c>
      <c r="S19" t="s">
        <v>473</v>
      </c>
    </row>
    <row r="20" spans="6:19">
      <c r="F20" t="s">
        <v>178</v>
      </c>
      <c r="G20" t="s">
        <v>473</v>
      </c>
      <c r="R20" t="s">
        <v>494</v>
      </c>
      <c r="S20" t="s">
        <v>473</v>
      </c>
    </row>
    <row r="21" spans="6:19">
      <c r="F21" t="s">
        <v>180</v>
      </c>
      <c r="G21" t="s">
        <v>475</v>
      </c>
    </row>
    <row r="22" spans="6:19">
      <c r="F22" t="s">
        <v>182</v>
      </c>
      <c r="G22" t="s">
        <v>475</v>
      </c>
    </row>
    <row r="23" spans="6:19">
      <c r="F23" t="s">
        <v>184</v>
      </c>
      <c r="G23" t="s">
        <v>473</v>
      </c>
    </row>
    <row r="24" spans="6:19">
      <c r="F24" t="s">
        <v>186</v>
      </c>
      <c r="G24" t="s">
        <v>475</v>
      </c>
    </row>
    <row r="25" spans="6:19">
      <c r="F25" t="s">
        <v>187</v>
      </c>
      <c r="G25" t="s">
        <v>475</v>
      </c>
    </row>
    <row r="26" spans="6:19">
      <c r="F26" t="s">
        <v>190</v>
      </c>
      <c r="G26" t="s">
        <v>475</v>
      </c>
    </row>
    <row r="27" spans="6:19">
      <c r="F27" t="s">
        <v>192</v>
      </c>
      <c r="G27" t="s">
        <v>473</v>
      </c>
    </row>
    <row r="28" spans="6:19">
      <c r="F28" t="s">
        <v>194</v>
      </c>
      <c r="G28" t="s">
        <v>475</v>
      </c>
    </row>
    <row r="29" spans="6:19">
      <c r="F29" t="s">
        <v>196</v>
      </c>
      <c r="G29" t="s">
        <v>473</v>
      </c>
    </row>
    <row r="30" spans="6:19">
      <c r="F30" t="s">
        <v>198</v>
      </c>
      <c r="G30" t="s">
        <v>475</v>
      </c>
    </row>
    <row r="31" spans="6:19">
      <c r="F31" t="s">
        <v>199</v>
      </c>
      <c r="G31" t="s">
        <v>475</v>
      </c>
    </row>
    <row r="32" spans="6:19">
      <c r="F32" t="s">
        <v>202</v>
      </c>
      <c r="G32" t="s">
        <v>475</v>
      </c>
    </row>
    <row r="33" spans="6:7">
      <c r="F33" t="s">
        <v>204</v>
      </c>
      <c r="G33" t="s">
        <v>473</v>
      </c>
    </row>
    <row r="34" spans="6:7">
      <c r="F34" t="s">
        <v>206</v>
      </c>
      <c r="G34" t="s">
        <v>473</v>
      </c>
    </row>
    <row r="35" spans="6:7">
      <c r="F35" t="s">
        <v>208</v>
      </c>
      <c r="G35" t="s">
        <v>475</v>
      </c>
    </row>
    <row r="36" spans="6:7">
      <c r="F36" t="s">
        <v>209</v>
      </c>
      <c r="G36" t="s">
        <v>473</v>
      </c>
    </row>
    <row r="37" spans="6:7">
      <c r="F37" t="s">
        <v>212</v>
      </c>
      <c r="G37" t="s">
        <v>475</v>
      </c>
    </row>
    <row r="38" spans="6:7">
      <c r="F38" t="s">
        <v>214</v>
      </c>
      <c r="G38" t="s">
        <v>473</v>
      </c>
    </row>
    <row r="39" spans="6:7">
      <c r="F39" t="s">
        <v>215</v>
      </c>
      <c r="G39" t="s">
        <v>475</v>
      </c>
    </row>
    <row r="40" spans="6:7">
      <c r="F40" t="s">
        <v>216</v>
      </c>
      <c r="G40" t="s">
        <v>475</v>
      </c>
    </row>
    <row r="41" spans="6:7">
      <c r="F41" t="s">
        <v>218</v>
      </c>
      <c r="G41" t="s">
        <v>475</v>
      </c>
    </row>
    <row r="42" spans="6:7">
      <c r="F42" t="s">
        <v>219</v>
      </c>
      <c r="G42" t="s">
        <v>475</v>
      </c>
    </row>
    <row r="43" spans="6:7">
      <c r="F43" t="s">
        <v>220</v>
      </c>
      <c r="G43" t="s">
        <v>475</v>
      </c>
    </row>
    <row r="44" spans="6:7">
      <c r="F44" t="s">
        <v>223</v>
      </c>
      <c r="G44" t="s">
        <v>475</v>
      </c>
    </row>
    <row r="45" spans="6:7">
      <c r="F45" t="s">
        <v>225</v>
      </c>
      <c r="G45" t="s">
        <v>475</v>
      </c>
    </row>
    <row r="46" spans="6:7">
      <c r="F46" t="s">
        <v>227</v>
      </c>
      <c r="G46" t="s">
        <v>475</v>
      </c>
    </row>
    <row r="47" spans="6:7">
      <c r="F47" t="s">
        <v>228</v>
      </c>
      <c r="G47" t="s">
        <v>475</v>
      </c>
    </row>
    <row r="48" spans="6:7">
      <c r="F48" t="s">
        <v>230</v>
      </c>
      <c r="G48" t="s">
        <v>475</v>
      </c>
    </row>
    <row r="49" spans="6:7">
      <c r="F49" t="s">
        <v>233</v>
      </c>
      <c r="G49" t="s">
        <v>475</v>
      </c>
    </row>
    <row r="50" spans="6:7">
      <c r="F50" t="s">
        <v>235</v>
      </c>
      <c r="G50" t="s">
        <v>475</v>
      </c>
    </row>
    <row r="51" spans="6:7">
      <c r="F51" t="s">
        <v>237</v>
      </c>
      <c r="G51" t="s">
        <v>475</v>
      </c>
    </row>
    <row r="52" spans="6:7">
      <c r="F52" t="s">
        <v>239</v>
      </c>
      <c r="G52" t="s">
        <v>475</v>
      </c>
    </row>
    <row r="53" spans="6:7">
      <c r="F53" t="s">
        <v>495</v>
      </c>
      <c r="G53" t="s">
        <v>475</v>
      </c>
    </row>
    <row r="54" spans="6:7">
      <c r="F54" t="s">
        <v>496</v>
      </c>
      <c r="G54" t="s">
        <v>475</v>
      </c>
    </row>
    <row r="55" spans="6:7">
      <c r="F55" t="s">
        <v>497</v>
      </c>
      <c r="G55" t="s">
        <v>475</v>
      </c>
    </row>
    <row r="56" spans="6:7">
      <c r="F56" t="s">
        <v>498</v>
      </c>
      <c r="G56" t="s">
        <v>475</v>
      </c>
    </row>
    <row r="57" spans="6:7">
      <c r="F57" t="s">
        <v>499</v>
      </c>
      <c r="G57" t="s">
        <v>475</v>
      </c>
    </row>
    <row r="58" spans="6:7">
      <c r="F58" t="s">
        <v>500</v>
      </c>
      <c r="G58" t="s">
        <v>475</v>
      </c>
    </row>
    <row r="59" spans="6:7">
      <c r="F59" t="s">
        <v>501</v>
      </c>
      <c r="G59" t="s">
        <v>475</v>
      </c>
    </row>
    <row r="60" spans="6:7">
      <c r="F60" t="s">
        <v>502</v>
      </c>
      <c r="G60" t="s">
        <v>475</v>
      </c>
    </row>
    <row r="61" spans="6:7">
      <c r="F61" t="s">
        <v>503</v>
      </c>
      <c r="G61" t="s">
        <v>475</v>
      </c>
    </row>
    <row r="62" spans="6:7">
      <c r="F62" t="s">
        <v>504</v>
      </c>
      <c r="G62" t="s">
        <v>475</v>
      </c>
    </row>
    <row r="63" spans="6:7">
      <c r="F63" t="s">
        <v>505</v>
      </c>
      <c r="G63" t="s">
        <v>475</v>
      </c>
    </row>
    <row r="64" spans="6:7">
      <c r="F64" t="s">
        <v>506</v>
      </c>
      <c r="G64" t="s">
        <v>475</v>
      </c>
    </row>
    <row r="65" spans="6:7">
      <c r="F65" t="s">
        <v>507</v>
      </c>
      <c r="G65" t="s">
        <v>475</v>
      </c>
    </row>
    <row r="66" spans="6:7">
      <c r="F66" t="s">
        <v>508</v>
      </c>
      <c r="G66" t="s">
        <v>475</v>
      </c>
    </row>
    <row r="67" spans="6:7">
      <c r="F67" t="s">
        <v>509</v>
      </c>
      <c r="G67" t="s">
        <v>475</v>
      </c>
    </row>
    <row r="68" spans="6:7">
      <c r="F68" t="s">
        <v>510</v>
      </c>
      <c r="G68" t="s">
        <v>475</v>
      </c>
    </row>
    <row r="69" spans="6:7">
      <c r="F69" t="s">
        <v>511</v>
      </c>
      <c r="G69" t="s">
        <v>475</v>
      </c>
    </row>
    <row r="70" spans="6:7">
      <c r="F70" t="s">
        <v>512</v>
      </c>
      <c r="G70" t="s">
        <v>475</v>
      </c>
    </row>
    <row r="71" spans="6:7">
      <c r="F71" t="s">
        <v>513</v>
      </c>
      <c r="G71" t="s">
        <v>475</v>
      </c>
    </row>
    <row r="72" spans="6:7">
      <c r="F72" t="s">
        <v>514</v>
      </c>
      <c r="G72" t="s">
        <v>475</v>
      </c>
    </row>
    <row r="73" spans="6:7">
      <c r="F73" t="s">
        <v>515</v>
      </c>
      <c r="G73" t="s">
        <v>475</v>
      </c>
    </row>
    <row r="74" spans="6:7">
      <c r="F74" t="s">
        <v>516</v>
      </c>
      <c r="G74" t="s">
        <v>475</v>
      </c>
    </row>
    <row r="75" spans="6:7">
      <c r="F75" t="s">
        <v>517</v>
      </c>
      <c r="G75" t="s">
        <v>475</v>
      </c>
    </row>
    <row r="76" spans="6:7">
      <c r="F76" t="s">
        <v>518</v>
      </c>
      <c r="G76" t="s">
        <v>475</v>
      </c>
    </row>
    <row r="77" spans="6:7">
      <c r="F77" t="s">
        <v>519</v>
      </c>
      <c r="G77" t="s">
        <v>475</v>
      </c>
    </row>
    <row r="78" spans="6:7">
      <c r="F78" t="s">
        <v>520</v>
      </c>
      <c r="G78" t="s">
        <v>475</v>
      </c>
    </row>
    <row r="79" spans="6:7">
      <c r="F79" t="s">
        <v>521</v>
      </c>
      <c r="G79" t="s">
        <v>475</v>
      </c>
    </row>
    <row r="80" spans="6:7">
      <c r="F80" t="s">
        <v>522</v>
      </c>
      <c r="G80" t="s">
        <v>475</v>
      </c>
    </row>
    <row r="81" spans="6:7">
      <c r="F81" t="s">
        <v>523</v>
      </c>
      <c r="G81" t="s">
        <v>475</v>
      </c>
    </row>
    <row r="82" spans="6:7">
      <c r="F82" t="s">
        <v>524</v>
      </c>
      <c r="G82" t="s">
        <v>473</v>
      </c>
    </row>
    <row r="83" spans="6:7">
      <c r="F83" t="s">
        <v>525</v>
      </c>
      <c r="G83" t="s">
        <v>475</v>
      </c>
    </row>
    <row r="84" spans="6:7">
      <c r="F84" t="s">
        <v>526</v>
      </c>
      <c r="G84" t="s">
        <v>475</v>
      </c>
    </row>
    <row r="85" spans="6:7">
      <c r="F85" t="s">
        <v>527</v>
      </c>
      <c r="G85" t="s">
        <v>475</v>
      </c>
    </row>
    <row r="86" spans="6:7">
      <c r="F86" t="s">
        <v>528</v>
      </c>
      <c r="G86" t="s">
        <v>475</v>
      </c>
    </row>
    <row r="87" spans="6:7">
      <c r="F87" t="s">
        <v>529</v>
      </c>
      <c r="G87" t="s">
        <v>475</v>
      </c>
    </row>
    <row r="88" spans="6:7">
      <c r="F88" t="s">
        <v>530</v>
      </c>
      <c r="G88" t="s">
        <v>475</v>
      </c>
    </row>
    <row r="89" spans="6:7">
      <c r="F89" t="s">
        <v>531</v>
      </c>
      <c r="G89" t="s">
        <v>475</v>
      </c>
    </row>
    <row r="90" spans="6:7">
      <c r="F90" t="s">
        <v>532</v>
      </c>
      <c r="G90" t="s">
        <v>475</v>
      </c>
    </row>
    <row r="91" spans="6:7">
      <c r="F91" t="s">
        <v>533</v>
      </c>
      <c r="G91" t="s">
        <v>473</v>
      </c>
    </row>
    <row r="92" spans="6:7">
      <c r="F92" t="s">
        <v>534</v>
      </c>
      <c r="G92" t="s">
        <v>475</v>
      </c>
    </row>
    <row r="93" spans="6:7">
      <c r="F93" t="s">
        <v>535</v>
      </c>
      <c r="G93" t="s">
        <v>475</v>
      </c>
    </row>
    <row r="94" spans="6:7">
      <c r="F94" t="s">
        <v>536</v>
      </c>
      <c r="G94" t="s">
        <v>475</v>
      </c>
    </row>
    <row r="95" spans="6:7">
      <c r="F95" t="s">
        <v>537</v>
      </c>
      <c r="G95" t="s">
        <v>475</v>
      </c>
    </row>
    <row r="96" spans="6:7">
      <c r="F96" t="s">
        <v>538</v>
      </c>
      <c r="G96" t="s">
        <v>475</v>
      </c>
    </row>
    <row r="97" spans="6:7">
      <c r="F97" t="s">
        <v>539</v>
      </c>
      <c r="G97" t="s">
        <v>475</v>
      </c>
    </row>
    <row r="98" spans="6:7">
      <c r="F98" t="s">
        <v>540</v>
      </c>
      <c r="G98" t="s">
        <v>475</v>
      </c>
    </row>
    <row r="99" spans="6:7">
      <c r="F99" t="s">
        <v>541</v>
      </c>
      <c r="G99" t="s">
        <v>475</v>
      </c>
    </row>
    <row r="100" spans="6:7">
      <c r="F100" t="s">
        <v>542</v>
      </c>
      <c r="G100" t="s">
        <v>475</v>
      </c>
    </row>
    <row r="101" spans="6:7">
      <c r="F101" t="s">
        <v>543</v>
      </c>
      <c r="G101" t="s">
        <v>475</v>
      </c>
    </row>
    <row r="102" spans="6:7">
      <c r="F102" t="s">
        <v>544</v>
      </c>
      <c r="G102" t="s">
        <v>475</v>
      </c>
    </row>
    <row r="103" spans="6:7">
      <c r="F103" t="s">
        <v>545</v>
      </c>
      <c r="G103" t="s">
        <v>475</v>
      </c>
    </row>
    <row r="104" spans="6:7">
      <c r="F104" t="s">
        <v>546</v>
      </c>
      <c r="G104" t="s">
        <v>475</v>
      </c>
    </row>
    <row r="105" spans="6:7">
      <c r="F105" t="s">
        <v>547</v>
      </c>
      <c r="G105" t="s">
        <v>475</v>
      </c>
    </row>
    <row r="106" spans="6:7">
      <c r="F106" t="s">
        <v>548</v>
      </c>
      <c r="G106" t="s">
        <v>473</v>
      </c>
    </row>
    <row r="107" spans="6:7">
      <c r="F107" t="s">
        <v>549</v>
      </c>
      <c r="G107" t="s">
        <v>473</v>
      </c>
    </row>
    <row r="108" spans="6:7">
      <c r="F108" t="s">
        <v>550</v>
      </c>
      <c r="G108" t="s">
        <v>475</v>
      </c>
    </row>
    <row r="109" spans="6:7">
      <c r="F109" t="s">
        <v>551</v>
      </c>
      <c r="G109" t="s">
        <v>475</v>
      </c>
    </row>
    <row r="110" spans="6:7">
      <c r="F110" t="s">
        <v>552</v>
      </c>
      <c r="G110" t="s">
        <v>475</v>
      </c>
    </row>
    <row r="111" spans="6:7">
      <c r="F111" t="s">
        <v>553</v>
      </c>
      <c r="G111" t="s">
        <v>475</v>
      </c>
    </row>
    <row r="112" spans="6:7">
      <c r="F112" t="s">
        <v>554</v>
      </c>
      <c r="G112" t="s">
        <v>475</v>
      </c>
    </row>
    <row r="113" spans="6:7">
      <c r="F113" t="s">
        <v>555</v>
      </c>
      <c r="G113" t="s">
        <v>475</v>
      </c>
    </row>
    <row r="114" spans="6:7">
      <c r="F114" t="s">
        <v>556</v>
      </c>
      <c r="G114" t="s">
        <v>475</v>
      </c>
    </row>
    <row r="115" spans="6:7">
      <c r="F115" t="s">
        <v>557</v>
      </c>
      <c r="G115" t="s">
        <v>475</v>
      </c>
    </row>
    <row r="116" spans="6:7">
      <c r="F116" t="s">
        <v>558</v>
      </c>
      <c r="G116" t="s">
        <v>475</v>
      </c>
    </row>
    <row r="117" spans="6:7">
      <c r="F117" t="s">
        <v>559</v>
      </c>
      <c r="G117" t="s">
        <v>475</v>
      </c>
    </row>
    <row r="118" spans="6:7">
      <c r="F118" t="s">
        <v>560</v>
      </c>
      <c r="G118" t="s">
        <v>475</v>
      </c>
    </row>
    <row r="119" spans="6:7">
      <c r="F119" t="s">
        <v>561</v>
      </c>
      <c r="G119" t="s">
        <v>475</v>
      </c>
    </row>
    <row r="120" spans="6:7">
      <c r="F120" t="s">
        <v>562</v>
      </c>
      <c r="G120" t="s">
        <v>473</v>
      </c>
    </row>
    <row r="121" spans="6:7">
      <c r="F121" t="s">
        <v>563</v>
      </c>
      <c r="G121" t="s">
        <v>475</v>
      </c>
    </row>
    <row r="122" spans="6:7">
      <c r="F122" t="s">
        <v>564</v>
      </c>
      <c r="G122" t="s">
        <v>473</v>
      </c>
    </row>
    <row r="123" spans="6:7">
      <c r="F123" t="s">
        <v>565</v>
      </c>
      <c r="G123" t="s">
        <v>475</v>
      </c>
    </row>
    <row r="124" spans="6:7">
      <c r="F124" t="s">
        <v>566</v>
      </c>
      <c r="G124" t="s">
        <v>475</v>
      </c>
    </row>
    <row r="125" spans="6:7">
      <c r="F125" t="s">
        <v>567</v>
      </c>
      <c r="G125" t="s">
        <v>475</v>
      </c>
    </row>
    <row r="126" spans="6:7">
      <c r="F126" t="s">
        <v>568</v>
      </c>
      <c r="G126" t="s">
        <v>475</v>
      </c>
    </row>
    <row r="127" spans="6:7">
      <c r="F127" t="s">
        <v>569</v>
      </c>
      <c r="G127" t="s">
        <v>475</v>
      </c>
    </row>
    <row r="128" spans="6:7">
      <c r="F128" t="s">
        <v>570</v>
      </c>
      <c r="G128" t="s">
        <v>473</v>
      </c>
    </row>
    <row r="129" spans="6:7">
      <c r="F129" t="s">
        <v>571</v>
      </c>
      <c r="G129" t="s">
        <v>475</v>
      </c>
    </row>
    <row r="130" spans="6:7">
      <c r="F130" t="s">
        <v>572</v>
      </c>
      <c r="G130" t="s">
        <v>475</v>
      </c>
    </row>
    <row r="131" spans="6:7">
      <c r="F131" t="s">
        <v>573</v>
      </c>
      <c r="G131" t="s">
        <v>475</v>
      </c>
    </row>
    <row r="132" spans="6:7">
      <c r="F132" t="s">
        <v>574</v>
      </c>
      <c r="G132" t="s">
        <v>475</v>
      </c>
    </row>
    <row r="133" spans="6:7">
      <c r="F133" t="s">
        <v>575</v>
      </c>
      <c r="G133" t="s">
        <v>473</v>
      </c>
    </row>
    <row r="134" spans="6:7">
      <c r="F134" t="s">
        <v>576</v>
      </c>
      <c r="G134" t="s">
        <v>475</v>
      </c>
    </row>
    <row r="135" spans="6:7">
      <c r="F135" t="s">
        <v>577</v>
      </c>
      <c r="G135" t="s">
        <v>475</v>
      </c>
    </row>
    <row r="136" spans="6:7">
      <c r="F136" t="s">
        <v>578</v>
      </c>
      <c r="G136" t="s">
        <v>475</v>
      </c>
    </row>
    <row r="137" spans="6:7">
      <c r="F137" t="s">
        <v>579</v>
      </c>
      <c r="G137" t="s">
        <v>475</v>
      </c>
    </row>
    <row r="138" spans="6:7">
      <c r="F138" t="s">
        <v>580</v>
      </c>
      <c r="G138" t="s">
        <v>475</v>
      </c>
    </row>
    <row r="139" spans="6:7">
      <c r="F139" t="s">
        <v>581</v>
      </c>
      <c r="G139" t="s">
        <v>475</v>
      </c>
    </row>
    <row r="140" spans="6:7">
      <c r="F140" t="s">
        <v>582</v>
      </c>
      <c r="G140" t="s">
        <v>475</v>
      </c>
    </row>
    <row r="141" spans="6:7">
      <c r="F141" t="s">
        <v>583</v>
      </c>
      <c r="G141" t="s">
        <v>475</v>
      </c>
    </row>
    <row r="142" spans="6:7">
      <c r="F142" t="s">
        <v>584</v>
      </c>
      <c r="G142" t="s">
        <v>475</v>
      </c>
    </row>
    <row r="143" spans="6:7">
      <c r="F143" t="s">
        <v>585</v>
      </c>
      <c r="G143" t="s">
        <v>475</v>
      </c>
    </row>
    <row r="144" spans="6:7">
      <c r="F144" t="s">
        <v>586</v>
      </c>
      <c r="G144" t="s">
        <v>475</v>
      </c>
    </row>
    <row r="145" spans="6:7">
      <c r="F145" t="s">
        <v>587</v>
      </c>
      <c r="G145" t="s">
        <v>475</v>
      </c>
    </row>
    <row r="146" spans="6:7">
      <c r="F146" t="s">
        <v>588</v>
      </c>
      <c r="G146" t="s">
        <v>475</v>
      </c>
    </row>
    <row r="147" spans="6:7">
      <c r="F147" t="s">
        <v>589</v>
      </c>
      <c r="G147" t="s">
        <v>475</v>
      </c>
    </row>
    <row r="148" spans="6:7">
      <c r="F148" t="s">
        <v>590</v>
      </c>
      <c r="G148" t="s">
        <v>475</v>
      </c>
    </row>
    <row r="149" spans="6:7">
      <c r="F149" t="s">
        <v>591</v>
      </c>
      <c r="G149" t="s">
        <v>475</v>
      </c>
    </row>
    <row r="150" spans="6:7">
      <c r="F150" t="s">
        <v>592</v>
      </c>
      <c r="G150" t="s">
        <v>475</v>
      </c>
    </row>
    <row r="151" spans="6:7">
      <c r="F151" t="s">
        <v>593</v>
      </c>
      <c r="G151" t="s">
        <v>475</v>
      </c>
    </row>
    <row r="152" spans="6:7">
      <c r="F152" t="s">
        <v>594</v>
      </c>
      <c r="G152" t="s">
        <v>475</v>
      </c>
    </row>
    <row r="153" spans="6:7">
      <c r="F153" t="s">
        <v>595</v>
      </c>
      <c r="G153" t="s">
        <v>475</v>
      </c>
    </row>
    <row r="154" spans="6:7">
      <c r="F154" t="s">
        <v>596</v>
      </c>
      <c r="G154" t="s">
        <v>475</v>
      </c>
    </row>
    <row r="155" spans="6:7">
      <c r="F155" t="s">
        <v>597</v>
      </c>
      <c r="G155" t="s">
        <v>475</v>
      </c>
    </row>
    <row r="156" spans="6:7">
      <c r="F156" t="s">
        <v>598</v>
      </c>
      <c r="G156" t="s">
        <v>475</v>
      </c>
    </row>
    <row r="157" spans="6:7">
      <c r="F157" t="s">
        <v>599</v>
      </c>
      <c r="G157" t="s">
        <v>475</v>
      </c>
    </row>
    <row r="158" spans="6:7">
      <c r="F158" t="s">
        <v>600</v>
      </c>
      <c r="G158" t="s">
        <v>475</v>
      </c>
    </row>
    <row r="159" spans="6:7">
      <c r="F159" t="s">
        <v>601</v>
      </c>
      <c r="G159" t="s">
        <v>475</v>
      </c>
    </row>
    <row r="160" spans="6:7">
      <c r="F160" t="s">
        <v>602</v>
      </c>
      <c r="G160" t="s">
        <v>475</v>
      </c>
    </row>
    <row r="161" spans="6:7">
      <c r="F161" t="s">
        <v>603</v>
      </c>
      <c r="G161" t="s">
        <v>475</v>
      </c>
    </row>
    <row r="162" spans="6:7">
      <c r="F162" t="s">
        <v>604</v>
      </c>
      <c r="G162" t="s">
        <v>475</v>
      </c>
    </row>
    <row r="163" spans="6:7">
      <c r="F163" t="s">
        <v>605</v>
      </c>
      <c r="G163" t="s">
        <v>475</v>
      </c>
    </row>
    <row r="164" spans="6:7">
      <c r="F164" t="s">
        <v>606</v>
      </c>
      <c r="G164" t="s">
        <v>475</v>
      </c>
    </row>
    <row r="165" spans="6:7">
      <c r="F165" t="s">
        <v>607</v>
      </c>
      <c r="G165" t="s">
        <v>475</v>
      </c>
    </row>
    <row r="166" spans="6:7">
      <c r="F166" t="s">
        <v>608</v>
      </c>
      <c r="G166" t="s">
        <v>475</v>
      </c>
    </row>
    <row r="167" spans="6:7">
      <c r="F167" t="s">
        <v>609</v>
      </c>
      <c r="G167" t="s">
        <v>475</v>
      </c>
    </row>
    <row r="168" spans="6:7">
      <c r="F168" t="s">
        <v>610</v>
      </c>
      <c r="G168" t="s">
        <v>475</v>
      </c>
    </row>
    <row r="169" spans="6:7">
      <c r="F169" t="s">
        <v>611</v>
      </c>
      <c r="G169" t="s">
        <v>475</v>
      </c>
    </row>
    <row r="170" spans="6:7">
      <c r="F170" t="s">
        <v>612</v>
      </c>
      <c r="G170" t="s">
        <v>475</v>
      </c>
    </row>
    <row r="171" spans="6:7">
      <c r="F171" t="s">
        <v>613</v>
      </c>
      <c r="G171" t="s">
        <v>475</v>
      </c>
    </row>
    <row r="172" spans="6:7">
      <c r="F172" t="s">
        <v>614</v>
      </c>
      <c r="G172" t="s">
        <v>475</v>
      </c>
    </row>
    <row r="173" spans="6:7">
      <c r="F173" t="s">
        <v>615</v>
      </c>
      <c r="G173" t="s">
        <v>475</v>
      </c>
    </row>
    <row r="174" spans="6:7">
      <c r="F174" t="s">
        <v>616</v>
      </c>
      <c r="G174" t="s">
        <v>475</v>
      </c>
    </row>
    <row r="175" spans="6:7">
      <c r="F175" t="s">
        <v>617</v>
      </c>
      <c r="G175" t="s">
        <v>475</v>
      </c>
    </row>
    <row r="176" spans="6:7">
      <c r="F176" t="s">
        <v>618</v>
      </c>
      <c r="G176" t="s">
        <v>475</v>
      </c>
    </row>
    <row r="177" spans="6:7">
      <c r="F177" t="s">
        <v>619</v>
      </c>
      <c r="G177" t="s">
        <v>475</v>
      </c>
    </row>
    <row r="178" spans="6:7">
      <c r="F178" t="s">
        <v>620</v>
      </c>
      <c r="G178" t="s">
        <v>475</v>
      </c>
    </row>
    <row r="179" spans="6:7">
      <c r="F179" t="s">
        <v>621</v>
      </c>
      <c r="G179" t="s">
        <v>475</v>
      </c>
    </row>
    <row r="180" spans="6:7">
      <c r="F180" t="s">
        <v>622</v>
      </c>
      <c r="G180" t="s">
        <v>475</v>
      </c>
    </row>
    <row r="181" spans="6:7">
      <c r="F181" t="s">
        <v>623</v>
      </c>
      <c r="G181" t="s">
        <v>475</v>
      </c>
    </row>
    <row r="182" spans="6:7">
      <c r="F182" t="s">
        <v>624</v>
      </c>
      <c r="G182" t="s">
        <v>475</v>
      </c>
    </row>
    <row r="183" spans="6:7">
      <c r="F183" t="s">
        <v>625</v>
      </c>
      <c r="G183" t="s">
        <v>475</v>
      </c>
    </row>
    <row r="184" spans="6:7">
      <c r="F184" t="s">
        <v>626</v>
      </c>
      <c r="G184" t="s">
        <v>475</v>
      </c>
    </row>
    <row r="185" spans="6:7">
      <c r="F185" t="s">
        <v>627</v>
      </c>
      <c r="G185" t="s">
        <v>475</v>
      </c>
    </row>
    <row r="186" spans="6:7">
      <c r="F186" t="s">
        <v>628</v>
      </c>
      <c r="G186" t="s">
        <v>475</v>
      </c>
    </row>
    <row r="187" spans="6:7">
      <c r="F187" t="s">
        <v>629</v>
      </c>
      <c r="G187" t="s">
        <v>475</v>
      </c>
    </row>
    <row r="188" spans="6:7">
      <c r="F188" t="s">
        <v>630</v>
      </c>
      <c r="G188" t="s">
        <v>475</v>
      </c>
    </row>
    <row r="189" spans="6:7">
      <c r="F189" t="s">
        <v>631</v>
      </c>
      <c r="G189" t="s">
        <v>475</v>
      </c>
    </row>
    <row r="190" spans="6:7">
      <c r="F190" t="s">
        <v>632</v>
      </c>
      <c r="G190" t="s">
        <v>475</v>
      </c>
    </row>
    <row r="191" spans="6:7">
      <c r="F191" t="s">
        <v>633</v>
      </c>
      <c r="G191" t="s">
        <v>475</v>
      </c>
    </row>
    <row r="192" spans="6:7">
      <c r="F192" t="s">
        <v>634</v>
      </c>
      <c r="G192" t="s">
        <v>475</v>
      </c>
    </row>
    <row r="193" spans="6:7">
      <c r="F193" t="s">
        <v>635</v>
      </c>
      <c r="G193" t="s">
        <v>475</v>
      </c>
    </row>
    <row r="194" spans="6:7">
      <c r="F194" t="s">
        <v>636</v>
      </c>
      <c r="G194" t="s">
        <v>475</v>
      </c>
    </row>
    <row r="195" spans="6:7">
      <c r="F195" t="s">
        <v>637</v>
      </c>
      <c r="G195" t="s">
        <v>475</v>
      </c>
    </row>
    <row r="196" spans="6:7">
      <c r="F196" t="s">
        <v>638</v>
      </c>
      <c r="G196" t="s">
        <v>475</v>
      </c>
    </row>
    <row r="197" spans="6:7">
      <c r="F197" t="s">
        <v>639</v>
      </c>
      <c r="G197" t="s">
        <v>475</v>
      </c>
    </row>
    <row r="198" spans="6:7">
      <c r="F198" t="s">
        <v>640</v>
      </c>
      <c r="G198" t="s">
        <v>475</v>
      </c>
    </row>
    <row r="199" spans="6:7">
      <c r="F199" t="s">
        <v>641</v>
      </c>
      <c r="G199" t="s">
        <v>475</v>
      </c>
    </row>
    <row r="200" spans="6:7">
      <c r="F200" t="s">
        <v>642</v>
      </c>
      <c r="G200" t="s">
        <v>475</v>
      </c>
    </row>
    <row r="201" spans="6:7">
      <c r="F201" t="s">
        <v>643</v>
      </c>
      <c r="G201" t="s">
        <v>475</v>
      </c>
    </row>
    <row r="202" spans="6:7">
      <c r="F202" t="s">
        <v>644</v>
      </c>
      <c r="G202" t="s">
        <v>475</v>
      </c>
    </row>
    <row r="203" spans="6:7">
      <c r="F203" t="s">
        <v>645</v>
      </c>
      <c r="G203" t="s">
        <v>475</v>
      </c>
    </row>
    <row r="204" spans="6:7">
      <c r="F204" t="s">
        <v>646</v>
      </c>
      <c r="G204" t="s">
        <v>475</v>
      </c>
    </row>
    <row r="205" spans="6:7">
      <c r="F205" t="s">
        <v>647</v>
      </c>
      <c r="G205" t="s">
        <v>475</v>
      </c>
    </row>
    <row r="206" spans="6:7">
      <c r="F206" t="s">
        <v>648</v>
      </c>
      <c r="G206" t="s">
        <v>475</v>
      </c>
    </row>
    <row r="207" spans="6:7">
      <c r="F207" t="s">
        <v>649</v>
      </c>
      <c r="G207" t="s">
        <v>475</v>
      </c>
    </row>
    <row r="208" spans="6:7">
      <c r="F208" t="s">
        <v>650</v>
      </c>
      <c r="G208" t="s">
        <v>475</v>
      </c>
    </row>
    <row r="209" spans="6:7">
      <c r="F209" t="s">
        <v>651</v>
      </c>
      <c r="G209" t="s">
        <v>475</v>
      </c>
    </row>
    <row r="210" spans="6:7">
      <c r="F210" t="s">
        <v>652</v>
      </c>
      <c r="G210" t="s">
        <v>475</v>
      </c>
    </row>
    <row r="211" spans="6:7">
      <c r="F211" t="s">
        <v>653</v>
      </c>
      <c r="G211" t="s">
        <v>475</v>
      </c>
    </row>
    <row r="212" spans="6:7">
      <c r="F212" t="s">
        <v>654</v>
      </c>
      <c r="G212" t="s">
        <v>475</v>
      </c>
    </row>
    <row r="213" spans="6:7">
      <c r="F213" t="s">
        <v>655</v>
      </c>
      <c r="G213" t="s">
        <v>475</v>
      </c>
    </row>
    <row r="214" spans="6:7">
      <c r="F214" t="s">
        <v>656</v>
      </c>
      <c r="G214" t="s">
        <v>475</v>
      </c>
    </row>
    <row r="215" spans="6:7">
      <c r="F215" t="s">
        <v>657</v>
      </c>
      <c r="G215" t="s">
        <v>475</v>
      </c>
    </row>
    <row r="216" spans="6:7">
      <c r="F216" t="s">
        <v>658</v>
      </c>
      <c r="G216" t="s">
        <v>475</v>
      </c>
    </row>
    <row r="217" spans="6:7">
      <c r="F217" t="s">
        <v>659</v>
      </c>
      <c r="G217" t="s">
        <v>475</v>
      </c>
    </row>
    <row r="218" spans="6:7">
      <c r="F218" t="s">
        <v>660</v>
      </c>
      <c r="G218" t="s">
        <v>475</v>
      </c>
    </row>
    <row r="219" spans="6:7">
      <c r="F219" t="s">
        <v>661</v>
      </c>
      <c r="G219" t="s">
        <v>475</v>
      </c>
    </row>
    <row r="220" spans="6:7">
      <c r="F220" t="s">
        <v>662</v>
      </c>
      <c r="G220" t="s">
        <v>475</v>
      </c>
    </row>
    <row r="221" spans="6:7">
      <c r="F221" t="s">
        <v>663</v>
      </c>
      <c r="G221" t="s">
        <v>475</v>
      </c>
    </row>
    <row r="222" spans="6:7">
      <c r="F222" t="s">
        <v>664</v>
      </c>
      <c r="G222" t="s">
        <v>475</v>
      </c>
    </row>
    <row r="223" spans="6:7">
      <c r="F223" t="s">
        <v>665</v>
      </c>
      <c r="G223" t="s">
        <v>475</v>
      </c>
    </row>
    <row r="224" spans="6:7">
      <c r="F224" t="s">
        <v>666</v>
      </c>
      <c r="G224" t="s">
        <v>475</v>
      </c>
    </row>
    <row r="225" spans="6:7">
      <c r="F225" t="s">
        <v>667</v>
      </c>
      <c r="G225" t="s">
        <v>475</v>
      </c>
    </row>
    <row r="226" spans="6:7">
      <c r="F226" t="s">
        <v>668</v>
      </c>
      <c r="G226" t="s">
        <v>475</v>
      </c>
    </row>
    <row r="227" spans="6:7">
      <c r="F227" t="s">
        <v>669</v>
      </c>
      <c r="G227" t="s">
        <v>475</v>
      </c>
    </row>
    <row r="228" spans="6:7">
      <c r="F228" t="s">
        <v>670</v>
      </c>
      <c r="G228" t="s">
        <v>475</v>
      </c>
    </row>
    <row r="229" spans="6:7">
      <c r="F229" t="s">
        <v>671</v>
      </c>
      <c r="G229" t="s">
        <v>475</v>
      </c>
    </row>
    <row r="230" spans="6:7">
      <c r="F230" t="s">
        <v>672</v>
      </c>
      <c r="G230" t="s">
        <v>475</v>
      </c>
    </row>
    <row r="231" spans="6:7">
      <c r="F231" t="s">
        <v>673</v>
      </c>
      <c r="G231" t="s">
        <v>475</v>
      </c>
    </row>
    <row r="232" spans="6:7">
      <c r="F232" t="s">
        <v>674</v>
      </c>
      <c r="G232" t="s">
        <v>475</v>
      </c>
    </row>
    <row r="233" spans="6:7">
      <c r="F233" t="s">
        <v>675</v>
      </c>
      <c r="G233" t="s">
        <v>475</v>
      </c>
    </row>
    <row r="234" spans="6:7">
      <c r="F234" t="s">
        <v>676</v>
      </c>
      <c r="G234" t="s">
        <v>475</v>
      </c>
    </row>
    <row r="235" spans="6:7">
      <c r="F235" t="s">
        <v>677</v>
      </c>
      <c r="G235" t="s">
        <v>475</v>
      </c>
    </row>
    <row r="236" spans="6:7">
      <c r="F236" t="s">
        <v>678</v>
      </c>
      <c r="G236" t="s">
        <v>475</v>
      </c>
    </row>
    <row r="237" spans="6:7">
      <c r="F237" t="s">
        <v>679</v>
      </c>
      <c r="G237" t="s">
        <v>475</v>
      </c>
    </row>
    <row r="238" spans="6:7">
      <c r="F238" t="s">
        <v>680</v>
      </c>
      <c r="G238" t="s">
        <v>475</v>
      </c>
    </row>
    <row r="239" spans="6:7">
      <c r="F239" t="s">
        <v>681</v>
      </c>
      <c r="G239" t="s">
        <v>475</v>
      </c>
    </row>
    <row r="240" spans="6:7">
      <c r="F240" t="s">
        <v>682</v>
      </c>
      <c r="G240" t="s">
        <v>475</v>
      </c>
    </row>
    <row r="241" spans="6:7">
      <c r="F241" t="s">
        <v>683</v>
      </c>
      <c r="G241" t="s">
        <v>475</v>
      </c>
    </row>
    <row r="242" spans="6:7">
      <c r="F242" t="s">
        <v>684</v>
      </c>
      <c r="G242" t="s">
        <v>475</v>
      </c>
    </row>
    <row r="243" spans="6:7">
      <c r="F243" t="s">
        <v>685</v>
      </c>
      <c r="G243" t="s">
        <v>475</v>
      </c>
    </row>
    <row r="244" spans="6:7">
      <c r="F244" t="s">
        <v>686</v>
      </c>
      <c r="G244" t="s">
        <v>475</v>
      </c>
    </row>
    <row r="245" spans="6:7">
      <c r="F245" t="s">
        <v>687</v>
      </c>
      <c r="G245" t="s">
        <v>475</v>
      </c>
    </row>
    <row r="246" spans="6:7">
      <c r="F246" t="s">
        <v>688</v>
      </c>
      <c r="G246" t="s">
        <v>475</v>
      </c>
    </row>
    <row r="247" spans="6:7">
      <c r="F247" t="s">
        <v>689</v>
      </c>
      <c r="G247" t="s">
        <v>475</v>
      </c>
    </row>
    <row r="248" spans="6:7">
      <c r="F248" t="s">
        <v>690</v>
      </c>
      <c r="G248" t="s">
        <v>475</v>
      </c>
    </row>
    <row r="249" spans="6:7">
      <c r="F249" t="s">
        <v>691</v>
      </c>
      <c r="G249" t="s">
        <v>475</v>
      </c>
    </row>
    <row r="250" spans="6:7">
      <c r="F250" t="s">
        <v>692</v>
      </c>
      <c r="G250" t="s">
        <v>475</v>
      </c>
    </row>
    <row r="251" spans="6:7">
      <c r="F251" t="s">
        <v>693</v>
      </c>
      <c r="G251" t="s">
        <v>475</v>
      </c>
    </row>
    <row r="252" spans="6:7">
      <c r="F252" t="s">
        <v>694</v>
      </c>
      <c r="G252" t="s">
        <v>475</v>
      </c>
    </row>
    <row r="253" spans="6:7">
      <c r="F253" t="s">
        <v>695</v>
      </c>
      <c r="G253" t="s">
        <v>475</v>
      </c>
    </row>
    <row r="254" spans="6:7">
      <c r="F254" t="s">
        <v>696</v>
      </c>
      <c r="G254" t="s">
        <v>475</v>
      </c>
    </row>
    <row r="255" spans="6:7">
      <c r="F255" t="s">
        <v>697</v>
      </c>
      <c r="G255" t="s">
        <v>475</v>
      </c>
    </row>
    <row r="256" spans="6:7">
      <c r="F256" t="s">
        <v>698</v>
      </c>
      <c r="G256" t="s">
        <v>475</v>
      </c>
    </row>
    <row r="257" spans="6:7">
      <c r="F257" t="s">
        <v>699</v>
      </c>
      <c r="G257" t="s">
        <v>475</v>
      </c>
    </row>
    <row r="258" spans="6:7">
      <c r="F258" t="s">
        <v>700</v>
      </c>
      <c r="G258" t="s">
        <v>475</v>
      </c>
    </row>
    <row r="259" spans="6:7">
      <c r="F259" t="s">
        <v>701</v>
      </c>
      <c r="G259" t="s">
        <v>475</v>
      </c>
    </row>
    <row r="260" spans="6:7">
      <c r="F260" t="s">
        <v>702</v>
      </c>
      <c r="G260" t="s">
        <v>475</v>
      </c>
    </row>
    <row r="261" spans="6:7">
      <c r="F261" t="s">
        <v>703</v>
      </c>
      <c r="G261" t="s">
        <v>475</v>
      </c>
    </row>
    <row r="262" spans="6:7">
      <c r="F262" t="s">
        <v>704</v>
      </c>
      <c r="G262" t="s">
        <v>475</v>
      </c>
    </row>
    <row r="263" spans="6:7">
      <c r="F263" t="s">
        <v>705</v>
      </c>
      <c r="G263" t="s">
        <v>475</v>
      </c>
    </row>
    <row r="264" spans="6:7">
      <c r="F264" t="s">
        <v>706</v>
      </c>
      <c r="G264" t="s">
        <v>475</v>
      </c>
    </row>
    <row r="265" spans="6:7">
      <c r="F265" t="s">
        <v>707</v>
      </c>
      <c r="G265" t="s">
        <v>475</v>
      </c>
    </row>
    <row r="266" spans="6:7">
      <c r="F266" t="s">
        <v>708</v>
      </c>
      <c r="G266" t="s">
        <v>475</v>
      </c>
    </row>
    <row r="267" spans="6:7">
      <c r="F267" t="s">
        <v>709</v>
      </c>
      <c r="G267" t="s">
        <v>475</v>
      </c>
    </row>
    <row r="268" spans="6:7">
      <c r="F268" t="s">
        <v>710</v>
      </c>
      <c r="G268" t="s">
        <v>475</v>
      </c>
    </row>
    <row r="269" spans="6:7">
      <c r="F269" t="s">
        <v>711</v>
      </c>
      <c r="G269" t="s">
        <v>475</v>
      </c>
    </row>
    <row r="270" spans="6:7">
      <c r="F270" t="s">
        <v>712</v>
      </c>
      <c r="G270" t="s">
        <v>475</v>
      </c>
    </row>
    <row r="271" spans="6:7">
      <c r="F271" t="s">
        <v>713</v>
      </c>
      <c r="G271" t="s">
        <v>475</v>
      </c>
    </row>
    <row r="272" spans="6:7">
      <c r="F272" t="s">
        <v>714</v>
      </c>
      <c r="G272" t="s">
        <v>475</v>
      </c>
    </row>
    <row r="273" spans="6:7">
      <c r="F273" t="s">
        <v>715</v>
      </c>
      <c r="G273" t="s">
        <v>475</v>
      </c>
    </row>
    <row r="274" spans="6:7">
      <c r="F274" t="s">
        <v>716</v>
      </c>
      <c r="G274" t="s">
        <v>475</v>
      </c>
    </row>
    <row r="275" spans="6:7">
      <c r="F275" t="s">
        <v>717</v>
      </c>
      <c r="G275" t="s">
        <v>475</v>
      </c>
    </row>
    <row r="276" spans="6:7">
      <c r="F276" t="s">
        <v>718</v>
      </c>
      <c r="G276" t="s">
        <v>475</v>
      </c>
    </row>
    <row r="277" spans="6:7">
      <c r="F277" t="s">
        <v>719</v>
      </c>
      <c r="G277" t="s">
        <v>475</v>
      </c>
    </row>
    <row r="278" spans="6:7">
      <c r="F278" t="s">
        <v>720</v>
      </c>
      <c r="G278" t="s">
        <v>475</v>
      </c>
    </row>
    <row r="279" spans="6:7">
      <c r="F279" t="s">
        <v>721</v>
      </c>
      <c r="G279" t="s">
        <v>475</v>
      </c>
    </row>
    <row r="280" spans="6:7">
      <c r="F280" t="s">
        <v>722</v>
      </c>
      <c r="G280" t="s">
        <v>475</v>
      </c>
    </row>
    <row r="281" spans="6:7">
      <c r="F281" t="s">
        <v>723</v>
      </c>
      <c r="G281" t="s">
        <v>475</v>
      </c>
    </row>
    <row r="282" spans="6:7">
      <c r="F282" t="s">
        <v>724</v>
      </c>
      <c r="G282" t="s">
        <v>475</v>
      </c>
    </row>
    <row r="283" spans="6:7">
      <c r="F283" t="s">
        <v>725</v>
      </c>
      <c r="G283" t="s">
        <v>475</v>
      </c>
    </row>
    <row r="284" spans="6:7">
      <c r="F284" t="s">
        <v>726</v>
      </c>
      <c r="G284" t="s">
        <v>475</v>
      </c>
    </row>
    <row r="285" spans="6:7">
      <c r="F285" t="s">
        <v>727</v>
      </c>
      <c r="G285" t="s">
        <v>475</v>
      </c>
    </row>
    <row r="286" spans="6:7">
      <c r="F286" t="s">
        <v>728</v>
      </c>
      <c r="G286" t="s">
        <v>475</v>
      </c>
    </row>
    <row r="287" spans="6:7">
      <c r="F287" t="s">
        <v>729</v>
      </c>
      <c r="G287" t="s">
        <v>475</v>
      </c>
    </row>
    <row r="288" spans="6:7">
      <c r="F288" t="s">
        <v>730</v>
      </c>
      <c r="G288" t="s">
        <v>475</v>
      </c>
    </row>
    <row r="289" spans="6:7">
      <c r="F289" t="s">
        <v>731</v>
      </c>
      <c r="G289" t="s">
        <v>475</v>
      </c>
    </row>
    <row r="290" spans="6:7">
      <c r="F290" t="s">
        <v>732</v>
      </c>
      <c r="G290" t="s">
        <v>475</v>
      </c>
    </row>
    <row r="291" spans="6:7">
      <c r="F291" t="s">
        <v>733</v>
      </c>
      <c r="G291" t="s">
        <v>475</v>
      </c>
    </row>
    <row r="292" spans="6:7">
      <c r="F292" t="s">
        <v>734</v>
      </c>
      <c r="G292" t="s">
        <v>475</v>
      </c>
    </row>
    <row r="293" spans="6:7">
      <c r="F293" t="s">
        <v>735</v>
      </c>
      <c r="G293" t="s">
        <v>475</v>
      </c>
    </row>
    <row r="294" spans="6:7">
      <c r="F294" t="s">
        <v>736</v>
      </c>
      <c r="G294" t="s">
        <v>475</v>
      </c>
    </row>
    <row r="295" spans="6:7">
      <c r="F295" t="s">
        <v>737</v>
      </c>
      <c r="G295" t="s">
        <v>475</v>
      </c>
    </row>
    <row r="296" spans="6:7">
      <c r="F296" t="s">
        <v>738</v>
      </c>
      <c r="G296" t="s">
        <v>475</v>
      </c>
    </row>
    <row r="297" spans="6:7">
      <c r="F297" t="s">
        <v>739</v>
      </c>
      <c r="G297" t="s">
        <v>475</v>
      </c>
    </row>
    <row r="298" spans="6:7">
      <c r="F298" t="s">
        <v>740</v>
      </c>
      <c r="G298" t="s">
        <v>475</v>
      </c>
    </row>
    <row r="299" spans="6:7">
      <c r="F299" t="s">
        <v>741</v>
      </c>
      <c r="G299" t="s">
        <v>475</v>
      </c>
    </row>
    <row r="300" spans="6:7">
      <c r="F300" t="s">
        <v>742</v>
      </c>
      <c r="G300" t="s">
        <v>475</v>
      </c>
    </row>
    <row r="301" spans="6:7">
      <c r="F301" t="s">
        <v>743</v>
      </c>
      <c r="G301" t="s">
        <v>475</v>
      </c>
    </row>
    <row r="302" spans="6:7">
      <c r="F302" t="s">
        <v>744</v>
      </c>
      <c r="G302" t="s">
        <v>475</v>
      </c>
    </row>
    <row r="303" spans="6:7">
      <c r="F303" t="s">
        <v>745</v>
      </c>
      <c r="G303" t="s">
        <v>475</v>
      </c>
    </row>
    <row r="304" spans="6:7">
      <c r="F304" t="s">
        <v>746</v>
      </c>
      <c r="G304" t="s">
        <v>475</v>
      </c>
    </row>
    <row r="305" spans="6:7">
      <c r="F305" t="s">
        <v>747</v>
      </c>
      <c r="G305" t="s">
        <v>475</v>
      </c>
    </row>
    <row r="306" spans="6:7">
      <c r="F306" t="s">
        <v>748</v>
      </c>
      <c r="G306" t="s">
        <v>475</v>
      </c>
    </row>
    <row r="307" spans="6:7">
      <c r="F307" t="s">
        <v>749</v>
      </c>
      <c r="G307" t="s">
        <v>475</v>
      </c>
    </row>
    <row r="308" spans="6:7">
      <c r="F308" t="s">
        <v>750</v>
      </c>
      <c r="G308" t="s">
        <v>475</v>
      </c>
    </row>
    <row r="309" spans="6:7">
      <c r="F309" t="s">
        <v>751</v>
      </c>
      <c r="G309" t="s">
        <v>475</v>
      </c>
    </row>
    <row r="310" spans="6:7">
      <c r="F310" t="s">
        <v>752</v>
      </c>
      <c r="G310" t="s">
        <v>475</v>
      </c>
    </row>
    <row r="311" spans="6:7">
      <c r="F311" t="s">
        <v>753</v>
      </c>
      <c r="G311" t="s">
        <v>475</v>
      </c>
    </row>
    <row r="312" spans="6:7">
      <c r="F312" t="s">
        <v>754</v>
      </c>
      <c r="G312" t="s">
        <v>475</v>
      </c>
    </row>
    <row r="313" spans="6:7">
      <c r="F313" t="s">
        <v>755</v>
      </c>
      <c r="G313" t="s">
        <v>475</v>
      </c>
    </row>
    <row r="314" spans="6:7">
      <c r="F314" t="s">
        <v>756</v>
      </c>
      <c r="G314" t="s">
        <v>475</v>
      </c>
    </row>
    <row r="315" spans="6:7">
      <c r="F315" t="s">
        <v>757</v>
      </c>
      <c r="G315" t="s">
        <v>475</v>
      </c>
    </row>
    <row r="316" spans="6:7">
      <c r="F316" t="s">
        <v>758</v>
      </c>
      <c r="G316" t="s">
        <v>475</v>
      </c>
    </row>
    <row r="317" spans="6:7">
      <c r="F317" t="s">
        <v>759</v>
      </c>
      <c r="G317" t="s">
        <v>475</v>
      </c>
    </row>
    <row r="318" spans="6:7">
      <c r="F318" t="s">
        <v>760</v>
      </c>
      <c r="G318" t="s">
        <v>475</v>
      </c>
    </row>
    <row r="319" spans="6:7">
      <c r="F319" t="s">
        <v>761</v>
      </c>
      <c r="G319" t="s">
        <v>475</v>
      </c>
    </row>
    <row r="320" spans="6:7">
      <c r="F320" t="s">
        <v>762</v>
      </c>
      <c r="G320" t="s">
        <v>475</v>
      </c>
    </row>
    <row r="321" spans="6:7">
      <c r="F321" t="s">
        <v>763</v>
      </c>
      <c r="G321" t="s">
        <v>475</v>
      </c>
    </row>
    <row r="322" spans="6:7">
      <c r="F322" t="s">
        <v>764</v>
      </c>
      <c r="G322" t="s">
        <v>475</v>
      </c>
    </row>
    <row r="323" spans="6:7">
      <c r="F323" t="s">
        <v>765</v>
      </c>
      <c r="G323" t="s">
        <v>475</v>
      </c>
    </row>
    <row r="324" spans="6:7">
      <c r="F324" t="s">
        <v>766</v>
      </c>
      <c r="G324" t="s">
        <v>475</v>
      </c>
    </row>
    <row r="325" spans="6:7">
      <c r="F325" t="s">
        <v>767</v>
      </c>
      <c r="G325" t="s">
        <v>475</v>
      </c>
    </row>
    <row r="326" spans="6:7">
      <c r="F326" t="s">
        <v>768</v>
      </c>
      <c r="G326" t="s">
        <v>475</v>
      </c>
    </row>
    <row r="327" spans="6:7">
      <c r="F327" t="s">
        <v>769</v>
      </c>
      <c r="G327" t="s">
        <v>475</v>
      </c>
    </row>
    <row r="328" spans="6:7">
      <c r="F328" t="s">
        <v>770</v>
      </c>
      <c r="G328" t="s">
        <v>475</v>
      </c>
    </row>
    <row r="329" spans="6:7">
      <c r="F329" t="s">
        <v>771</v>
      </c>
      <c r="G329" t="s">
        <v>475</v>
      </c>
    </row>
    <row r="330" spans="6:7">
      <c r="F330" t="s">
        <v>772</v>
      </c>
      <c r="G330" t="s">
        <v>475</v>
      </c>
    </row>
    <row r="331" spans="6:7">
      <c r="F331" t="s">
        <v>773</v>
      </c>
      <c r="G331" t="s">
        <v>475</v>
      </c>
    </row>
    <row r="332" spans="6:7">
      <c r="F332" t="s">
        <v>774</v>
      </c>
      <c r="G332" t="s">
        <v>475</v>
      </c>
    </row>
    <row r="333" spans="6:7">
      <c r="F333" t="s">
        <v>775</v>
      </c>
      <c r="G333" t="s">
        <v>475</v>
      </c>
    </row>
    <row r="334" spans="6:7">
      <c r="F334" t="s">
        <v>776</v>
      </c>
      <c r="G334" t="s">
        <v>475</v>
      </c>
    </row>
    <row r="335" spans="6:7">
      <c r="F335" t="s">
        <v>777</v>
      </c>
      <c r="G335" t="s">
        <v>475</v>
      </c>
    </row>
    <row r="336" spans="6:7">
      <c r="F336" t="s">
        <v>778</v>
      </c>
      <c r="G336" t="s">
        <v>475</v>
      </c>
    </row>
    <row r="337" spans="6:7">
      <c r="F337" t="s">
        <v>779</v>
      </c>
      <c r="G337" t="s">
        <v>475</v>
      </c>
    </row>
    <row r="338" spans="6:7">
      <c r="F338" t="s">
        <v>780</v>
      </c>
      <c r="G338" t="s">
        <v>475</v>
      </c>
    </row>
    <row r="339" spans="6:7">
      <c r="F339" t="s">
        <v>781</v>
      </c>
      <c r="G339" t="s">
        <v>475</v>
      </c>
    </row>
    <row r="340" spans="6:7">
      <c r="F340" t="s">
        <v>782</v>
      </c>
      <c r="G340" t="s">
        <v>475</v>
      </c>
    </row>
    <row r="341" spans="6:7">
      <c r="F341" t="s">
        <v>783</v>
      </c>
      <c r="G341" t="s">
        <v>475</v>
      </c>
    </row>
    <row r="342" spans="6:7">
      <c r="F342" t="s">
        <v>784</v>
      </c>
      <c r="G342" t="s">
        <v>475</v>
      </c>
    </row>
    <row r="343" spans="6:7">
      <c r="F343" t="s">
        <v>785</v>
      </c>
      <c r="G343" t="s">
        <v>475</v>
      </c>
    </row>
    <row r="344" spans="6:7">
      <c r="F344" t="s">
        <v>786</v>
      </c>
      <c r="G344" t="s">
        <v>475</v>
      </c>
    </row>
    <row r="345" spans="6:7">
      <c r="F345" t="s">
        <v>787</v>
      </c>
      <c r="G345" t="s">
        <v>475</v>
      </c>
    </row>
    <row r="346" spans="6:7">
      <c r="F346" t="s">
        <v>788</v>
      </c>
      <c r="G346" t="s">
        <v>475</v>
      </c>
    </row>
    <row r="347" spans="6:7">
      <c r="F347" t="s">
        <v>789</v>
      </c>
      <c r="G347" t="s">
        <v>475</v>
      </c>
    </row>
    <row r="348" spans="6:7">
      <c r="F348" t="s">
        <v>790</v>
      </c>
      <c r="G348" t="s">
        <v>475</v>
      </c>
    </row>
    <row r="349" spans="6:7">
      <c r="F349" t="s">
        <v>791</v>
      </c>
      <c r="G349" t="s">
        <v>475</v>
      </c>
    </row>
    <row r="350" spans="6:7">
      <c r="F350" t="s">
        <v>792</v>
      </c>
      <c r="G350" t="s">
        <v>475</v>
      </c>
    </row>
    <row r="351" spans="6:7">
      <c r="F351" t="s">
        <v>793</v>
      </c>
      <c r="G351" t="s">
        <v>475</v>
      </c>
    </row>
    <row r="352" spans="6:7">
      <c r="F352" t="s">
        <v>794</v>
      </c>
      <c r="G352" t="s">
        <v>475</v>
      </c>
    </row>
    <row r="353" spans="6:7">
      <c r="F353" t="s">
        <v>795</v>
      </c>
      <c r="G353" t="s">
        <v>475</v>
      </c>
    </row>
    <row r="354" spans="6:7">
      <c r="F354" t="s">
        <v>796</v>
      </c>
      <c r="G354" t="s">
        <v>475</v>
      </c>
    </row>
    <row r="355" spans="6:7">
      <c r="F355" t="s">
        <v>797</v>
      </c>
      <c r="G355" t="s">
        <v>475</v>
      </c>
    </row>
    <row r="356" spans="6:7">
      <c r="F356" t="s">
        <v>798</v>
      </c>
      <c r="G356" t="s">
        <v>475</v>
      </c>
    </row>
    <row r="357" spans="6:7">
      <c r="F357" t="s">
        <v>799</v>
      </c>
      <c r="G357" t="s">
        <v>475</v>
      </c>
    </row>
    <row r="358" spans="6:7">
      <c r="F358" t="s">
        <v>800</v>
      </c>
      <c r="G358" t="s">
        <v>475</v>
      </c>
    </row>
    <row r="359" spans="6:7">
      <c r="F359" t="s">
        <v>801</v>
      </c>
      <c r="G359" t="s">
        <v>475</v>
      </c>
    </row>
    <row r="360" spans="6:7">
      <c r="F360" t="s">
        <v>802</v>
      </c>
      <c r="G360" t="s">
        <v>475</v>
      </c>
    </row>
    <row r="361" spans="6:7">
      <c r="F361" t="s">
        <v>803</v>
      </c>
      <c r="G361" t="s">
        <v>475</v>
      </c>
    </row>
    <row r="362" spans="6:7">
      <c r="F362" t="s">
        <v>804</v>
      </c>
      <c r="G362" t="s">
        <v>475</v>
      </c>
    </row>
    <row r="363" spans="6:7">
      <c r="F363" t="s">
        <v>805</v>
      </c>
      <c r="G363" t="s">
        <v>475</v>
      </c>
    </row>
    <row r="364" spans="6:7">
      <c r="F364" t="s">
        <v>806</v>
      </c>
      <c r="G364" t="s">
        <v>475</v>
      </c>
    </row>
    <row r="365" spans="6:7">
      <c r="F365" t="s">
        <v>807</v>
      </c>
      <c r="G365" t="s">
        <v>475</v>
      </c>
    </row>
    <row r="366" spans="6:7">
      <c r="F366" t="s">
        <v>808</v>
      </c>
      <c r="G366" t="s">
        <v>475</v>
      </c>
    </row>
    <row r="367" spans="6:7">
      <c r="F367" t="s">
        <v>809</v>
      </c>
      <c r="G367" t="s">
        <v>475</v>
      </c>
    </row>
    <row r="368" spans="6:7">
      <c r="F368" t="s">
        <v>810</v>
      </c>
      <c r="G368" t="s">
        <v>475</v>
      </c>
    </row>
    <row r="369" spans="6:7">
      <c r="F369" t="s">
        <v>811</v>
      </c>
      <c r="G369" t="s">
        <v>475</v>
      </c>
    </row>
    <row r="370" spans="6:7">
      <c r="F370" t="s">
        <v>812</v>
      </c>
      <c r="G370" t="s">
        <v>475</v>
      </c>
    </row>
    <row r="371" spans="6:7">
      <c r="F371" t="s">
        <v>813</v>
      </c>
      <c r="G371" t="s">
        <v>475</v>
      </c>
    </row>
    <row r="372" spans="6:7">
      <c r="F372" t="s">
        <v>814</v>
      </c>
      <c r="G372" t="s">
        <v>475</v>
      </c>
    </row>
    <row r="373" spans="6:7">
      <c r="F373" t="s">
        <v>815</v>
      </c>
      <c r="G373" t="s">
        <v>475</v>
      </c>
    </row>
    <row r="374" spans="6:7">
      <c r="F374" t="s">
        <v>816</v>
      </c>
      <c r="G374" t="s">
        <v>475</v>
      </c>
    </row>
    <row r="375" spans="6:7">
      <c r="F375" t="s">
        <v>817</v>
      </c>
      <c r="G375" t="s">
        <v>475</v>
      </c>
    </row>
    <row r="376" spans="6:7">
      <c r="F376" t="s">
        <v>818</v>
      </c>
      <c r="G376" t="s">
        <v>475</v>
      </c>
    </row>
    <row r="377" spans="6:7">
      <c r="F377" t="s">
        <v>819</v>
      </c>
      <c r="G377" t="s">
        <v>475</v>
      </c>
    </row>
    <row r="378" spans="6:7">
      <c r="F378" t="s">
        <v>820</v>
      </c>
      <c r="G378" t="s">
        <v>475</v>
      </c>
    </row>
    <row r="379" spans="6:7">
      <c r="F379" t="s">
        <v>821</v>
      </c>
      <c r="G379" t="s">
        <v>475</v>
      </c>
    </row>
    <row r="380" spans="6:7">
      <c r="F380" t="s">
        <v>822</v>
      </c>
      <c r="G380" t="s">
        <v>475</v>
      </c>
    </row>
    <row r="381" spans="6:7">
      <c r="F381" t="s">
        <v>823</v>
      </c>
      <c r="G381" t="s">
        <v>475</v>
      </c>
    </row>
    <row r="382" spans="6:7">
      <c r="F382" t="s">
        <v>824</v>
      </c>
      <c r="G382" t="s">
        <v>475</v>
      </c>
    </row>
    <row r="383" spans="6:7">
      <c r="F383" t="s">
        <v>825</v>
      </c>
      <c r="G383" t="s">
        <v>475</v>
      </c>
    </row>
    <row r="384" spans="6:7">
      <c r="F384" t="s">
        <v>826</v>
      </c>
      <c r="G384" t="s">
        <v>475</v>
      </c>
    </row>
    <row r="385" spans="6:7">
      <c r="F385" t="s">
        <v>827</v>
      </c>
      <c r="G385" t="s">
        <v>475</v>
      </c>
    </row>
    <row r="386" spans="6:7">
      <c r="F386" t="s">
        <v>828</v>
      </c>
      <c r="G386" t="s">
        <v>475</v>
      </c>
    </row>
    <row r="387" spans="6:7">
      <c r="F387" t="s">
        <v>829</v>
      </c>
      <c r="G387" t="s">
        <v>475</v>
      </c>
    </row>
    <row r="388" spans="6:7">
      <c r="F388" t="s">
        <v>830</v>
      </c>
      <c r="G388" t="s">
        <v>475</v>
      </c>
    </row>
    <row r="389" spans="6:7">
      <c r="F389" t="s">
        <v>831</v>
      </c>
      <c r="G389" t="s">
        <v>475</v>
      </c>
    </row>
    <row r="390" spans="6:7">
      <c r="F390" t="s">
        <v>832</v>
      </c>
      <c r="G390" t="s">
        <v>475</v>
      </c>
    </row>
    <row r="391" spans="6:7">
      <c r="F391" t="s">
        <v>833</v>
      </c>
      <c r="G391" t="s">
        <v>475</v>
      </c>
    </row>
    <row r="392" spans="6:7">
      <c r="F392" t="s">
        <v>834</v>
      </c>
      <c r="G392" t="s">
        <v>475</v>
      </c>
    </row>
    <row r="393" spans="6:7">
      <c r="F393" t="s">
        <v>835</v>
      </c>
      <c r="G393" t="s">
        <v>475</v>
      </c>
    </row>
    <row r="394" spans="6:7">
      <c r="F394" t="s">
        <v>836</v>
      </c>
      <c r="G394" t="s">
        <v>475</v>
      </c>
    </row>
    <row r="395" spans="6:7">
      <c r="F395" t="s">
        <v>837</v>
      </c>
      <c r="G395" t="s">
        <v>475</v>
      </c>
    </row>
    <row r="396" spans="6:7">
      <c r="F396" t="s">
        <v>838</v>
      </c>
      <c r="G396" t="s">
        <v>475</v>
      </c>
    </row>
    <row r="397" spans="6:7">
      <c r="F397" t="s">
        <v>839</v>
      </c>
      <c r="G397" t="s">
        <v>475</v>
      </c>
    </row>
    <row r="398" spans="6:7">
      <c r="F398" t="s">
        <v>840</v>
      </c>
      <c r="G398" t="s">
        <v>475</v>
      </c>
    </row>
    <row r="399" spans="6:7">
      <c r="F399" t="s">
        <v>841</v>
      </c>
      <c r="G399" t="s">
        <v>475</v>
      </c>
    </row>
    <row r="400" spans="6:7">
      <c r="F400" t="s">
        <v>842</v>
      </c>
      <c r="G400" t="s">
        <v>475</v>
      </c>
    </row>
    <row r="401" spans="6:7">
      <c r="F401" t="s">
        <v>843</v>
      </c>
      <c r="G401" t="s">
        <v>475</v>
      </c>
    </row>
    <row r="402" spans="6:7">
      <c r="F402" t="s">
        <v>844</v>
      </c>
      <c r="G402" t="s">
        <v>475</v>
      </c>
    </row>
    <row r="403" spans="6:7">
      <c r="F403" t="s">
        <v>845</v>
      </c>
      <c r="G403" t="s">
        <v>475</v>
      </c>
    </row>
    <row r="404" spans="6:7">
      <c r="F404" t="s">
        <v>846</v>
      </c>
      <c r="G404" t="s">
        <v>475</v>
      </c>
    </row>
    <row r="405" spans="6:7">
      <c r="F405" t="s">
        <v>847</v>
      </c>
      <c r="G405" t="s">
        <v>475</v>
      </c>
    </row>
    <row r="406" spans="6:7">
      <c r="F406" t="s">
        <v>848</v>
      </c>
      <c r="G406" t="s">
        <v>475</v>
      </c>
    </row>
    <row r="407" spans="6:7">
      <c r="F407" t="s">
        <v>849</v>
      </c>
      <c r="G407" t="s">
        <v>475</v>
      </c>
    </row>
    <row r="408" spans="6:7">
      <c r="F408" t="s">
        <v>850</v>
      </c>
      <c r="G408" t="s">
        <v>475</v>
      </c>
    </row>
    <row r="409" spans="6:7">
      <c r="F409" t="s">
        <v>851</v>
      </c>
      <c r="G409" t="s">
        <v>475</v>
      </c>
    </row>
    <row r="410" spans="6:7">
      <c r="F410" t="s">
        <v>852</v>
      </c>
      <c r="G410" t="s">
        <v>475</v>
      </c>
    </row>
    <row r="411" spans="6:7">
      <c r="F411" t="s">
        <v>853</v>
      </c>
      <c r="G411" t="s">
        <v>475</v>
      </c>
    </row>
    <row r="412" spans="6:7">
      <c r="F412" t="s">
        <v>854</v>
      </c>
      <c r="G412" t="s">
        <v>475</v>
      </c>
    </row>
    <row r="413" spans="6:7">
      <c r="F413" t="s">
        <v>855</v>
      </c>
      <c r="G413" t="s">
        <v>475</v>
      </c>
    </row>
    <row r="414" spans="6:7">
      <c r="F414" t="s">
        <v>856</v>
      </c>
      <c r="G414" t="s">
        <v>475</v>
      </c>
    </row>
    <row r="415" spans="6:7">
      <c r="F415" t="s">
        <v>857</v>
      </c>
      <c r="G415" t="s">
        <v>475</v>
      </c>
    </row>
    <row r="416" spans="6:7">
      <c r="F416" t="s">
        <v>858</v>
      </c>
      <c r="G416" t="s">
        <v>475</v>
      </c>
    </row>
    <row r="417" spans="6:7">
      <c r="F417" t="s">
        <v>859</v>
      </c>
      <c r="G417" t="s">
        <v>475</v>
      </c>
    </row>
    <row r="418" spans="6:7">
      <c r="F418" t="s">
        <v>860</v>
      </c>
      <c r="G418" t="s">
        <v>475</v>
      </c>
    </row>
    <row r="419" spans="6:7">
      <c r="F419" t="s">
        <v>861</v>
      </c>
      <c r="G419" t="s">
        <v>475</v>
      </c>
    </row>
    <row r="420" spans="6:7">
      <c r="F420" t="s">
        <v>862</v>
      </c>
      <c r="G420" t="s">
        <v>475</v>
      </c>
    </row>
    <row r="421" spans="6:7">
      <c r="F421" t="s">
        <v>863</v>
      </c>
      <c r="G421" t="s">
        <v>475</v>
      </c>
    </row>
    <row r="422" spans="6:7">
      <c r="F422" t="s">
        <v>864</v>
      </c>
      <c r="G422" t="s">
        <v>475</v>
      </c>
    </row>
    <row r="423" spans="6:7">
      <c r="F423" t="s">
        <v>865</v>
      </c>
      <c r="G423" t="s">
        <v>475</v>
      </c>
    </row>
    <row r="424" spans="6:7">
      <c r="F424" t="s">
        <v>866</v>
      </c>
      <c r="G424" t="s">
        <v>475</v>
      </c>
    </row>
    <row r="425" spans="6:7">
      <c r="F425" t="s">
        <v>867</v>
      </c>
      <c r="G425" t="s">
        <v>475</v>
      </c>
    </row>
    <row r="426" spans="6:7">
      <c r="F426" t="s">
        <v>868</v>
      </c>
      <c r="G426" t="s">
        <v>475</v>
      </c>
    </row>
    <row r="427" spans="6:7">
      <c r="F427" t="s">
        <v>869</v>
      </c>
      <c r="G427" t="s">
        <v>475</v>
      </c>
    </row>
    <row r="428" spans="6:7">
      <c r="F428" t="s">
        <v>870</v>
      </c>
      <c r="G428" t="s">
        <v>475</v>
      </c>
    </row>
    <row r="429" spans="6:7">
      <c r="F429" t="s">
        <v>871</v>
      </c>
      <c r="G429" t="s">
        <v>475</v>
      </c>
    </row>
    <row r="430" spans="6:7">
      <c r="F430" t="s">
        <v>872</v>
      </c>
      <c r="G430" t="s">
        <v>475</v>
      </c>
    </row>
    <row r="431" spans="6:7">
      <c r="F431" t="s">
        <v>873</v>
      </c>
      <c r="G431" t="s">
        <v>475</v>
      </c>
    </row>
    <row r="432" spans="6:7">
      <c r="F432" t="s">
        <v>874</v>
      </c>
      <c r="G432" t="s">
        <v>475</v>
      </c>
    </row>
    <row r="433" spans="6:7">
      <c r="F433" t="s">
        <v>875</v>
      </c>
      <c r="G433" t="s">
        <v>475</v>
      </c>
    </row>
    <row r="434" spans="6:7">
      <c r="F434" t="s">
        <v>876</v>
      </c>
      <c r="G434" t="s">
        <v>475</v>
      </c>
    </row>
    <row r="435" spans="6:7">
      <c r="F435" t="s">
        <v>877</v>
      </c>
      <c r="G435" t="s">
        <v>475</v>
      </c>
    </row>
    <row r="436" spans="6:7">
      <c r="F436" t="s">
        <v>878</v>
      </c>
      <c r="G436" t="s">
        <v>475</v>
      </c>
    </row>
    <row r="437" spans="6:7">
      <c r="F437" t="s">
        <v>879</v>
      </c>
      <c r="G437" t="s">
        <v>475</v>
      </c>
    </row>
    <row r="438" spans="6:7">
      <c r="F438" t="s">
        <v>880</v>
      </c>
      <c r="G438" t="s">
        <v>475</v>
      </c>
    </row>
    <row r="439" spans="6:7">
      <c r="F439" t="s">
        <v>881</v>
      </c>
      <c r="G439" t="s">
        <v>475</v>
      </c>
    </row>
    <row r="440" spans="6:7">
      <c r="F440" t="s">
        <v>882</v>
      </c>
      <c r="G440" t="s">
        <v>475</v>
      </c>
    </row>
    <row r="441" spans="6:7">
      <c r="F441" t="s">
        <v>883</v>
      </c>
      <c r="G441" t="s">
        <v>475</v>
      </c>
    </row>
    <row r="442" spans="6:7">
      <c r="F442" t="s">
        <v>884</v>
      </c>
      <c r="G442" t="s">
        <v>475</v>
      </c>
    </row>
    <row r="443" spans="6:7">
      <c r="F443" t="s">
        <v>885</v>
      </c>
      <c r="G443" t="s">
        <v>475</v>
      </c>
    </row>
    <row r="444" spans="6:7">
      <c r="F444" t="s">
        <v>886</v>
      </c>
      <c r="G444" t="s">
        <v>475</v>
      </c>
    </row>
    <row r="445" spans="6:7">
      <c r="F445" t="s">
        <v>887</v>
      </c>
      <c r="G445" t="s">
        <v>475</v>
      </c>
    </row>
    <row r="446" spans="6:7">
      <c r="F446" t="s">
        <v>888</v>
      </c>
      <c r="G446" t="s">
        <v>475</v>
      </c>
    </row>
    <row r="447" spans="6:7">
      <c r="F447" t="s">
        <v>889</v>
      </c>
      <c r="G447" t="s">
        <v>475</v>
      </c>
    </row>
    <row r="448" spans="6:7">
      <c r="F448" t="s">
        <v>890</v>
      </c>
      <c r="G448" t="s">
        <v>475</v>
      </c>
    </row>
    <row r="449" spans="6:7">
      <c r="F449" t="s">
        <v>891</v>
      </c>
      <c r="G449" t="s">
        <v>475</v>
      </c>
    </row>
    <row r="450" spans="6:7">
      <c r="F450" t="s">
        <v>892</v>
      </c>
      <c r="G450" t="s">
        <v>475</v>
      </c>
    </row>
    <row r="451" spans="6:7">
      <c r="F451" t="s">
        <v>893</v>
      </c>
      <c r="G451" t="s">
        <v>475</v>
      </c>
    </row>
    <row r="452" spans="6:7">
      <c r="F452" t="s">
        <v>894</v>
      </c>
      <c r="G452" t="s">
        <v>475</v>
      </c>
    </row>
    <row r="453" spans="6:7">
      <c r="F453" t="s">
        <v>895</v>
      </c>
      <c r="G453" t="s">
        <v>475</v>
      </c>
    </row>
    <row r="454" spans="6:7">
      <c r="F454" t="s">
        <v>896</v>
      </c>
      <c r="G454" t="s">
        <v>475</v>
      </c>
    </row>
    <row r="455" spans="6:7">
      <c r="F455" t="s">
        <v>897</v>
      </c>
      <c r="G455" t="s">
        <v>475</v>
      </c>
    </row>
    <row r="456" spans="6:7">
      <c r="F456" t="s">
        <v>898</v>
      </c>
      <c r="G456" t="s">
        <v>475</v>
      </c>
    </row>
    <row r="457" spans="6:7">
      <c r="F457" t="s">
        <v>899</v>
      </c>
      <c r="G457" t="s">
        <v>475</v>
      </c>
    </row>
    <row r="458" spans="6:7">
      <c r="F458" t="s">
        <v>900</v>
      </c>
      <c r="G458" t="s">
        <v>475</v>
      </c>
    </row>
    <row r="459" spans="6:7">
      <c r="F459" t="s">
        <v>901</v>
      </c>
      <c r="G459" t="s">
        <v>475</v>
      </c>
    </row>
    <row r="460" spans="6:7">
      <c r="F460" t="s">
        <v>902</v>
      </c>
      <c r="G460" t="s">
        <v>475</v>
      </c>
    </row>
    <row r="461" spans="6:7">
      <c r="F461" t="s">
        <v>903</v>
      </c>
      <c r="G461" t="s">
        <v>475</v>
      </c>
    </row>
    <row r="462" spans="6:7">
      <c r="F462" t="s">
        <v>904</v>
      </c>
      <c r="G462" t="s">
        <v>475</v>
      </c>
    </row>
    <row r="463" spans="6:7">
      <c r="F463" t="s">
        <v>905</v>
      </c>
      <c r="G463" t="s">
        <v>475</v>
      </c>
    </row>
    <row r="464" spans="6:7">
      <c r="F464" t="s">
        <v>906</v>
      </c>
      <c r="G464" t="s">
        <v>475</v>
      </c>
    </row>
    <row r="465" spans="6:7">
      <c r="F465" t="s">
        <v>907</v>
      </c>
      <c r="G465" t="s">
        <v>475</v>
      </c>
    </row>
    <row r="466" spans="6:7">
      <c r="F466" t="s">
        <v>908</v>
      </c>
      <c r="G466" t="s">
        <v>475</v>
      </c>
    </row>
    <row r="467" spans="6:7">
      <c r="F467" t="s">
        <v>909</v>
      </c>
      <c r="G467" t="s">
        <v>475</v>
      </c>
    </row>
    <row r="468" spans="6:7">
      <c r="F468" t="s">
        <v>910</v>
      </c>
      <c r="G468" t="s">
        <v>475</v>
      </c>
    </row>
    <row r="469" spans="6:7">
      <c r="F469" t="s">
        <v>911</v>
      </c>
      <c r="G469" t="s">
        <v>475</v>
      </c>
    </row>
    <row r="470" spans="6:7">
      <c r="F470" t="s">
        <v>912</v>
      </c>
      <c r="G470" t="s">
        <v>475</v>
      </c>
    </row>
    <row r="471" spans="6:7">
      <c r="F471" t="s">
        <v>913</v>
      </c>
      <c r="G471" t="s">
        <v>475</v>
      </c>
    </row>
    <row r="472" spans="6:7">
      <c r="F472" t="s">
        <v>914</v>
      </c>
      <c r="G472" t="s">
        <v>475</v>
      </c>
    </row>
    <row r="473" spans="6:7">
      <c r="F473" t="s">
        <v>915</v>
      </c>
      <c r="G473" t="s">
        <v>475</v>
      </c>
    </row>
    <row r="474" spans="6:7">
      <c r="F474" t="s">
        <v>916</v>
      </c>
      <c r="G474" t="s">
        <v>475</v>
      </c>
    </row>
    <row r="475" spans="6:7">
      <c r="F475" t="s">
        <v>917</v>
      </c>
      <c r="G475" t="s">
        <v>475</v>
      </c>
    </row>
    <row r="476" spans="6:7">
      <c r="F476" t="s">
        <v>918</v>
      </c>
      <c r="G476" t="s">
        <v>475</v>
      </c>
    </row>
    <row r="477" spans="6:7">
      <c r="F477" t="s">
        <v>919</v>
      </c>
      <c r="G477" t="s">
        <v>475</v>
      </c>
    </row>
    <row r="478" spans="6:7">
      <c r="F478" t="s">
        <v>920</v>
      </c>
      <c r="G478" t="s">
        <v>475</v>
      </c>
    </row>
    <row r="479" spans="6:7">
      <c r="F479" t="s">
        <v>921</v>
      </c>
      <c r="G479" t="s">
        <v>475</v>
      </c>
    </row>
    <row r="480" spans="6:7">
      <c r="F480" t="s">
        <v>922</v>
      </c>
      <c r="G480" t="s">
        <v>475</v>
      </c>
    </row>
    <row r="481" spans="6:7">
      <c r="F481" t="s">
        <v>923</v>
      </c>
      <c r="G481" t="s">
        <v>475</v>
      </c>
    </row>
    <row r="482" spans="6:7">
      <c r="F482" t="s">
        <v>924</v>
      </c>
      <c r="G482" t="s">
        <v>475</v>
      </c>
    </row>
    <row r="483" spans="6:7">
      <c r="F483" t="s">
        <v>925</v>
      </c>
      <c r="G483" t="s">
        <v>475</v>
      </c>
    </row>
    <row r="484" spans="6:7">
      <c r="F484" t="s">
        <v>926</v>
      </c>
      <c r="G484" t="s">
        <v>475</v>
      </c>
    </row>
    <row r="485" spans="6:7">
      <c r="F485" t="s">
        <v>927</v>
      </c>
      <c r="G485" t="s">
        <v>475</v>
      </c>
    </row>
    <row r="486" spans="6:7">
      <c r="F486" t="s">
        <v>928</v>
      </c>
      <c r="G486" t="s">
        <v>475</v>
      </c>
    </row>
    <row r="487" spans="6:7">
      <c r="F487" t="s">
        <v>929</v>
      </c>
      <c r="G487" t="s">
        <v>475</v>
      </c>
    </row>
    <row r="488" spans="6:7">
      <c r="F488" t="s">
        <v>930</v>
      </c>
      <c r="G488" t="s">
        <v>475</v>
      </c>
    </row>
    <row r="489" spans="6:7">
      <c r="F489" t="s">
        <v>931</v>
      </c>
      <c r="G489" t="s">
        <v>475</v>
      </c>
    </row>
    <row r="490" spans="6:7">
      <c r="F490" t="s">
        <v>932</v>
      </c>
      <c r="G490" t="s">
        <v>475</v>
      </c>
    </row>
    <row r="491" spans="6:7">
      <c r="F491" t="s">
        <v>933</v>
      </c>
      <c r="G491" t="s">
        <v>475</v>
      </c>
    </row>
    <row r="492" spans="6:7">
      <c r="F492" t="s">
        <v>934</v>
      </c>
      <c r="G492" t="s">
        <v>475</v>
      </c>
    </row>
    <row r="493" spans="6:7">
      <c r="F493" t="s">
        <v>935</v>
      </c>
      <c r="G493" t="s">
        <v>475</v>
      </c>
    </row>
    <row r="494" spans="6:7">
      <c r="F494" t="s">
        <v>936</v>
      </c>
      <c r="G494" t="s">
        <v>475</v>
      </c>
    </row>
    <row r="495" spans="6:7">
      <c r="F495" t="s">
        <v>937</v>
      </c>
      <c r="G495" t="s">
        <v>475</v>
      </c>
    </row>
    <row r="496" spans="6:7">
      <c r="F496" t="s">
        <v>938</v>
      </c>
      <c r="G496" t="s">
        <v>475</v>
      </c>
    </row>
    <row r="497" spans="6:7">
      <c r="F497" t="s">
        <v>939</v>
      </c>
      <c r="G497" t="s">
        <v>475</v>
      </c>
    </row>
    <row r="498" spans="6:7">
      <c r="F498" t="s">
        <v>940</v>
      </c>
      <c r="G498" t="s">
        <v>475</v>
      </c>
    </row>
    <row r="499" spans="6:7">
      <c r="F499" t="s">
        <v>941</v>
      </c>
      <c r="G499" t="s">
        <v>475</v>
      </c>
    </row>
    <row r="500" spans="6:7">
      <c r="F500" t="s">
        <v>942</v>
      </c>
      <c r="G500" t="s">
        <v>475</v>
      </c>
    </row>
    <row r="501" spans="6:7">
      <c r="F501" t="s">
        <v>943</v>
      </c>
      <c r="G501" t="s">
        <v>475</v>
      </c>
    </row>
    <row r="502" spans="6:7">
      <c r="F502" t="s">
        <v>944</v>
      </c>
      <c r="G502" t="s">
        <v>475</v>
      </c>
    </row>
    <row r="503" spans="6:7">
      <c r="F503" t="s">
        <v>945</v>
      </c>
      <c r="G503" t="s">
        <v>475</v>
      </c>
    </row>
    <row r="504" spans="6:7">
      <c r="F504" t="s">
        <v>946</v>
      </c>
      <c r="G504" t="s">
        <v>475</v>
      </c>
    </row>
    <row r="505" spans="6:7">
      <c r="F505" t="s">
        <v>947</v>
      </c>
      <c r="G505" t="s">
        <v>475</v>
      </c>
    </row>
    <row r="506" spans="6:7">
      <c r="F506" t="s">
        <v>948</v>
      </c>
      <c r="G506" t="s">
        <v>475</v>
      </c>
    </row>
    <row r="507" spans="6:7">
      <c r="F507" t="s">
        <v>949</v>
      </c>
      <c r="G507" t="s">
        <v>475</v>
      </c>
    </row>
    <row r="508" spans="6:7">
      <c r="F508" t="s">
        <v>950</v>
      </c>
      <c r="G508" t="s">
        <v>475</v>
      </c>
    </row>
    <row r="509" spans="6:7">
      <c r="F509" t="s">
        <v>951</v>
      </c>
      <c r="G509" t="s">
        <v>475</v>
      </c>
    </row>
    <row r="510" spans="6:7">
      <c r="F510" t="s">
        <v>952</v>
      </c>
      <c r="G510" t="s">
        <v>475</v>
      </c>
    </row>
    <row r="511" spans="6:7">
      <c r="F511" t="s">
        <v>953</v>
      </c>
      <c r="G511" t="s">
        <v>475</v>
      </c>
    </row>
    <row r="512" spans="6:7">
      <c r="F512" t="s">
        <v>954</v>
      </c>
      <c r="G512" t="s">
        <v>475</v>
      </c>
    </row>
    <row r="513" spans="6:7">
      <c r="F513" t="s">
        <v>955</v>
      </c>
      <c r="G513" t="s">
        <v>475</v>
      </c>
    </row>
    <row r="514" spans="6:7">
      <c r="F514" t="s">
        <v>956</v>
      </c>
      <c r="G514" t="s">
        <v>475</v>
      </c>
    </row>
    <row r="515" spans="6:7">
      <c r="F515" t="s">
        <v>957</v>
      </c>
      <c r="G515" t="s">
        <v>475</v>
      </c>
    </row>
    <row r="516" spans="6:7">
      <c r="F516" t="s">
        <v>958</v>
      </c>
      <c r="G516" t="s">
        <v>475</v>
      </c>
    </row>
    <row r="517" spans="6:7">
      <c r="F517" t="s">
        <v>959</v>
      </c>
      <c r="G517" t="s">
        <v>475</v>
      </c>
    </row>
    <row r="518" spans="6:7">
      <c r="F518" t="s">
        <v>960</v>
      </c>
      <c r="G518" t="s">
        <v>475</v>
      </c>
    </row>
    <row r="519" spans="6:7">
      <c r="F519" t="s">
        <v>961</v>
      </c>
      <c r="G519" t="s">
        <v>475</v>
      </c>
    </row>
    <row r="520" spans="6:7">
      <c r="F520" t="s">
        <v>962</v>
      </c>
      <c r="G520" t="s">
        <v>475</v>
      </c>
    </row>
    <row r="521" spans="6:7">
      <c r="F521" t="s">
        <v>963</v>
      </c>
      <c r="G521" t="s">
        <v>475</v>
      </c>
    </row>
    <row r="522" spans="6:7">
      <c r="F522" t="s">
        <v>964</v>
      </c>
      <c r="G522" t="s">
        <v>475</v>
      </c>
    </row>
    <row r="523" spans="6:7">
      <c r="F523" t="s">
        <v>965</v>
      </c>
      <c r="G523" t="s">
        <v>475</v>
      </c>
    </row>
    <row r="524" spans="6:7">
      <c r="F524" t="s">
        <v>966</v>
      </c>
      <c r="G524" t="s">
        <v>475</v>
      </c>
    </row>
    <row r="525" spans="6:7">
      <c r="F525" t="s">
        <v>967</v>
      </c>
      <c r="G525" t="s">
        <v>475</v>
      </c>
    </row>
    <row r="526" spans="6:7">
      <c r="F526" t="s">
        <v>968</v>
      </c>
      <c r="G526" t="s">
        <v>475</v>
      </c>
    </row>
    <row r="527" spans="6:7">
      <c r="F527" t="s">
        <v>969</v>
      </c>
      <c r="G527" t="s">
        <v>475</v>
      </c>
    </row>
    <row r="528" spans="6:7">
      <c r="F528" t="s">
        <v>970</v>
      </c>
      <c r="G528" t="s">
        <v>475</v>
      </c>
    </row>
    <row r="529" spans="6:7">
      <c r="F529" t="s">
        <v>971</v>
      </c>
      <c r="G529" t="s">
        <v>475</v>
      </c>
    </row>
    <row r="530" spans="6:7">
      <c r="F530" t="s">
        <v>972</v>
      </c>
      <c r="G530" t="s">
        <v>475</v>
      </c>
    </row>
    <row r="531" spans="6:7">
      <c r="F531" t="s">
        <v>973</v>
      </c>
      <c r="G531" t="s">
        <v>475</v>
      </c>
    </row>
    <row r="532" spans="6:7">
      <c r="F532" t="s">
        <v>974</v>
      </c>
      <c r="G532" t="s">
        <v>475</v>
      </c>
    </row>
    <row r="533" spans="6:7">
      <c r="F533" t="s">
        <v>975</v>
      </c>
      <c r="G533" t="s">
        <v>475</v>
      </c>
    </row>
    <row r="534" spans="6:7">
      <c r="F534" t="s">
        <v>976</v>
      </c>
      <c r="G534" t="s">
        <v>475</v>
      </c>
    </row>
    <row r="535" spans="6:7">
      <c r="F535" t="s">
        <v>977</v>
      </c>
      <c r="G535" t="s">
        <v>475</v>
      </c>
    </row>
    <row r="536" spans="6:7">
      <c r="F536" t="s">
        <v>978</v>
      </c>
      <c r="G536" t="s">
        <v>475</v>
      </c>
    </row>
    <row r="537" spans="6:7">
      <c r="F537" t="s">
        <v>979</v>
      </c>
      <c r="G537" t="s">
        <v>475</v>
      </c>
    </row>
    <row r="538" spans="6:7">
      <c r="F538" t="s">
        <v>980</v>
      </c>
      <c r="G538" t="s">
        <v>475</v>
      </c>
    </row>
    <row r="539" spans="6:7">
      <c r="F539" t="s">
        <v>981</v>
      </c>
      <c r="G539" t="s">
        <v>475</v>
      </c>
    </row>
    <row r="540" spans="6:7">
      <c r="F540" t="s">
        <v>982</v>
      </c>
      <c r="G540" t="s">
        <v>475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monster_config</vt:lpstr>
      <vt:lpstr>编号表</vt:lpstr>
      <vt:lpstr>名称表</vt:lpstr>
      <vt:lpstr>版本变更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白鸠-PuFF</cp:lastModifiedBy>
  <dcterms:created xsi:type="dcterms:W3CDTF">2025-12-11T20:04:00Z</dcterms:created>
  <dcterms:modified xsi:type="dcterms:W3CDTF">2026-09-06T00:22:07Z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0C76D4BBDE4C4D4C85F8E92261E663C7_13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