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  <sheet name="本轮配置说明" sheetId="6" r:id="rIdConfig6"/>
    <sheet name="本轮资源需求" sheetId="7" r:id="rIdConfig7"/>
  </sheets>
  <definedNames>
    <definedName name="_xlnm._FilterDatabase" localSheetId="0" hidden="1">monster_config!$A$4:$BW$289</definedName>
    <definedName name="怪物类型">名称表!$A$3:$A$26</definedName>
    <definedName name="是否">名称表!$C$3:$C$4</definedName>
    <definedName name="阵营">名称表!$H$2:$H$9</definedName>
  </definedNames>
  <calcPr calcId="124519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<sst xmlns="http://schemas.openxmlformats.org/spreadsheetml/2006/main" count="6490" uniqueCount="1349">
  <si>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</si>
  <si>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</si>
  <si>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</si>
  <si>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</si>
  <si>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</si>
  <si>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</si>
  <si>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</si>
  <si>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</si>
  <si>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</si>
  <si>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 xml:space="preserve"> </t>
  </si>
  <si>
    <t>collision</t>
  </si>
  <si>
    <t>refresh_time</t>
  </si>
  <si>
    <t>drop_owner_policy</t>
  </si>
  <si>
    <t>protect_time</t>
  </si>
  <si>
    <t>ai_profile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</si>
  <si>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</si>
  <si>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</si>
  <si>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</si>
  <si>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</si>
  <si>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</si>
  <si>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</si>
  <si>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</si>
  <si>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</si>
  <si>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</si>
  <si>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</si>
  <si>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</si>
  <si>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</si>
  <si>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</si>
  <si>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</si>
  <si>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</si>
  <si>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</si>
  <si>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</si>
  <si>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</si>
  <si>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</si>
  <si>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</si>
  <si>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</si>
  <si>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</si>
  <si>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realm_id</t>
  </si>
  <si>
    <t>realm_sublevel</t>
  </si>
  <si>
    <t>##type</t>
  </si>
  <si>
    <t>int</t>
  </si>
  <si>
    <t>string</t>
  </si>
  <si>
    <t>MonsterDignity</t>
  </si>
  <si>
    <t>float</t>
  </si>
  <si>
    <t>array,int</t>
  </si>
  <si>
    <t>array,Attr</t>
  </si>
  <si>
    <t>MajorRealm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</si>
  <si>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</si>
  <si>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</si>
  <si>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</si>
  <si>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</si>
  <si>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</si>
  <si>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</si>
  <si>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</si>
  <si>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</si>
  <si>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</si>
  <si>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</si>
  <si>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</si>
  <si>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</si>
  <si>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</si>
  <si>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</si>
  <si>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</si>
  <si>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</si>
  <si>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</si>
  <si>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</si>
  <si>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</si>
  <si>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</si>
  <si>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</si>
  <si>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</si>
  <si>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AI参数组
ai_profile.id（索敌周期/脱战/回防/回血/接战策略）；0/空=不打、不挂行为，怪站着不动。配了就必须在 attrs 里给 警戒范围 和 攻击范围（&gt;0），能动的怪再给 移动速度；主动索敌还是受击还手看参数组行的 engage</t>
  </si>
  <si>
    <t>0掉落方案1</t>
  </si>
  <si>
    <t>0掉落方案2</t>
  </si>
  <si>
    <t>0掉落方案3</t>
  </si>
  <si>
    <t>0技能ID
出手时挑哪个由参数组 ai_profile.attack_policy 决定（留空 = 配置顺序优先：从前往后选第一个当前可放的）。普攻也是一行技能（skill_config 里 is_basic_attack=true 的行），要平 A 就把它写进来，想兜底就放最后；全部留空 = 没有普攻也没有技能，只追不打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</si>
  <si>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</si>
  <si>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</si>
  <si>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</si>
  <si>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</si>
  <si>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</si>
  <si>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</si>
  <si>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</si>
  <si>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</si>
  <si>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</si>
  <si>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</si>
  <si>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</si>
  <si>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</si>
  <si>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</si>
  <si>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</si>
  <si>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</si>
  <si>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</si>
  <si>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</si>
  <si>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</si>
  <si>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</si>
  <si>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</si>
  <si>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</si>
  <si>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</si>
  <si>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</si>
  <si>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</si>
  <si>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</si>
  <si>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</si>
  <si>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</si>
  <si>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</si>
  <si>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</si>
  <si>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</si>
  <si>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</si>
  <si>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</si>
  <si>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</si>
  <si>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</si>
  <si>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</si>
  <si>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</si>
  <si>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</si>
  <si>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</si>
  <si>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</si>
  <si>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</si>
  <si>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</si>
  <si>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</si>
  <si>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</si>
  <si>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</si>
  <si>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</si>
  <si>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</si>
  <si>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</si>
  <si>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</si>
  <si>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大境界（0=凡人）。用途：伤害管线的境界压制；值当前按等级分档占位预填，待策划给</t>
  </si>
  <si>
    <t>大境界内的第几层（1~10）。用途：属性基数与境界展示；值当前按等级分档占位预填，待策划给</t>
  </si>
  <si>
    <t>a001</t>
  </si>
  <si>
    <t>炼气一层·鸡</t>
  </si>
  <si>
    <t>鸡</t>
  </si>
  <si>
    <t>天元宗门——灵兽园</t>
  </si>
  <si>
    <t>天元宗门</t>
  </si>
  <si>
    <t>普通</t>
  </si>
  <si>
    <t>体修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</si>
  <si>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</si>
  <si>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</si>
  <si>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</si>
  <si>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</si>
  <si>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</si>
  <si>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</si>
  <si>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</si>
  <si>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</si>
  <si>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</si>
  <si>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</si>
  <si>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</si>
  <si>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</si>
  <si>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</si>
  <si>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</si>
  <si>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</si>
  <si>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炼气一层·鹿</t>
  </si>
  <si>
    <t>鹿</t>
  </si>
  <si>
    <t>a003</t>
  </si>
  <si>
    <t>炼气一层·羊</t>
  </si>
  <si>
    <t>羊</t>
  </si>
  <si>
    <t>a004</t>
  </si>
  <si>
    <t>炼气一层·稻草人</t>
  </si>
  <si>
    <t>稻草人</t>
  </si>
  <si>
    <t>a005</t>
  </si>
  <si>
    <t>炼气一层·蛤蟆</t>
  </si>
  <si>
    <t>蛤蟆</t>
  </si>
  <si>
    <t>a006</t>
  </si>
  <si>
    <t>炼气一层·毒蜘蛛</t>
  </si>
  <si>
    <t>毒蜘蛛</t>
  </si>
  <si>
    <t>远程</t>
  </si>
  <si>
    <t>a007</t>
  </si>
  <si>
    <t>炼气一层·食人花</t>
  </si>
  <si>
    <t>食人花</t>
  </si>
  <si>
    <t>a008</t>
  </si>
  <si>
    <t>炼气一层·红蛇</t>
  </si>
  <si>
    <t>红蛇</t>
  </si>
  <si>
    <t>a009</t>
  </si>
  <si>
    <t>炼气一层·虎蛇</t>
  </si>
  <si>
    <t>虎蛇</t>
  </si>
  <si>
    <t>a010</t>
  </si>
  <si>
    <t>炼气一层·狼</t>
  </si>
  <si>
    <t>狼</t>
  </si>
  <si>
    <t>a011</t>
  </si>
  <si>
    <t>炼气一层·虎卫</t>
  </si>
  <si>
    <t>虎卫</t>
  </si>
  <si>
    <t>a012</t>
  </si>
  <si>
    <t>炼气一层·鹰卫</t>
  </si>
  <si>
    <t>鹰卫</t>
  </si>
  <si>
    <t>a013</t>
  </si>
  <si>
    <t>炼气一层·山洞蝙蝠</t>
  </si>
  <si>
    <t>山洞蝙蝠</t>
  </si>
  <si>
    <t>a014</t>
  </si>
  <si>
    <t>炼气二层·青魂煞灵</t>
  </si>
  <si>
    <t>青魂煞灵</t>
  </si>
  <si>
    <t>蚀苇沼·末流所积</t>
  </si>
  <si>
    <t>a015</t>
  </si>
  <si>
    <t>炼气二层·深渊水魔</t>
  </si>
  <si>
    <t>深渊水魔</t>
  </si>
  <si>
    <t>a016</t>
  </si>
  <si>
    <t>炼气二层·冥海幽灵</t>
  </si>
  <si>
    <t>冥海幽灵</t>
  </si>
  <si>
    <t>a017</t>
  </si>
  <si>
    <t>炼气二层·冥河幽魂</t>
  </si>
  <si>
    <t>冥河幽魂</t>
  </si>
  <si>
    <t>a018</t>
  </si>
  <si>
    <t>精英</t>
  </si>
  <si>
    <t>a019</t>
  </si>
  <si>
    <t>炼气三层·骷髅长枪兵</t>
  </si>
  <si>
    <t>骷髅长枪兵</t>
  </si>
  <si>
    <t>浮沉洲</t>
  </si>
  <si>
    <t>a020</t>
  </si>
  <si>
    <t>炼气三层·骷髅弓箭手</t>
  </si>
  <si>
    <t>骷髅弓箭手</t>
  </si>
  <si>
    <t>a021</t>
  </si>
  <si>
    <t>炼气三层·骷髅锤兵</t>
  </si>
  <si>
    <t>骷髅锤兵</t>
  </si>
  <si>
    <t>a022</t>
  </si>
  <si>
    <t>炼气三层·骷髅刀斧手</t>
  </si>
  <si>
    <t>骷髅刀斧手</t>
  </si>
  <si>
    <t>a023</t>
  </si>
  <si>
    <t>炼气三层·骷髅盾卫</t>
  </si>
  <si>
    <t>骷髅盾卫</t>
  </si>
  <si>
    <t>a024</t>
  </si>
  <si>
    <t>a025</t>
  </si>
  <si>
    <t>炼气五层·跳跳蜂</t>
  </si>
  <si>
    <t>跳跳蜂</t>
  </si>
  <si>
    <t>蔽苇汀</t>
  </si>
  <si>
    <t>a026</t>
  </si>
  <si>
    <t>炼气五层·飞蛾</t>
  </si>
  <si>
    <t>飞蛾</t>
  </si>
  <si>
    <t>a027</t>
  </si>
  <si>
    <t>炼气五层·蝎蛇</t>
  </si>
  <si>
    <t>蝎蛇</t>
  </si>
  <si>
    <t>a028</t>
  </si>
  <si>
    <t>炼气五层·腐毒蛙</t>
  </si>
  <si>
    <t>腐毒蛙</t>
  </si>
  <si>
    <t>a029</t>
  </si>
  <si>
    <t>a030</t>
  </si>
  <si>
    <t>a031</t>
  </si>
  <si>
    <t>炼气六层·蜈蚣</t>
  </si>
  <si>
    <t>蜈蚣</t>
  </si>
  <si>
    <t>岳骨阶</t>
  </si>
  <si>
    <t>a032</t>
  </si>
  <si>
    <t>炼气六层·血炼尸妖</t>
  </si>
  <si>
    <t>血炼尸妖</t>
  </si>
  <si>
    <t>a033</t>
  </si>
  <si>
    <t>炼气六层·碎骨妖兵</t>
  </si>
  <si>
    <t>碎骨妖兵</t>
  </si>
  <si>
    <t>a034</t>
  </si>
  <si>
    <t>炼气六层·骨棺祭司</t>
  </si>
  <si>
    <t>骨棺祭司</t>
  </si>
  <si>
    <t>a035</t>
  </si>
  <si>
    <t>a036</t>
  </si>
  <si>
    <t>炼气六层·狂骨妖刀将</t>
  </si>
  <si>
    <t>狂骨妖刀将</t>
  </si>
  <si>
    <t>BOSS</t>
  </si>
  <si>
    <t>a037</t>
  </si>
  <si>
    <t>炼气七层·鸡</t>
  </si>
  <si>
    <t xml:space="preserve">异霭浦 </t>
  </si>
  <si>
    <t>a038</t>
  </si>
  <si>
    <t>炼气七层·鹿</t>
  </si>
  <si>
    <t>a039</t>
  </si>
  <si>
    <t>炼气七层·羊</t>
  </si>
  <si>
    <t>a040</t>
  </si>
  <si>
    <t>炼气八层·蛤蟆</t>
  </si>
  <si>
    <t>砾台</t>
  </si>
  <si>
    <t>a041</t>
  </si>
  <si>
    <t>炼气八层·狼</t>
  </si>
  <si>
    <t>a042</t>
  </si>
  <si>
    <t>炼气八层·红蛇</t>
  </si>
  <si>
    <t>a043</t>
  </si>
  <si>
    <t>炼气圆满·霜锋客</t>
  </si>
  <si>
    <t>霜锋客</t>
  </si>
  <si>
    <t>垂练岩·覆而偶开</t>
  </si>
  <si>
    <t>a044</t>
  </si>
  <si>
    <t>炼气圆满·霜锋戟将</t>
  </si>
  <si>
    <t>霜锋戟将</t>
  </si>
  <si>
    <t>a045</t>
  </si>
  <si>
    <t>炼气圆满·苍玄真人</t>
  </si>
  <si>
    <t>苍玄真人</t>
  </si>
  <si>
    <t>a046</t>
  </si>
  <si>
    <t>a047</t>
  </si>
  <si>
    <t>炼气圆满·霜锋阵仙</t>
  </si>
  <si>
    <t>霜锋阵仙</t>
  </si>
  <si>
    <t>a048</t>
  </si>
  <si>
    <t>筑基一层·蚀骨血核</t>
  </si>
  <si>
    <t>蚀骨血核</t>
  </si>
  <si>
    <t>水镜滩·水退方见</t>
  </si>
  <si>
    <t>a049</t>
  </si>
  <si>
    <t>筑基一层·石像魔狮</t>
  </si>
  <si>
    <t>石像魔狮</t>
  </si>
  <si>
    <t>a050</t>
  </si>
  <si>
    <t>筑基一层·灵心石魔</t>
  </si>
  <si>
    <t>灵心石魔</t>
  </si>
  <si>
    <t>a051</t>
  </si>
  <si>
    <t>筑基一层·机关兽</t>
  </si>
  <si>
    <t>机关兽</t>
  </si>
  <si>
    <t>a052</t>
  </si>
  <si>
    <t>a053</t>
  </si>
  <si>
    <t>筑基二层·无面血妖</t>
  </si>
  <si>
    <t>无面血妖</t>
  </si>
  <si>
    <t>沉浊坡</t>
  </si>
  <si>
    <t>a054</t>
  </si>
  <si>
    <t>筑基二层·面首</t>
  </si>
  <si>
    <t>面首</t>
  </si>
  <si>
    <t>a055</t>
  </si>
  <si>
    <t>筑基二层·心魔</t>
  </si>
  <si>
    <t>心魔</t>
  </si>
  <si>
    <t>a056</t>
  </si>
  <si>
    <t>筑基三层·大老鼠</t>
  </si>
  <si>
    <t>大老鼠</t>
  </si>
  <si>
    <t>豁烟水</t>
  </si>
  <si>
    <t>a057</t>
  </si>
  <si>
    <t>筑基三层·普通尸妖</t>
  </si>
  <si>
    <t>普通尸妖</t>
  </si>
  <si>
    <t>a058</t>
  </si>
  <si>
    <t>筑基三层·玄冥尸</t>
  </si>
  <si>
    <t>玄冥尸</t>
  </si>
  <si>
    <t>a059</t>
  </si>
  <si>
    <t>筑基三层·尸鬼</t>
  </si>
  <si>
    <t>尸鬼</t>
  </si>
  <si>
    <t>a060</t>
  </si>
  <si>
    <t>筑基三层·爬行尸鬼</t>
  </si>
  <si>
    <t>爬行尸鬼</t>
  </si>
  <si>
    <t>a061</t>
  </si>
  <si>
    <t>a062</t>
  </si>
  <si>
    <t>筑基四层·暗狱角魔</t>
  </si>
  <si>
    <t>暗狱角魔</t>
  </si>
  <si>
    <t>密荷影</t>
  </si>
  <si>
    <t>a063</t>
  </si>
  <si>
    <t>筑基四层·幽泽龙蛟</t>
  </si>
  <si>
    <t>幽泽龙蛟</t>
  </si>
  <si>
    <t>a064</t>
  </si>
  <si>
    <t>筑基四层·泥沼蛙</t>
  </si>
  <si>
    <t>泥沼蛙</t>
  </si>
  <si>
    <t>a065</t>
  </si>
  <si>
    <t>筑基四层·幽泽蛟王</t>
  </si>
  <si>
    <t>幽泽蛟王</t>
  </si>
  <si>
    <t>a066</t>
  </si>
  <si>
    <t>a067</t>
  </si>
  <si>
    <t>筑基六层·深渊战魔</t>
  </si>
  <si>
    <t>深渊战魔</t>
  </si>
  <si>
    <t>末分石</t>
  </si>
  <si>
    <t>a068</t>
  </si>
  <si>
    <t>筑基六层·深渊剑魂</t>
  </si>
  <si>
    <t>深渊剑魂</t>
  </si>
  <si>
    <t>a069</t>
  </si>
  <si>
    <t>筑基六层·邪甲战魔</t>
  </si>
  <si>
    <t>邪甲战魔</t>
  </si>
  <si>
    <t>a070</t>
  </si>
  <si>
    <t>a071</t>
  </si>
  <si>
    <t>筑基六层·深渊妖尊</t>
  </si>
  <si>
    <t>深渊妖尊</t>
  </si>
  <si>
    <t>a072</t>
  </si>
  <si>
    <t>筑基七层·狐狸</t>
  </si>
  <si>
    <t>狐狸</t>
  </si>
  <si>
    <t>粉浪风</t>
  </si>
  <si>
    <t>a073</t>
  </si>
  <si>
    <t>筑基七层·毒蜘蛛</t>
  </si>
  <si>
    <t>a074</t>
  </si>
  <si>
    <t>筑基七层·稻草人</t>
  </si>
  <si>
    <t>a075</t>
  </si>
  <si>
    <t>筑基八层·蝎子</t>
  </si>
  <si>
    <t>蝎子</t>
  </si>
  <si>
    <t>漫莎台</t>
  </si>
  <si>
    <t>a076</t>
  </si>
  <si>
    <t>筑基八层·暴牙蜘蛛</t>
  </si>
  <si>
    <t>暴牙蜘蛛</t>
  </si>
  <si>
    <t>a077</t>
  </si>
  <si>
    <t>筑基九层·荒古石像</t>
  </si>
  <si>
    <t>荒古石像</t>
  </si>
  <si>
    <t>匿汊口</t>
  </si>
  <si>
    <t>a078</t>
  </si>
  <si>
    <t>筑基九层·云纹巨灵</t>
  </si>
  <si>
    <t>云纹巨灵</t>
  </si>
  <si>
    <t>a079</t>
  </si>
  <si>
    <t>筑基九层·镇符兽</t>
  </si>
  <si>
    <t>镇符兽</t>
  </si>
  <si>
    <t>a080</t>
  </si>
  <si>
    <t>筑基九层·秘境守护者</t>
  </si>
  <si>
    <t>秘境守护者</t>
  </si>
  <si>
    <t>a081</t>
  </si>
  <si>
    <t>a082</t>
  </si>
  <si>
    <t>金丹一层·金霄戟将</t>
  </si>
  <si>
    <t>金霄戟将</t>
  </si>
  <si>
    <t>砾藏岩</t>
  </si>
  <si>
    <t>a083</t>
  </si>
  <si>
    <t>金丹一层·金霄守卫</t>
  </si>
  <si>
    <t>金霄守卫</t>
  </si>
  <si>
    <t>a084</t>
  </si>
  <si>
    <t>金丹一层·玄阳仙人</t>
  </si>
  <si>
    <t>玄阳仙人</t>
  </si>
  <si>
    <t>a085</t>
  </si>
  <si>
    <t>金丹一层·金羽仙主</t>
  </si>
  <si>
    <t>金羽仙主</t>
  </si>
  <si>
    <t>a086</t>
  </si>
  <si>
    <t>金丹二层·炎晶狱魔</t>
  </si>
  <si>
    <t>炎晶狱魔</t>
  </si>
  <si>
    <t>风背余晦</t>
  </si>
  <si>
    <t>a087</t>
  </si>
  <si>
    <t>金丹二层·炎晶虫</t>
  </si>
  <si>
    <t>炎晶虫</t>
  </si>
  <si>
    <t>a088</t>
  </si>
  <si>
    <t>a089</t>
  </si>
  <si>
    <t>金丹二层·炎晶狱主</t>
  </si>
  <si>
    <t>炎晶狱主</t>
  </si>
  <si>
    <t>a090</t>
  </si>
  <si>
    <t>金丹三层·焚山岩魔</t>
  </si>
  <si>
    <t>焚山岩魔</t>
  </si>
  <si>
    <t>砺赭坂</t>
  </si>
  <si>
    <t>a091</t>
  </si>
  <si>
    <t>金丹三层·焚山石灵</t>
  </si>
  <si>
    <t>焚山石灵</t>
  </si>
  <si>
    <t>a092</t>
  </si>
  <si>
    <t>金丹三层·焚山岩龟</t>
  </si>
  <si>
    <t>焚山岩龟</t>
  </si>
  <si>
    <t>a093</t>
  </si>
  <si>
    <t>金丹三层·焚山魔王</t>
  </si>
  <si>
    <t>焚山魔王</t>
  </si>
  <si>
    <t>a094</t>
  </si>
  <si>
    <t>a095</t>
  </si>
  <si>
    <t>金丹四层·熔岩战傀</t>
  </si>
  <si>
    <t>熔岩战傀</t>
  </si>
  <si>
    <t>铁色横侵</t>
  </si>
  <si>
    <t>a096</t>
  </si>
  <si>
    <t>金丹四层·熔火巨蟒</t>
  </si>
  <si>
    <t>熔火巨蟒</t>
  </si>
  <si>
    <t>a097</t>
  </si>
  <si>
    <t>金丹四层·赤发魔童</t>
  </si>
  <si>
    <t>赤发魔童</t>
  </si>
  <si>
    <t>a098</t>
  </si>
  <si>
    <t>a099</t>
  </si>
  <si>
    <t>金丹四层·焚界炎帝</t>
  </si>
  <si>
    <t>焚界炎帝</t>
  </si>
  <si>
    <t>a100</t>
  </si>
  <si>
    <t>金丹五层·赤焰岩卫</t>
  </si>
  <si>
    <t>赤焰岩卫</t>
  </si>
  <si>
    <t>伏沟鸣石</t>
  </si>
  <si>
    <t>a101</t>
  </si>
  <si>
    <t>金丹五层·炎牛将军</t>
  </si>
  <si>
    <t>炎牛将军</t>
  </si>
  <si>
    <t>a102</t>
  </si>
  <si>
    <t>a103</t>
  </si>
  <si>
    <t>金丹五层·无首狱侯</t>
  </si>
  <si>
    <t>无首狱侯</t>
  </si>
  <si>
    <t>a104</t>
  </si>
  <si>
    <t>金丹七层·山中虎</t>
  </si>
  <si>
    <t>山中虎</t>
  </si>
  <si>
    <t>褐苔含润</t>
  </si>
  <si>
    <t>a105</t>
  </si>
  <si>
    <t>金丹七层·冥牙虎</t>
  </si>
  <si>
    <t>冥牙虎</t>
  </si>
  <si>
    <t>a106</t>
  </si>
  <si>
    <t>金丹八层·赤斑蟒</t>
  </si>
  <si>
    <t>赤斑蟒</t>
  </si>
  <si>
    <t>肩生瘠芽</t>
  </si>
  <si>
    <t>a107</t>
  </si>
  <si>
    <t>金丹八层·飞隼</t>
  </si>
  <si>
    <t>飞隼</t>
  </si>
  <si>
    <t>a108</t>
  </si>
  <si>
    <t>金丹九层·山猊</t>
  </si>
  <si>
    <t>山猊</t>
  </si>
  <si>
    <t>岩腹潜龛</t>
  </si>
  <si>
    <t>a109</t>
  </si>
  <si>
    <t>金丹九层·枫骨妖</t>
  </si>
  <si>
    <t>枫骨妖</t>
  </si>
  <si>
    <t>a110</t>
  </si>
  <si>
    <t>金丹九层·假面邪徒</t>
  </si>
  <si>
    <t>假面邪徒</t>
  </si>
  <si>
    <t>a111</t>
  </si>
  <si>
    <t>a112</t>
  </si>
  <si>
    <t>金丹圆满·荒村游魂</t>
  </si>
  <si>
    <t>荒村游魂</t>
  </si>
  <si>
    <t>水息留痕</t>
  </si>
  <si>
    <t>a113</t>
  </si>
  <si>
    <t>金丹圆满·幽笼炼魂士</t>
  </si>
  <si>
    <t>幽笼炼魂士</t>
  </si>
  <si>
    <t>a114</t>
  </si>
  <si>
    <t>a115</t>
  </si>
  <si>
    <t>金丹圆满·幽火骨煞</t>
  </si>
  <si>
    <t>幽火骨煞</t>
  </si>
  <si>
    <t>a116</t>
  </si>
  <si>
    <t>元婴一层·黑锷蜘蛛</t>
  </si>
  <si>
    <t>黑锷蜘蛛</t>
  </si>
  <si>
    <t>泻砾堑</t>
  </si>
  <si>
    <t>a117</t>
  </si>
  <si>
    <t>元婴一层·钢牙蜘蛛</t>
  </si>
  <si>
    <t>钢牙蜘蛛</t>
  </si>
  <si>
    <t>a118</t>
  </si>
  <si>
    <t>元婴一层·天狼蜘蛛</t>
  </si>
  <si>
    <t>天狼蜘蛛</t>
  </si>
  <si>
    <t>a119</t>
  </si>
  <si>
    <t>元婴一层·花吻蜘蛛</t>
  </si>
  <si>
    <t>花吻蜘蛛</t>
  </si>
  <si>
    <t>a120</t>
  </si>
  <si>
    <t>元婴三层·血纹蛛姬</t>
  </si>
  <si>
    <t>血纹蛛姬</t>
  </si>
  <si>
    <t>幽崩谷</t>
  </si>
  <si>
    <t>a121</t>
  </si>
  <si>
    <t>元婴三层·寒晶蛛魔</t>
  </si>
  <si>
    <t>寒晶蛛魔</t>
  </si>
  <si>
    <t>a122</t>
  </si>
  <si>
    <t>元婴三层·多臂血魔</t>
  </si>
  <si>
    <t>多臂血魔</t>
  </si>
  <si>
    <t>a123</t>
  </si>
  <si>
    <t>元婴三层·炎蛛魔帝</t>
  </si>
  <si>
    <t>炎蛛魔帝</t>
  </si>
  <si>
    <t>a124</t>
  </si>
  <si>
    <t>元婴四层·浮墟祈师</t>
  </si>
  <si>
    <t>浮墟祈师</t>
  </si>
  <si>
    <t>截风坡</t>
  </si>
  <si>
    <t>a125</t>
  </si>
  <si>
    <t>元婴四层·腐角剑士</t>
  </si>
  <si>
    <t>腐角剑士</t>
  </si>
  <si>
    <t>a126</t>
  </si>
  <si>
    <t>元婴四层·腐林王尊</t>
  </si>
  <si>
    <t>腐林王尊</t>
  </si>
  <si>
    <t>a127</t>
  </si>
  <si>
    <t>元婴四层·玄罡魔尊</t>
  </si>
  <si>
    <t>玄罡魔尊</t>
  </si>
  <si>
    <t>a128</t>
  </si>
  <si>
    <t>元婴五层·熊</t>
  </si>
  <si>
    <t>熊</t>
  </si>
  <si>
    <t>隙光苔</t>
  </si>
  <si>
    <t>a129</t>
  </si>
  <si>
    <t>元婴六层·腐毒穿山甲</t>
  </si>
  <si>
    <t>腐毒穿山甲</t>
  </si>
  <si>
    <t>浸岩菖</t>
  </si>
  <si>
    <t>a130</t>
  </si>
  <si>
    <t>元婴八层·破戒金刚</t>
  </si>
  <si>
    <t>破戒金刚</t>
  </si>
  <si>
    <t>裂口</t>
  </si>
  <si>
    <t>a131</t>
  </si>
  <si>
    <t>元婴八层·禅斧武僧</t>
  </si>
  <si>
    <t>禅斧武僧</t>
  </si>
  <si>
    <t>a132</t>
  </si>
  <si>
    <t>元婴八层·焚魔禅师</t>
  </si>
  <si>
    <t>焚魔禅师</t>
  </si>
  <si>
    <t>a133</t>
  </si>
  <si>
    <t>元婴九层·澄光坐佛</t>
  </si>
  <si>
    <t>澄光坐佛</t>
  </si>
  <si>
    <t>承影</t>
  </si>
  <si>
    <t>a134</t>
  </si>
  <si>
    <t>元婴九层·金身护法</t>
  </si>
  <si>
    <t>金身护法</t>
  </si>
  <si>
    <t>a135</t>
  </si>
  <si>
    <t>元婴九层·寂莲堕尊</t>
  </si>
  <si>
    <t>寂莲堕尊</t>
  </si>
  <si>
    <t>a136</t>
  </si>
  <si>
    <t>元婴圆满·腐虫</t>
  </si>
  <si>
    <t>腐虫</t>
  </si>
  <si>
    <t>壅浊石</t>
  </si>
  <si>
    <t>a137</t>
  </si>
  <si>
    <t>元婴圆满·磷骨犬</t>
  </si>
  <si>
    <t>磷骨犬</t>
  </si>
  <si>
    <t>a138</t>
  </si>
  <si>
    <t>元婴圆满·空寂</t>
  </si>
  <si>
    <t>空寂</t>
  </si>
  <si>
    <t>a139</t>
  </si>
  <si>
    <t>化神一层·山贼杂兵</t>
  </si>
  <si>
    <t>山贼杂兵</t>
  </si>
  <si>
    <t>沉岚</t>
  </si>
  <si>
    <t>a140</t>
  </si>
  <si>
    <t>化神一层·草笠山贼</t>
  </si>
  <si>
    <t>草笠山贼</t>
  </si>
  <si>
    <t>a141</t>
  </si>
  <si>
    <t>化神一层·醉酒刀客</t>
  </si>
  <si>
    <t>醉酒刀客</t>
  </si>
  <si>
    <t>a142</t>
  </si>
  <si>
    <t>化神二层·巨斧山贼</t>
  </si>
  <si>
    <t>巨斧山贼</t>
  </si>
  <si>
    <t>悬晖</t>
  </si>
  <si>
    <t>a143</t>
  </si>
  <si>
    <t>化神二层·山贼队长</t>
  </si>
  <si>
    <t>山贼队长</t>
  </si>
  <si>
    <t>a144</t>
  </si>
  <si>
    <t>化神二层·山贼头目</t>
  </si>
  <si>
    <t>山贼头目</t>
  </si>
  <si>
    <t>a145</t>
  </si>
  <si>
    <t>化神四层·狼牙小卒</t>
  </si>
  <si>
    <t>狼牙小卒</t>
  </si>
  <si>
    <t>隐翳</t>
  </si>
  <si>
    <t>a146</t>
  </si>
  <si>
    <t>化神四层·狼牙先锋</t>
  </si>
  <si>
    <t>狼牙先锋</t>
  </si>
  <si>
    <t>a147</t>
  </si>
  <si>
    <t>化神四层·狼牙战士</t>
  </si>
  <si>
    <t>狼牙战士</t>
  </si>
  <si>
    <t>a148</t>
  </si>
  <si>
    <t>化神四层·狼牙妖尊</t>
  </si>
  <si>
    <t>狼牙妖尊</t>
  </si>
  <si>
    <t>a149</t>
  </si>
  <si>
    <t>化神五层·铁臂巨猿</t>
  </si>
  <si>
    <t>铁臂巨猿</t>
  </si>
  <si>
    <t>云根露</t>
  </si>
  <si>
    <t>a150</t>
  </si>
  <si>
    <t>化神六层·鳄鱼</t>
  </si>
  <si>
    <t>鳄鱼</t>
  </si>
  <si>
    <t>风痕苔生</t>
  </si>
  <si>
    <t>a151</t>
  </si>
  <si>
    <t>化神七层·紫霄散仙</t>
  </si>
  <si>
    <t>紫霄散仙</t>
  </si>
  <si>
    <t>涓台窦</t>
  </si>
  <si>
    <t>a152</t>
  </si>
  <si>
    <t>化神七层·金甲门神</t>
  </si>
  <si>
    <t>金甲门神</t>
  </si>
  <si>
    <t>a153</t>
  </si>
  <si>
    <t>化神七层·雷泽战尊</t>
  </si>
  <si>
    <t>雷泽战尊</t>
  </si>
  <si>
    <t>a154</t>
  </si>
  <si>
    <t>化神七层·托塔天王</t>
  </si>
  <si>
    <t>托塔天王</t>
  </si>
  <si>
    <t>a155</t>
  </si>
  <si>
    <t>化神九层·寒晶遗傀</t>
  </si>
  <si>
    <t>寒晶遗傀</t>
  </si>
  <si>
    <t>孔收暮影</t>
  </si>
  <si>
    <t>a156</t>
  </si>
  <si>
    <t>化神九层·荒古石将</t>
  </si>
  <si>
    <t>荒古石将</t>
  </si>
  <si>
    <t>a157</t>
  </si>
  <si>
    <t>化神九层·云环守卫</t>
  </si>
  <si>
    <t>云环守卫</t>
  </si>
  <si>
    <t>a158</t>
  </si>
  <si>
    <t>化神九层·环锁魂灵</t>
  </si>
  <si>
    <t>环锁魂灵</t>
  </si>
  <si>
    <t>a159</t>
  </si>
  <si>
    <t>化神圆满·赤角魔獠</t>
  </si>
  <si>
    <t>赤角魔獠</t>
  </si>
  <si>
    <t>雾黯岩</t>
  </si>
  <si>
    <t>a160</t>
  </si>
  <si>
    <t>化神圆满·链炉火奴</t>
  </si>
  <si>
    <t>链炉火奴</t>
  </si>
  <si>
    <t>a161</t>
  </si>
  <si>
    <t>化神圆满·赤幡炎将</t>
  </si>
  <si>
    <t>赤幡炎将</t>
  </si>
  <si>
    <t>a162</t>
  </si>
  <si>
    <t>炼虚六层·残骨士卒</t>
  </si>
  <si>
    <t>残骨士卒</t>
  </si>
  <si>
    <t>雪檐古兽</t>
  </si>
  <si>
    <t>a163</t>
  </si>
  <si>
    <t>炼虚六层·残颅獠将</t>
  </si>
  <si>
    <t>残颅獠将</t>
  </si>
  <si>
    <t>a164</t>
  </si>
  <si>
    <t>赤纹魔狞</t>
  </si>
  <si>
    <t>a165</t>
  </si>
  <si>
    <t>炼虚六层·赤纹魔狞</t>
  </si>
  <si>
    <t>a166</t>
  </si>
  <si>
    <t>炼虚六层·残骨将军</t>
  </si>
  <si>
    <t>残骨将军</t>
  </si>
  <si>
    <t>a167</t>
  </si>
  <si>
    <t>炼虚七层·链锤魔猪</t>
  </si>
  <si>
    <t>链锤魔猪</t>
  </si>
  <si>
    <t>霰砾坡</t>
  </si>
  <si>
    <t>a168</t>
  </si>
  <si>
    <t>a169</t>
  </si>
  <si>
    <t>炼虚七层·蛮猪战士</t>
  </si>
  <si>
    <t>蛮猪战士</t>
  </si>
  <si>
    <t>a170</t>
  </si>
  <si>
    <t>炼虚七层·蛮猪勇士</t>
  </si>
  <si>
    <t>蛮猪勇士</t>
  </si>
  <si>
    <t>a171</t>
  </si>
  <si>
    <t>炼虚七层·链锤野猪</t>
  </si>
  <si>
    <t>链锤野猪</t>
  </si>
  <si>
    <t>a172</t>
  </si>
  <si>
    <t>炼虚三层·九齿天蓬</t>
  </si>
  <si>
    <t>九齿天蓬</t>
  </si>
  <si>
    <t>融口初声</t>
  </si>
  <si>
    <t>a173</t>
  </si>
  <si>
    <t>炼虚三层·赤鬃蛮猪</t>
  </si>
  <si>
    <t>赤鬃蛮猪</t>
  </si>
  <si>
    <t>a174</t>
  </si>
  <si>
    <t>炼虚三层·妄念猪罗</t>
  </si>
  <si>
    <t>妄念猪罗</t>
  </si>
  <si>
    <t>a175</t>
  </si>
  <si>
    <t>a176</t>
  </si>
  <si>
    <t>炼虚四层·破阵战牛</t>
  </si>
  <si>
    <t>破阵战牛</t>
  </si>
  <si>
    <t>凇覆苔痕</t>
  </si>
  <si>
    <t>a177</t>
  </si>
  <si>
    <t>炼虚四层·犀牛妖兵</t>
  </si>
  <si>
    <t>犀牛妖兵</t>
  </si>
  <si>
    <t>a178</t>
  </si>
  <si>
    <t>a179</t>
  </si>
  <si>
    <t>炼虚四层·岩棘魔蜥</t>
  </si>
  <si>
    <t>岩棘魔蜥</t>
  </si>
  <si>
    <t>a180</t>
  </si>
  <si>
    <t>炼虚四层·蛮牛魔灵</t>
  </si>
  <si>
    <t>蛮牛魔灵</t>
  </si>
  <si>
    <t>a181</t>
  </si>
  <si>
    <t>炼虚一层·食人花</t>
  </si>
  <si>
    <t>寒水迟芽</t>
  </si>
  <si>
    <t>a182</t>
  </si>
  <si>
    <t>a183</t>
  </si>
  <si>
    <t>炼虚一层·毒萝花姬</t>
  </si>
  <si>
    <t>毒萝花姬</t>
  </si>
  <si>
    <t>a184</t>
  </si>
  <si>
    <t>a185</t>
  </si>
  <si>
    <t>炼虚一层·花犬</t>
  </si>
  <si>
    <t>花犬</t>
  </si>
  <si>
    <t>a186</t>
  </si>
  <si>
    <t>炼虚二层·碧涛龙蛟</t>
  </si>
  <si>
    <t>碧涛龙蛟</t>
  </si>
  <si>
    <t>鞍窍</t>
  </si>
  <si>
    <t>a187</t>
  </si>
  <si>
    <t>炼虚二层·碧涛羽客</t>
  </si>
  <si>
    <t>碧涛羽客</t>
  </si>
  <si>
    <t>a188</t>
  </si>
  <si>
    <t>炼虚二层·碧涛蛟仙</t>
  </si>
  <si>
    <t>碧涛蛟仙</t>
  </si>
  <si>
    <t>a189</t>
  </si>
  <si>
    <t>a190</t>
  </si>
  <si>
    <t>炼虚五层·凝霜水魂</t>
  </si>
  <si>
    <t>凝霜水魂</t>
  </si>
  <si>
    <t>霁台</t>
  </si>
  <si>
    <t>a191</t>
  </si>
  <si>
    <t>炼虚五层·幽澜刀尉</t>
  </si>
  <si>
    <t>幽澜刀尉</t>
  </si>
  <si>
    <t>a192</t>
  </si>
  <si>
    <t>a193</t>
  </si>
  <si>
    <t>炼虚五层·玄金傀卫</t>
  </si>
  <si>
    <t>玄金傀卫</t>
  </si>
  <si>
    <t>a194</t>
  </si>
  <si>
    <t>炼虚六层·冰晶龟</t>
  </si>
  <si>
    <t>冰晶龟</t>
  </si>
  <si>
    <t>白色</t>
  </si>
  <si>
    <t>凛冽坡</t>
  </si>
  <si>
    <t/>
  </si>
  <si>
    <t>无</t>
  </si>
  <si>
    <t>a195</t>
  </si>
  <si>
    <t>炼虚六层·寒冰巨犀</t>
  </si>
  <si>
    <t>寒冰巨犀</t>
  </si>
  <si>
    <t>a196</t>
  </si>
  <si>
    <t>炼虚六层·冰煞巨兽</t>
  </si>
  <si>
    <t>冰煞巨兽</t>
  </si>
  <si>
    <t>a197</t>
  </si>
  <si>
    <t>绿色</t>
  </si>
  <si>
    <t>a198</t>
  </si>
  <si>
    <t>炼虚七层·冰尸妖</t>
  </si>
  <si>
    <t>冰尸妖</t>
  </si>
  <si>
    <t>虚浮台</t>
  </si>
  <si>
    <t>a199</t>
  </si>
  <si>
    <t>炼虚七层·阴魂女煞</t>
  </si>
  <si>
    <t>阴魂女煞</t>
  </si>
  <si>
    <t>a200</t>
  </si>
  <si>
    <t>炼虚七层·霜风射手</t>
  </si>
  <si>
    <t>霜风射手</t>
  </si>
  <si>
    <t>a201</t>
  </si>
  <si>
    <t>a202</t>
  </si>
  <si>
    <t>炼虚八层·玄冰守将</t>
  </si>
  <si>
    <t>玄冰守将</t>
  </si>
  <si>
    <t>照影窗</t>
  </si>
  <si>
    <t>a203</t>
  </si>
  <si>
    <t>炼虚八层·玄枢鼎君</t>
  </si>
  <si>
    <t>玄枢鼎君</t>
  </si>
  <si>
    <t>a204</t>
  </si>
  <si>
    <t>a205</t>
  </si>
  <si>
    <t>炼虚八层·北境玄帝</t>
  </si>
  <si>
    <t>北境玄帝</t>
  </si>
  <si>
    <t>橙色</t>
  </si>
  <si>
    <t>a206</t>
  </si>
  <si>
    <t>炼虚八层·寒天虎</t>
  </si>
  <si>
    <t>寒天虎</t>
  </si>
  <si>
    <t>回光藓</t>
  </si>
  <si>
    <t>a207</t>
  </si>
  <si>
    <t>炼虚九层·灵鹤</t>
  </si>
  <si>
    <t>灵鹤</t>
  </si>
  <si>
    <t>风偃枝</t>
  </si>
  <si>
    <t>a208</t>
  </si>
  <si>
    <t>炼虚九层·冰虫</t>
  </si>
  <si>
    <t>冰虫</t>
  </si>
  <si>
    <t>阖岫口</t>
  </si>
  <si>
    <t>a209</t>
  </si>
  <si>
    <t>炼虚九层·墟晶魔兽</t>
  </si>
  <si>
    <t>墟晶魔兽</t>
  </si>
  <si>
    <t>a210</t>
  </si>
  <si>
    <t>a211</t>
  </si>
  <si>
    <t>炼虚九层·霜渊冥姬</t>
  </si>
  <si>
    <t>霜渊冥姬</t>
  </si>
  <si>
    <t>a212</t>
  </si>
  <si>
    <t>炼虚圆满·玄苍遗种</t>
  </si>
  <si>
    <t>玄苍遗种</t>
  </si>
  <si>
    <t>坠尽渊</t>
  </si>
  <si>
    <t>a213</t>
  </si>
  <si>
    <t>炼虚圆满·玄霜战猿</t>
  </si>
  <si>
    <t>玄霜战猿</t>
  </si>
  <si>
    <t>a214</t>
  </si>
  <si>
    <t>炼虚圆满·独眼魔石像</t>
  </si>
  <si>
    <t>独眼魔石像</t>
  </si>
  <si>
    <t>a215</t>
  </si>
  <si>
    <t>a216</t>
  </si>
  <si>
    <t>合体一层·执旗蛮奴</t>
  </si>
  <si>
    <t>执旗蛮奴</t>
  </si>
  <si>
    <t>昏金岩</t>
  </si>
  <si>
    <t>a217</t>
  </si>
  <si>
    <t>合体一层·浮台冥君</t>
  </si>
  <si>
    <t>浮台冥君</t>
  </si>
  <si>
    <t>a218</t>
  </si>
  <si>
    <t>a219</t>
  </si>
  <si>
    <t>合体一层·枷罗冥主</t>
  </si>
  <si>
    <t>枷罗冥主</t>
  </si>
  <si>
    <t>场景归属</t>
  </si>
  <si>
    <t>内部编号</t>
  </si>
  <si>
    <t>颜色</t>
  </si>
  <si>
    <t>新手</t>
  </si>
  <si>
    <t>沃玛级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</si>
  <si>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</si>
  <si>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</si>
  <si>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</si>
  <si>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</si>
  <si>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</si>
  <si>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</si>
  <si>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</si>
  <si>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</si>
  <si>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</si>
  <si>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</si>
  <si>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</si>
  <si>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</si>
  <si>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</si>
  <si>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</si>
  <si>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</si>
  <si>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</si>
  <si>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</si>
  <si>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</si>
  <si>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</si>
  <si>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</si>
  <si>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</si>
  <si>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</si>
  <si>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</si>
  <si>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</si>
  <si>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</si>
  <si>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</si>
  <si>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汇歧渚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</si>
  <si>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</si>
  <si>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</si>
  <si>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</si>
  <si>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</si>
  <si>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</si>
  <si>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</si>
  <si>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</si>
  <si>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</si>
  <si>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</si>
  <si>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</si>
  <si>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</si>
  <si>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尸魔洞一层</t>
  </si>
  <si>
    <t>尸魔洞二层</t>
  </si>
  <si>
    <t>骨魔洞一层</t>
  </si>
  <si>
    <t>骨魔洞二层</t>
  </si>
  <si>
    <t>牛魔寺庙入口</t>
  </si>
  <si>
    <t>牛魔寺庙一层</t>
  </si>
  <si>
    <t>牛魔寺庙大厅</t>
  </si>
  <si>
    <t>丛林迷宫</t>
  </si>
  <si>
    <t>赤月峡谷西走廊</t>
  </si>
  <si>
    <t>赤月峡谷东二层</t>
  </si>
  <si>
    <t>赤月峡谷广场</t>
  </si>
  <si>
    <t>抉择之地</t>
  </si>
  <si>
    <t>恶魔祭坛</t>
  </si>
  <si>
    <t>赤月魔穴</t>
  </si>
  <si>
    <t>石息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</si>
  <si>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</si>
  <si>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</si>
  <si>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</si>
  <si>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</si>
  <si>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</si>
  <si>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</si>
  <si>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</si>
  <si>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</si>
  <si>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</si>
  <si>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</si>
  <si>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</si>
  <si>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</si>
  <si>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</si>
  <si>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</si>
  <si>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</si>
  <si>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</si>
  <si>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</si>
  <si>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</si>
  <si>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</si>
  <si>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</si>
  <si>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</si>
  <si>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</si>
  <si>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</si>
  <si>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</si>
  <si>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</si>
  <si>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</si>
  <si>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</si>
  <si>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</si>
  <si>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</si>
  <si>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</si>
  <si>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</si>
  <si>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</si>
  <si>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</si>
  <si>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</si>
  <si>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</si>
  <si>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</si>
  <si>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</si>
  <si>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</si>
  <si>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</si>
  <si>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</si>
  <si>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</si>
  <si>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</si>
  <si>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</si>
  <si>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</si>
  <si>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</si>
  <si>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</si>
  <si>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</si>
  <si>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</si>
  <si>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</si>
  <si>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</si>
  <si>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</si>
  <si>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</si>
  <si>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</si>
  <si>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</si>
  <si>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</si>
  <si>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</si>
  <si>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</si>
  <si>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</si>
  <si>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</si>
  <si>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</si>
  <si>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</si>
  <si>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</si>
  <si>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</si>
  <si>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</si>
  <si>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</si>
  <si>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</si>
  <si>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</si>
  <si>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</si>
  <si>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</si>
  <si>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</si>
  <si>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</si>
  <si>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</si>
  <si>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</si>
  <si>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</si>
  <si>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</si>
  <si>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</si>
  <si>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</si>
  <si>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</si>
  <si>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</si>
  <si>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</si>
  <si>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</si>
  <si>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</si>
  <si>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</si>
  <si>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</si>
  <si>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</si>
  <si>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</si>
  <si>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</si>
  <si>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</si>
  <si>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</si>
  <si>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</si>
  <si>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</si>
  <si>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</si>
  <si>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</si>
  <si>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</si>
  <si>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</si>
  <si>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</si>
  <si>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</si>
  <si>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</si>
  <si>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</si>
  <si>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</si>
  <si>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</si>
  <si>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</si>
  <si>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</si>
  <si>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</si>
  <si>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</si>
  <si>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</si>
  <si>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</si>
  <si>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</si>
  <si>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</si>
  <si>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</si>
  <si>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</si>
  <si>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</si>
  <si>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</si>
  <si>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</si>
  <si>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</si>
  <si>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</si>
  <si>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</si>
  <si>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</si>
  <si>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</si>
  <si>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</si>
  <si>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</si>
  <si>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</si>
  <si>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</si>
  <si>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</si>
  <si>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</si>
  <si>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</si>
  <si>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</si>
  <si>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</si>
  <si>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</si>
  <si>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</si>
  <si>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</si>
  <si>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</si>
  <si>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</si>
  <si>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</si>
  <si>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</si>
  <si>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</si>
  <si>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</si>
  <si>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</si>
  <si>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</si>
  <si>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</si>
  <si>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</si>
  <si>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</si>
  <si>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</si>
  <si>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</si>
  <si>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</si>
  <si>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</si>
  <si>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</si>
  <si>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</si>
  <si>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</si>
  <si>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</si>
  <si>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</si>
  <si>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</si>
  <si>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</si>
  <si>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</si>
  <si>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</si>
  <si>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</si>
  <si>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</si>
  <si>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比奇城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</si>
  <si>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</si>
  <si>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</si>
  <si>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</si>
  <si>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</si>
  <si>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</si>
  <si>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</si>
  <si>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</si>
  <si>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</si>
  <si>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</si>
  <si>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</si>
  <si>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</si>
  <si>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</si>
  <si>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</si>
  <si>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</si>
  <si>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</si>
  <si>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</si>
  <si>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</si>
  <si>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</si>
  <si>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</si>
  <si>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</si>
  <si>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</si>
  <si>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a220</t>
  </si>
  <si>
    <t>a221</t>
  </si>
  <si>
    <t>a222</t>
  </si>
  <si>
    <t>a223</t>
  </si>
  <si>
    <t>a224</t>
  </si>
  <si>
    <t>a225</t>
  </si>
  <si>
    <t>a226</t>
  </si>
  <si>
    <t>a227</t>
  </si>
  <si>
    <t>a228</t>
  </si>
  <si>
    <t>a229</t>
  </si>
  <si>
    <t>a230</t>
  </si>
  <si>
    <t>a231</t>
  </si>
  <si>
    <t>a232</t>
  </si>
  <si>
    <t>a233</t>
  </si>
  <si>
    <t>a234</t>
  </si>
  <si>
    <t>a235</t>
  </si>
  <si>
    <t>a236</t>
  </si>
  <si>
    <t>a237</t>
  </si>
  <si>
    <t>a238</t>
  </si>
  <si>
    <t>a239</t>
  </si>
  <si>
    <t>a240</t>
  </si>
  <si>
    <t>a241</t>
  </si>
  <si>
    <t>a242</t>
  </si>
  <si>
    <t>a243</t>
  </si>
  <si>
    <t>a244</t>
  </si>
  <si>
    <t>a245</t>
  </si>
  <si>
    <t>a246</t>
  </si>
  <si>
    <t>a247</t>
  </si>
  <si>
    <t>a248</t>
  </si>
  <si>
    <t>a249</t>
  </si>
  <si>
    <t>a250</t>
  </si>
  <si>
    <t>a251</t>
  </si>
  <si>
    <t>a252</t>
  </si>
  <si>
    <t>a253</t>
  </si>
  <si>
    <t>a254</t>
  </si>
  <si>
    <t>a255</t>
  </si>
  <si>
    <t>a256</t>
  </si>
  <si>
    <t>a257</t>
  </si>
  <si>
    <t>a258</t>
  </si>
  <si>
    <t>a259</t>
  </si>
  <si>
    <t>a260</t>
  </si>
  <si>
    <t>a261</t>
  </si>
  <si>
    <t>a262</t>
  </si>
  <si>
    <t>a263</t>
  </si>
  <si>
    <t>a264</t>
  </si>
  <si>
    <t>a265</t>
  </si>
  <si>
    <t>a266</t>
  </si>
  <si>
    <t>a267</t>
  </si>
  <si>
    <t>a268</t>
  </si>
  <si>
    <t>a269</t>
  </si>
  <si>
    <t>a270</t>
  </si>
  <si>
    <t>a271</t>
  </si>
  <si>
    <t>a272</t>
  </si>
  <si>
    <t>a273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</si>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</sst>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4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77773369548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6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6" borderId="0">
      <alignment vertical="center"/>
    </xf>
    <xf numFmtId="0" fontId="37" fillId="37" borderId="0">
      <alignment vertical="center"/>
    </xf>
    <xf numFmtId="0" fontId="38" fillId="38" borderId="10"/>
    <xf numFmtId="0" fontId="41" fillId="41" borderId="11"/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/>
    </xf>
    <xf numFmtId="0" fontId="38" fillId="38" borderId="10" xfId="58"/>
    <xf numFmtId="0" fontId="38" fillId="38" borderId="10" xfId="58">
      <extLst>
        <ext uri="{C7286773-470A-42A8-94C5-96B5CB345126}">
          <xfpb:xfComplement xmlns:xfpb="http://schemas.microsoft.com/office/spreadsheetml/2022/featurepropertybag" i="0"/>
        </ext>
      </extLst>
    </xf>
    <xf numFmtId="0" fontId="39" fillId="38" borderId="10" xfId="58" applyNumberFormat="1" applyFont="1" applyFill="1" applyBorder="1"/>
    <xf numFmtId="0" fontId="39" fillId="38" borderId="10" xfId="58" applyNumberFormat="1" applyFont="1" applyFill="1" applyBorder="1" applyAlignment="1">
      <alignment wrapText="1"/>
    </xf>
    <xf numFmtId="0" fontId="39" fillId="40" borderId="10" xfId="58" applyNumberFormat="1" applyFont="1" applyFill="1" applyBorder="1" applyAlignment="1">
      <alignment wrapText="1"/>
    </xf>
    <xf numFmtId="0" fontId="40" fillId="40" borderId="10" xfId="58" applyNumberFormat="1" applyFont="1" applyFill="1" applyBorder="1" applyAlignment="1">
      <alignment wrapText="1"/>
    </xf>
    <xf numFmtId="0" fontId="41" fillId="41" borderId="11" xfId="59"/>
    <xf numFmtId="0" fontId="42" fillId="41" borderId="11" xfId="59" applyNumberFormat="1" applyFont="1" applyFill="1" applyBorder="1"/>
    <xf numFmtId="0" fontId="42" fillId="41" borderId="11" xfId="59" applyNumberFormat="1" applyFont="1" applyFill="1" applyBorder="1" applyAlignment="1">
      <alignment wrapText="1"/>
    </xf>
    <xf numFmtId="0" fontId="42" fillId="43" borderId="11" xfId="59" applyNumberFormat="1" applyFont="1" applyFill="1" applyBorder="1" applyAlignment="1">
      <alignment wrapText="1"/>
    </xf>
    <xf numFmtId="0" fontId="43" fillId="43" borderId="11" xfId="59" applyNumberFormat="1" applyFont="1" applyFill="1" applyBorder="1" applyAlignment="1">
      <alignment wrapText="1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6" Type="http://schemas.openxmlformats.org/officeDocument/2006/relationships/worksheet" Target="worksheets/sheet6.xml"/><Relationship Id="rIdConfig7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Z261"/>
  <sheetViews>
    <sheetView tabSelected="1" zoomScale="115" zoomScaleNormal="115" workbookViewId="0">
      <pane xSplit="7" ySplit="2" topLeftCell="H205" activePane="bottomRight" state="frozen"/>
      <selection/>
      <selection pane="topRight"/>
      <selection pane="bottomLeft"/>
      <selection pane="bottomRight" activeCell="H223" sqref="H210"/>
    </sheetView>
  </sheetViews>
  <sheetFormatPr defaultColWidth="9" defaultRowHeight="13.2"/>
  <cols>
    <col min="1" max="1" width="11.2685185185185" style="8" customWidth="1"/>
    <col min="2" max="2" width="9.26851851851852" style="8" customWidth="1"/>
    <col min="3" max="3" width="12.0925925925926" style="8" customWidth="1"/>
    <col min="4" max="4" width="18" style="8" customWidth="1"/>
    <col min="5" max="5" width="11.5462962962963" style="8" customWidth="1"/>
    <col min="6" max="6" width="7.09259259259259" style="15" customWidth="1"/>
    <col min="7" max="7" width="12.2685185185185" style="8" customWidth="1"/>
    <col min="8" max="8" width="9.81481481481481" style="8" customWidth="1"/>
    <col min="9" max="9" width="11.3611111111111" style="8" customWidth="1"/>
    <col min="10" max="10" width="13" style="8" customWidth="1"/>
    <col min="11" max="11" width="16.1759259259259" style="8" customWidth="1"/>
    <col min="12" max="12" width="6" style="8" customWidth="1"/>
    <col min="13" max="13" width="14.9074074074074" style="15" customWidth="1"/>
    <col min="14" max="15" width="16.6296296296296" style="15" customWidth="1"/>
    <col min="16" max="16" width="8.09259259259259" style="15" customWidth="1"/>
    <col min="17" max="19" width="14.7222222222222" style="15" customWidth="1"/>
    <col min="20" max="20" width="10.6296296296296" style="15" customWidth="1"/>
    <col min="21" max="21" width="13.2685185185185" style="15" customWidth="1"/>
    <col min="22" max="22" width="10.6296296296296" style="15" customWidth="1"/>
    <col min="23" max="25" width="8.5462962962963" style="8" customWidth="1"/>
    <col min="26" max="26" width="9.72222222222222" style="15" customWidth="1"/>
    <col min="27" max="27" width="30.5462962962963" style="11" customWidth="1"/>
    <col min="28" max="28" width="32.3611111111111" style="11" customWidth="1"/>
    <col min="29" max="29" width="9" style="15" customWidth="1"/>
    <col min="30" max="30" width="6" style="15" customWidth="1"/>
    <col min="31" max="31" width="9.90740740740741" style="15" customWidth="1"/>
    <col min="32" max="32" width="9.72222222222222" style="15" customWidth="1"/>
    <col min="33" max="33" width="10.4537037037037" style="8" customWidth="1"/>
    <col min="34" max="34" width="31.0925925925926" style="8" customWidth="1"/>
    <col min="35" max="35" width="25.7222222222222" style="8" customWidth="1"/>
    <col min="36" max="36" width="29.9074074074074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11111111111" style="8" customWidth="1"/>
    <col min="54" max="66" width="9" style="8" customWidth="1"/>
    <col min="67" max="67" width="15.4537037037037" style="8" customWidth="1"/>
    <col min="68" max="68" width="7.5462962962963" style="8" customWidth="1"/>
    <col min="69" max="69" width="14.6296296296296" style="8" customWidth="1"/>
    <col min="70" max="70" width="12.6296296296296" style="8" customWidth="1"/>
    <col min="71" max="71" width="7.5462962962963" style="8" customWidth="1"/>
    <col min="72" max="73" width="9" style="8" customWidth="1"/>
    <col min="74" max="16384" width="9" style="8"/>
  </cols>
  <sheetData>
    <row r="1" ht="14.4" spans="1:75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5" t="s">
        <v>15</v>
      </c>
      <c r="W1" s="15"/>
      <c r="X1" s="15" t="s">
        <v>16</v>
      </c>
      <c r="Y1" s="15"/>
      <c r="AA1" s="8" t="s">
        <v>17</v>
      </c>
      <c r="AB1" s="11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/>
      <c r="AM1" s="15" t="s">
        <v>29</v>
      </c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  <c r="BV1" t="s">
        <v>37</v>
      </c>
      <c r="BW1" t="s">
        <v>38</v>
      </c>
      <c r="BX1" t="str">
        <v>quality</v>
      </c>
      <c r="BY1" t="str">
        <v>origin_type</v>
      </c>
      <c r="BZ1" t="str">
        <v>boss_role</v>
      </c>
    </row>
    <row r="2" ht="14.4" spans="1:75">
      <c r="A2" s="8" t="s">
        <v>39</v>
      </c>
      <c r="B2" s="8" t="s">
        <v>40</v>
      </c>
      <c r="C2" s="8" t="s">
        <v>41</v>
      </c>
      <c r="D2" s="8" t="s">
        <v>41</v>
      </c>
      <c r="F2" s="8" t="s">
        <v>40</v>
      </c>
      <c r="G2" s="8" t="s">
        <v>41</v>
      </c>
      <c r="I2"/>
      <c r="J2" s="8" t="s">
        <v>41</v>
      </c>
      <c r="K2" s="8" t="s">
        <v>42</v>
      </c>
      <c r="M2" s="8"/>
      <c r="N2" s="8" t="s">
        <v>40</v>
      </c>
      <c r="O2" s="8" t="s">
        <v>43</v>
      </c>
      <c r="P2" s="8" t="s">
        <v>40</v>
      </c>
      <c r="Q2" s="8" t="s">
        <v>40</v>
      </c>
      <c r="R2" s="8" t="s">
        <v>41</v>
      </c>
      <c r="S2" s="8" t="s">
        <v>40</v>
      </c>
      <c r="T2" s="8" t="s">
        <v>40</v>
      </c>
      <c r="U2" s="15" t="s">
        <v>44</v>
      </c>
      <c r="W2" s="15"/>
      <c r="X2" s="15" t="s">
        <v>44</v>
      </c>
      <c r="Y2" s="15"/>
      <c r="AA2" s="8" t="s">
        <v>41</v>
      </c>
      <c r="AB2" s="11" t="s">
        <v>40</v>
      </c>
      <c r="AC2" s="8" t="s">
        <v>43</v>
      </c>
      <c r="AD2" s="8" t="s">
        <v>40</v>
      </c>
      <c r="AE2" s="8" t="s">
        <v>40</v>
      </c>
      <c r="AF2" s="8" t="s">
        <v>40</v>
      </c>
      <c r="AG2" s="8" t="s">
        <v>40</v>
      </c>
      <c r="AH2" s="8" t="s">
        <v>41</v>
      </c>
      <c r="AI2" s="8" t="s">
        <v>40</v>
      </c>
      <c r="AJ2" s="11" t="s">
        <v>40</v>
      </c>
      <c r="AK2" s="8" t="s">
        <v>43</v>
      </c>
      <c r="AL2" s="8"/>
      <c r="AM2" s="15" t="s">
        <v>45</v>
      </c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8" t="s">
        <v>43</v>
      </c>
      <c r="BP2" s="8" t="s">
        <v>41</v>
      </c>
      <c r="BQ2" s="8" t="s">
        <v>40</v>
      </c>
      <c r="BR2" s="8" t="s">
        <v>40</v>
      </c>
      <c r="BS2" s="8" t="s">
        <v>40</v>
      </c>
      <c r="BT2" s="8" t="s">
        <v>40</v>
      </c>
      <c r="BU2" s="8" t="s">
        <v>41</v>
      </c>
      <c r="BV2" t="s">
        <v>46</v>
      </c>
      <c r="BW2" t="s">
        <v>40</v>
      </c>
      <c r="BX2" t="str">
        <v>ItemQuality</v>
      </c>
      <c r="BY2" t="str">
        <v>string</v>
      </c>
      <c r="BZ2" t="str">
        <v>bool</v>
      </c>
    </row>
    <row r="3" ht="14.4" spans="1:75">
      <c r="A3" s="8" t="s">
        <v>47</v>
      </c>
      <c r="D3" s="8" t="s">
        <v>48</v>
      </c>
      <c r="F3" s="8"/>
      <c r="G3" s="8" t="s">
        <v>48</v>
      </c>
      <c r="J3" s="8" t="s">
        <v>48</v>
      </c>
      <c r="K3" s="8" t="s">
        <v>48</v>
      </c>
      <c r="M3" s="8"/>
      <c r="N3" s="8" t="s">
        <v>48</v>
      </c>
      <c r="O3" s="8" t="s">
        <v>48</v>
      </c>
      <c r="P3" s="8" t="s">
        <v>48</v>
      </c>
      <c r="Q3" s="8"/>
      <c r="R3" s="8" t="s">
        <v>49</v>
      </c>
      <c r="S3" s="8" t="s">
        <v>49</v>
      </c>
      <c r="T3" s="8" t="s">
        <v>48</v>
      </c>
      <c r="U3" s="15" t="s">
        <v>49</v>
      </c>
      <c r="W3" s="15"/>
      <c r="X3" s="15" t="s">
        <v>48</v>
      </c>
      <c r="Y3" s="15"/>
      <c r="AA3" s="8" t="s">
        <v>48</v>
      </c>
      <c r="AB3" s="11" t="s">
        <v>48</v>
      </c>
      <c r="AC3" s="8" t="s">
        <v>48</v>
      </c>
      <c r="AD3" s="8" t="s">
        <v>48</v>
      </c>
      <c r="AE3" s="8" t="s">
        <v>48</v>
      </c>
      <c r="AF3" s="8" t="s">
        <v>48</v>
      </c>
      <c r="AG3" s="8" t="s">
        <v>48</v>
      </c>
      <c r="AH3" s="8" t="s">
        <v>48</v>
      </c>
      <c r="AI3" s="8" t="s">
        <v>48</v>
      </c>
      <c r="AJ3" s="8" t="s">
        <v>48</v>
      </c>
      <c r="AK3" s="8" t="s">
        <v>48</v>
      </c>
      <c r="AL3" s="18"/>
      <c r="BO3" s="8" t="s">
        <v>48</v>
      </c>
      <c r="BP3" s="8" t="s">
        <v>48</v>
      </c>
      <c r="BQ3" s="8" t="s">
        <v>48</v>
      </c>
      <c r="BR3" s="8" t="s">
        <v>48</v>
      </c>
      <c r="BS3" s="8" t="s">
        <v>48</v>
      </c>
      <c r="BT3" s="8" t="s">
        <v>48</v>
      </c>
      <c r="BU3" s="8" t="s">
        <v>48</v>
      </c>
      <c r="BV3" t="s">
        <v>48</v>
      </c>
      <c r="BW3" t="s">
        <v>48</v>
      </c>
      <c r="BX3"/>
      <c r="BY3"/>
      <c r="BZ3"/>
    </row>
    <row r="4" ht="21" customHeight="1" spans="1:7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74</v>
      </c>
      <c r="AA4" s="8" t="s">
        <v>75</v>
      </c>
      <c r="AB4" s="11" t="s">
        <v>76</v>
      </c>
      <c r="AC4" s="8" t="s">
        <v>77</v>
      </c>
      <c r="AD4" s="8" t="s">
        <v>78</v>
      </c>
      <c r="AE4" s="8" t="s">
        <v>79</v>
      </c>
      <c r="AF4" s="8" t="s">
        <v>80</v>
      </c>
      <c r="AG4" s="8" t="s">
        <v>81</v>
      </c>
      <c r="AH4" s="8" t="s">
        <v>82</v>
      </c>
      <c r="AI4" s="8" t="s">
        <v>83</v>
      </c>
      <c r="AJ4" s="8" t="s">
        <v>84</v>
      </c>
      <c r="AK4" s="8" t="s">
        <v>85</v>
      </c>
      <c r="AL4" t="str" s="8">
        <v>退役列：不发击杀修为，勿恢复exp_gift</v>
      </c>
      <c r="AM4" s="8" t="s">
        <v>87</v>
      </c>
      <c r="AN4" s="8" t="s">
        <v>88</v>
      </c>
      <c r="AO4" s="8" t="s">
        <v>89</v>
      </c>
      <c r="AP4" s="8" t="s">
        <v>90</v>
      </c>
      <c r="AQ4" s="8" t="s">
        <v>91</v>
      </c>
      <c r="AR4" s="8" t="s">
        <v>92</v>
      </c>
      <c r="AS4" s="8" t="s">
        <v>93</v>
      </c>
      <c r="AT4" s="8" t="s">
        <v>94</v>
      </c>
      <c r="AU4" s="8" t="s">
        <v>95</v>
      </c>
      <c r="AV4" s="8" t="s">
        <v>96</v>
      </c>
      <c r="AW4" s="8" t="s">
        <v>97</v>
      </c>
      <c r="AX4" s="8" t="s">
        <v>98</v>
      </c>
      <c r="AY4" s="8" t="s">
        <v>99</v>
      </c>
      <c r="AZ4" s="8" t="s">
        <v>100</v>
      </c>
      <c r="BA4" s="8" t="s">
        <v>101</v>
      </c>
      <c r="BB4" s="8" t="s">
        <v>102</v>
      </c>
      <c r="BC4" s="8" t="s">
        <v>103</v>
      </c>
      <c r="BD4" s="8" t="s">
        <v>104</v>
      </c>
      <c r="BE4" s="8" t="s">
        <v>105</v>
      </c>
      <c r="BF4" s="8" t="s">
        <v>106</v>
      </c>
      <c r="BG4" s="8" t="s">
        <v>107</v>
      </c>
      <c r="BH4" s="8" t="s">
        <v>108</v>
      </c>
      <c r="BI4" s="8" t="s">
        <v>109</v>
      </c>
      <c r="BJ4" s="8" t="s">
        <v>110</v>
      </c>
      <c r="BK4" s="8" t="s">
        <v>111</v>
      </c>
      <c r="BL4" s="8" t="s">
        <v>112</v>
      </c>
      <c r="BM4" s="8" t="s">
        <v>113</v>
      </c>
      <c r="BN4" s="8" t="s">
        <v>114</v>
      </c>
      <c r="BO4" s="8" t="s">
        <v>115</v>
      </c>
      <c r="BP4" s="8" t="s">
        <v>116</v>
      </c>
      <c r="BQ4" s="8" t="s">
        <v>117</v>
      </c>
      <c r="BR4" s="8" t="s">
        <v>118</v>
      </c>
      <c r="BS4" s="8" t="s">
        <v>119</v>
      </c>
      <c r="BT4" s="8" t="s">
        <v>120</v>
      </c>
      <c r="BU4" s="8" t="s">
        <v>121</v>
      </c>
      <c r="BV4" t="s">
        <v>122</v>
      </c>
      <c r="BW4" t="s">
        <v>123</v>
      </c>
      <c r="BX4" t="str">
        <v>品质；与首领职能独立</v>
      </c>
      <c r="BY4" t="str">
        <v>来源native/corrupted/constructed</v>
      </c>
      <c r="BZ4" t="str">
        <v>是否首领职能</v>
      </c>
    </row>
    <row r="5" ht="16.5" customHeight="1" spans="2:75">
      <c r="A5"/>
      <c r="B5" t="n" s="8">
        <f>60000000+INDEX(编号表!$B:$B,MATCH(J5,编号表!$A:$A,0))*10000+INDEX(编号表!$B:$B,MATCH(K5,编号表!$C:$C,0))*1000+L5</f>
        <v>60021014</v>
      </c>
      <c r="C5" t="str" s="8">
        <v>a010</v>
      </c>
      <c r="D5" t="str" s="5">
        <v>魔化苇泽灵蛙</v>
      </c>
      <c r="E5" t="str" s="5">
        <v>R01-D1-普通-14</v>
      </c>
      <c r="F5" t="n" s="8">
        <v>8</v>
      </c>
      <c r="G5" t="str" s="8">
        <f>INDEX(编号表!$E:$E,MATCH(K5,编号表!$C:$C,0))</f>
        <v>白色</v>
      </c>
      <c r="H5" t="n" s="8">
        <v>1</v>
      </c>
      <c r="I5" t="str" s="8">
        <v>蚀苇沼</v>
      </c>
      <c r="J5" t="str" s="8">
        <v>蚀苇沼·末流所积</v>
      </c>
      <c r="K5" t="str" s="8">
        <v>普通</v>
      </c>
      <c r="L5" t="n" s="8">
        <v>14</v>
      </c>
      <c r="M5" t="n" s="8">
        <v>14</v>
      </c>
      <c r="N5" t="n" s="8">
        <v>1</v>
      </c>
      <c r="O5" s="8"/>
      <c r="P5" t="n" s="8">
        <v>24</v>
      </c>
      <c r="Q5" t="n" s="8">
        <v>30000</v>
      </c>
      <c r="R5" t="str" s="8">
        <v>首击</v>
      </c>
      <c r="S5" t="n" s="8">
        <v>30000</v>
      </c>
      <c r="T5" t="n" s="8">
        <v>10</v>
      </c>
      <c r="U5" t="n" s="16">
        <v>40900100</v>
      </c>
      <c r="V5" t="n" s="8">
        <v>40910100</v>
      </c>
      <c r="W5" t="n" s="8">
        <v>40920100</v>
      </c>
      <c r="X5" t="n" s="8">
        <v>11000001</v>
      </c>
      <c r="Y5" s="8"/>
      <c r="Z5" s="8"/>
      <c r="AA5" t="str" s="8">
        <v>妖兽</v>
      </c>
      <c r="AB5" s="11">
        <v>20030</v>
      </c>
      <c r="AC5" t="n" s="8">
        <v>1</v>
      </c>
      <c r="AD5" t="n" s="8">
        <v>60</v>
      </c>
      <c r="AE5" t="n" s="8">
        <v>60</v>
      </c>
      <c r="AF5" t="n" s="8">
        <v>0</v>
      </c>
      <c r="AG5" t="n" s="8">
        <v>0</v>
      </c>
      <c r="AH5" t="str" s="8">
        <v>近战</v>
      </c>
      <c r="AI5"/>
      <c r="AJ5" s="17"/>
      <c r="AK5" s="8"/>
      <c r="AL5" s="18"/>
      <c r="AM5" t="str" s="8">
        <v>生命值</v>
      </c>
      <c r="AN5" t="n" s="19">
        <v>378</v>
      </c>
      <c r="AO5" t="str" s="8">
        <v>灵力值</v>
      </c>
      <c r="AP5" t="n" s="8">
        <v>64</v>
      </c>
      <c r="AQ5" t="str" s="8">
        <v>攻击下限</v>
      </c>
      <c r="AR5" t="n" s="8">
        <v>32</v>
      </c>
      <c r="AS5" t="str" s="8">
        <v>攻击上限</v>
      </c>
      <c r="AT5" t="n" s="8">
        <v>32</v>
      </c>
      <c r="AU5" t="str" s="8">
        <v>法力下限</v>
      </c>
      <c r="AV5" t="n" s="8">
        <v>32</v>
      </c>
      <c r="AW5" t="str" s="8">
        <v>法力上限</v>
      </c>
      <c r="AX5" t="n" s="8">
        <v>32</v>
      </c>
      <c r="AY5" t="str" s="8">
        <v>物防下限</v>
      </c>
      <c r="AZ5" t="n" s="8">
        <v>7</v>
      </c>
      <c r="BA5" t="str" s="8">
        <v>物防上限</v>
      </c>
      <c r="BB5" t="n" s="8">
        <v>7</v>
      </c>
      <c r="BC5" t="str" s="8">
        <v>法防下限</v>
      </c>
      <c r="BD5" t="n" s="8">
        <v>7</v>
      </c>
      <c r="BE5" t="str" s="8">
        <v>法防上限</v>
      </c>
      <c r="BF5" t="n" s="8">
        <v>7</v>
      </c>
      <c r="BG5" t="str" s="8">
        <v>移动速度</v>
      </c>
      <c r="BH5" t="n" s="8">
        <v>240</v>
      </c>
      <c r="BI5" t="str" s="8">
        <v>攻击范围</v>
      </c>
      <c r="BJ5" t="n" s="8">
        <v>160</v>
      </c>
      <c r="BK5" t="str" s="8">
        <v>警戒范围</v>
      </c>
      <c r="BL5" t="n" s="8">
        <v>550</v>
      </c>
      <c r="BM5" t="str" s="8">
        <v>攻击间隔</v>
      </c>
      <c r="BN5" t="n" s="8">
        <v>1800</v>
      </c>
      <c r="BO5" t="n" s="8">
        <v>0</v>
      </c>
      <c r="BP5" s="8"/>
      <c r="BQ5" t="n" s="8">
        <v>0</v>
      </c>
      <c r="BR5" t="n" s="8">
        <v>0</v>
      </c>
      <c r="BS5" t="n" s="8">
        <v>0</v>
      </c>
      <c r="BT5" t="n" s="8">
        <v>0</v>
      </c>
      <c r="BU5" t="str" s="8">
        <v>蚀苇沼的普通遭遇。裂隙渗漏造成的短时魔化，非本区新增裂隙。</v>
      </c>
      <c r="BV5" t="n">
        <v>1</v>
      </c>
      <c r="BW5" t="n">
        <v>8</v>
      </c>
      <c r="BX5" t="str">
        <v>凡品</v>
      </c>
      <c r="BY5" t="str">
        <v>corrupted</v>
      </c>
      <c r="BZ5" t="b">
        <v>0</v>
      </c>
    </row>
    <row r="6" ht="16.5" customHeight="1" spans="2:75">
      <c r="A6"/>
      <c r="B6" t="n" s="8">
        <f>60000000+INDEX(编号表!$B:$B,MATCH(J6,编号表!$A:$A,0))*10000+INDEX(编号表!$B:$B,MATCH(K6,编号表!$C:$C,0))*1000+L6</f>
        <v>60021015</v>
      </c>
      <c r="C6" t="str" s="8">
        <v>a010</v>
      </c>
      <c r="D6" t="str" s="5">
        <v>魔化岩隙灵蝠</v>
      </c>
      <c r="E6" t="str" s="5">
        <v>R01-D1-普通-15</v>
      </c>
      <c r="F6" t="n" s="8">
        <v>8</v>
      </c>
      <c r="G6" t="str" s="8">
        <f>INDEX(编号表!$E:$E,MATCH(K6,编号表!$C:$C,0))</f>
        <v>白色</v>
      </c>
      <c r="H6" t="n" s="8">
        <v>1</v>
      </c>
      <c r="I6" t="str" s="8">
        <v>蚀苇沼</v>
      </c>
      <c r="J6" t="str" s="8">
        <v>蚀苇沼·末流所积</v>
      </c>
      <c r="K6" t="str" s="8">
        <v>普通</v>
      </c>
      <c r="L6" t="n" s="8">
        <v>15</v>
      </c>
      <c r="M6" t="n" s="8">
        <v>15</v>
      </c>
      <c r="N6" t="n" s="8">
        <v>1</v>
      </c>
      <c r="O6" s="8"/>
      <c r="P6" t="n" s="8">
        <v>24</v>
      </c>
      <c r="Q6" t="n" s="8">
        <v>30000</v>
      </c>
      <c r="R6" t="str" s="8">
        <v>首击</v>
      </c>
      <c r="S6" t="n" s="8">
        <v>30000</v>
      </c>
      <c r="T6" t="n" s="8">
        <v>10</v>
      </c>
      <c r="U6" t="n" s="16">
        <v>40900100</v>
      </c>
      <c r="V6" t="n" s="8">
        <v>40910101</v>
      </c>
      <c r="W6" t="n" s="8">
        <v>40920100</v>
      </c>
      <c r="X6" t="n" s="8">
        <v>11000001</v>
      </c>
      <c r="Y6" s="8"/>
      <c r="Z6" s="8"/>
      <c r="AA6" t="str" s="8">
        <v>妖兽</v>
      </c>
      <c r="AB6" s="11">
        <v>20031</v>
      </c>
      <c r="AC6" t="n" s="8">
        <v>1</v>
      </c>
      <c r="AD6" t="n" s="8">
        <v>60</v>
      </c>
      <c r="AE6" t="n" s="8">
        <v>60</v>
      </c>
      <c r="AF6" t="n" s="8">
        <v>0</v>
      </c>
      <c r="AG6" t="n" s="8">
        <v>0</v>
      </c>
      <c r="AH6" t="str" s="8">
        <v>近战</v>
      </c>
      <c r="AI6"/>
      <c r="AJ6" s="17"/>
      <c r="AK6" s="8"/>
      <c r="AL6" s="18"/>
      <c r="AM6" t="str" s="8">
        <v>生命值</v>
      </c>
      <c r="AN6" t="n" s="19">
        <v>378</v>
      </c>
      <c r="AO6" t="str" s="8">
        <v>灵力值</v>
      </c>
      <c r="AP6" t="n" s="8">
        <v>64</v>
      </c>
      <c r="AQ6" t="str" s="8">
        <v>攻击下限</v>
      </c>
      <c r="AR6" t="n" s="8">
        <v>32</v>
      </c>
      <c r="AS6" t="str" s="8">
        <v>攻击上限</v>
      </c>
      <c r="AT6" t="n" s="8">
        <v>32</v>
      </c>
      <c r="AU6" t="str" s="8">
        <v>法力下限</v>
      </c>
      <c r="AV6" t="n" s="8">
        <v>32</v>
      </c>
      <c r="AW6" t="str" s="8">
        <v>法力上限</v>
      </c>
      <c r="AX6" t="n" s="8">
        <v>32</v>
      </c>
      <c r="AY6" t="str" s="8">
        <v>物防下限</v>
      </c>
      <c r="AZ6" t="n" s="8">
        <v>7</v>
      </c>
      <c r="BA6" t="str" s="8">
        <v>物防上限</v>
      </c>
      <c r="BB6" t="n" s="8">
        <v>7</v>
      </c>
      <c r="BC6" t="str" s="8">
        <v>法防下限</v>
      </c>
      <c r="BD6" t="n" s="8">
        <v>7</v>
      </c>
      <c r="BE6" t="str" s="8">
        <v>法防上限</v>
      </c>
      <c r="BF6" t="n" s="8">
        <v>7</v>
      </c>
      <c r="BG6" t="str" s="8">
        <v>移动速度</v>
      </c>
      <c r="BH6" t="n" s="8">
        <v>240</v>
      </c>
      <c r="BI6" t="str" s="8">
        <v>攻击范围</v>
      </c>
      <c r="BJ6" t="n" s="8">
        <v>160</v>
      </c>
      <c r="BK6" t="str" s="8">
        <v>警戒范围</v>
      </c>
      <c r="BL6" t="n" s="8">
        <v>550</v>
      </c>
      <c r="BM6" t="str" s="8">
        <v>攻击间隔</v>
      </c>
      <c r="BN6" t="n" s="8">
        <v>1800</v>
      </c>
      <c r="BO6" t="n" s="8">
        <v>0</v>
      </c>
      <c r="BP6" s="8"/>
      <c r="BQ6" t="n" s="8">
        <v>0</v>
      </c>
      <c r="BR6" t="n" s="8">
        <v>0</v>
      </c>
      <c r="BS6" t="n" s="8">
        <v>0</v>
      </c>
      <c r="BT6" t="n" s="8">
        <v>0</v>
      </c>
      <c r="BU6" t="str" s="8">
        <v>蚀苇沼的普通遭遇。裂隙渗漏造成的短时魔化，非本区新增裂隙。</v>
      </c>
      <c r="BV6" t="n">
        <v>1</v>
      </c>
      <c r="BW6" t="n">
        <v>8</v>
      </c>
      <c r="BX6" t="str">
        <v>凡品</v>
      </c>
      <c r="BY6" t="str">
        <v>corrupted</v>
      </c>
      <c r="BZ6" t="b">
        <v>0</v>
      </c>
    </row>
    <row r="7" ht="16.5" customHeight="1" spans="2:75">
      <c r="A7"/>
      <c r="B7" t="n" s="8">
        <f>60000000+INDEX(编号表!$B:$B,MATCH(J7,编号表!$A:$A,0))*10000+INDEX(编号表!$B:$B,MATCH(K7,编号表!$C:$C,0))*1000+L7</f>
        <v>60021016</v>
      </c>
      <c r="C7" t="str" s="8">
        <v>a010</v>
      </c>
      <c r="D7" t="str" s="5">
        <v>魔化汀岸灵狼</v>
      </c>
      <c r="E7" t="str" s="5">
        <v>R01-D1-普通-16</v>
      </c>
      <c r="F7" t="n" s="8">
        <v>8</v>
      </c>
      <c r="G7" t="str" s="8">
        <f>INDEX(编号表!$E:$E,MATCH(K7,编号表!$C:$C,0))</f>
        <v>白色</v>
      </c>
      <c r="H7" t="n" s="8">
        <v>1</v>
      </c>
      <c r="I7" t="str" s="8">
        <v>蚀苇沼</v>
      </c>
      <c r="J7" t="str" s="8">
        <v>蚀苇沼·末流所积</v>
      </c>
      <c r="K7" t="str" s="8">
        <v>普通</v>
      </c>
      <c r="L7" t="n" s="8">
        <v>16</v>
      </c>
      <c r="M7" t="n" s="8">
        <v>16</v>
      </c>
      <c r="N7" t="n" s="8">
        <v>1</v>
      </c>
      <c r="O7" s="8"/>
      <c r="P7" t="n" s="8">
        <v>24</v>
      </c>
      <c r="Q7" t="n" s="8">
        <v>30000</v>
      </c>
      <c r="R7" t="str" s="8">
        <v>首击</v>
      </c>
      <c r="S7" t="n" s="8">
        <v>30000</v>
      </c>
      <c r="T7" t="n" s="8">
        <v>10</v>
      </c>
      <c r="U7" t="n" s="16">
        <v>40900100</v>
      </c>
      <c r="V7" t="n" s="8">
        <v>40910102</v>
      </c>
      <c r="W7" t="n" s="8">
        <v>40920100</v>
      </c>
      <c r="X7" t="n" s="8">
        <v>11000001</v>
      </c>
      <c r="Y7" s="8"/>
      <c r="Z7" s="8"/>
      <c r="AA7" t="str" s="8">
        <v>妖兽</v>
      </c>
      <c r="AB7" s="11">
        <v>20032</v>
      </c>
      <c r="AC7" t="n" s="8">
        <v>1</v>
      </c>
      <c r="AD7" t="n" s="8">
        <v>60</v>
      </c>
      <c r="AE7" t="n" s="8">
        <v>60</v>
      </c>
      <c r="AF7" t="n" s="8">
        <v>0</v>
      </c>
      <c r="AG7" t="n" s="8">
        <v>0</v>
      </c>
      <c r="AH7" t="str" s="8">
        <v>近战</v>
      </c>
      <c r="AI7" s="8"/>
      <c r="AJ7" s="17"/>
      <c r="AK7" s="8"/>
      <c r="AL7" s="18"/>
      <c r="AM7" t="str" s="8">
        <v>生命值</v>
      </c>
      <c r="AN7" t="n" s="19">
        <v>378</v>
      </c>
      <c r="AO7" t="str" s="8">
        <v>灵力值</v>
      </c>
      <c r="AP7" t="n" s="8">
        <v>64</v>
      </c>
      <c r="AQ7" t="str" s="8">
        <v>攻击下限</v>
      </c>
      <c r="AR7" t="n" s="8">
        <v>32</v>
      </c>
      <c r="AS7" t="str" s="8">
        <v>攻击上限</v>
      </c>
      <c r="AT7" t="n" s="8">
        <v>32</v>
      </c>
      <c r="AU7" t="str" s="8">
        <v>法力下限</v>
      </c>
      <c r="AV7" t="n" s="8">
        <v>32</v>
      </c>
      <c r="AW7" t="str" s="8">
        <v>法力上限</v>
      </c>
      <c r="AX7" t="n" s="8">
        <v>32</v>
      </c>
      <c r="AY7" t="str" s="8">
        <v>物防下限</v>
      </c>
      <c r="AZ7" t="n" s="8">
        <v>7</v>
      </c>
      <c r="BA7" t="str" s="8">
        <v>物防上限</v>
      </c>
      <c r="BB7" t="n" s="8">
        <v>7</v>
      </c>
      <c r="BC7" t="str" s="8">
        <v>法防下限</v>
      </c>
      <c r="BD7" t="n" s="8">
        <v>7</v>
      </c>
      <c r="BE7" t="str" s="8">
        <v>法防上限</v>
      </c>
      <c r="BF7" t="n" s="8">
        <v>7</v>
      </c>
      <c r="BG7" t="str" s="8">
        <v>移动速度</v>
      </c>
      <c r="BH7" t="n" s="8">
        <v>240</v>
      </c>
      <c r="BI7" t="str" s="8">
        <v>攻击范围</v>
      </c>
      <c r="BJ7" t="n" s="8">
        <v>160</v>
      </c>
      <c r="BK7" t="str" s="8">
        <v>警戒范围</v>
      </c>
      <c r="BL7" t="n" s="8">
        <v>550</v>
      </c>
      <c r="BM7" t="str" s="8">
        <v>攻击间隔</v>
      </c>
      <c r="BN7" t="n" s="8">
        <v>1800</v>
      </c>
      <c r="BO7" t="n" s="8">
        <v>0</v>
      </c>
      <c r="BP7" s="8"/>
      <c r="BQ7" t="n" s="8">
        <v>0</v>
      </c>
      <c r="BR7" t="n" s="8">
        <v>0</v>
      </c>
      <c r="BS7" t="n" s="8">
        <v>0</v>
      </c>
      <c r="BT7" t="n" s="8">
        <v>0</v>
      </c>
      <c r="BU7" t="str" s="8">
        <v>蚀苇沼的普通遭遇。裂隙渗漏造成的短时魔化，非本区新增裂隙。</v>
      </c>
      <c r="BV7" t="n">
        <v>1</v>
      </c>
      <c r="BW7" t="n">
        <v>8</v>
      </c>
      <c r="BX7" t="str">
        <v>凡品</v>
      </c>
      <c r="BY7" t="str">
        <v>corrupted</v>
      </c>
      <c r="BZ7" t="b">
        <v>0</v>
      </c>
    </row>
    <row r="8" ht="16.5" customHeight="1" spans="2:75">
      <c r="A8"/>
      <c r="B8" t="n" s="8">
        <f>60000000+INDEX(编号表!$B:$B,MATCH(J8,编号表!$A:$A,0))*10000+INDEX(编号表!$B:$B,MATCH(K8,编号表!$C:$C,0))*1000+L8</f>
        <v>60021017</v>
      </c>
      <c r="C8" t="str" s="8">
        <v>a010</v>
      </c>
      <c r="D8" t="str" s="5">
        <v>魔化浅汊水蛇</v>
      </c>
      <c r="E8" t="str" s="5">
        <v>R01-D1-普通-17</v>
      </c>
      <c r="F8" t="n" s="8">
        <v>8</v>
      </c>
      <c r="G8" t="str" s="8">
        <f>INDEX(编号表!$E:$E,MATCH(K8,编号表!$C:$C,0))</f>
        <v>白色</v>
      </c>
      <c r="H8" t="n" s="8">
        <v>1</v>
      </c>
      <c r="I8" t="str" s="8">
        <v>蚀苇沼</v>
      </c>
      <c r="J8" t="str" s="8">
        <v>蚀苇沼·末流所积</v>
      </c>
      <c r="K8" t="str" s="8">
        <v>普通</v>
      </c>
      <c r="L8" t="n" s="8">
        <v>17</v>
      </c>
      <c r="M8" t="n" s="8">
        <v>17</v>
      </c>
      <c r="N8" t="n" s="8">
        <v>1</v>
      </c>
      <c r="O8" s="8"/>
      <c r="P8" t="n" s="8">
        <v>24</v>
      </c>
      <c r="Q8" t="n" s="8">
        <v>30000</v>
      </c>
      <c r="R8" t="str" s="8">
        <v>首击</v>
      </c>
      <c r="S8" t="n" s="8">
        <v>30000</v>
      </c>
      <c r="T8" t="n" s="8">
        <v>10</v>
      </c>
      <c r="U8" t="n" s="16">
        <v>40900100</v>
      </c>
      <c r="V8" t="n" s="8">
        <v>40910103</v>
      </c>
      <c r="W8" t="n" s="8">
        <v>40920100</v>
      </c>
      <c r="X8" t="n" s="8">
        <v>11000001</v>
      </c>
      <c r="Y8" s="8"/>
      <c r="Z8" s="8"/>
      <c r="AA8" t="str" s="8">
        <v>妖兽</v>
      </c>
      <c r="AB8" s="11">
        <v>20033</v>
      </c>
      <c r="AC8" t="n" s="8">
        <v>1</v>
      </c>
      <c r="AD8" t="n" s="8">
        <v>60</v>
      </c>
      <c r="AE8" t="n" s="8">
        <v>60</v>
      </c>
      <c r="AF8" t="n" s="8">
        <v>0</v>
      </c>
      <c r="AG8" t="n" s="8">
        <v>0</v>
      </c>
      <c r="AH8" t="str" s="8">
        <v>近战</v>
      </c>
      <c r="AI8" s="8"/>
      <c r="AJ8" s="17"/>
      <c r="AK8" s="8"/>
      <c r="AL8" s="18"/>
      <c r="AM8" t="str" s="8">
        <v>生命值</v>
      </c>
      <c r="AN8" t="n" s="19">
        <v>378</v>
      </c>
      <c r="AO8" t="str" s="8">
        <v>灵力值</v>
      </c>
      <c r="AP8" t="n" s="8">
        <v>64</v>
      </c>
      <c r="AQ8" t="str" s="8">
        <v>攻击下限</v>
      </c>
      <c r="AR8" t="n" s="8">
        <v>32</v>
      </c>
      <c r="AS8" t="str" s="8">
        <v>攻击上限</v>
      </c>
      <c r="AT8" t="n" s="8">
        <v>32</v>
      </c>
      <c r="AU8" t="str" s="8">
        <v>法力下限</v>
      </c>
      <c r="AV8" t="n" s="8">
        <v>32</v>
      </c>
      <c r="AW8" t="str" s="8">
        <v>法力上限</v>
      </c>
      <c r="AX8" t="n" s="8">
        <v>32</v>
      </c>
      <c r="AY8" t="str" s="8">
        <v>物防下限</v>
      </c>
      <c r="AZ8" t="n" s="8">
        <v>7</v>
      </c>
      <c r="BA8" t="str" s="8">
        <v>物防上限</v>
      </c>
      <c r="BB8" t="n" s="8">
        <v>7</v>
      </c>
      <c r="BC8" t="str" s="8">
        <v>法防下限</v>
      </c>
      <c r="BD8" t="n" s="8">
        <v>7</v>
      </c>
      <c r="BE8" t="str" s="8">
        <v>法防上限</v>
      </c>
      <c r="BF8" t="n" s="8">
        <v>7</v>
      </c>
      <c r="BG8" t="str" s="8">
        <v>移动速度</v>
      </c>
      <c r="BH8" t="n" s="8">
        <v>240</v>
      </c>
      <c r="BI8" t="str" s="8">
        <v>攻击范围</v>
      </c>
      <c r="BJ8" t="n" s="8">
        <v>160</v>
      </c>
      <c r="BK8" t="str" s="8">
        <v>警戒范围</v>
      </c>
      <c r="BL8" t="n" s="8">
        <v>550</v>
      </c>
      <c r="BM8" t="str" s="8">
        <v>攻击间隔</v>
      </c>
      <c r="BN8" t="n" s="8">
        <v>1800</v>
      </c>
      <c r="BO8" t="n" s="8">
        <v>0</v>
      </c>
      <c r="BP8" s="8"/>
      <c r="BQ8" t="n" s="8">
        <v>0</v>
      </c>
      <c r="BR8" t="n" s="8">
        <v>0</v>
      </c>
      <c r="BS8" t="n" s="8">
        <v>0</v>
      </c>
      <c r="BT8" t="n" s="8">
        <v>0</v>
      </c>
      <c r="BU8" t="str" s="8">
        <v>蚀苇沼的普通遭遇。裂隙渗漏造成的短时魔化，非本区新增裂隙。</v>
      </c>
      <c r="BV8" t="n">
        <v>1</v>
      </c>
      <c r="BW8" t="n">
        <v>8</v>
      </c>
      <c r="BX8" t="str">
        <v>凡品</v>
      </c>
      <c r="BY8" t="str">
        <v>corrupted</v>
      </c>
      <c r="BZ8" t="b">
        <v>0</v>
      </c>
    </row>
    <row r="9" ht="16.5" customHeight="1" spans="2:75">
      <c r="A9"/>
      <c r="B9" t="n" s="8">
        <f>60000000+INDEX(编号表!$B:$B,MATCH(J9,编号表!$A:$A,0))*10000+INDEX(编号表!$B:$B,MATCH(K9,编号表!$C:$C,0))*1000+L9</f>
        <v>60022018</v>
      </c>
      <c r="C9" t="str" s="8">
        <v>a010</v>
      </c>
      <c r="D9" t="str" s="5">
        <v>魔化苇泽灵蛙·异种</v>
      </c>
      <c r="E9" t="str" s="5">
        <v>R01-D1-精英-18</v>
      </c>
      <c r="F9" t="n" s="8">
        <v>8</v>
      </c>
      <c r="G9" t="str" s="8">
        <f>INDEX(编号表!$E:$E,MATCH(K9,编号表!$C:$C,0))</f>
        <v>绿色</v>
      </c>
      <c r="H9" t="n" s="8">
        <v>1</v>
      </c>
      <c r="I9" t="str" s="8">
        <v>蚀苇沼</v>
      </c>
      <c r="J9" t="str" s="8">
        <v>蚀苇沼·末流所积</v>
      </c>
      <c r="K9" t="str" s="8">
        <v>精英</v>
      </c>
      <c r="L9" t="n" s="8">
        <v>18</v>
      </c>
      <c r="M9" t="n" s="8">
        <v>18</v>
      </c>
      <c r="N9" t="n" s="8">
        <v>3</v>
      </c>
      <c r="O9" s="8"/>
      <c r="P9" t="n" s="8">
        <v>40</v>
      </c>
      <c r="Q9" t="n" s="8">
        <v>180000</v>
      </c>
      <c r="R9" t="str" s="8">
        <v>首击</v>
      </c>
      <c r="S9" t="n" s="8">
        <v>30000</v>
      </c>
      <c r="T9" t="n" s="8">
        <v>11</v>
      </c>
      <c r="U9" t="n" s="16">
        <v>40900101</v>
      </c>
      <c r="V9" t="n" s="8">
        <v>41120104</v>
      </c>
      <c r="W9" t="n" s="8">
        <v>41320100</v>
      </c>
      <c r="X9" t="n" s="8">
        <v>11000001</v>
      </c>
      <c r="Y9" s="8"/>
      <c r="Z9" s="8"/>
      <c r="AA9" t="str" s="8">
        <v>妖兽</v>
      </c>
      <c r="AB9" s="11">
        <v>20033</v>
      </c>
      <c r="AC9" t="n" s="8">
        <v>1.25</v>
      </c>
      <c r="AD9" t="n" s="8">
        <v>60</v>
      </c>
      <c r="AE9" t="n" s="8">
        <v>60</v>
      </c>
      <c r="AF9" t="n" s="8">
        <v>0</v>
      </c>
      <c r="AG9" t="n" s="8">
        <v>0</v>
      </c>
      <c r="AH9" t="str" s="8">
        <v>近战</v>
      </c>
      <c r="AI9" s="8"/>
      <c r="AJ9" s="17"/>
      <c r="AK9" s="8"/>
      <c r="AL9" s="18"/>
      <c r="AM9" t="str" s="8">
        <v>生命值</v>
      </c>
      <c r="AN9" t="n" s="19">
        <v>1059</v>
      </c>
      <c r="AO9" t="str" s="8">
        <v>灵力值</v>
      </c>
      <c r="AP9" t="n" s="8">
        <v>92</v>
      </c>
      <c r="AQ9" t="str" s="8">
        <v>攻击下限</v>
      </c>
      <c r="AR9" t="n" s="8">
        <v>46</v>
      </c>
      <c r="AS9" t="str" s="8">
        <v>攻击上限</v>
      </c>
      <c r="AT9" t="n" s="8">
        <v>46</v>
      </c>
      <c r="AU9" t="str" s="8">
        <v>法力下限</v>
      </c>
      <c r="AV9" t="n" s="8">
        <v>46</v>
      </c>
      <c r="AW9" t="str" s="8">
        <v>法力上限</v>
      </c>
      <c r="AX9" t="n" s="8">
        <v>46</v>
      </c>
      <c r="AY9" t="str" s="8">
        <v>物防下限</v>
      </c>
      <c r="AZ9" t="n" s="8">
        <v>9</v>
      </c>
      <c r="BA9" t="str" s="8">
        <v>物防上限</v>
      </c>
      <c r="BB9" t="n" s="8">
        <v>9</v>
      </c>
      <c r="BC9" t="str" s="8">
        <v>法防下限</v>
      </c>
      <c r="BD9" t="n" s="8">
        <v>9</v>
      </c>
      <c r="BE9" t="str" s="8">
        <v>法防上限</v>
      </c>
      <c r="BF9" t="n" s="8">
        <v>9</v>
      </c>
      <c r="BG9" t="str" s="8">
        <v>移动速度</v>
      </c>
      <c r="BH9" t="n" s="8">
        <v>240</v>
      </c>
      <c r="BI9" t="str" s="8">
        <v>攻击范围</v>
      </c>
      <c r="BJ9" t="n" s="8">
        <v>160</v>
      </c>
      <c r="BK9" t="str" s="8">
        <v>警戒范围</v>
      </c>
      <c r="BL9" t="n" s="8">
        <v>550</v>
      </c>
      <c r="BM9" t="str" s="8">
        <v>攻击间隔</v>
      </c>
      <c r="BN9" t="n" s="8">
        <v>1800</v>
      </c>
      <c r="BO9" t="n" s="8">
        <v>0</v>
      </c>
      <c r="BP9" s="8"/>
      <c r="BQ9" t="n" s="8">
        <v>0</v>
      </c>
      <c r="BR9" t="n" s="8">
        <v>0</v>
      </c>
      <c r="BS9" t="n" s="8">
        <v>0</v>
      </c>
      <c r="BT9" t="n" s="8">
        <v>0</v>
      </c>
      <c r="BU9" t="str" s="8">
        <v>蚀苇沼的精英遭遇。裂隙渗漏造成的短时魔化，非本区新增裂隙。</v>
      </c>
      <c r="BV9" t="n">
        <v>1</v>
      </c>
      <c r="BW9" t="n">
        <v>8</v>
      </c>
      <c r="BX9" t="str">
        <v>玄品</v>
      </c>
      <c r="BY9" t="str">
        <v>corrupted</v>
      </c>
      <c r="BZ9" t="b">
        <v>0</v>
      </c>
    </row>
    <row r="10" ht="16.5" customHeight="1" spans="2:75">
      <c r="A10"/>
      <c r="B10" t="n" s="8">
        <f>60000000+INDEX(编号表!$B:$B,MATCH(J10,编号表!$A:$A,0))*10000+INDEX(编号表!$B:$B,MATCH(K10,编号表!$C:$C,0))*1000+L10</f>
        <v>60031019</v>
      </c>
      <c r="C10" t="str" s="8">
        <v>a010</v>
      </c>
      <c r="D10" t="str" s="5">
        <v>岩隙灵蝠</v>
      </c>
      <c r="E10" t="str" s="5">
        <v>R01-M1-普通-19</v>
      </c>
      <c r="F10" t="n" s="8">
        <v>2</v>
      </c>
      <c r="G10" t="str" s="8">
        <f>INDEX(编号表!$E:$E,MATCH(K10,编号表!$C:$C,0))</f>
        <v>白色</v>
      </c>
      <c r="H10" t="n" s="8">
        <v>1</v>
      </c>
      <c r="I10" t="str" s="8">
        <v>浮沉洲</v>
      </c>
      <c r="J10" t="str" s="8">
        <v>浮沉洲</v>
      </c>
      <c r="K10" t="str" s="8">
        <v>普通</v>
      </c>
      <c r="L10" t="n" s="8">
        <v>19</v>
      </c>
      <c r="M10" t="n" s="8">
        <v>19</v>
      </c>
      <c r="N10" t="n" s="8">
        <v>1</v>
      </c>
      <c r="O10" s="8"/>
      <c r="P10" t="n" s="8">
        <v>24</v>
      </c>
      <c r="Q10" t="n" s="8">
        <v>30000</v>
      </c>
      <c r="R10" t="str" s="8">
        <v>首击</v>
      </c>
      <c r="S10" t="n" s="8">
        <v>30000</v>
      </c>
      <c r="T10" t="n" s="8">
        <v>10</v>
      </c>
      <c r="U10" t="n" s="16">
        <v>40900100</v>
      </c>
      <c r="V10" t="n" s="8">
        <v>40910105</v>
      </c>
      <c r="W10" t="n" s="8">
        <v>40920100</v>
      </c>
      <c r="X10" t="n" s="8">
        <v>11000001</v>
      </c>
      <c r="Y10" s="8"/>
      <c r="Z10" s="8"/>
      <c r="AA10" t="str" s="8">
        <v>妖兽</v>
      </c>
      <c r="AB10" s="11">
        <v>20013</v>
      </c>
      <c r="AC10" t="n" s="8">
        <v>1</v>
      </c>
      <c r="AD10" t="n" s="8">
        <v>60</v>
      </c>
      <c r="AE10" t="n" s="8">
        <v>60</v>
      </c>
      <c r="AF10" t="n" s="8">
        <v>0</v>
      </c>
      <c r="AG10" t="n" s="8">
        <v>0</v>
      </c>
      <c r="AH10" t="str" s="8">
        <v>近战</v>
      </c>
      <c r="AI10" s="8"/>
      <c r="AJ10" s="17"/>
      <c r="AK10" s="8"/>
      <c r="AL10" s="18"/>
      <c r="AM10" t="str" s="8">
        <v>生命值</v>
      </c>
      <c r="AN10" t="n" s="19">
        <v>277</v>
      </c>
      <c r="AO10" t="str" s="8">
        <v>灵力值</v>
      </c>
      <c r="AP10" t="n" s="8">
        <v>46</v>
      </c>
      <c r="AQ10" t="str" s="8">
        <v>攻击下限</v>
      </c>
      <c r="AR10" t="n" s="8">
        <v>23</v>
      </c>
      <c r="AS10" t="str" s="8">
        <v>攻击上限</v>
      </c>
      <c r="AT10" t="n" s="8">
        <v>23</v>
      </c>
      <c r="AU10" t="str" s="8">
        <v>法力下限</v>
      </c>
      <c r="AV10" t="n" s="8">
        <v>23</v>
      </c>
      <c r="AW10" t="str" s="8">
        <v>法力上限</v>
      </c>
      <c r="AX10" t="n" s="8">
        <v>23</v>
      </c>
      <c r="AY10" t="str" s="8">
        <v>物防下限</v>
      </c>
      <c r="AZ10" t="n" s="8">
        <v>5</v>
      </c>
      <c r="BA10" t="str" s="8">
        <v>物防上限</v>
      </c>
      <c r="BB10" t="n" s="8">
        <v>5</v>
      </c>
      <c r="BC10" t="str" s="8">
        <v>法防下限</v>
      </c>
      <c r="BD10" t="n" s="8">
        <v>5</v>
      </c>
      <c r="BE10" t="str" s="8">
        <v>法防上限</v>
      </c>
      <c r="BF10" t="n" s="8">
        <v>5</v>
      </c>
      <c r="BG10" t="str" s="8">
        <v>移动速度</v>
      </c>
      <c r="BH10" t="n" s="8">
        <v>240</v>
      </c>
      <c r="BI10" t="str" s="8">
        <v>攻击范围</v>
      </c>
      <c r="BJ10" t="n" s="8">
        <v>160</v>
      </c>
      <c r="BK10" t="str" s="8">
        <v>警戒范围</v>
      </c>
      <c r="BL10" t="n" s="8">
        <v>550</v>
      </c>
      <c r="BM10" t="str" s="8">
        <v>攻击间隔</v>
      </c>
      <c r="BN10" t="n" s="8">
        <v>1800</v>
      </c>
      <c r="BO10" t="n" s="8">
        <v>0</v>
      </c>
      <c r="BP10" s="8"/>
      <c r="BQ10" t="n" s="8">
        <v>0</v>
      </c>
      <c r="BR10" t="n" s="8">
        <v>0</v>
      </c>
      <c r="BS10" t="n" s="8">
        <v>0</v>
      </c>
      <c r="BT10" t="n" s="8">
        <v>0</v>
      </c>
      <c r="BU10" t="str" s="8">
        <v>浮沉洲的普通遭遇。依托本区既有水土、岩隙和可达条件活动。</v>
      </c>
      <c r="BV10" t="n">
        <v>1</v>
      </c>
      <c r="BW10" t="n">
        <v>2</v>
      </c>
      <c r="BX10" t="str">
        <v>凡品</v>
      </c>
      <c r="BY10" t="str">
        <v>native</v>
      </c>
      <c r="BZ10" t="b">
        <v>0</v>
      </c>
    </row>
    <row r="11" ht="16.5" customHeight="1" spans="2:75">
      <c r="A11"/>
      <c r="B11" t="n" s="8">
        <f>60000000+INDEX(编号表!$B:$B,MATCH(J11,编号表!$A:$A,0))*10000+INDEX(编号表!$B:$B,MATCH(K11,编号表!$C:$C,0))*1000+L11</f>
        <v>60031020</v>
      </c>
      <c r="C11" t="str" s="8">
        <v>a010</v>
      </c>
      <c r="D11" t="str" s="5">
        <v>汀岸灵狼</v>
      </c>
      <c r="E11" t="str" s="5">
        <v>R01-M1-普通-20</v>
      </c>
      <c r="F11" t="n" s="8">
        <v>2</v>
      </c>
      <c r="G11" t="str" s="8">
        <f>INDEX(编号表!$E:$E,MATCH(K11,编号表!$C:$C,0))</f>
        <v>白色</v>
      </c>
      <c r="H11" t="n" s="8">
        <v>1</v>
      </c>
      <c r="I11" t="str" s="8">
        <v>浮沉洲</v>
      </c>
      <c r="J11" t="str" s="8">
        <v>浮沉洲</v>
      </c>
      <c r="K11" t="str" s="8">
        <v>普通</v>
      </c>
      <c r="L11" t="n" s="8">
        <v>20</v>
      </c>
      <c r="M11" t="n" s="8">
        <v>20</v>
      </c>
      <c r="N11" t="n" s="8">
        <v>1</v>
      </c>
      <c r="O11" s="8"/>
      <c r="P11" t="n" s="8">
        <v>24</v>
      </c>
      <c r="Q11" t="n" s="8">
        <v>30000</v>
      </c>
      <c r="R11" t="str" s="8">
        <v>首击</v>
      </c>
      <c r="S11" t="n" s="8">
        <v>30000</v>
      </c>
      <c r="T11" t="n" s="8">
        <v>10</v>
      </c>
      <c r="U11" t="n" s="16">
        <v>40900100</v>
      </c>
      <c r="V11" t="n" s="8">
        <v>40910106</v>
      </c>
      <c r="W11" t="n" s="8">
        <v>40920100</v>
      </c>
      <c r="X11" t="n" s="8">
        <v>11000001</v>
      </c>
      <c r="Y11" s="8"/>
      <c r="Z11" s="8"/>
      <c r="AA11" t="str" s="8">
        <v>妖兽</v>
      </c>
      <c r="AB11" s="11">
        <v>20014</v>
      </c>
      <c r="AC11" t="n" s="8">
        <v>1</v>
      </c>
      <c r="AD11" t="n" s="8">
        <v>60</v>
      </c>
      <c r="AE11" t="n" s="8">
        <v>60</v>
      </c>
      <c r="AF11" t="n" s="8">
        <v>0</v>
      </c>
      <c r="AG11" t="n" s="8">
        <v>0</v>
      </c>
      <c r="AH11" t="str" s="8">
        <v>近战</v>
      </c>
      <c r="AI11"/>
      <c r="AJ11" s="17"/>
      <c r="AK11" s="8"/>
      <c r="AL11" s="18"/>
      <c r="AM11" t="str" s="8">
        <v>生命值</v>
      </c>
      <c r="AN11" t="n" s="19">
        <v>277</v>
      </c>
      <c r="AO11" t="str" s="8">
        <v>灵力值</v>
      </c>
      <c r="AP11" t="n" s="8">
        <v>46</v>
      </c>
      <c r="AQ11" t="str" s="8">
        <v>攻击下限</v>
      </c>
      <c r="AR11" t="n" s="8">
        <v>23</v>
      </c>
      <c r="AS11" t="str" s="8">
        <v>攻击上限</v>
      </c>
      <c r="AT11" t="n" s="8">
        <v>23</v>
      </c>
      <c r="AU11" t="str" s="8">
        <v>法力下限</v>
      </c>
      <c r="AV11" t="n" s="8">
        <v>23</v>
      </c>
      <c r="AW11" t="str" s="8">
        <v>法力上限</v>
      </c>
      <c r="AX11" t="n" s="8">
        <v>23</v>
      </c>
      <c r="AY11" t="str" s="8">
        <v>物防下限</v>
      </c>
      <c r="AZ11" t="n" s="8">
        <v>5</v>
      </c>
      <c r="BA11" t="str" s="8">
        <v>物防上限</v>
      </c>
      <c r="BB11" t="n" s="8">
        <v>5</v>
      </c>
      <c r="BC11" t="str" s="8">
        <v>法防下限</v>
      </c>
      <c r="BD11" t="n" s="8">
        <v>5</v>
      </c>
      <c r="BE11" t="str" s="8">
        <v>法防上限</v>
      </c>
      <c r="BF11" t="n" s="8">
        <v>5</v>
      </c>
      <c r="BG11" t="str" s="8">
        <v>移动速度</v>
      </c>
      <c r="BH11" t="n" s="8">
        <v>240</v>
      </c>
      <c r="BI11" t="str" s="8">
        <v>攻击范围</v>
      </c>
      <c r="BJ11" t="n" s="8">
        <v>160</v>
      </c>
      <c r="BK11" t="str" s="8">
        <v>警戒范围</v>
      </c>
      <c r="BL11" t="n" s="8">
        <v>550</v>
      </c>
      <c r="BM11" t="str" s="8">
        <v>攻击间隔</v>
      </c>
      <c r="BN11" t="n" s="8">
        <v>1800</v>
      </c>
      <c r="BO11" t="n" s="8">
        <v>0</v>
      </c>
      <c r="BP11" s="8"/>
      <c r="BQ11" t="n" s="8">
        <v>0</v>
      </c>
      <c r="BR11" t="n" s="8">
        <v>0</v>
      </c>
      <c r="BS11" t="n" s="8">
        <v>0</v>
      </c>
      <c r="BT11" t="n" s="8">
        <v>0</v>
      </c>
      <c r="BU11" t="str" s="8">
        <v>浮沉洲的普通遭遇。依托本区既有水土、岩隙和可达条件活动。</v>
      </c>
      <c r="BV11" t="n">
        <v>1</v>
      </c>
      <c r="BW11" t="n">
        <v>2</v>
      </c>
      <c r="BX11" t="str">
        <v>凡品</v>
      </c>
      <c r="BY11" t="str">
        <v>native</v>
      </c>
      <c r="BZ11" t="b">
        <v>0</v>
      </c>
    </row>
    <row r="12" ht="16.5" customHeight="1" spans="2:75">
      <c r="A12"/>
      <c r="B12" t="n" s="8">
        <f>60000000+INDEX(编号表!$B:$B,MATCH(J12,编号表!$A:$A,0))*10000+INDEX(编号表!$B:$B,MATCH(K12,编号表!$C:$C,0))*1000+L12</f>
        <v>60031021</v>
      </c>
      <c r="C12" t="str" s="8">
        <v>a010</v>
      </c>
      <c r="D12" t="str" s="5">
        <v>浅汊水蛇</v>
      </c>
      <c r="E12" t="str" s="5">
        <v>R01-M1-普通-21</v>
      </c>
      <c r="F12" t="n" s="8">
        <v>2</v>
      </c>
      <c r="G12" t="str" s="8">
        <f>INDEX(编号表!$E:$E,MATCH(K12,编号表!$C:$C,0))</f>
        <v>白色</v>
      </c>
      <c r="H12" t="n" s="8">
        <v>1</v>
      </c>
      <c r="I12" t="str" s="8">
        <v>浮沉洲</v>
      </c>
      <c r="J12" t="str" s="8">
        <v>浮沉洲</v>
      </c>
      <c r="K12" t="str" s="8">
        <v>普通</v>
      </c>
      <c r="L12" t="n" s="8">
        <v>21</v>
      </c>
      <c r="M12" t="n" s="8">
        <v>21</v>
      </c>
      <c r="N12" t="n" s="8">
        <v>1</v>
      </c>
      <c r="O12" s="8"/>
      <c r="P12" t="n" s="8">
        <v>24</v>
      </c>
      <c r="Q12" t="n" s="8">
        <v>30000</v>
      </c>
      <c r="R12" t="str" s="8">
        <v>首击</v>
      </c>
      <c r="S12" t="n" s="8">
        <v>30000</v>
      </c>
      <c r="T12" t="n" s="8">
        <v>10</v>
      </c>
      <c r="U12" t="n" s="16">
        <v>40900100</v>
      </c>
      <c r="V12" t="n" s="8">
        <v>40910107</v>
      </c>
      <c r="W12" t="n" s="8">
        <v>40920100</v>
      </c>
      <c r="X12" t="n" s="8">
        <v>11000001</v>
      </c>
      <c r="Y12" s="8"/>
      <c r="Z12" s="8"/>
      <c r="AA12" t="str" s="8">
        <v>妖兽</v>
      </c>
      <c r="AB12" s="11">
        <v>20016</v>
      </c>
      <c r="AC12" t="n" s="8">
        <v>1</v>
      </c>
      <c r="AD12" t="n" s="8">
        <v>60</v>
      </c>
      <c r="AE12" t="n" s="8">
        <v>60</v>
      </c>
      <c r="AF12" t="n" s="8">
        <v>0</v>
      </c>
      <c r="AG12" t="n" s="8">
        <v>0</v>
      </c>
      <c r="AH12" t="str" s="8">
        <v>近战</v>
      </c>
      <c r="AI12" s="8"/>
      <c r="AJ12" s="17"/>
      <c r="AK12" s="8"/>
      <c r="AL12" s="18"/>
      <c r="AM12" t="str" s="8">
        <v>生命值</v>
      </c>
      <c r="AN12" t="n" s="19">
        <v>277</v>
      </c>
      <c r="AO12" t="str" s="8">
        <v>灵力值</v>
      </c>
      <c r="AP12" t="n" s="8">
        <v>46</v>
      </c>
      <c r="AQ12" t="str" s="8">
        <v>攻击下限</v>
      </c>
      <c r="AR12" t="n" s="8">
        <v>23</v>
      </c>
      <c r="AS12" t="str" s="8">
        <v>攻击上限</v>
      </c>
      <c r="AT12" t="n" s="8">
        <v>23</v>
      </c>
      <c r="AU12" t="str" s="8">
        <v>法力下限</v>
      </c>
      <c r="AV12" t="n" s="8">
        <v>23</v>
      </c>
      <c r="AW12" t="str" s="8">
        <v>法力上限</v>
      </c>
      <c r="AX12" t="n" s="8">
        <v>23</v>
      </c>
      <c r="AY12" t="str" s="8">
        <v>物防下限</v>
      </c>
      <c r="AZ12" t="n" s="8">
        <v>5</v>
      </c>
      <c r="BA12" t="str" s="8">
        <v>物防上限</v>
      </c>
      <c r="BB12" t="n" s="8">
        <v>5</v>
      </c>
      <c r="BC12" t="str" s="8">
        <v>法防下限</v>
      </c>
      <c r="BD12" t="n" s="8">
        <v>5</v>
      </c>
      <c r="BE12" t="str" s="8">
        <v>法防上限</v>
      </c>
      <c r="BF12" t="n" s="8">
        <v>5</v>
      </c>
      <c r="BG12" t="str" s="8">
        <v>移动速度</v>
      </c>
      <c r="BH12" t="n" s="8">
        <v>240</v>
      </c>
      <c r="BI12" t="str" s="8">
        <v>攻击范围</v>
      </c>
      <c r="BJ12" t="n" s="8">
        <v>160</v>
      </c>
      <c r="BK12" t="str" s="8">
        <v>警戒范围</v>
      </c>
      <c r="BL12" t="n" s="8">
        <v>550</v>
      </c>
      <c r="BM12" t="str" s="8">
        <v>攻击间隔</v>
      </c>
      <c r="BN12" t="n" s="8">
        <v>1800</v>
      </c>
      <c r="BO12" t="n" s="8">
        <v>0</v>
      </c>
      <c r="BP12" s="8"/>
      <c r="BQ12" t="n" s="8">
        <v>0</v>
      </c>
      <c r="BR12" t="n" s="8">
        <v>0</v>
      </c>
      <c r="BS12" t="n" s="8">
        <v>0</v>
      </c>
      <c r="BT12" t="n" s="8">
        <v>0</v>
      </c>
      <c r="BU12" t="str" s="8">
        <v>浮沉洲的普通遭遇。依托本区既有水土、岩隙和可达条件活动。</v>
      </c>
      <c r="BV12" t="n">
        <v>1</v>
      </c>
      <c r="BW12" t="n">
        <v>2</v>
      </c>
      <c r="BX12" t="str">
        <v>凡品</v>
      </c>
      <c r="BY12" t="str">
        <v>native</v>
      </c>
      <c r="BZ12" t="b">
        <v>0</v>
      </c>
    </row>
    <row r="13" ht="16.5" customHeight="1" spans="2:75">
      <c r="A13"/>
      <c r="B13" t="n" s="8">
        <f>60000000+INDEX(编号表!$B:$B,MATCH(J13,编号表!$A:$A,0))*10000+INDEX(编号表!$B:$B,MATCH(K13,编号表!$C:$C,0))*1000+L13</f>
        <v>60031022</v>
      </c>
      <c r="C13" t="str" s="8">
        <v>a010</v>
      </c>
      <c r="D13" t="str" s="5">
        <v>苇泽灵蛙</v>
      </c>
      <c r="E13" t="str" s="5">
        <v>R01-M1-普通-22</v>
      </c>
      <c r="F13" t="n" s="8">
        <v>2</v>
      </c>
      <c r="G13" t="str" s="8">
        <f>INDEX(编号表!$E:$E,MATCH(K13,编号表!$C:$C,0))</f>
        <v>白色</v>
      </c>
      <c r="H13" t="n" s="8">
        <v>1</v>
      </c>
      <c r="I13" t="str" s="8">
        <v>浮沉洲</v>
      </c>
      <c r="J13" t="str" s="8">
        <v>浮沉洲</v>
      </c>
      <c r="K13" t="str" s="8">
        <v>普通</v>
      </c>
      <c r="L13" t="n" s="8">
        <v>22</v>
      </c>
      <c r="M13" t="n" s="8">
        <v>22</v>
      </c>
      <c r="N13" t="n" s="8">
        <v>1</v>
      </c>
      <c r="O13" s="8"/>
      <c r="P13" t="n" s="8">
        <v>24</v>
      </c>
      <c r="Q13" t="n" s="8">
        <v>30000</v>
      </c>
      <c r="R13" t="str" s="8">
        <v>首击</v>
      </c>
      <c r="S13" t="n" s="8">
        <v>30000</v>
      </c>
      <c r="T13" t="n" s="8">
        <v>10</v>
      </c>
      <c r="U13" t="n" s="16">
        <v>40900100</v>
      </c>
      <c r="V13" t="n" s="8">
        <v>40910108</v>
      </c>
      <c r="W13" t="n" s="8">
        <v>40920100</v>
      </c>
      <c r="X13" t="n" s="8">
        <v>11000001</v>
      </c>
      <c r="Y13" s="8"/>
      <c r="Z13" s="8"/>
      <c r="AA13" t="str" s="8">
        <v>妖兽</v>
      </c>
      <c r="AB13" s="11">
        <v>20017</v>
      </c>
      <c r="AC13" t="n" s="8">
        <v>1</v>
      </c>
      <c r="AD13" t="n" s="8">
        <v>60</v>
      </c>
      <c r="AE13" t="n" s="8">
        <v>60</v>
      </c>
      <c r="AF13" t="n" s="8">
        <v>0</v>
      </c>
      <c r="AG13" t="n" s="8">
        <v>0</v>
      </c>
      <c r="AH13" t="str" s="8">
        <v>近战</v>
      </c>
      <c r="AI13" s="8"/>
      <c r="AJ13" s="17"/>
      <c r="AK13" s="8"/>
      <c r="AL13" s="18"/>
      <c r="AM13" t="str" s="8">
        <v>生命值</v>
      </c>
      <c r="AN13" t="n" s="19">
        <v>277</v>
      </c>
      <c r="AO13" t="str" s="8">
        <v>灵力值</v>
      </c>
      <c r="AP13" t="n" s="8">
        <v>46</v>
      </c>
      <c r="AQ13" t="str" s="8">
        <v>攻击下限</v>
      </c>
      <c r="AR13" t="n" s="8">
        <v>23</v>
      </c>
      <c r="AS13" t="str" s="8">
        <v>攻击上限</v>
      </c>
      <c r="AT13" t="n" s="8">
        <v>23</v>
      </c>
      <c r="AU13" t="str" s="8">
        <v>法力下限</v>
      </c>
      <c r="AV13" t="n" s="8">
        <v>23</v>
      </c>
      <c r="AW13" t="str" s="8">
        <v>法力上限</v>
      </c>
      <c r="AX13" t="n" s="8">
        <v>23</v>
      </c>
      <c r="AY13" t="str" s="8">
        <v>物防下限</v>
      </c>
      <c r="AZ13" t="n" s="8">
        <v>5</v>
      </c>
      <c r="BA13" t="str" s="8">
        <v>物防上限</v>
      </c>
      <c r="BB13" t="n" s="8">
        <v>5</v>
      </c>
      <c r="BC13" t="str" s="8">
        <v>法防下限</v>
      </c>
      <c r="BD13" t="n" s="8">
        <v>5</v>
      </c>
      <c r="BE13" t="str" s="8">
        <v>法防上限</v>
      </c>
      <c r="BF13" t="n" s="8">
        <v>5</v>
      </c>
      <c r="BG13" t="str" s="8">
        <v>移动速度</v>
      </c>
      <c r="BH13" t="n" s="8">
        <v>240</v>
      </c>
      <c r="BI13" t="str" s="8">
        <v>攻击范围</v>
      </c>
      <c r="BJ13" t="n" s="8">
        <v>160</v>
      </c>
      <c r="BK13" t="str" s="8">
        <v>警戒范围</v>
      </c>
      <c r="BL13" t="n" s="8">
        <v>550</v>
      </c>
      <c r="BM13" t="str" s="8">
        <v>攻击间隔</v>
      </c>
      <c r="BN13" t="n" s="8">
        <v>1800</v>
      </c>
      <c r="BO13" t="n" s="8">
        <v>0</v>
      </c>
      <c r="BP13" s="8"/>
      <c r="BQ13" t="n" s="8">
        <v>0</v>
      </c>
      <c r="BR13" t="n" s="8">
        <v>0</v>
      </c>
      <c r="BS13" t="n" s="8">
        <v>0</v>
      </c>
      <c r="BT13" t="n" s="8">
        <v>0</v>
      </c>
      <c r="BU13" t="str" s="8">
        <v>浮沉洲的普通遭遇。依托本区既有水土、岩隙和可达条件活动。</v>
      </c>
      <c r="BV13" t="n">
        <v>1</v>
      </c>
      <c r="BW13" t="n">
        <v>2</v>
      </c>
      <c r="BX13" t="str">
        <v>凡品</v>
      </c>
      <c r="BY13" t="str">
        <v>native</v>
      </c>
      <c r="BZ13" t="b">
        <v>0</v>
      </c>
    </row>
    <row r="14" ht="16.5" customHeight="1" spans="2:75">
      <c r="A14"/>
      <c r="B14" t="n" s="8">
        <f>60000000+INDEX(编号表!$B:$B,MATCH(J14,编号表!$A:$A,0))*10000+INDEX(编号表!$B:$B,MATCH(K14,编号表!$C:$C,0))*1000+L14</f>
        <v>60031023</v>
      </c>
      <c r="C14" t="str" s="8">
        <v>a010</v>
      </c>
      <c r="D14" t="str" s="5">
        <v>岩隙灵蝠</v>
      </c>
      <c r="E14" t="str" s="5">
        <v>R01-M1-普通-23</v>
      </c>
      <c r="F14" t="n" s="8">
        <v>2</v>
      </c>
      <c r="G14" t="str" s="8">
        <f>INDEX(编号表!$E:$E,MATCH(K14,编号表!$C:$C,0))</f>
        <v>白色</v>
      </c>
      <c r="H14" t="n" s="8">
        <v>1</v>
      </c>
      <c r="I14" t="str" s="8">
        <v>浮沉洲</v>
      </c>
      <c r="J14" t="str" s="8">
        <v>浮沉洲</v>
      </c>
      <c r="K14" t="str" s="8">
        <v>普通</v>
      </c>
      <c r="L14" t="n" s="8">
        <v>23</v>
      </c>
      <c r="M14" t="n" s="8">
        <v>23</v>
      </c>
      <c r="N14" t="n" s="8">
        <v>1</v>
      </c>
      <c r="O14" s="8"/>
      <c r="P14" t="n" s="8">
        <v>24</v>
      </c>
      <c r="Q14" t="n" s="8">
        <v>30000</v>
      </c>
      <c r="R14" t="str" s="8">
        <v>首击</v>
      </c>
      <c r="S14" t="n" s="8">
        <v>30000</v>
      </c>
      <c r="T14" t="n" s="8">
        <v>10</v>
      </c>
      <c r="U14" t="n" s="16">
        <v>40900100</v>
      </c>
      <c r="V14" t="n" s="8">
        <v>40910109</v>
      </c>
      <c r="W14" t="n" s="8">
        <v>40920100</v>
      </c>
      <c r="X14" t="n" s="8">
        <v>11000001</v>
      </c>
      <c r="Y14" s="8"/>
      <c r="Z14" s="8"/>
      <c r="AA14" t="str" s="8">
        <v>妖兽</v>
      </c>
      <c r="AB14" s="11">
        <v>20036</v>
      </c>
      <c r="AC14" t="n" s="8">
        <v>1</v>
      </c>
      <c r="AD14" t="n" s="8">
        <v>60</v>
      </c>
      <c r="AE14" t="n" s="8">
        <v>60</v>
      </c>
      <c r="AF14" t="n" s="8">
        <v>0</v>
      </c>
      <c r="AG14" t="n" s="8">
        <v>0</v>
      </c>
      <c r="AH14" t="str" s="8">
        <v>近战</v>
      </c>
      <c r="AI14" s="8"/>
      <c r="AJ14" s="17"/>
      <c r="AK14" s="8"/>
      <c r="AL14" s="18"/>
      <c r="AM14" t="str" s="8">
        <v>生命值</v>
      </c>
      <c r="AN14" t="n" s="19">
        <v>277</v>
      </c>
      <c r="AO14" t="str" s="8">
        <v>灵力值</v>
      </c>
      <c r="AP14" t="n" s="8">
        <v>46</v>
      </c>
      <c r="AQ14" t="str" s="8">
        <v>攻击下限</v>
      </c>
      <c r="AR14" t="n" s="8">
        <v>23</v>
      </c>
      <c r="AS14" t="str" s="8">
        <v>攻击上限</v>
      </c>
      <c r="AT14" t="n" s="8">
        <v>23</v>
      </c>
      <c r="AU14" t="str" s="8">
        <v>法力下限</v>
      </c>
      <c r="AV14" t="n" s="8">
        <v>23</v>
      </c>
      <c r="AW14" t="str" s="8">
        <v>法力上限</v>
      </c>
      <c r="AX14" t="n" s="8">
        <v>23</v>
      </c>
      <c r="AY14" t="str" s="8">
        <v>物防下限</v>
      </c>
      <c r="AZ14" t="n" s="8">
        <v>5</v>
      </c>
      <c r="BA14" t="str" s="8">
        <v>物防上限</v>
      </c>
      <c r="BB14" t="n" s="8">
        <v>5</v>
      </c>
      <c r="BC14" t="str" s="8">
        <v>法防下限</v>
      </c>
      <c r="BD14" t="n" s="8">
        <v>5</v>
      </c>
      <c r="BE14" t="str" s="8">
        <v>法防上限</v>
      </c>
      <c r="BF14" t="n" s="8">
        <v>5</v>
      </c>
      <c r="BG14" t="str" s="8">
        <v>移动速度</v>
      </c>
      <c r="BH14" t="n" s="8">
        <v>240</v>
      </c>
      <c r="BI14" t="str" s="8">
        <v>攻击范围</v>
      </c>
      <c r="BJ14" t="n" s="8">
        <v>160</v>
      </c>
      <c r="BK14" t="str" s="8">
        <v>警戒范围</v>
      </c>
      <c r="BL14" t="n" s="8">
        <v>550</v>
      </c>
      <c r="BM14" t="str" s="8">
        <v>攻击间隔</v>
      </c>
      <c r="BN14" t="n" s="8">
        <v>1800</v>
      </c>
      <c r="BO14" t="n" s="8">
        <v>0</v>
      </c>
      <c r="BP14" s="8"/>
      <c r="BQ14" t="n" s="8">
        <v>0</v>
      </c>
      <c r="BR14" t="n" s="8">
        <v>0</v>
      </c>
      <c r="BS14" t="n" s="8">
        <v>0</v>
      </c>
      <c r="BT14" t="n" s="8">
        <v>0</v>
      </c>
      <c r="BU14" t="str" s="8">
        <v>浮沉洲的普通遭遇。依托本区既有水土、岩隙和可达条件活动。</v>
      </c>
      <c r="BV14" t="n">
        <v>1</v>
      </c>
      <c r="BW14" t="n">
        <v>2</v>
      </c>
      <c r="BX14" t="str">
        <v>凡品</v>
      </c>
      <c r="BY14" t="str">
        <v>native</v>
      </c>
      <c r="BZ14" t="b">
        <v>0</v>
      </c>
    </row>
    <row r="15" ht="16.5" customHeight="1" spans="2:75">
      <c r="A15"/>
      <c r="B15" t="n" s="8">
        <f>60000000+INDEX(编号表!$B:$B,MATCH(J15,编号表!$A:$A,0))*10000+INDEX(编号表!$B:$B,MATCH(K15,编号表!$C:$C,0))*1000+L15</f>
        <v>60032024</v>
      </c>
      <c r="C15" t="str" s="8">
        <v>a010</v>
      </c>
      <c r="D15" t="str" s="5">
        <v>汀岸灵狼·异种</v>
      </c>
      <c r="E15" t="str" s="5">
        <v>R01-M1-精英-24</v>
      </c>
      <c r="F15" t="n" s="8">
        <v>2</v>
      </c>
      <c r="G15" t="str" s="8">
        <f>INDEX(编号表!$E:$E,MATCH(K15,编号表!$C:$C,0))</f>
        <v>绿色</v>
      </c>
      <c r="H15" t="n" s="8">
        <v>1</v>
      </c>
      <c r="I15" t="str" s="8">
        <v>浮沉洲</v>
      </c>
      <c r="J15" t="str" s="8">
        <v>浮沉洲</v>
      </c>
      <c r="K15" t="str" s="8">
        <v>精英</v>
      </c>
      <c r="L15" t="n" s="8">
        <v>24</v>
      </c>
      <c r="M15" t="n" s="8">
        <v>24</v>
      </c>
      <c r="N15" t="n" s="8">
        <v>3</v>
      </c>
      <c r="O15" s="8"/>
      <c r="P15" t="n" s="8">
        <v>40</v>
      </c>
      <c r="Q15" t="n" s="8">
        <v>180000</v>
      </c>
      <c r="R15" t="str" s="8">
        <v>首击</v>
      </c>
      <c r="S15" t="n" s="8">
        <v>30000</v>
      </c>
      <c r="T15" t="n" s="8">
        <v>11</v>
      </c>
      <c r="U15" t="n" s="16">
        <v>40900101</v>
      </c>
      <c r="V15" t="n" s="8">
        <v>41120110</v>
      </c>
      <c r="W15" t="n" s="8">
        <v>41320101</v>
      </c>
      <c r="X15" t="n" s="8">
        <v>11000001</v>
      </c>
      <c r="Y15" s="8"/>
      <c r="Z15" s="8"/>
      <c r="AA15" t="str" s="8">
        <v>妖兽</v>
      </c>
      <c r="AB15" s="11">
        <v>20036</v>
      </c>
      <c r="AC15" t="n" s="8">
        <v>1.25</v>
      </c>
      <c r="AD15" t="n" s="8">
        <v>60</v>
      </c>
      <c r="AE15" t="n" s="8">
        <v>60</v>
      </c>
      <c r="AF15" t="n" s="8">
        <v>0</v>
      </c>
      <c r="AG15" t="n" s="8">
        <v>0</v>
      </c>
      <c r="AH15" t="str" s="8">
        <v>近战</v>
      </c>
      <c r="AI15" s="8"/>
      <c r="AJ15" s="17"/>
      <c r="AK15" s="8"/>
      <c r="AL15" s="18"/>
      <c r="AM15" t="str" s="8">
        <v>生命值</v>
      </c>
      <c r="AN15" t="n" s="19">
        <v>775</v>
      </c>
      <c r="AO15" t="str" s="8">
        <v>灵力值</v>
      </c>
      <c r="AP15" t="n" s="8">
        <v>68</v>
      </c>
      <c r="AQ15" t="str" s="8">
        <v>攻击下限</v>
      </c>
      <c r="AR15" t="n" s="8">
        <v>34</v>
      </c>
      <c r="AS15" t="str" s="8">
        <v>攻击上限</v>
      </c>
      <c r="AT15" t="n" s="8">
        <v>34</v>
      </c>
      <c r="AU15" t="str" s="8">
        <v>法力下限</v>
      </c>
      <c r="AV15" t="n" s="8">
        <v>34</v>
      </c>
      <c r="AW15" t="str" s="8">
        <v>法力上限</v>
      </c>
      <c r="AX15" t="n" s="8">
        <v>34</v>
      </c>
      <c r="AY15" t="str" s="8">
        <v>物防下限</v>
      </c>
      <c r="AZ15" t="n" s="8">
        <v>6</v>
      </c>
      <c r="BA15" t="str" s="8">
        <v>物防上限</v>
      </c>
      <c r="BB15" t="n" s="8">
        <v>6</v>
      </c>
      <c r="BC15" t="str" s="8">
        <v>法防下限</v>
      </c>
      <c r="BD15" t="n" s="8">
        <v>6</v>
      </c>
      <c r="BE15" t="str" s="8">
        <v>法防上限</v>
      </c>
      <c r="BF15" t="n" s="8">
        <v>6</v>
      </c>
      <c r="BG15" t="str" s="8">
        <v>移动速度</v>
      </c>
      <c r="BH15" t="n" s="8">
        <v>240</v>
      </c>
      <c r="BI15" t="str" s="8">
        <v>攻击范围</v>
      </c>
      <c r="BJ15" t="n" s="8">
        <v>160</v>
      </c>
      <c r="BK15" t="str" s="8">
        <v>警戒范围</v>
      </c>
      <c r="BL15" t="n" s="8">
        <v>550</v>
      </c>
      <c r="BM15" t="str" s="8">
        <v>攻击间隔</v>
      </c>
      <c r="BN15" t="n" s="8">
        <v>1800</v>
      </c>
      <c r="BO15" t="n" s="8">
        <v>0</v>
      </c>
      <c r="BP15" s="8"/>
      <c r="BQ15" t="n" s="8">
        <v>0</v>
      </c>
      <c r="BR15" t="n" s="8">
        <v>0</v>
      </c>
      <c r="BS15" t="n" s="8">
        <v>0</v>
      </c>
      <c r="BT15" t="n" s="8">
        <v>0</v>
      </c>
      <c r="BU15" t="str" s="8">
        <v>浮沉洲的精英遭遇。依托本区既有水土、岩隙和可达条件活动。</v>
      </c>
      <c r="BV15" t="n">
        <v>1</v>
      </c>
      <c r="BW15" t="n">
        <v>2</v>
      </c>
      <c r="BX15" t="str">
        <v>玄品</v>
      </c>
      <c r="BY15" t="str">
        <v>native</v>
      </c>
      <c r="BZ15" t="b">
        <v>0</v>
      </c>
    </row>
    <row r="16" ht="16.5" customHeight="1" spans="2:75">
      <c r="A16"/>
      <c r="B16" t="n" s="8">
        <f>60000000+INDEX(编号表!$B:$B,MATCH(J16,编号表!$A:$A,0))*10000+INDEX(编号表!$B:$B,MATCH(K16,编号表!$C:$C,0))*1000+L16</f>
        <v>60041025</v>
      </c>
      <c r="C16" t="str" s="8">
        <v>a010</v>
      </c>
      <c r="D16" t="str" s="5">
        <v>浅汊水蛇</v>
      </c>
      <c r="E16" t="str" s="5">
        <v>R01-M2-普通-25</v>
      </c>
      <c r="F16" t="n" s="8">
        <v>5</v>
      </c>
      <c r="G16" t="str" s="8">
        <f>INDEX(编号表!$E:$E,MATCH(K16,编号表!$C:$C,0))</f>
        <v>白色</v>
      </c>
      <c r="H16" t="n" s="8">
        <v>1</v>
      </c>
      <c r="I16" t="str" s="8">
        <v>蔽苇汀</v>
      </c>
      <c r="J16" t="str" s="8">
        <v>蔽苇汀</v>
      </c>
      <c r="K16" t="str" s="8">
        <v>普通</v>
      </c>
      <c r="L16" t="n" s="8">
        <v>25</v>
      </c>
      <c r="M16" t="n" s="8">
        <v>25</v>
      </c>
      <c r="N16" t="n" s="8">
        <v>1</v>
      </c>
      <c r="O16" s="8"/>
      <c r="P16" t="n" s="8">
        <v>24</v>
      </c>
      <c r="Q16" t="n" s="8">
        <v>30000</v>
      </c>
      <c r="R16" t="str" s="8">
        <v>首击</v>
      </c>
      <c r="S16" t="n" s="8">
        <v>30000</v>
      </c>
      <c r="T16" t="n" s="8">
        <v>10</v>
      </c>
      <c r="U16" t="n" s="16">
        <v>40900100</v>
      </c>
      <c r="V16" t="n" s="8">
        <v>40910100</v>
      </c>
      <c r="W16" t="n" s="8">
        <v>40920100</v>
      </c>
      <c r="X16" t="n" s="8">
        <v>11000001</v>
      </c>
      <c r="Y16" s="8"/>
      <c r="Z16" s="8"/>
      <c r="AA16" t="str" s="8">
        <v>妖兽</v>
      </c>
      <c r="AB16" s="11">
        <v>20011</v>
      </c>
      <c r="AC16" t="n" s="8">
        <v>1</v>
      </c>
      <c r="AD16" t="n" s="8">
        <v>60</v>
      </c>
      <c r="AE16" t="n" s="8">
        <v>60</v>
      </c>
      <c r="AF16" t="n" s="8">
        <v>0</v>
      </c>
      <c r="AG16" t="n" s="8">
        <v>0</v>
      </c>
      <c r="AH16" t="str" s="8">
        <v>近战</v>
      </c>
      <c r="AI16" s="8"/>
      <c r="AJ16" s="17"/>
      <c r="AK16" s="8"/>
      <c r="AL16" s="18"/>
      <c r="AM16" t="str" s="8">
        <v>生命值</v>
      </c>
      <c r="AN16" t="n" s="19">
        <v>328</v>
      </c>
      <c r="AO16" t="str" s="8">
        <v>灵力值</v>
      </c>
      <c r="AP16" t="n" s="8">
        <v>56</v>
      </c>
      <c r="AQ16" t="str" s="8">
        <v>攻击下限</v>
      </c>
      <c r="AR16" t="n" s="8">
        <v>28</v>
      </c>
      <c r="AS16" t="str" s="8">
        <v>攻击上限</v>
      </c>
      <c r="AT16" t="n" s="8">
        <v>28</v>
      </c>
      <c r="AU16" t="str" s="8">
        <v>法力下限</v>
      </c>
      <c r="AV16" t="n" s="8">
        <v>28</v>
      </c>
      <c r="AW16" t="str" s="8">
        <v>法力上限</v>
      </c>
      <c r="AX16" t="n" s="8">
        <v>28</v>
      </c>
      <c r="AY16" t="str" s="8">
        <v>物防下限</v>
      </c>
      <c r="AZ16" t="n" s="8">
        <v>6</v>
      </c>
      <c r="BA16" t="str" s="8">
        <v>物防上限</v>
      </c>
      <c r="BB16" t="n" s="8">
        <v>6</v>
      </c>
      <c r="BC16" t="str" s="8">
        <v>法防下限</v>
      </c>
      <c r="BD16" t="n" s="8">
        <v>6</v>
      </c>
      <c r="BE16" t="str" s="8">
        <v>法防上限</v>
      </c>
      <c r="BF16" t="n" s="8">
        <v>6</v>
      </c>
      <c r="BG16" t="str" s="8">
        <v>移动速度</v>
      </c>
      <c r="BH16" t="n" s="8">
        <v>240</v>
      </c>
      <c r="BI16" t="str" s="8">
        <v>攻击范围</v>
      </c>
      <c r="BJ16" t="n" s="8">
        <v>160</v>
      </c>
      <c r="BK16" t="str" s="8">
        <v>警戒范围</v>
      </c>
      <c r="BL16" t="n" s="8">
        <v>550</v>
      </c>
      <c r="BM16" t="str" s="8">
        <v>攻击间隔</v>
      </c>
      <c r="BN16" t="n" s="8">
        <v>1800</v>
      </c>
      <c r="BO16" t="n" s="8">
        <v>0</v>
      </c>
      <c r="BP16" s="8"/>
      <c r="BQ16" t="n" s="8">
        <v>0</v>
      </c>
      <c r="BR16" t="n" s="8">
        <v>0</v>
      </c>
      <c r="BS16" t="n" s="8">
        <v>0</v>
      </c>
      <c r="BT16" t="n" s="8">
        <v>0</v>
      </c>
      <c r="BU16" t="str" s="8">
        <v>蔽苇汀的普通遭遇。依托本区既有水土、岩隙和可达条件活动。</v>
      </c>
      <c r="BV16" t="n">
        <v>1</v>
      </c>
      <c r="BW16" t="n">
        <v>5</v>
      </c>
      <c r="BX16" t="str">
        <v>凡品</v>
      </c>
      <c r="BY16" t="str">
        <v>native</v>
      </c>
      <c r="BZ16" t="b">
        <v>0</v>
      </c>
    </row>
    <row r="17" ht="16.5" customHeight="1" spans="2:75">
      <c r="A17"/>
      <c r="B17" t="n" s="8">
        <f>60000000+INDEX(编号表!$B:$B,MATCH(J17,编号表!$A:$A,0))*10000+INDEX(编号表!$B:$B,MATCH(K17,编号表!$C:$C,0))*1000+L17</f>
        <v>60041026</v>
      </c>
      <c r="C17" t="str" s="8">
        <v>a010</v>
      </c>
      <c r="D17" t="str" s="5">
        <v>苇泽灵蛙</v>
      </c>
      <c r="E17" t="str" s="5">
        <v>R01-M2-普通-26</v>
      </c>
      <c r="F17" t="n" s="8">
        <v>5</v>
      </c>
      <c r="G17" t="str" s="8">
        <f>INDEX(编号表!$E:$E,MATCH(K17,编号表!$C:$C,0))</f>
        <v>白色</v>
      </c>
      <c r="H17" t="n" s="8">
        <v>1</v>
      </c>
      <c r="I17" t="str" s="8">
        <v>蔽苇汀</v>
      </c>
      <c r="J17" t="str" s="8">
        <v>蔽苇汀</v>
      </c>
      <c r="K17" t="str" s="8">
        <v>普通</v>
      </c>
      <c r="L17" t="n" s="8">
        <v>26</v>
      </c>
      <c r="M17" t="n" s="8">
        <v>26</v>
      </c>
      <c r="N17" t="n" s="8">
        <v>1</v>
      </c>
      <c r="O17" s="8"/>
      <c r="P17" t="n" s="8">
        <v>24</v>
      </c>
      <c r="Q17" t="n" s="8">
        <v>30000</v>
      </c>
      <c r="R17" t="str" s="8">
        <v>首击</v>
      </c>
      <c r="S17" t="n" s="8">
        <v>30000</v>
      </c>
      <c r="T17" t="n" s="8">
        <v>10</v>
      </c>
      <c r="U17" t="n" s="16">
        <v>40900100</v>
      </c>
      <c r="V17" t="n" s="8">
        <v>40910101</v>
      </c>
      <c r="W17" t="n" s="8">
        <v>40920100</v>
      </c>
      <c r="X17" t="n" s="8">
        <v>11000001</v>
      </c>
      <c r="Y17" s="8"/>
      <c r="Z17" s="8"/>
      <c r="AA17" t="str" s="8">
        <v>妖兽</v>
      </c>
      <c r="AB17" s="11">
        <v>20012</v>
      </c>
      <c r="AC17" t="n" s="8">
        <v>1</v>
      </c>
      <c r="AD17" t="n" s="8">
        <v>60</v>
      </c>
      <c r="AE17" t="n" s="8">
        <v>60</v>
      </c>
      <c r="AF17" t="n" s="8">
        <v>0</v>
      </c>
      <c r="AG17" t="n" s="8">
        <v>0</v>
      </c>
      <c r="AH17" t="str" s="8">
        <v>近战</v>
      </c>
      <c r="AI17"/>
      <c r="AJ17" s="17"/>
      <c r="AK17" s="8"/>
      <c r="AL17" s="18"/>
      <c r="AM17" t="str" s="8">
        <v>生命值</v>
      </c>
      <c r="AN17" t="n" s="19">
        <v>328</v>
      </c>
      <c r="AO17" t="str" s="8">
        <v>灵力值</v>
      </c>
      <c r="AP17" t="n" s="8">
        <v>56</v>
      </c>
      <c r="AQ17" t="str" s="8">
        <v>攻击下限</v>
      </c>
      <c r="AR17" t="n" s="8">
        <v>28</v>
      </c>
      <c r="AS17" t="str" s="8">
        <v>攻击上限</v>
      </c>
      <c r="AT17" t="n" s="8">
        <v>28</v>
      </c>
      <c r="AU17" t="str" s="8">
        <v>法力下限</v>
      </c>
      <c r="AV17" t="n" s="8">
        <v>28</v>
      </c>
      <c r="AW17" t="str" s="8">
        <v>法力上限</v>
      </c>
      <c r="AX17" t="n" s="8">
        <v>28</v>
      </c>
      <c r="AY17" t="str" s="8">
        <v>物防下限</v>
      </c>
      <c r="AZ17" t="n" s="8">
        <v>6</v>
      </c>
      <c r="BA17" t="str" s="8">
        <v>物防上限</v>
      </c>
      <c r="BB17" t="n" s="8">
        <v>6</v>
      </c>
      <c r="BC17" t="str" s="8">
        <v>法防下限</v>
      </c>
      <c r="BD17" t="n" s="8">
        <v>6</v>
      </c>
      <c r="BE17" t="str" s="8">
        <v>法防上限</v>
      </c>
      <c r="BF17" t="n" s="8">
        <v>6</v>
      </c>
      <c r="BG17" t="str" s="8">
        <v>移动速度</v>
      </c>
      <c r="BH17" t="n" s="8">
        <v>240</v>
      </c>
      <c r="BI17" t="str" s="8">
        <v>攻击范围</v>
      </c>
      <c r="BJ17" t="n" s="8">
        <v>160</v>
      </c>
      <c r="BK17" t="str" s="8">
        <v>警戒范围</v>
      </c>
      <c r="BL17" t="n" s="8">
        <v>550</v>
      </c>
      <c r="BM17" t="str" s="8">
        <v>攻击间隔</v>
      </c>
      <c r="BN17" t="n" s="8">
        <v>1800</v>
      </c>
      <c r="BO17" t="n" s="8">
        <v>0</v>
      </c>
      <c r="BP17" s="8"/>
      <c r="BQ17" t="n" s="8">
        <v>0</v>
      </c>
      <c r="BR17" t="n" s="8">
        <v>0</v>
      </c>
      <c r="BS17" t="n" s="8">
        <v>0</v>
      </c>
      <c r="BT17" t="n" s="8">
        <v>0</v>
      </c>
      <c r="BU17" t="str" s="8">
        <v>蔽苇汀的普通遭遇。依托本区既有水土、岩隙和可达条件活动。</v>
      </c>
      <c r="BV17" t="n">
        <v>1</v>
      </c>
      <c r="BW17" t="n">
        <v>5</v>
      </c>
      <c r="BX17" t="str">
        <v>凡品</v>
      </c>
      <c r="BY17" t="str">
        <v>native</v>
      </c>
      <c r="BZ17" t="b">
        <v>0</v>
      </c>
    </row>
    <row r="18" ht="16.5" customHeight="1" spans="2:75">
      <c r="A18"/>
      <c r="B18" t="n" s="8">
        <f>60000000+INDEX(编号表!$B:$B,MATCH(J18,编号表!$A:$A,0))*10000+INDEX(编号表!$B:$B,MATCH(K18,编号表!$C:$C,0))*1000+L18</f>
        <v>60041027</v>
      </c>
      <c r="C18" t="str" s="8">
        <v>a010</v>
      </c>
      <c r="D18" t="str" s="5">
        <v>岩隙灵蝠</v>
      </c>
      <c r="E18" t="str" s="5">
        <v>R01-M2-普通-27</v>
      </c>
      <c r="F18" t="n" s="8">
        <v>5</v>
      </c>
      <c r="G18" t="str" s="8">
        <f>INDEX(编号表!$E:$E,MATCH(K18,编号表!$C:$C,0))</f>
        <v>白色</v>
      </c>
      <c r="H18" t="n" s="8">
        <v>1</v>
      </c>
      <c r="I18" t="str" s="8">
        <v>蔽苇汀</v>
      </c>
      <c r="J18" t="str" s="8">
        <v>蔽苇汀</v>
      </c>
      <c r="K18" t="str" s="8">
        <v>普通</v>
      </c>
      <c r="L18" t="n" s="8">
        <v>27</v>
      </c>
      <c r="M18" t="n" s="8">
        <v>27</v>
      </c>
      <c r="N18" t="n" s="8">
        <v>1</v>
      </c>
      <c r="O18" s="8"/>
      <c r="P18" t="n" s="8">
        <v>24</v>
      </c>
      <c r="Q18" t="n" s="8">
        <v>30000</v>
      </c>
      <c r="R18" t="str" s="8">
        <v>首击</v>
      </c>
      <c r="S18" t="n" s="8">
        <v>30000</v>
      </c>
      <c r="T18" t="n" s="8">
        <v>10</v>
      </c>
      <c r="U18" t="n" s="16">
        <v>40900100</v>
      </c>
      <c r="V18" t="n" s="8">
        <v>40910102</v>
      </c>
      <c r="W18" t="n" s="8">
        <v>40920100</v>
      </c>
      <c r="X18" t="n" s="8">
        <v>11000001</v>
      </c>
      <c r="Y18" s="8"/>
      <c r="Z18" s="8"/>
      <c r="AA18" t="str" s="8">
        <v>妖兽</v>
      </c>
      <c r="AB18" s="11">
        <v>20015</v>
      </c>
      <c r="AC18" t="n" s="8">
        <v>1</v>
      </c>
      <c r="AD18" t="n" s="8">
        <v>60</v>
      </c>
      <c r="AE18" t="n" s="8">
        <v>60</v>
      </c>
      <c r="AF18" t="n" s="8">
        <v>0</v>
      </c>
      <c r="AG18" t="n" s="8">
        <v>0</v>
      </c>
      <c r="AH18" t="str" s="8">
        <v>近战</v>
      </c>
      <c r="AI18" s="8"/>
      <c r="AJ18" s="17"/>
      <c r="AK18" s="8"/>
      <c r="AL18" s="18"/>
      <c r="AM18" t="str" s="8">
        <v>生命值</v>
      </c>
      <c r="AN18" t="n" s="19">
        <v>328</v>
      </c>
      <c r="AO18" t="str" s="8">
        <v>灵力值</v>
      </c>
      <c r="AP18" t="n" s="8">
        <v>56</v>
      </c>
      <c r="AQ18" t="str" s="8">
        <v>攻击下限</v>
      </c>
      <c r="AR18" t="n" s="8">
        <v>28</v>
      </c>
      <c r="AS18" t="str" s="8">
        <v>攻击上限</v>
      </c>
      <c r="AT18" t="n" s="8">
        <v>28</v>
      </c>
      <c r="AU18" t="str" s="8">
        <v>法力下限</v>
      </c>
      <c r="AV18" t="n" s="8">
        <v>28</v>
      </c>
      <c r="AW18" t="str" s="8">
        <v>法力上限</v>
      </c>
      <c r="AX18" t="n" s="8">
        <v>28</v>
      </c>
      <c r="AY18" t="str" s="8">
        <v>物防下限</v>
      </c>
      <c r="AZ18" t="n" s="8">
        <v>6</v>
      </c>
      <c r="BA18" t="str" s="8">
        <v>物防上限</v>
      </c>
      <c r="BB18" t="n" s="8">
        <v>6</v>
      </c>
      <c r="BC18" t="str" s="8">
        <v>法防下限</v>
      </c>
      <c r="BD18" t="n" s="8">
        <v>6</v>
      </c>
      <c r="BE18" t="str" s="8">
        <v>法防上限</v>
      </c>
      <c r="BF18" t="n" s="8">
        <v>6</v>
      </c>
      <c r="BG18" t="str" s="8">
        <v>移动速度</v>
      </c>
      <c r="BH18" t="n" s="8">
        <v>240</v>
      </c>
      <c r="BI18" t="str" s="8">
        <v>攻击范围</v>
      </c>
      <c r="BJ18" t="n" s="8">
        <v>160</v>
      </c>
      <c r="BK18" t="str" s="8">
        <v>警戒范围</v>
      </c>
      <c r="BL18" t="n" s="8">
        <v>550</v>
      </c>
      <c r="BM18" t="str" s="8">
        <v>攻击间隔</v>
      </c>
      <c r="BN18" t="n" s="8">
        <v>1800</v>
      </c>
      <c r="BO18" t="n" s="8">
        <v>0</v>
      </c>
      <c r="BP18" s="8"/>
      <c r="BQ18" t="n" s="8">
        <v>0</v>
      </c>
      <c r="BR18" t="n" s="8">
        <v>0</v>
      </c>
      <c r="BS18" t="n" s="8">
        <v>0</v>
      </c>
      <c r="BT18" t="n" s="8">
        <v>0</v>
      </c>
      <c r="BU18" t="str" s="8">
        <v>蔽苇汀的普通遭遇。依托本区既有水土、岩隙和可达条件活动。</v>
      </c>
      <c r="BV18" t="n">
        <v>1</v>
      </c>
      <c r="BW18" t="n">
        <v>5</v>
      </c>
      <c r="BX18" t="str">
        <v>凡品</v>
      </c>
      <c r="BY18" t="str">
        <v>native</v>
      </c>
      <c r="BZ18" t="b">
        <v>0</v>
      </c>
    </row>
    <row r="19" ht="16.5" customHeight="1" spans="2:75">
      <c r="A19"/>
      <c r="B19" t="n" s="8">
        <f>60000000+INDEX(编号表!$B:$B,MATCH(J19,编号表!$A:$A,0))*10000+INDEX(编号表!$B:$B,MATCH(K19,编号表!$C:$C,0))*1000+L19</f>
        <v>60041028</v>
      </c>
      <c r="C19" t="str" s="8">
        <v>a010</v>
      </c>
      <c r="D19" t="str" s="5">
        <v>汀岸灵狼</v>
      </c>
      <c r="E19" t="str" s="5">
        <v>R01-M2-普通-28</v>
      </c>
      <c r="F19" t="n" s="8">
        <v>5</v>
      </c>
      <c r="G19" t="str" s="8">
        <f>INDEX(编号表!$E:$E,MATCH(K19,编号表!$C:$C,0))</f>
        <v>白色</v>
      </c>
      <c r="H19" t="n" s="8">
        <v>1</v>
      </c>
      <c r="I19" t="str" s="8">
        <v>蔽苇汀</v>
      </c>
      <c r="J19" t="str" s="8">
        <v>蔽苇汀</v>
      </c>
      <c r="K19" t="str" s="8">
        <v>普通</v>
      </c>
      <c r="L19" t="n" s="8">
        <v>28</v>
      </c>
      <c r="M19" t="n" s="8">
        <v>28</v>
      </c>
      <c r="N19" t="n" s="8">
        <v>1</v>
      </c>
      <c r="O19" s="8"/>
      <c r="P19" t="n" s="8">
        <v>24</v>
      </c>
      <c r="Q19" t="n" s="8">
        <v>30000</v>
      </c>
      <c r="R19" t="str" s="8">
        <v>首击</v>
      </c>
      <c r="S19" t="n" s="8">
        <v>30000</v>
      </c>
      <c r="T19" t="n" s="8">
        <v>10</v>
      </c>
      <c r="U19" t="n" s="16">
        <v>40900100</v>
      </c>
      <c r="V19" t="n" s="8">
        <v>40910103</v>
      </c>
      <c r="W19" t="n" s="8">
        <v>40920100</v>
      </c>
      <c r="X19" t="n" s="8">
        <v>11000001</v>
      </c>
      <c r="Y19" s="8"/>
      <c r="Z19" s="8"/>
      <c r="AA19" t="str" s="8">
        <v>妖兽</v>
      </c>
      <c r="AB19" s="11">
        <v>20022</v>
      </c>
      <c r="AC19" t="n" s="8">
        <v>1</v>
      </c>
      <c r="AD19" t="n" s="8">
        <v>60</v>
      </c>
      <c r="AE19" t="n" s="8">
        <v>60</v>
      </c>
      <c r="AF19" t="n" s="8">
        <v>0</v>
      </c>
      <c r="AG19" t="n" s="8">
        <v>0</v>
      </c>
      <c r="AH19" t="str" s="8">
        <v>近战</v>
      </c>
      <c r="AI19" s="8"/>
      <c r="AJ19" s="17"/>
      <c r="AK19" s="8"/>
      <c r="AL19" s="18"/>
      <c r="AM19" t="str" s="8">
        <v>生命值</v>
      </c>
      <c r="AN19" t="n" s="19">
        <v>328</v>
      </c>
      <c r="AO19" t="str" s="8">
        <v>灵力值</v>
      </c>
      <c r="AP19" t="n" s="8">
        <v>56</v>
      </c>
      <c r="AQ19" t="str" s="8">
        <v>攻击下限</v>
      </c>
      <c r="AR19" t="n" s="8">
        <v>28</v>
      </c>
      <c r="AS19" t="str" s="8">
        <v>攻击上限</v>
      </c>
      <c r="AT19" t="n" s="8">
        <v>28</v>
      </c>
      <c r="AU19" t="str" s="8">
        <v>法力下限</v>
      </c>
      <c r="AV19" t="n" s="8">
        <v>28</v>
      </c>
      <c r="AW19" t="str" s="8">
        <v>法力上限</v>
      </c>
      <c r="AX19" t="n" s="8">
        <v>28</v>
      </c>
      <c r="AY19" t="str" s="8">
        <v>物防下限</v>
      </c>
      <c r="AZ19" t="n" s="8">
        <v>6</v>
      </c>
      <c r="BA19" t="str" s="8">
        <v>物防上限</v>
      </c>
      <c r="BB19" t="n" s="8">
        <v>6</v>
      </c>
      <c r="BC19" t="str" s="8">
        <v>法防下限</v>
      </c>
      <c r="BD19" t="n" s="8">
        <v>6</v>
      </c>
      <c r="BE19" t="str" s="8">
        <v>法防上限</v>
      </c>
      <c r="BF19" t="n" s="8">
        <v>6</v>
      </c>
      <c r="BG19" t="str" s="8">
        <v>移动速度</v>
      </c>
      <c r="BH19" t="n" s="8">
        <v>240</v>
      </c>
      <c r="BI19" t="str" s="8">
        <v>攻击范围</v>
      </c>
      <c r="BJ19" t="n" s="8">
        <v>160</v>
      </c>
      <c r="BK19" t="str" s="8">
        <v>警戒范围</v>
      </c>
      <c r="BL19" t="n" s="8">
        <v>550</v>
      </c>
      <c r="BM19" t="str" s="8">
        <v>攻击间隔</v>
      </c>
      <c r="BN19" t="n" s="8">
        <v>1800</v>
      </c>
      <c r="BO19" t="n" s="8">
        <v>0</v>
      </c>
      <c r="BP19" s="8"/>
      <c r="BQ19" t="n" s="8">
        <v>0</v>
      </c>
      <c r="BR19" t="n" s="8">
        <v>0</v>
      </c>
      <c r="BS19" t="n" s="8">
        <v>0</v>
      </c>
      <c r="BT19" t="n" s="8">
        <v>0</v>
      </c>
      <c r="BU19" t="str" s="8">
        <v>蔽苇汀的普通遭遇。依托本区既有水土、岩隙和可达条件活动。</v>
      </c>
      <c r="BV19" t="n">
        <v>1</v>
      </c>
      <c r="BW19" t="n">
        <v>5</v>
      </c>
      <c r="BX19" t="str">
        <v>凡品</v>
      </c>
      <c r="BY19" t="str">
        <v>native</v>
      </c>
      <c r="BZ19" t="b">
        <v>0</v>
      </c>
    </row>
    <row r="20" ht="16.5" customHeight="1" spans="2:75">
      <c r="A20"/>
      <c r="B20" t="n" s="8">
        <f>60000000+INDEX(编号表!$B:$B,MATCH(J20,编号表!$A:$A,0))*10000+INDEX(编号表!$B:$B,MATCH(K20,编号表!$C:$C,0))*1000+L20</f>
        <v>60041029</v>
      </c>
      <c r="C20" t="str" s="8">
        <v>a010</v>
      </c>
      <c r="D20" t="str" s="5">
        <v>浅汊水蛇</v>
      </c>
      <c r="E20" t="str" s="5">
        <v>R01-M2-普通-29</v>
      </c>
      <c r="F20" t="n" s="8">
        <v>5</v>
      </c>
      <c r="G20" t="str" s="8">
        <f>INDEX(编号表!$E:$E,MATCH(K20,编号表!$C:$C,0))</f>
        <v>白色</v>
      </c>
      <c r="H20" t="n" s="8">
        <v>1</v>
      </c>
      <c r="I20" t="str" s="8">
        <v>蔽苇汀</v>
      </c>
      <c r="J20" t="str" s="8">
        <v>蔽苇汀</v>
      </c>
      <c r="K20" t="str" s="8">
        <v>普通</v>
      </c>
      <c r="L20" t="n" s="8">
        <v>29</v>
      </c>
      <c r="M20" t="n" s="8">
        <v>29</v>
      </c>
      <c r="N20" t="n" s="8">
        <v>1</v>
      </c>
      <c r="O20" s="8"/>
      <c r="P20" t="n" s="8">
        <v>24</v>
      </c>
      <c r="Q20" t="n" s="8">
        <v>30000</v>
      </c>
      <c r="R20" t="str" s="8">
        <v>首击</v>
      </c>
      <c r="S20" t="n" s="8">
        <v>30000</v>
      </c>
      <c r="T20" t="n" s="8">
        <v>10</v>
      </c>
      <c r="U20" t="n" s="16">
        <v>40900100</v>
      </c>
      <c r="V20" t="n" s="8">
        <v>40910104</v>
      </c>
      <c r="W20" t="n" s="8">
        <v>40920100</v>
      </c>
      <c r="X20" t="n" s="8">
        <v>11000001</v>
      </c>
      <c r="Y20" s="8"/>
      <c r="Z20" s="8"/>
      <c r="AA20" t="str" s="8">
        <v>妖兽</v>
      </c>
      <c r="AB20" s="11">
        <v>20022</v>
      </c>
      <c r="AC20" t="n" s="8">
        <v>1</v>
      </c>
      <c r="AD20" t="n" s="8">
        <v>60</v>
      </c>
      <c r="AE20" t="n" s="8">
        <v>60</v>
      </c>
      <c r="AF20" t="n" s="8">
        <v>0</v>
      </c>
      <c r="AG20" t="n" s="8">
        <v>0</v>
      </c>
      <c r="AH20" t="str" s="8">
        <v>近战</v>
      </c>
      <c r="AI20" s="8"/>
      <c r="AJ20" s="17"/>
      <c r="AK20" s="8"/>
      <c r="AL20" s="18"/>
      <c r="AM20" t="str" s="8">
        <v>生命值</v>
      </c>
      <c r="AN20" t="n" s="19">
        <v>328</v>
      </c>
      <c r="AO20" t="str" s="8">
        <v>灵力值</v>
      </c>
      <c r="AP20" t="n" s="8">
        <v>56</v>
      </c>
      <c r="AQ20" t="str" s="8">
        <v>攻击下限</v>
      </c>
      <c r="AR20" t="n" s="8">
        <v>28</v>
      </c>
      <c r="AS20" t="str" s="8">
        <v>攻击上限</v>
      </c>
      <c r="AT20" t="n" s="8">
        <v>28</v>
      </c>
      <c r="AU20" t="str" s="8">
        <v>法力下限</v>
      </c>
      <c r="AV20" t="n" s="8">
        <v>28</v>
      </c>
      <c r="AW20" t="str" s="8">
        <v>法力上限</v>
      </c>
      <c r="AX20" t="n" s="8">
        <v>28</v>
      </c>
      <c r="AY20" t="str" s="8">
        <v>物防下限</v>
      </c>
      <c r="AZ20" t="n" s="8">
        <v>6</v>
      </c>
      <c r="BA20" t="str" s="8">
        <v>物防上限</v>
      </c>
      <c r="BB20" t="n" s="8">
        <v>6</v>
      </c>
      <c r="BC20" t="str" s="8">
        <v>法防下限</v>
      </c>
      <c r="BD20" t="n" s="8">
        <v>6</v>
      </c>
      <c r="BE20" t="str" s="8">
        <v>法防上限</v>
      </c>
      <c r="BF20" t="n" s="8">
        <v>6</v>
      </c>
      <c r="BG20" t="str" s="8">
        <v>移动速度</v>
      </c>
      <c r="BH20" t="n" s="8">
        <v>240</v>
      </c>
      <c r="BI20" t="str" s="8">
        <v>攻击范围</v>
      </c>
      <c r="BJ20" t="n" s="8">
        <v>160</v>
      </c>
      <c r="BK20" t="str" s="8">
        <v>警戒范围</v>
      </c>
      <c r="BL20" t="n" s="8">
        <v>550</v>
      </c>
      <c r="BM20" t="str" s="8">
        <v>攻击间隔</v>
      </c>
      <c r="BN20" t="n" s="8">
        <v>1800</v>
      </c>
      <c r="BO20" t="n" s="8">
        <v>0</v>
      </c>
      <c r="BP20" s="8"/>
      <c r="BQ20" t="n" s="8">
        <v>0</v>
      </c>
      <c r="BR20" t="n" s="8">
        <v>0</v>
      </c>
      <c r="BS20" t="n" s="8">
        <v>0</v>
      </c>
      <c r="BT20" t="n" s="8">
        <v>0</v>
      </c>
      <c r="BU20" t="str" s="8">
        <v>蔽苇汀的普通遭遇。依托本区既有水土、岩隙和可达条件活动。</v>
      </c>
      <c r="BV20" t="n">
        <v>1</v>
      </c>
      <c r="BW20" t="n">
        <v>5</v>
      </c>
      <c r="BX20" t="str">
        <v>凡品</v>
      </c>
      <c r="BY20" t="str">
        <v>native</v>
      </c>
      <c r="BZ20" t="b">
        <v>0</v>
      </c>
    </row>
    <row r="21" ht="16.5" customHeight="1" spans="2:75">
      <c r="A21"/>
      <c r="B21" t="n" s="8">
        <f>60000000+INDEX(编号表!$B:$B,MATCH(J21,编号表!$A:$A,0))*10000+INDEX(编号表!$B:$B,MATCH(K21,编号表!$C:$C,0))*1000+L21</f>
        <v>60042030</v>
      </c>
      <c r="C21" t="str" s="8">
        <v>a010</v>
      </c>
      <c r="D21" t="str" s="5">
        <v>苇泽灵蛙·异种</v>
      </c>
      <c r="E21" t="str" s="5">
        <v>R01-M2-精英-30</v>
      </c>
      <c r="F21" t="n" s="8">
        <v>5</v>
      </c>
      <c r="G21" t="str" s="8">
        <f>INDEX(编号表!$E:$E,MATCH(K21,编号表!$C:$C,0))</f>
        <v>绿色</v>
      </c>
      <c r="H21" t="n" s="8">
        <v>1</v>
      </c>
      <c r="I21" t="str" s="8">
        <v>蔽苇汀</v>
      </c>
      <c r="J21" t="str" s="8">
        <v>蔽苇汀</v>
      </c>
      <c r="K21" t="str" s="8">
        <v>精英</v>
      </c>
      <c r="L21" t="n" s="8">
        <v>30</v>
      </c>
      <c r="M21" t="n" s="8">
        <v>30</v>
      </c>
      <c r="N21" t="n" s="8">
        <v>3</v>
      </c>
      <c r="O21" s="8"/>
      <c r="P21" t="n" s="8">
        <v>40</v>
      </c>
      <c r="Q21" t="n" s="8">
        <v>180000</v>
      </c>
      <c r="R21" t="str" s="8">
        <v>首击</v>
      </c>
      <c r="S21" t="n" s="8">
        <v>30000</v>
      </c>
      <c r="T21" t="n" s="8">
        <v>11</v>
      </c>
      <c r="U21" t="n" s="16">
        <v>40900101</v>
      </c>
      <c r="V21" t="n" s="8">
        <v>41120105</v>
      </c>
      <c r="W21" t="n" s="8">
        <v>41320102</v>
      </c>
      <c r="X21" t="n" s="8">
        <v>11000001</v>
      </c>
      <c r="Y21" s="8"/>
      <c r="Z21" s="8"/>
      <c r="AA21" t="str" s="8">
        <v>妖兽</v>
      </c>
      <c r="AB21" s="11">
        <v>20022</v>
      </c>
      <c r="AC21" t="n" s="8">
        <v>1.25</v>
      </c>
      <c r="AD21" t="n" s="8">
        <v>60</v>
      </c>
      <c r="AE21" t="n" s="8">
        <v>60</v>
      </c>
      <c r="AF21" t="n" s="8">
        <v>0</v>
      </c>
      <c r="AG21" t="n" s="8">
        <v>0</v>
      </c>
      <c r="AH21" t="str" s="8">
        <v>近战</v>
      </c>
      <c r="AI21" s="8"/>
      <c r="AJ21" s="17"/>
      <c r="AK21" s="8"/>
      <c r="AL21" s="18"/>
      <c r="AM21" t="str" s="8">
        <v>生命值</v>
      </c>
      <c r="AN21" t="n" s="19">
        <v>917</v>
      </c>
      <c r="AO21" t="str" s="8">
        <v>灵力值</v>
      </c>
      <c r="AP21" t="n" s="8">
        <v>80</v>
      </c>
      <c r="AQ21" t="str" s="8">
        <v>攻击下限</v>
      </c>
      <c r="AR21" t="n" s="8">
        <v>40</v>
      </c>
      <c r="AS21" t="str" s="8">
        <v>攻击上限</v>
      </c>
      <c r="AT21" t="n" s="8">
        <v>40</v>
      </c>
      <c r="AU21" t="str" s="8">
        <v>法力下限</v>
      </c>
      <c r="AV21" t="n" s="8">
        <v>40</v>
      </c>
      <c r="AW21" t="str" s="8">
        <v>法力上限</v>
      </c>
      <c r="AX21" t="n" s="8">
        <v>40</v>
      </c>
      <c r="AY21" t="str" s="8">
        <v>物防下限</v>
      </c>
      <c r="AZ21" t="n" s="8">
        <v>8</v>
      </c>
      <c r="BA21" t="str" s="8">
        <v>物防上限</v>
      </c>
      <c r="BB21" t="n" s="8">
        <v>8</v>
      </c>
      <c r="BC21" t="str" s="8">
        <v>法防下限</v>
      </c>
      <c r="BD21" t="n" s="8">
        <v>8</v>
      </c>
      <c r="BE21" t="str" s="8">
        <v>法防上限</v>
      </c>
      <c r="BF21" t="n" s="8">
        <v>8</v>
      </c>
      <c r="BG21" t="str" s="8">
        <v>移动速度</v>
      </c>
      <c r="BH21" t="n" s="8">
        <v>240</v>
      </c>
      <c r="BI21" t="str" s="8">
        <v>攻击范围</v>
      </c>
      <c r="BJ21" t="n" s="8">
        <v>160</v>
      </c>
      <c r="BK21" t="str" s="8">
        <v>警戒范围</v>
      </c>
      <c r="BL21" t="n" s="8">
        <v>550</v>
      </c>
      <c r="BM21" t="str" s="8">
        <v>攻击间隔</v>
      </c>
      <c r="BN21" t="n" s="8">
        <v>1800</v>
      </c>
      <c r="BO21" t="n" s="8">
        <v>0</v>
      </c>
      <c r="BP21" s="8"/>
      <c r="BQ21" t="n" s="8">
        <v>0</v>
      </c>
      <c r="BR21" t="n" s="8">
        <v>0</v>
      </c>
      <c r="BS21" t="n" s="8">
        <v>0</v>
      </c>
      <c r="BT21" t="n" s="8">
        <v>0</v>
      </c>
      <c r="BU21" t="str" s="8">
        <v>蔽苇汀的精英遭遇。依托本区既有水土、岩隙和可达条件活动。</v>
      </c>
      <c r="BV21" t="n">
        <v>1</v>
      </c>
      <c r="BW21" t="n">
        <v>5</v>
      </c>
      <c r="BX21" t="str">
        <v>玄品</v>
      </c>
      <c r="BY21" t="str">
        <v>native</v>
      </c>
      <c r="BZ21" t="b">
        <v>0</v>
      </c>
    </row>
    <row r="22" ht="16.5" customHeight="1" spans="2:75">
      <c r="A22"/>
      <c r="B22" t="n" s="8">
        <f>60000000+INDEX(编号表!$B:$B,MATCH(J22,编号表!$A:$A,0))*10000+INDEX(编号表!$B:$B,MATCH(K22,编号表!$C:$C,0))*1000+L22</f>
        <v>60051031</v>
      </c>
      <c r="C22" t="str" s="8">
        <v>a010</v>
      </c>
      <c r="D22" t="str" s="5">
        <v>岩隙灵蝠</v>
      </c>
      <c r="E22" t="str" s="5">
        <v>R01-M3-普通-31</v>
      </c>
      <c r="F22" t="n" s="8">
        <v>8</v>
      </c>
      <c r="G22" t="str" s="8">
        <f>INDEX(编号表!$E:$E,MATCH(K22,编号表!$C:$C,0))</f>
        <v>白色</v>
      </c>
      <c r="H22" t="n" s="8">
        <v>1</v>
      </c>
      <c r="I22" t="str" s="8">
        <v>岳骨阶</v>
      </c>
      <c r="J22" t="str" s="8">
        <v>岳骨阶</v>
      </c>
      <c r="K22" t="str" s="8">
        <v>普通</v>
      </c>
      <c r="L22" t="n" s="8">
        <v>31</v>
      </c>
      <c r="M22" t="n" s="8">
        <v>31</v>
      </c>
      <c r="N22" t="n" s="8">
        <v>1</v>
      </c>
      <c r="O22" s="8"/>
      <c r="P22" t="n" s="8">
        <v>24</v>
      </c>
      <c r="Q22" t="n" s="8">
        <v>30000</v>
      </c>
      <c r="R22" t="str" s="8">
        <v>首击</v>
      </c>
      <c r="S22" t="n" s="8">
        <v>30000</v>
      </c>
      <c r="T22" t="n" s="8">
        <v>10</v>
      </c>
      <c r="U22" t="n" s="16">
        <v>40900100</v>
      </c>
      <c r="V22" t="n" s="8">
        <v>40910106</v>
      </c>
      <c r="W22" t="n" s="8">
        <v>40920100</v>
      </c>
      <c r="X22" t="n" s="8">
        <v>11000001</v>
      </c>
      <c r="Y22" s="8"/>
      <c r="Z22" s="8"/>
      <c r="AA22" t="str" s="8">
        <v>妖兽</v>
      </c>
      <c r="AB22" s="11">
        <v>20010</v>
      </c>
      <c r="AC22" t="n" s="8">
        <v>1</v>
      </c>
      <c r="AD22" t="n" s="8">
        <v>60</v>
      </c>
      <c r="AE22" t="n" s="8">
        <v>60</v>
      </c>
      <c r="AF22" t="n" s="8">
        <v>0</v>
      </c>
      <c r="AG22" t="n" s="8">
        <v>0</v>
      </c>
      <c r="AH22" t="str" s="8">
        <v>近战</v>
      </c>
      <c r="AI22" s="8"/>
      <c r="AJ22" s="17"/>
      <c r="AK22" s="8"/>
      <c r="AL22" s="18"/>
      <c r="AM22" t="str" s="8">
        <v>生命值</v>
      </c>
      <c r="AN22" t="n" s="19">
        <v>378</v>
      </c>
      <c r="AO22" t="str" s="8">
        <v>灵力值</v>
      </c>
      <c r="AP22" t="n" s="8">
        <v>64</v>
      </c>
      <c r="AQ22" t="str" s="8">
        <v>攻击下限</v>
      </c>
      <c r="AR22" t="n" s="8">
        <v>32</v>
      </c>
      <c r="AS22" t="str" s="8">
        <v>攻击上限</v>
      </c>
      <c r="AT22" t="n" s="8">
        <v>32</v>
      </c>
      <c r="AU22" t="str" s="8">
        <v>法力下限</v>
      </c>
      <c r="AV22" t="n" s="8">
        <v>32</v>
      </c>
      <c r="AW22" t="str" s="8">
        <v>法力上限</v>
      </c>
      <c r="AX22" t="n" s="8">
        <v>32</v>
      </c>
      <c r="AY22" t="str" s="8">
        <v>物防下限</v>
      </c>
      <c r="AZ22" t="n" s="8">
        <v>7</v>
      </c>
      <c r="BA22" t="str" s="8">
        <v>物防上限</v>
      </c>
      <c r="BB22" t="n" s="8">
        <v>7</v>
      </c>
      <c r="BC22" t="str" s="8">
        <v>法防下限</v>
      </c>
      <c r="BD22" t="n" s="8">
        <v>7</v>
      </c>
      <c r="BE22" t="str" s="8">
        <v>法防上限</v>
      </c>
      <c r="BF22" t="n" s="8">
        <v>7</v>
      </c>
      <c r="BG22" t="str" s="8">
        <v>移动速度</v>
      </c>
      <c r="BH22" t="n" s="8">
        <v>240</v>
      </c>
      <c r="BI22" t="str" s="8">
        <v>攻击范围</v>
      </c>
      <c r="BJ22" t="n" s="8">
        <v>160</v>
      </c>
      <c r="BK22" t="str" s="8">
        <v>警戒范围</v>
      </c>
      <c r="BL22" t="n" s="8">
        <v>550</v>
      </c>
      <c r="BM22" t="str" s="8">
        <v>攻击间隔</v>
      </c>
      <c r="BN22" t="n" s="8">
        <v>1800</v>
      </c>
      <c r="BO22" t="n" s="8">
        <v>0</v>
      </c>
      <c r="BP22" s="8"/>
      <c r="BQ22" t="n" s="8">
        <v>0</v>
      </c>
      <c r="BR22" t="n" s="8">
        <v>0</v>
      </c>
      <c r="BS22" t="n" s="8">
        <v>0</v>
      </c>
      <c r="BT22" t="n" s="8">
        <v>0</v>
      </c>
      <c r="BU22" t="str" s="8">
        <v>岳骨阶的普通遭遇。依托本区既有水土、岩隙和可达条件活动。</v>
      </c>
      <c r="BV22" t="n">
        <v>1</v>
      </c>
      <c r="BW22" t="n">
        <v>8</v>
      </c>
      <c r="BX22" t="str">
        <v>凡品</v>
      </c>
      <c r="BY22" t="str">
        <v>native</v>
      </c>
      <c r="BZ22" t="b">
        <v>0</v>
      </c>
    </row>
    <row r="23" ht="16.5" customHeight="1" spans="2:75">
      <c r="A23"/>
      <c r="B23" t="n" s="8">
        <f>60000000+INDEX(编号表!$B:$B,MATCH(J23,编号表!$A:$A,0))*10000+INDEX(编号表!$B:$B,MATCH(K23,编号表!$C:$C,0))*1000+L23</f>
        <v>60051032</v>
      </c>
      <c r="C23" t="str" s="8">
        <v>a010</v>
      </c>
      <c r="D23" t="str" s="5">
        <v>汀岸灵狼</v>
      </c>
      <c r="E23" t="str" s="5">
        <v>R01-M3-普通-32</v>
      </c>
      <c r="F23" t="n" s="8">
        <v>8</v>
      </c>
      <c r="G23" t="str" s="8">
        <f>INDEX(编号表!$E:$E,MATCH(K23,编号表!$C:$C,0))</f>
        <v>白色</v>
      </c>
      <c r="H23" t="n" s="8">
        <v>1</v>
      </c>
      <c r="I23" t="str" s="8">
        <v>岳骨阶</v>
      </c>
      <c r="J23" t="str" s="8">
        <v>岳骨阶</v>
      </c>
      <c r="K23" t="str" s="8">
        <v>普通</v>
      </c>
      <c r="L23" t="n" s="8">
        <v>32</v>
      </c>
      <c r="M23" t="n" s="8">
        <v>32</v>
      </c>
      <c r="N23" t="n" s="8">
        <v>1</v>
      </c>
      <c r="O23" s="8"/>
      <c r="P23" t="n" s="8">
        <v>24</v>
      </c>
      <c r="Q23" t="n" s="8">
        <v>30000</v>
      </c>
      <c r="R23" t="str" s="8">
        <v>首击</v>
      </c>
      <c r="S23" t="n" s="8">
        <v>30000</v>
      </c>
      <c r="T23" t="n" s="8">
        <v>10</v>
      </c>
      <c r="U23" t="n" s="16">
        <v>40900100</v>
      </c>
      <c r="V23" t="n" s="8">
        <v>40910107</v>
      </c>
      <c r="W23" t="n" s="8">
        <v>40920100</v>
      </c>
      <c r="X23" t="n" s="8">
        <v>11000001</v>
      </c>
      <c r="Y23" s="8"/>
      <c r="Z23" s="8"/>
      <c r="AA23" t="str" s="8">
        <v>妖兽</v>
      </c>
      <c r="AB23" s="11">
        <v>20023</v>
      </c>
      <c r="AC23" t="n" s="8">
        <v>1</v>
      </c>
      <c r="AD23" t="n" s="8">
        <v>60</v>
      </c>
      <c r="AE23" t="n" s="8">
        <v>60</v>
      </c>
      <c r="AF23" t="n" s="8">
        <v>0</v>
      </c>
      <c r="AG23" t="n" s="8">
        <v>0</v>
      </c>
      <c r="AH23" t="str" s="8">
        <v>近战</v>
      </c>
      <c r="AI23" s="8"/>
      <c r="AJ23" s="17"/>
      <c r="AK23" s="8"/>
      <c r="AL23" s="18"/>
      <c r="AM23" t="str" s="8">
        <v>生命值</v>
      </c>
      <c r="AN23" t="n" s="19">
        <v>378</v>
      </c>
      <c r="AO23" t="str" s="8">
        <v>灵力值</v>
      </c>
      <c r="AP23" t="n" s="8">
        <v>64</v>
      </c>
      <c r="AQ23" t="str" s="8">
        <v>攻击下限</v>
      </c>
      <c r="AR23" t="n" s="8">
        <v>32</v>
      </c>
      <c r="AS23" t="str" s="8">
        <v>攻击上限</v>
      </c>
      <c r="AT23" t="n" s="8">
        <v>32</v>
      </c>
      <c r="AU23" t="str" s="8">
        <v>法力下限</v>
      </c>
      <c r="AV23" t="n" s="8">
        <v>32</v>
      </c>
      <c r="AW23" t="str" s="8">
        <v>法力上限</v>
      </c>
      <c r="AX23" t="n" s="8">
        <v>32</v>
      </c>
      <c r="AY23" t="str" s="8">
        <v>物防下限</v>
      </c>
      <c r="AZ23" t="n" s="8">
        <v>7</v>
      </c>
      <c r="BA23" t="str" s="8">
        <v>物防上限</v>
      </c>
      <c r="BB23" t="n" s="8">
        <v>7</v>
      </c>
      <c r="BC23" t="str" s="8">
        <v>法防下限</v>
      </c>
      <c r="BD23" t="n" s="8">
        <v>7</v>
      </c>
      <c r="BE23" t="str" s="8">
        <v>法防上限</v>
      </c>
      <c r="BF23" t="n" s="8">
        <v>7</v>
      </c>
      <c r="BG23" t="str" s="8">
        <v>移动速度</v>
      </c>
      <c r="BH23" t="n" s="8">
        <v>240</v>
      </c>
      <c r="BI23" t="str" s="8">
        <v>攻击范围</v>
      </c>
      <c r="BJ23" t="n" s="8">
        <v>160</v>
      </c>
      <c r="BK23" t="str" s="8">
        <v>警戒范围</v>
      </c>
      <c r="BL23" t="n" s="8">
        <v>550</v>
      </c>
      <c r="BM23" t="str" s="8">
        <v>攻击间隔</v>
      </c>
      <c r="BN23" t="n" s="8">
        <v>1800</v>
      </c>
      <c r="BO23" t="n" s="8">
        <v>0</v>
      </c>
      <c r="BP23" s="8"/>
      <c r="BQ23" t="n" s="8">
        <v>0</v>
      </c>
      <c r="BR23" t="n" s="8">
        <v>0</v>
      </c>
      <c r="BS23" t="n" s="8">
        <v>0</v>
      </c>
      <c r="BT23" t="n" s="8">
        <v>0</v>
      </c>
      <c r="BU23" t="str" s="8">
        <v>岳骨阶的普通遭遇。依托本区既有水土、岩隙和可达条件活动。</v>
      </c>
      <c r="BV23" t="n">
        <v>1</v>
      </c>
      <c r="BW23" t="n">
        <v>8</v>
      </c>
      <c r="BX23" t="str">
        <v>凡品</v>
      </c>
      <c r="BY23" t="str">
        <v>native</v>
      </c>
      <c r="BZ23" t="b">
        <v>0</v>
      </c>
    </row>
    <row r="24" ht="16.5" customHeight="1" spans="2:75">
      <c r="A24"/>
      <c r="B24" t="n" s="8">
        <f>60000000+INDEX(编号表!$B:$B,MATCH(J24,编号表!$A:$A,0))*10000+INDEX(编号表!$B:$B,MATCH(K24,编号表!$C:$C,0))*1000+L24</f>
        <v>60051033</v>
      </c>
      <c r="C24" t="str" s="8">
        <v>a010</v>
      </c>
      <c r="D24" t="str" s="5">
        <v>浅汊水蛇</v>
      </c>
      <c r="E24" t="str" s="5">
        <v>R01-M3-普通-33</v>
      </c>
      <c r="F24" t="n" s="8">
        <v>8</v>
      </c>
      <c r="G24" t="str" s="8">
        <f>INDEX(编号表!$E:$E,MATCH(K24,编号表!$C:$C,0))</f>
        <v>白色</v>
      </c>
      <c r="H24" t="n" s="8">
        <v>1</v>
      </c>
      <c r="I24" t="str" s="8">
        <v>岳骨阶</v>
      </c>
      <c r="J24" t="str" s="8">
        <v>岳骨阶</v>
      </c>
      <c r="K24" t="str" s="8">
        <v>普通</v>
      </c>
      <c r="L24" t="n" s="8">
        <v>33</v>
      </c>
      <c r="M24" t="n" s="8">
        <v>33</v>
      </c>
      <c r="N24" t="n" s="8">
        <v>1</v>
      </c>
      <c r="O24" s="8"/>
      <c r="P24" t="n" s="8">
        <v>24</v>
      </c>
      <c r="Q24" t="n" s="8">
        <v>30000</v>
      </c>
      <c r="R24" t="str" s="8">
        <v>首击</v>
      </c>
      <c r="S24" t="n" s="8">
        <v>30000</v>
      </c>
      <c r="T24" t="n" s="8">
        <v>10</v>
      </c>
      <c r="U24" t="n" s="16">
        <v>40900100</v>
      </c>
      <c r="V24" t="n" s="8">
        <v>40910108</v>
      </c>
      <c r="W24" t="n" s="8">
        <v>40920100</v>
      </c>
      <c r="X24" t="n" s="8">
        <v>11000001</v>
      </c>
      <c r="Y24" s="8"/>
      <c r="Z24" s="8"/>
      <c r="AA24" t="str" s="8">
        <v>妖兽</v>
      </c>
      <c r="AB24" s="11">
        <v>20037</v>
      </c>
      <c r="AC24" t="n" s="8">
        <v>1</v>
      </c>
      <c r="AD24" t="n" s="8">
        <v>60</v>
      </c>
      <c r="AE24" t="n" s="8">
        <v>60</v>
      </c>
      <c r="AF24" t="n" s="8">
        <v>0</v>
      </c>
      <c r="AG24" t="n" s="8">
        <v>0</v>
      </c>
      <c r="AH24" t="str" s="8">
        <v>近战</v>
      </c>
      <c r="AI24" s="8"/>
      <c r="AJ24" s="17"/>
      <c r="AK24" s="8"/>
      <c r="AL24" s="18"/>
      <c r="AM24" t="str" s="8">
        <v>生命值</v>
      </c>
      <c r="AN24" t="n" s="19">
        <v>378</v>
      </c>
      <c r="AO24" t="str" s="8">
        <v>灵力值</v>
      </c>
      <c r="AP24" t="n" s="8">
        <v>64</v>
      </c>
      <c r="AQ24" t="str" s="8">
        <v>攻击下限</v>
      </c>
      <c r="AR24" t="n" s="8">
        <v>32</v>
      </c>
      <c r="AS24" t="str" s="8">
        <v>攻击上限</v>
      </c>
      <c r="AT24" t="n" s="8">
        <v>32</v>
      </c>
      <c r="AU24" t="str" s="8">
        <v>法力下限</v>
      </c>
      <c r="AV24" t="n" s="8">
        <v>32</v>
      </c>
      <c r="AW24" t="str" s="8">
        <v>法力上限</v>
      </c>
      <c r="AX24" t="n" s="8">
        <v>32</v>
      </c>
      <c r="AY24" t="str" s="8">
        <v>物防下限</v>
      </c>
      <c r="AZ24" t="n" s="8">
        <v>7</v>
      </c>
      <c r="BA24" t="str" s="8">
        <v>物防上限</v>
      </c>
      <c r="BB24" t="n" s="8">
        <v>7</v>
      </c>
      <c r="BC24" t="str" s="8">
        <v>法防下限</v>
      </c>
      <c r="BD24" t="n" s="8">
        <v>7</v>
      </c>
      <c r="BE24" t="str" s="8">
        <v>法防上限</v>
      </c>
      <c r="BF24" t="n" s="8">
        <v>7</v>
      </c>
      <c r="BG24" t="str" s="8">
        <v>移动速度</v>
      </c>
      <c r="BH24" t="n" s="8">
        <v>240</v>
      </c>
      <c r="BI24" t="str" s="8">
        <v>攻击范围</v>
      </c>
      <c r="BJ24" t="n" s="8">
        <v>160</v>
      </c>
      <c r="BK24" t="str" s="8">
        <v>警戒范围</v>
      </c>
      <c r="BL24" t="n" s="8">
        <v>550</v>
      </c>
      <c r="BM24" t="str" s="8">
        <v>攻击间隔</v>
      </c>
      <c r="BN24" t="n" s="8">
        <v>1800</v>
      </c>
      <c r="BO24" t="n" s="8">
        <v>0</v>
      </c>
      <c r="BP24" s="8"/>
      <c r="BQ24" t="n" s="8">
        <v>0</v>
      </c>
      <c r="BR24" t="n" s="8">
        <v>0</v>
      </c>
      <c r="BS24" t="n" s="8">
        <v>0</v>
      </c>
      <c r="BT24" t="n" s="8">
        <v>0</v>
      </c>
      <c r="BU24" t="str" s="8">
        <v>岳骨阶的普通遭遇。依托本区既有水土、岩隙和可达条件活动。</v>
      </c>
      <c r="BV24" t="n">
        <v>1</v>
      </c>
      <c r="BW24" t="n">
        <v>8</v>
      </c>
      <c r="BX24" t="str">
        <v>凡品</v>
      </c>
      <c r="BY24" t="str">
        <v>native</v>
      </c>
      <c r="BZ24" t="b">
        <v>0</v>
      </c>
    </row>
    <row r="25" ht="16.5" customHeight="1" spans="2:75">
      <c r="A25"/>
      <c r="B25" t="n" s="8">
        <f>60000000+INDEX(编号表!$B:$B,MATCH(J25,编号表!$A:$A,0))*10000+INDEX(编号表!$B:$B,MATCH(K25,编号表!$C:$C,0))*1000+L25</f>
        <v>60051034</v>
      </c>
      <c r="C25" t="str" s="8">
        <v>a010</v>
      </c>
      <c r="D25" t="str" s="5">
        <v>苇泽灵蛙</v>
      </c>
      <c r="E25" t="str" s="5">
        <v>R01-M3-普通-34</v>
      </c>
      <c r="F25" t="n" s="8">
        <v>8</v>
      </c>
      <c r="G25" t="str" s="8">
        <f>INDEX(编号表!$E:$E,MATCH(K25,编号表!$C:$C,0))</f>
        <v>白色</v>
      </c>
      <c r="H25" t="n" s="8">
        <v>1</v>
      </c>
      <c r="I25" t="str" s="8">
        <v>岳骨阶</v>
      </c>
      <c r="J25" t="str" s="8">
        <v>岳骨阶</v>
      </c>
      <c r="K25" t="str" s="8">
        <v>普通</v>
      </c>
      <c r="L25" t="n" s="8">
        <v>34</v>
      </c>
      <c r="M25" t="n" s="8">
        <v>34</v>
      </c>
      <c r="N25" t="n" s="8">
        <v>1</v>
      </c>
      <c r="O25" s="8"/>
      <c r="P25" t="n" s="8">
        <v>24</v>
      </c>
      <c r="Q25" t="n" s="8">
        <v>30000</v>
      </c>
      <c r="R25" t="str" s="8">
        <v>首击</v>
      </c>
      <c r="S25" t="n" s="8">
        <v>30000</v>
      </c>
      <c r="T25" t="n" s="8">
        <v>10</v>
      </c>
      <c r="U25" t="n" s="16">
        <v>40900100</v>
      </c>
      <c r="V25" t="n" s="8">
        <v>40910109</v>
      </c>
      <c r="W25" t="n" s="8">
        <v>40920100</v>
      </c>
      <c r="X25" t="n" s="8">
        <v>11000001</v>
      </c>
      <c r="Y25" s="8"/>
      <c r="Z25" s="8"/>
      <c r="AA25" t="str" s="8">
        <v>妖兽</v>
      </c>
      <c r="AB25" s="11">
        <v>20025</v>
      </c>
      <c r="AC25" t="n" s="8">
        <v>1</v>
      </c>
      <c r="AD25" t="n" s="8">
        <v>60</v>
      </c>
      <c r="AE25" t="n" s="8">
        <v>60</v>
      </c>
      <c r="AF25" t="n" s="8">
        <v>0</v>
      </c>
      <c r="AG25" t="n" s="8">
        <v>0</v>
      </c>
      <c r="AH25" t="str" s="8">
        <v>近战</v>
      </c>
      <c r="AI25"/>
      <c r="AJ25" s="17"/>
      <c r="AK25" s="8"/>
      <c r="AL25" s="18"/>
      <c r="AM25" t="str" s="8">
        <v>生命值</v>
      </c>
      <c r="AN25" t="n" s="19">
        <v>378</v>
      </c>
      <c r="AO25" t="str" s="8">
        <v>灵力值</v>
      </c>
      <c r="AP25" t="n" s="8">
        <v>64</v>
      </c>
      <c r="AQ25" t="str" s="8">
        <v>攻击下限</v>
      </c>
      <c r="AR25" t="n" s="8">
        <v>32</v>
      </c>
      <c r="AS25" t="str" s="8">
        <v>攻击上限</v>
      </c>
      <c r="AT25" t="n" s="8">
        <v>32</v>
      </c>
      <c r="AU25" t="str" s="8">
        <v>法力下限</v>
      </c>
      <c r="AV25" t="n" s="8">
        <v>32</v>
      </c>
      <c r="AW25" t="str" s="8">
        <v>法力上限</v>
      </c>
      <c r="AX25" t="n" s="8">
        <v>32</v>
      </c>
      <c r="AY25" t="str" s="8">
        <v>物防下限</v>
      </c>
      <c r="AZ25" t="n" s="8">
        <v>7</v>
      </c>
      <c r="BA25" t="str" s="8">
        <v>物防上限</v>
      </c>
      <c r="BB25" t="n" s="8">
        <v>7</v>
      </c>
      <c r="BC25" t="str" s="8">
        <v>法防下限</v>
      </c>
      <c r="BD25" t="n" s="8">
        <v>7</v>
      </c>
      <c r="BE25" t="str" s="8">
        <v>法防上限</v>
      </c>
      <c r="BF25" t="n" s="8">
        <v>7</v>
      </c>
      <c r="BG25" t="str" s="8">
        <v>移动速度</v>
      </c>
      <c r="BH25" t="n" s="8">
        <v>240</v>
      </c>
      <c r="BI25" t="str" s="8">
        <v>攻击范围</v>
      </c>
      <c r="BJ25" t="n" s="8">
        <v>160</v>
      </c>
      <c r="BK25" t="str" s="8">
        <v>警戒范围</v>
      </c>
      <c r="BL25" t="n" s="8">
        <v>550</v>
      </c>
      <c r="BM25" t="str" s="8">
        <v>攻击间隔</v>
      </c>
      <c r="BN25" t="n" s="8">
        <v>1800</v>
      </c>
      <c r="BO25" t="n" s="8">
        <v>0</v>
      </c>
      <c r="BP25" s="8"/>
      <c r="BQ25" t="n" s="8">
        <v>0</v>
      </c>
      <c r="BR25" t="n" s="8">
        <v>0</v>
      </c>
      <c r="BS25" t="n" s="8">
        <v>0</v>
      </c>
      <c r="BT25" t="n" s="8">
        <v>0</v>
      </c>
      <c r="BU25" t="str" s="8">
        <v>岳骨阶的普通遭遇。依托本区既有水土、岩隙和可达条件活动。</v>
      </c>
      <c r="BV25" t="n">
        <v>1</v>
      </c>
      <c r="BW25" t="n">
        <v>8</v>
      </c>
      <c r="BX25" t="str">
        <v>凡品</v>
      </c>
      <c r="BY25" t="str">
        <v>native</v>
      </c>
      <c r="BZ25" t="b">
        <v>0</v>
      </c>
    </row>
    <row r="26" ht="16.5" customHeight="1" spans="2:75">
      <c r="A26"/>
      <c r="B26" t="n" s="8">
        <f>60000000+INDEX(编号表!$B:$B,MATCH(J26,编号表!$A:$A,0))*10000+INDEX(编号表!$B:$B,MATCH(K26,编号表!$C:$C,0))*1000+L26</f>
        <v>60052035</v>
      </c>
      <c r="C26" t="str" s="8">
        <v>a010</v>
      </c>
      <c r="D26" t="str" s="5">
        <v>岩隙灵蝠·异种</v>
      </c>
      <c r="E26" t="str" s="5">
        <v>R01-M3-精英-35</v>
      </c>
      <c r="F26" t="n" s="8">
        <v>8</v>
      </c>
      <c r="G26" t="str" s="8">
        <f>INDEX(编号表!$E:$E,MATCH(K26,编号表!$C:$C,0))</f>
        <v>绿色</v>
      </c>
      <c r="H26" t="n" s="8">
        <v>1</v>
      </c>
      <c r="I26" t="str" s="8">
        <v>岳骨阶</v>
      </c>
      <c r="J26" t="str" s="8">
        <v>岳骨阶</v>
      </c>
      <c r="K26" t="str" s="8">
        <v>精英</v>
      </c>
      <c r="L26" t="n" s="8">
        <v>35</v>
      </c>
      <c r="M26" t="n" s="8">
        <v>35</v>
      </c>
      <c r="N26" t="n" s="8">
        <v>3</v>
      </c>
      <c r="O26" s="8"/>
      <c r="P26" t="n" s="8">
        <v>40</v>
      </c>
      <c r="Q26" t="n" s="8">
        <v>180000</v>
      </c>
      <c r="R26" t="str" s="8">
        <v>首击</v>
      </c>
      <c r="S26" t="n" s="8">
        <v>30000</v>
      </c>
      <c r="T26" t="n" s="8">
        <v>11</v>
      </c>
      <c r="U26" t="n" s="16">
        <v>40900101</v>
      </c>
      <c r="V26" t="n" s="8">
        <v>41120110</v>
      </c>
      <c r="W26" t="n" s="8">
        <v>41320103</v>
      </c>
      <c r="X26" t="n" s="8">
        <v>11000001</v>
      </c>
      <c r="Y26" s="8"/>
      <c r="Z26" s="8"/>
      <c r="AA26" t="str" s="8">
        <v>妖兽</v>
      </c>
      <c r="AB26" s="11">
        <v>20025</v>
      </c>
      <c r="AC26" t="n" s="8">
        <v>1.25</v>
      </c>
      <c r="AD26" t="n" s="8">
        <v>60</v>
      </c>
      <c r="AE26" t="n" s="8">
        <v>60</v>
      </c>
      <c r="AF26" t="n" s="8">
        <v>0</v>
      </c>
      <c r="AG26" t="n" s="8">
        <v>0</v>
      </c>
      <c r="AH26" t="str" s="8">
        <v>近战</v>
      </c>
      <c r="AI26"/>
      <c r="AJ26" s="17"/>
      <c r="AK26" s="8"/>
      <c r="AL26" s="18"/>
      <c r="AM26" t="str" s="8">
        <v>生命值</v>
      </c>
      <c r="AN26" t="n" s="19">
        <v>1059</v>
      </c>
      <c r="AO26" t="str" s="8">
        <v>灵力值</v>
      </c>
      <c r="AP26" t="n" s="8">
        <v>92</v>
      </c>
      <c r="AQ26" t="str" s="8">
        <v>攻击下限</v>
      </c>
      <c r="AR26" t="n" s="8">
        <v>46</v>
      </c>
      <c r="AS26" t="str" s="8">
        <v>攻击上限</v>
      </c>
      <c r="AT26" t="n" s="8">
        <v>46</v>
      </c>
      <c r="AU26" t="str" s="8">
        <v>法力下限</v>
      </c>
      <c r="AV26" t="n" s="8">
        <v>46</v>
      </c>
      <c r="AW26" t="str" s="8">
        <v>法力上限</v>
      </c>
      <c r="AX26" t="n" s="8">
        <v>46</v>
      </c>
      <c r="AY26" t="str" s="8">
        <v>物防下限</v>
      </c>
      <c r="AZ26" t="n" s="8">
        <v>9</v>
      </c>
      <c r="BA26" t="str" s="8">
        <v>物防上限</v>
      </c>
      <c r="BB26" t="n" s="8">
        <v>9</v>
      </c>
      <c r="BC26" t="str" s="8">
        <v>法防下限</v>
      </c>
      <c r="BD26" t="n" s="8">
        <v>9</v>
      </c>
      <c r="BE26" t="str" s="8">
        <v>法防上限</v>
      </c>
      <c r="BF26" t="n" s="8">
        <v>9</v>
      </c>
      <c r="BG26" t="str" s="8">
        <v>移动速度</v>
      </c>
      <c r="BH26" t="n" s="8">
        <v>240</v>
      </c>
      <c r="BI26" t="str" s="8">
        <v>攻击范围</v>
      </c>
      <c r="BJ26" t="n" s="8">
        <v>160</v>
      </c>
      <c r="BK26" t="str" s="8">
        <v>警戒范围</v>
      </c>
      <c r="BL26" t="n" s="8">
        <v>550</v>
      </c>
      <c r="BM26" t="str" s="8">
        <v>攻击间隔</v>
      </c>
      <c r="BN26" t="n" s="8">
        <v>1800</v>
      </c>
      <c r="BO26" t="n" s="8">
        <v>0</v>
      </c>
      <c r="BP26" s="8"/>
      <c r="BQ26" t="n" s="8">
        <v>0</v>
      </c>
      <c r="BR26" t="n" s="8">
        <v>0</v>
      </c>
      <c r="BS26" t="n" s="8">
        <v>0</v>
      </c>
      <c r="BT26" t="n" s="8">
        <v>0</v>
      </c>
      <c r="BU26" t="str" s="8">
        <v>岳骨阶的精英遭遇。依托本区既有水土、岩隙和可达条件活动。</v>
      </c>
      <c r="BV26" t="n">
        <v>1</v>
      </c>
      <c r="BW26" t="n">
        <v>8</v>
      </c>
      <c r="BX26" t="str">
        <v>玄品</v>
      </c>
      <c r="BY26" t="str">
        <v>native</v>
      </c>
      <c r="BZ26" t="b">
        <v>0</v>
      </c>
    </row>
    <row r="27" ht="16.5" customHeight="1" spans="2:75">
      <c r="A27"/>
      <c r="B27" t="n" s="8">
        <f>60000000+INDEX(编号表!$B:$B,MATCH(J27,编号表!$A:$A,0))*10000+INDEX(编号表!$B:$B,MATCH(K27,编号表!$C:$C,0))*1000+L27</f>
        <v>60054036</v>
      </c>
      <c r="C27" t="str" s="8">
        <v>a010</v>
      </c>
      <c r="D27" t="str" s="5">
        <v>汀岸灵狼·首领</v>
      </c>
      <c r="E27" t="str" s="5">
        <v>R01-M3-BOSS-36</v>
      </c>
      <c r="F27" t="n" s="8">
        <v>8</v>
      </c>
      <c r="G27" t="str" s="8">
        <f>INDEX(编号表!$E:$E,MATCH(K27,编号表!$C:$C,0))</f>
        <v>橙色</v>
      </c>
      <c r="H27" t="n" s="8">
        <v>1</v>
      </c>
      <c r="I27" t="str" s="8">
        <v>岳骨阶</v>
      </c>
      <c r="J27" t="str" s="8">
        <v>岳骨阶</v>
      </c>
      <c r="K27" t="str" s="8">
        <v>BOSS</v>
      </c>
      <c r="L27" t="n" s="8">
        <v>36</v>
      </c>
      <c r="M27" t="n" s="8">
        <v>36</v>
      </c>
      <c r="N27" t="n" s="8">
        <v>5</v>
      </c>
      <c r="O27" s="8"/>
      <c r="P27" t="n" s="8">
        <v>40</v>
      </c>
      <c r="Q27" t="n" s="8">
        <v>900000</v>
      </c>
      <c r="R27" t="str" s="8">
        <v>首击</v>
      </c>
      <c r="S27" t="n" s="8">
        <v>30000</v>
      </c>
      <c r="T27" t="n" s="8">
        <v>12</v>
      </c>
      <c r="U27" t="n" s="16">
        <v>40900102</v>
      </c>
      <c r="V27" t="n" s="8">
        <v>41130100</v>
      </c>
      <c r="W27" t="n" s="8">
        <v>41330104</v>
      </c>
      <c r="X27" t="n" s="8">
        <v>11000001</v>
      </c>
      <c r="Y27" s="8"/>
      <c r="Z27" s="8"/>
      <c r="AA27" t="str" s="8">
        <v>妖兽</v>
      </c>
      <c r="AB27" s="11">
        <v>20021</v>
      </c>
      <c r="AC27" t="n" s="8">
        <v>1.6</v>
      </c>
      <c r="AD27" t="n" s="8">
        <v>60</v>
      </c>
      <c r="AE27" t="n" s="8">
        <v>60</v>
      </c>
      <c r="AF27" t="n" s="8">
        <v>0</v>
      </c>
      <c r="AG27" t="n" s="8">
        <v>0</v>
      </c>
      <c r="AH27" t="str" s="8">
        <v>近战</v>
      </c>
      <c r="AI27" s="8"/>
      <c r="AJ27" s="17"/>
      <c r="AK27" s="8"/>
      <c r="AL27" s="18"/>
      <c r="AM27" t="str" s="8">
        <v>生命值</v>
      </c>
      <c r="AN27" t="n" s="19">
        <v>3783</v>
      </c>
      <c r="AO27" t="str" s="8">
        <v>灵力值</v>
      </c>
      <c r="AP27" t="n" s="8">
        <v>134</v>
      </c>
      <c r="AQ27" t="str" s="8">
        <v>攻击下限</v>
      </c>
      <c r="AR27" t="n" s="8">
        <v>67</v>
      </c>
      <c r="AS27" t="str" s="8">
        <v>攻击上限</v>
      </c>
      <c r="AT27" t="n" s="8">
        <v>67</v>
      </c>
      <c r="AU27" t="str" s="8">
        <v>法力下限</v>
      </c>
      <c r="AV27" t="n" s="8">
        <v>67</v>
      </c>
      <c r="AW27" t="str" s="8">
        <v>法力上限</v>
      </c>
      <c r="AX27" t="n" s="8">
        <v>67</v>
      </c>
      <c r="AY27" t="str" s="8">
        <v>物防下限</v>
      </c>
      <c r="AZ27" t="n" s="8">
        <v>11</v>
      </c>
      <c r="BA27" t="str" s="8">
        <v>物防上限</v>
      </c>
      <c r="BB27" t="n" s="8">
        <v>11</v>
      </c>
      <c r="BC27" t="str" s="8">
        <v>法防下限</v>
      </c>
      <c r="BD27" t="n" s="8">
        <v>11</v>
      </c>
      <c r="BE27" t="str" s="8">
        <v>法防上限</v>
      </c>
      <c r="BF27" t="n" s="8">
        <v>11</v>
      </c>
      <c r="BG27" t="str" s="8">
        <v>移动速度</v>
      </c>
      <c r="BH27" t="n" s="8">
        <v>240</v>
      </c>
      <c r="BI27" t="str" s="8">
        <v>攻击范围</v>
      </c>
      <c r="BJ27" t="n" s="8">
        <v>160</v>
      </c>
      <c r="BK27" t="str" s="8">
        <v>警戒范围</v>
      </c>
      <c r="BL27" t="n" s="8">
        <v>700</v>
      </c>
      <c r="BM27" t="str" s="8">
        <v>攻击间隔</v>
      </c>
      <c r="BN27" t="n" s="8">
        <v>2200</v>
      </c>
      <c r="BO27" t="n" s="8">
        <v>0</v>
      </c>
      <c r="BP27" s="8"/>
      <c r="BQ27" t="n" s="8">
        <v>0</v>
      </c>
      <c r="BR27" t="n" s="8">
        <v>0</v>
      </c>
      <c r="BS27" t="n" s="8">
        <v>0</v>
      </c>
      <c r="BT27" t="n" s="8">
        <v>0</v>
      </c>
      <c r="BU27" t="str" s="8">
        <v>岳骨阶的BOSS遭遇。依托本区既有水土、岩隙和可达条件活动。</v>
      </c>
      <c r="BV27" t="n">
        <v>1</v>
      </c>
      <c r="BW27" t="n">
        <v>8</v>
      </c>
      <c r="BX27" t="str">
        <v>仙品</v>
      </c>
      <c r="BY27" t="str">
        <v>native</v>
      </c>
      <c r="BZ27" t="b">
        <v>1</v>
      </c>
    </row>
    <row r="28" ht="16.5" customHeight="1" spans="2:75">
      <c r="A28"/>
      <c r="B28" t="n" s="8">
        <f>60000000+INDEX(编号表!$B:$B,MATCH(J28,编号表!$A:$A,0))*10000+INDEX(编号表!$B:$B,MATCH(K28,编号表!$C:$C,0))*1000+L28</f>
        <v>60061037</v>
      </c>
      <c r="C28" t="str" s="8">
        <v>a010</v>
      </c>
      <c r="D28" t="str" s="5">
        <v>浅汊水蛇</v>
      </c>
      <c r="E28" t="str" s="5">
        <v>R01-P1-普通-37</v>
      </c>
      <c r="F28" t="n" s="8">
        <v>3</v>
      </c>
      <c r="G28" t="str" s="8">
        <f>INDEX(编号表!$E:$E,MATCH(K28,编号表!$C:$C,0))</f>
        <v>白色</v>
      </c>
      <c r="H28" t="n" s="8">
        <v>1</v>
      </c>
      <c r="I28" t="str" s="8">
        <v>异霭浦</v>
      </c>
      <c r="J28" t="str" s="8">
        <v>异霭浦</v>
      </c>
      <c r="K28" t="str" s="8">
        <v>普通</v>
      </c>
      <c r="L28" t="n" s="8">
        <v>37</v>
      </c>
      <c r="M28" t="n" s="8">
        <v>37</v>
      </c>
      <c r="N28" t="n" s="8">
        <v>1</v>
      </c>
      <c r="O28" s="8"/>
      <c r="P28" t="n" s="8">
        <v>24</v>
      </c>
      <c r="Q28" t="n" s="8">
        <v>30000</v>
      </c>
      <c r="R28" t="str" s="8">
        <v>首击</v>
      </c>
      <c r="S28" t="n" s="8">
        <v>30000</v>
      </c>
      <c r="T28" t="n" s="8">
        <v>10</v>
      </c>
      <c r="U28" t="n" s="16">
        <v>40900100</v>
      </c>
      <c r="V28" t="n" s="8">
        <v>40910101</v>
      </c>
      <c r="W28" t="n" s="8">
        <v>40920100</v>
      </c>
      <c r="X28" t="n" s="8">
        <v>11000001</v>
      </c>
      <c r="Y28" s="8"/>
      <c r="Z28" s="8"/>
      <c r="AA28" t="str" s="8">
        <v>妖兽</v>
      </c>
      <c r="AB28" s="11">
        <v>20001</v>
      </c>
      <c r="AC28" t="n" s="8">
        <v>1</v>
      </c>
      <c r="AD28" t="n" s="8">
        <v>60</v>
      </c>
      <c r="AE28" t="n" s="8">
        <v>60</v>
      </c>
      <c r="AF28" t="n" s="8">
        <v>0</v>
      </c>
      <c r="AG28" t="n" s="8">
        <v>0</v>
      </c>
      <c r="AH28" t="str" s="8">
        <v>近战</v>
      </c>
      <c r="AI28" s="8"/>
      <c r="AJ28" s="17"/>
      <c r="AK28" s="8"/>
      <c r="AL28" s="18"/>
      <c r="AM28" t="str" s="8">
        <v>生命值</v>
      </c>
      <c r="AN28" t="n" s="19">
        <v>294</v>
      </c>
      <c r="AO28" t="str" s="8">
        <v>灵力值</v>
      </c>
      <c r="AP28" t="n" s="8">
        <v>50</v>
      </c>
      <c r="AQ28" t="str" s="8">
        <v>攻击下限</v>
      </c>
      <c r="AR28" t="n" s="8">
        <v>25</v>
      </c>
      <c r="AS28" t="str" s="8">
        <v>攻击上限</v>
      </c>
      <c r="AT28" t="n" s="8">
        <v>25</v>
      </c>
      <c r="AU28" t="str" s="8">
        <v>法力下限</v>
      </c>
      <c r="AV28" t="n" s="8">
        <v>25</v>
      </c>
      <c r="AW28" t="str" s="8">
        <v>法力上限</v>
      </c>
      <c r="AX28" t="n" s="8">
        <v>25</v>
      </c>
      <c r="AY28" t="str" s="8">
        <v>物防下限</v>
      </c>
      <c r="AZ28" t="n" s="8">
        <v>6</v>
      </c>
      <c r="BA28" t="str" s="8">
        <v>物防上限</v>
      </c>
      <c r="BB28" t="n" s="8">
        <v>6</v>
      </c>
      <c r="BC28" t="str" s="8">
        <v>法防下限</v>
      </c>
      <c r="BD28" t="n" s="8">
        <v>6</v>
      </c>
      <c r="BE28" t="str" s="8">
        <v>法防上限</v>
      </c>
      <c r="BF28" t="n" s="8">
        <v>6</v>
      </c>
      <c r="BG28" t="str" s="8">
        <v>移动速度</v>
      </c>
      <c r="BH28" t="n" s="8">
        <v>240</v>
      </c>
      <c r="BI28" t="str" s="8">
        <v>攻击范围</v>
      </c>
      <c r="BJ28" t="n" s="8">
        <v>160</v>
      </c>
      <c r="BK28" t="str" s="8">
        <v>警戒范围</v>
      </c>
      <c r="BL28" t="n" s="8">
        <v>550</v>
      </c>
      <c r="BM28" t="str" s="8">
        <v>攻击间隔</v>
      </c>
      <c r="BN28" t="n" s="8">
        <v>1800</v>
      </c>
      <c r="BO28" t="n" s="8">
        <v>0</v>
      </c>
      <c r="BP28" s="8"/>
      <c r="BQ28" t="n" s="8">
        <v>0</v>
      </c>
      <c r="BR28" t="n" s="8">
        <v>0</v>
      </c>
      <c r="BS28" t="n" s="8">
        <v>0</v>
      </c>
      <c r="BT28" t="n" s="8">
        <v>0</v>
      </c>
      <c r="BU28" t="str" s="8">
        <v>异霭浦的普通遭遇。依托本区既有水土、岩隙和可达条件活动。</v>
      </c>
      <c r="BV28" t="n">
        <v>1</v>
      </c>
      <c r="BW28" t="n">
        <v>3</v>
      </c>
      <c r="BX28" t="str">
        <v>凡品</v>
      </c>
      <c r="BY28" t="str">
        <v>native</v>
      </c>
      <c r="BZ28" t="b">
        <v>0</v>
      </c>
    </row>
    <row r="29" ht="16.5" customHeight="1" spans="2:75">
      <c r="A29"/>
      <c r="B29" t="n" s="8">
        <f>60000000+INDEX(编号表!$B:$B,MATCH(J29,编号表!$A:$A,0))*10000+INDEX(编号表!$B:$B,MATCH(K29,编号表!$C:$C,0))*1000+L29</f>
        <v>60061038</v>
      </c>
      <c r="C29" t="str" s="8">
        <v>a010</v>
      </c>
      <c r="D29" t="str" s="5">
        <v>苇泽灵蛙</v>
      </c>
      <c r="E29" t="str" s="5">
        <v>R01-P1-普通-38</v>
      </c>
      <c r="F29" t="n" s="8">
        <v>3</v>
      </c>
      <c r="G29" t="str" s="8">
        <f>INDEX(编号表!$E:$E,MATCH(K29,编号表!$C:$C,0))</f>
        <v>白色</v>
      </c>
      <c r="H29" t="n" s="8">
        <v>1</v>
      </c>
      <c r="I29" t="str" s="8">
        <v>异霭浦</v>
      </c>
      <c r="J29" t="str" s="8">
        <v>异霭浦</v>
      </c>
      <c r="K29" t="str" s="8">
        <v>普通</v>
      </c>
      <c r="L29" t="n" s="8">
        <v>38</v>
      </c>
      <c r="M29" t="n" s="8">
        <v>38</v>
      </c>
      <c r="N29" t="n" s="8">
        <v>1</v>
      </c>
      <c r="O29" s="8"/>
      <c r="P29" t="n" s="8">
        <v>24</v>
      </c>
      <c r="Q29" t="n" s="8">
        <v>30000</v>
      </c>
      <c r="R29" t="str" s="8">
        <v>首击</v>
      </c>
      <c r="S29" t="n" s="8">
        <v>30000</v>
      </c>
      <c r="T29" t="n" s="8">
        <v>10</v>
      </c>
      <c r="U29" t="n" s="16">
        <v>40900100</v>
      </c>
      <c r="V29" t="n" s="8">
        <v>40910102</v>
      </c>
      <c r="W29" t="n" s="8">
        <v>40920100</v>
      </c>
      <c r="X29" t="n" s="8">
        <v>11000001</v>
      </c>
      <c r="Y29" s="8"/>
      <c r="Z29" s="8"/>
      <c r="AA29" t="str" s="8">
        <v>妖兽</v>
      </c>
      <c r="AB29" s="11">
        <v>20002</v>
      </c>
      <c r="AC29" t="n" s="8">
        <v>1</v>
      </c>
      <c r="AD29" t="n" s="8">
        <v>60</v>
      </c>
      <c r="AE29" t="n" s="8">
        <v>60</v>
      </c>
      <c r="AF29" t="n" s="8">
        <v>0</v>
      </c>
      <c r="AG29" t="n" s="8">
        <v>0</v>
      </c>
      <c r="AH29" t="str" s="8">
        <v>近战</v>
      </c>
      <c r="AI29" s="8"/>
      <c r="AJ29" s="17"/>
      <c r="AK29" s="8"/>
      <c r="AL29" s="18"/>
      <c r="AM29" t="str" s="8">
        <v>生命值</v>
      </c>
      <c r="AN29" t="n" s="19">
        <v>294</v>
      </c>
      <c r="AO29" t="str" s="8">
        <v>灵力值</v>
      </c>
      <c r="AP29" t="n" s="8">
        <v>50</v>
      </c>
      <c r="AQ29" t="str" s="8">
        <v>攻击下限</v>
      </c>
      <c r="AR29" t="n" s="8">
        <v>25</v>
      </c>
      <c r="AS29" t="str" s="8">
        <v>攻击上限</v>
      </c>
      <c r="AT29" t="n" s="8">
        <v>25</v>
      </c>
      <c r="AU29" t="str" s="8">
        <v>法力下限</v>
      </c>
      <c r="AV29" t="n" s="8">
        <v>25</v>
      </c>
      <c r="AW29" t="str" s="8">
        <v>法力上限</v>
      </c>
      <c r="AX29" t="n" s="8">
        <v>25</v>
      </c>
      <c r="AY29" t="str" s="8">
        <v>物防下限</v>
      </c>
      <c r="AZ29" t="n" s="8">
        <v>6</v>
      </c>
      <c r="BA29" t="str" s="8">
        <v>物防上限</v>
      </c>
      <c r="BB29" t="n" s="8">
        <v>6</v>
      </c>
      <c r="BC29" t="str" s="8">
        <v>法防下限</v>
      </c>
      <c r="BD29" t="n" s="8">
        <v>6</v>
      </c>
      <c r="BE29" t="str" s="8">
        <v>法防上限</v>
      </c>
      <c r="BF29" t="n" s="8">
        <v>6</v>
      </c>
      <c r="BG29" t="str" s="8">
        <v>移动速度</v>
      </c>
      <c r="BH29" t="n" s="8">
        <v>240</v>
      </c>
      <c r="BI29" t="str" s="8">
        <v>攻击范围</v>
      </c>
      <c r="BJ29" t="n" s="8">
        <v>160</v>
      </c>
      <c r="BK29" t="str" s="8">
        <v>警戒范围</v>
      </c>
      <c r="BL29" t="n" s="8">
        <v>550</v>
      </c>
      <c r="BM29" t="str" s="8">
        <v>攻击间隔</v>
      </c>
      <c r="BN29" t="n" s="8">
        <v>1800</v>
      </c>
      <c r="BO29" t="n" s="8">
        <v>0</v>
      </c>
      <c r="BP29" s="8"/>
      <c r="BQ29" t="n" s="8">
        <v>0</v>
      </c>
      <c r="BR29" t="n" s="8">
        <v>0</v>
      </c>
      <c r="BS29" t="n" s="8">
        <v>0</v>
      </c>
      <c r="BT29" t="n" s="8">
        <v>0</v>
      </c>
      <c r="BU29" t="str" s="8">
        <v>异霭浦的普通遭遇。依托本区既有水土、岩隙和可达条件活动。</v>
      </c>
      <c r="BV29" t="n">
        <v>1</v>
      </c>
      <c r="BW29" t="n">
        <v>3</v>
      </c>
      <c r="BX29" t="str">
        <v>凡品</v>
      </c>
      <c r="BY29" t="str">
        <v>native</v>
      </c>
      <c r="BZ29" t="b">
        <v>0</v>
      </c>
    </row>
    <row r="30" ht="16.5" customHeight="1" spans="2:75">
      <c r="A30"/>
      <c r="B30" t="n" s="8">
        <f>60000000+INDEX(编号表!$B:$B,MATCH(J30,编号表!$A:$A,0))*10000+INDEX(编号表!$B:$B,MATCH(K30,编号表!$C:$C,0))*1000+L30</f>
        <v>60061039</v>
      </c>
      <c r="C30" t="str" s="8">
        <v>a010</v>
      </c>
      <c r="D30" t="str" s="5">
        <v>岩隙灵蝠</v>
      </c>
      <c r="E30" t="str" s="5">
        <v>R01-P1-普通-39</v>
      </c>
      <c r="F30" t="n" s="8">
        <v>3</v>
      </c>
      <c r="G30" t="str" s="8">
        <f>INDEX(编号表!$E:$E,MATCH(K30,编号表!$C:$C,0))</f>
        <v>白色</v>
      </c>
      <c r="H30" t="n" s="8">
        <v>1</v>
      </c>
      <c r="I30" t="str" s="8">
        <v>异霭浦</v>
      </c>
      <c r="J30" t="str" s="8">
        <v>异霭浦</v>
      </c>
      <c r="K30" t="str" s="8">
        <v>普通</v>
      </c>
      <c r="L30" t="n" s="8">
        <v>39</v>
      </c>
      <c r="M30" t="n" s="8">
        <v>39</v>
      </c>
      <c r="N30" t="n" s="8">
        <v>1</v>
      </c>
      <c r="O30" s="8"/>
      <c r="P30" t="n" s="8">
        <v>24</v>
      </c>
      <c r="Q30" t="n" s="8">
        <v>30000</v>
      </c>
      <c r="R30" t="str" s="8">
        <v>首击</v>
      </c>
      <c r="S30" t="n" s="8">
        <v>30000</v>
      </c>
      <c r="T30" t="n" s="8">
        <v>10</v>
      </c>
      <c r="U30" t="n" s="16">
        <v>40900100</v>
      </c>
      <c r="V30" t="n" s="8">
        <v>40910103</v>
      </c>
      <c r="W30" t="n" s="8">
        <v>40920100</v>
      </c>
      <c r="X30" t="n" s="8">
        <v>11000001</v>
      </c>
      <c r="Y30" s="8"/>
      <c r="Z30" s="8"/>
      <c r="AA30" t="str" s="8">
        <v>妖兽</v>
      </c>
      <c r="AB30" s="11">
        <v>20003</v>
      </c>
      <c r="AC30" t="n" s="8">
        <v>1</v>
      </c>
      <c r="AD30" t="n" s="8">
        <v>60</v>
      </c>
      <c r="AE30" t="n" s="8">
        <v>60</v>
      </c>
      <c r="AF30" t="n" s="8">
        <v>0</v>
      </c>
      <c r="AG30" t="n" s="8">
        <v>0</v>
      </c>
      <c r="AH30" t="str" s="8">
        <v>近战</v>
      </c>
      <c r="AI30" s="8"/>
      <c r="AJ30" s="17"/>
      <c r="AK30" s="8"/>
      <c r="AL30" s="18"/>
      <c r="AM30" t="str" s="8">
        <v>生命值</v>
      </c>
      <c r="AN30" t="n" s="19">
        <v>294</v>
      </c>
      <c r="AO30" t="str" s="8">
        <v>灵力值</v>
      </c>
      <c r="AP30" t="n" s="8">
        <v>50</v>
      </c>
      <c r="AQ30" t="str" s="8">
        <v>攻击下限</v>
      </c>
      <c r="AR30" t="n" s="8">
        <v>25</v>
      </c>
      <c r="AS30" t="str" s="8">
        <v>攻击上限</v>
      </c>
      <c r="AT30" t="n" s="8">
        <v>25</v>
      </c>
      <c r="AU30" t="str" s="8">
        <v>法力下限</v>
      </c>
      <c r="AV30" t="n" s="8">
        <v>25</v>
      </c>
      <c r="AW30" t="str" s="8">
        <v>法力上限</v>
      </c>
      <c r="AX30" t="n" s="8">
        <v>25</v>
      </c>
      <c r="AY30" t="str" s="8">
        <v>物防下限</v>
      </c>
      <c r="AZ30" t="n" s="8">
        <v>6</v>
      </c>
      <c r="BA30" t="str" s="8">
        <v>物防上限</v>
      </c>
      <c r="BB30" t="n" s="8">
        <v>6</v>
      </c>
      <c r="BC30" t="str" s="8">
        <v>法防下限</v>
      </c>
      <c r="BD30" t="n" s="8">
        <v>6</v>
      </c>
      <c r="BE30" t="str" s="8">
        <v>法防上限</v>
      </c>
      <c r="BF30" t="n" s="8">
        <v>6</v>
      </c>
      <c r="BG30" t="str" s="8">
        <v>移动速度</v>
      </c>
      <c r="BH30" t="n" s="8">
        <v>240</v>
      </c>
      <c r="BI30" t="str" s="8">
        <v>攻击范围</v>
      </c>
      <c r="BJ30" t="n" s="8">
        <v>160</v>
      </c>
      <c r="BK30" t="str" s="8">
        <v>警戒范围</v>
      </c>
      <c r="BL30" t="n" s="8">
        <v>550</v>
      </c>
      <c r="BM30" t="str" s="8">
        <v>攻击间隔</v>
      </c>
      <c r="BN30" t="n" s="8">
        <v>1800</v>
      </c>
      <c r="BO30" t="n" s="8">
        <v>0</v>
      </c>
      <c r="BP30" s="8"/>
      <c r="BQ30" t="n" s="8">
        <v>0</v>
      </c>
      <c r="BR30" t="n" s="8">
        <v>0</v>
      </c>
      <c r="BS30" t="n" s="8">
        <v>0</v>
      </c>
      <c r="BT30" t="n" s="8">
        <v>0</v>
      </c>
      <c r="BU30" t="str" s="8">
        <v>异霭浦的普通遭遇。依托本区既有水土、岩隙和可达条件活动。</v>
      </c>
      <c r="BV30" t="n">
        <v>1</v>
      </c>
      <c r="BW30" t="n">
        <v>3</v>
      </c>
      <c r="BX30" t="str">
        <v>凡品</v>
      </c>
      <c r="BY30" t="str">
        <v>native</v>
      </c>
      <c r="BZ30" t="b">
        <v>0</v>
      </c>
    </row>
    <row r="31" ht="16.5" customHeight="1" spans="2:75">
      <c r="A31"/>
      <c r="B31" t="n" s="8">
        <f>60000000+INDEX(编号表!$B:$B,MATCH(J31,编号表!$A:$A,0))*10000+INDEX(编号表!$B:$B,MATCH(K31,编号表!$C:$C,0))*1000+L31</f>
        <v>60071040</v>
      </c>
      <c r="C31" t="str" s="8">
        <v>a010</v>
      </c>
      <c r="D31" t="str" s="5">
        <v>汀岸灵狼</v>
      </c>
      <c r="E31" t="str" s="5">
        <v>R01-P2-普通-40</v>
      </c>
      <c r="F31" t="n" s="8">
        <v>6</v>
      </c>
      <c r="G31" t="str" s="8">
        <f>INDEX(编号表!$E:$E,MATCH(K31,编号表!$C:$C,0))</f>
        <v>白色</v>
      </c>
      <c r="H31" t="n" s="8">
        <v>1</v>
      </c>
      <c r="I31" t="str" s="8">
        <v>砾台</v>
      </c>
      <c r="J31" t="str" s="8">
        <v>砾台</v>
      </c>
      <c r="K31" t="str" s="8">
        <v>普通</v>
      </c>
      <c r="L31" t="n" s="8">
        <v>40</v>
      </c>
      <c r="M31" t="n" s="8">
        <v>40</v>
      </c>
      <c r="N31" t="n" s="8">
        <v>1</v>
      </c>
      <c r="O31" s="8"/>
      <c r="P31" t="n" s="8">
        <v>24</v>
      </c>
      <c r="Q31" t="n" s="8">
        <v>30000</v>
      </c>
      <c r="R31" t="str" s="8">
        <v>首击</v>
      </c>
      <c r="S31" t="n" s="8">
        <v>30000</v>
      </c>
      <c r="T31" t="n" s="8">
        <v>10</v>
      </c>
      <c r="U31" t="n" s="16">
        <v>40900100</v>
      </c>
      <c r="V31" t="n" s="8">
        <v>40910104</v>
      </c>
      <c r="W31" t="n" s="8">
        <v>40920100</v>
      </c>
      <c r="X31" t="n" s="8">
        <v>11000001</v>
      </c>
      <c r="Y31" s="8"/>
      <c r="Z31" s="8"/>
      <c r="AA31" t="str" s="8">
        <v>妖兽</v>
      </c>
      <c r="AB31" s="11">
        <v>20005</v>
      </c>
      <c r="AC31" t="n" s="8">
        <v>1</v>
      </c>
      <c r="AD31" t="n" s="8">
        <v>60</v>
      </c>
      <c r="AE31" t="n" s="8">
        <v>60</v>
      </c>
      <c r="AF31" t="n" s="8">
        <v>0</v>
      </c>
      <c r="AG31" t="n" s="8">
        <v>0</v>
      </c>
      <c r="AH31" t="str" s="8">
        <v>近战</v>
      </c>
      <c r="AI31" s="8"/>
      <c r="AJ31" s="17"/>
      <c r="AK31" s="8"/>
      <c r="AL31" s="18"/>
      <c r="AM31" t="str" s="8">
        <v>生命值</v>
      </c>
      <c r="AN31" t="n" s="19">
        <v>344</v>
      </c>
      <c r="AO31" t="str" s="8">
        <v>灵力值</v>
      </c>
      <c r="AP31" t="n" s="8">
        <v>58</v>
      </c>
      <c r="AQ31" t="str" s="8">
        <v>攻击下限</v>
      </c>
      <c r="AR31" t="n" s="8">
        <v>29</v>
      </c>
      <c r="AS31" t="str" s="8">
        <v>攻击上限</v>
      </c>
      <c r="AT31" t="n" s="8">
        <v>29</v>
      </c>
      <c r="AU31" t="str" s="8">
        <v>法力下限</v>
      </c>
      <c r="AV31" t="n" s="8">
        <v>29</v>
      </c>
      <c r="AW31" t="str" s="8">
        <v>法力上限</v>
      </c>
      <c r="AX31" t="n" s="8">
        <v>29</v>
      </c>
      <c r="AY31" t="str" s="8">
        <v>物防下限</v>
      </c>
      <c r="AZ31" t="n" s="8">
        <v>7</v>
      </c>
      <c r="BA31" t="str" s="8">
        <v>物防上限</v>
      </c>
      <c r="BB31" t="n" s="8">
        <v>7</v>
      </c>
      <c r="BC31" t="str" s="8">
        <v>法防下限</v>
      </c>
      <c r="BD31" t="n" s="8">
        <v>7</v>
      </c>
      <c r="BE31" t="str" s="8">
        <v>法防上限</v>
      </c>
      <c r="BF31" t="n" s="8">
        <v>7</v>
      </c>
      <c r="BG31" t="str" s="8">
        <v>移动速度</v>
      </c>
      <c r="BH31" t="n" s="8">
        <v>240</v>
      </c>
      <c r="BI31" t="str" s="8">
        <v>攻击范围</v>
      </c>
      <c r="BJ31" t="n" s="8">
        <v>160</v>
      </c>
      <c r="BK31" t="str" s="8">
        <v>警戒范围</v>
      </c>
      <c r="BL31" t="n" s="8">
        <v>550</v>
      </c>
      <c r="BM31" t="str" s="8">
        <v>攻击间隔</v>
      </c>
      <c r="BN31" t="n" s="8">
        <v>1800</v>
      </c>
      <c r="BO31" t="n" s="8">
        <v>0</v>
      </c>
      <c r="BP31" s="8"/>
      <c r="BQ31" t="n" s="8">
        <v>0</v>
      </c>
      <c r="BR31" t="n" s="8">
        <v>0</v>
      </c>
      <c r="BS31" t="n" s="8">
        <v>0</v>
      </c>
      <c r="BT31" t="n" s="8">
        <v>0</v>
      </c>
      <c r="BU31" t="str" s="8">
        <v>砾台的普通遭遇。依托本区既有水土、岩隙和可达条件活动。</v>
      </c>
      <c r="BV31" t="n">
        <v>1</v>
      </c>
      <c r="BW31" t="n">
        <v>6</v>
      </c>
      <c r="BX31" t="str">
        <v>凡品</v>
      </c>
      <c r="BY31" t="str">
        <v>native</v>
      </c>
      <c r="BZ31" t="b">
        <v>0</v>
      </c>
    </row>
    <row r="32" ht="16.5" customHeight="1" spans="2:75">
      <c r="A32"/>
      <c r="B32" t="n" s="8">
        <f>60000000+INDEX(编号表!$B:$B,MATCH(J32,编号表!$A:$A,0))*10000+INDEX(编号表!$B:$B,MATCH(K32,编号表!$C:$C,0))*1000+L32</f>
        <v>60071041</v>
      </c>
      <c r="C32" t="str" s="8">
        <v>a010</v>
      </c>
      <c r="D32" t="str" s="5">
        <v>浅汊水蛇</v>
      </c>
      <c r="E32" t="str" s="5">
        <v>R01-P2-普通-41</v>
      </c>
      <c r="F32" t="n" s="8">
        <v>6</v>
      </c>
      <c r="G32" t="str" s="8">
        <f>INDEX(编号表!$E:$E,MATCH(K32,编号表!$C:$C,0))</f>
        <v>白色</v>
      </c>
      <c r="H32" t="n" s="8">
        <v>1</v>
      </c>
      <c r="I32" t="str" s="8">
        <v>砾台</v>
      </c>
      <c r="J32" t="str" s="8">
        <v>砾台</v>
      </c>
      <c r="K32" t="str" s="8">
        <v>普通</v>
      </c>
      <c r="L32" t="n" s="8">
        <v>41</v>
      </c>
      <c r="M32" t="n" s="8">
        <v>41</v>
      </c>
      <c r="N32" t="n" s="8">
        <v>1</v>
      </c>
      <c r="O32" s="8"/>
      <c r="P32" t="n" s="8">
        <v>24</v>
      </c>
      <c r="Q32" t="n" s="8">
        <v>30000</v>
      </c>
      <c r="R32" t="str" s="8">
        <v>首击</v>
      </c>
      <c r="S32" t="n" s="8">
        <v>30000</v>
      </c>
      <c r="T32" t="n" s="8">
        <v>10</v>
      </c>
      <c r="U32" t="n" s="16">
        <v>40900100</v>
      </c>
      <c r="V32" t="n" s="8">
        <v>40910105</v>
      </c>
      <c r="W32" t="n" s="8">
        <v>40920100</v>
      </c>
      <c r="X32" t="n" s="8">
        <v>11000001</v>
      </c>
      <c r="Y32" s="8"/>
      <c r="Z32" s="8"/>
      <c r="AA32" t="str" s="8">
        <v>妖兽</v>
      </c>
      <c r="AB32" t="n" s="11">
        <v>20008</v>
      </c>
      <c r="AC32" t="n" s="8">
        <v>1</v>
      </c>
      <c r="AD32" t="n" s="8">
        <v>60</v>
      </c>
      <c r="AE32" t="n" s="8">
        <v>60</v>
      </c>
      <c r="AF32" t="n" s="8">
        <v>0</v>
      </c>
      <c r="AG32" t="n" s="8">
        <v>0</v>
      </c>
      <c r="AH32" t="str" s="8">
        <v>近战</v>
      </c>
      <c r="AI32" s="8"/>
      <c r="AJ32" s="17"/>
      <c r="AK32" s="8"/>
      <c r="AL32" s="18"/>
      <c r="AM32" t="str" s="8">
        <v>生命值</v>
      </c>
      <c r="AN32" t="n" s="19">
        <v>344</v>
      </c>
      <c r="AO32" t="str" s="8">
        <v>灵力值</v>
      </c>
      <c r="AP32" t="n" s="8">
        <v>58</v>
      </c>
      <c r="AQ32" t="str" s="8">
        <v>攻击下限</v>
      </c>
      <c r="AR32" t="n" s="8">
        <v>29</v>
      </c>
      <c r="AS32" t="str" s="8">
        <v>攻击上限</v>
      </c>
      <c r="AT32" t="n" s="8">
        <v>29</v>
      </c>
      <c r="AU32" t="str" s="8">
        <v>法力下限</v>
      </c>
      <c r="AV32" t="n" s="8">
        <v>29</v>
      </c>
      <c r="AW32" t="str" s="8">
        <v>法力上限</v>
      </c>
      <c r="AX32" t="n" s="8">
        <v>29</v>
      </c>
      <c r="AY32" t="str" s="8">
        <v>物防下限</v>
      </c>
      <c r="AZ32" t="n" s="8">
        <v>7</v>
      </c>
      <c r="BA32" t="str" s="8">
        <v>物防上限</v>
      </c>
      <c r="BB32" t="n" s="8">
        <v>7</v>
      </c>
      <c r="BC32" t="str" s="8">
        <v>法防下限</v>
      </c>
      <c r="BD32" t="n" s="8">
        <v>7</v>
      </c>
      <c r="BE32" t="str" s="8">
        <v>法防上限</v>
      </c>
      <c r="BF32" t="n" s="8">
        <v>7</v>
      </c>
      <c r="BG32" t="str" s="8">
        <v>移动速度</v>
      </c>
      <c r="BH32" t="n" s="8">
        <v>240</v>
      </c>
      <c r="BI32" t="str" s="8">
        <v>攻击范围</v>
      </c>
      <c r="BJ32" t="n" s="8">
        <v>160</v>
      </c>
      <c r="BK32" t="str" s="8">
        <v>警戒范围</v>
      </c>
      <c r="BL32" t="n" s="8">
        <v>550</v>
      </c>
      <c r="BM32" t="str" s="8">
        <v>攻击间隔</v>
      </c>
      <c r="BN32" t="n" s="8">
        <v>1800</v>
      </c>
      <c r="BO32" t="n" s="8">
        <v>0</v>
      </c>
      <c r="BP32" s="8"/>
      <c r="BQ32" t="n" s="8">
        <v>0</v>
      </c>
      <c r="BR32" t="n" s="8">
        <v>0</v>
      </c>
      <c r="BS32" t="n" s="8">
        <v>0</v>
      </c>
      <c r="BT32" t="n" s="8">
        <v>0</v>
      </c>
      <c r="BU32" t="str" s="8">
        <v>砾台的普通遭遇。依托本区既有水土、岩隙和可达条件活动。</v>
      </c>
      <c r="BV32" t="n">
        <v>1</v>
      </c>
      <c r="BW32" t="n">
        <v>6</v>
      </c>
      <c r="BX32" t="str">
        <v>凡品</v>
      </c>
      <c r="BY32" t="str">
        <v>native</v>
      </c>
      <c r="BZ32" t="b">
        <v>0</v>
      </c>
    </row>
    <row r="33" ht="16.5" customHeight="1" spans="2:75">
      <c r="A33"/>
      <c r="B33" t="n" s="8">
        <f>60000000+INDEX(编号表!$B:$B,MATCH(J33,编号表!$A:$A,0))*10000+INDEX(编号表!$B:$B,MATCH(K33,编号表!$C:$C,0))*1000+L33</f>
        <v>60071042</v>
      </c>
      <c r="C33" t="str" s="8">
        <v>a010</v>
      </c>
      <c r="D33" t="str" s="5">
        <v>苇泽灵蛙</v>
      </c>
      <c r="E33" t="str" s="5">
        <v>R01-P2-普通-42</v>
      </c>
      <c r="F33" t="n" s="8">
        <v>6</v>
      </c>
      <c r="G33" t="str" s="8">
        <f>INDEX(编号表!$E:$E,MATCH(K33,编号表!$C:$C,0))</f>
        <v>白色</v>
      </c>
      <c r="H33" t="n" s="8">
        <v>1</v>
      </c>
      <c r="I33" t="str" s="8">
        <v>砾台</v>
      </c>
      <c r="J33" t="str" s="8">
        <v>砾台</v>
      </c>
      <c r="K33" t="str" s="8">
        <v>普通</v>
      </c>
      <c r="L33" t="n" s="8">
        <v>42</v>
      </c>
      <c r="M33" t="n" s="8">
        <v>42</v>
      </c>
      <c r="N33" t="n" s="8">
        <v>1</v>
      </c>
      <c r="O33" s="8"/>
      <c r="P33" t="n" s="8">
        <v>24</v>
      </c>
      <c r="Q33" t="n" s="8">
        <v>30000</v>
      </c>
      <c r="R33" t="str" s="8">
        <v>首击</v>
      </c>
      <c r="S33" t="n" s="8">
        <v>30000</v>
      </c>
      <c r="T33" t="n" s="8">
        <v>10</v>
      </c>
      <c r="U33" t="n" s="16">
        <v>40900100</v>
      </c>
      <c r="V33" t="n" s="8">
        <v>40910106</v>
      </c>
      <c r="W33" t="n" s="8">
        <v>40920100</v>
      </c>
      <c r="X33" t="n" s="8">
        <v>11000001</v>
      </c>
      <c r="Y33" s="8"/>
      <c r="Z33" s="8"/>
      <c r="AA33" t="str" s="8">
        <v>妖兽</v>
      </c>
      <c r="AB33" s="11">
        <v>20009</v>
      </c>
      <c r="AC33" t="n" s="8">
        <v>1</v>
      </c>
      <c r="AD33" t="n" s="8">
        <v>60</v>
      </c>
      <c r="AE33" t="n" s="8">
        <v>60</v>
      </c>
      <c r="AF33" t="n" s="8">
        <v>0</v>
      </c>
      <c r="AG33" t="n" s="8">
        <v>0</v>
      </c>
      <c r="AH33" t="str" s="8">
        <v>近战</v>
      </c>
      <c r="AI33" s="8"/>
      <c r="AJ33" s="17"/>
      <c r="AK33" s="8"/>
      <c r="AL33" s="18"/>
      <c r="AM33" t="str" s="8">
        <v>生命值</v>
      </c>
      <c r="AN33" t="n" s="19">
        <v>344</v>
      </c>
      <c r="AO33" t="str" s="8">
        <v>灵力值</v>
      </c>
      <c r="AP33" t="n" s="8">
        <v>58</v>
      </c>
      <c r="AQ33" t="str" s="8">
        <v>攻击下限</v>
      </c>
      <c r="AR33" t="n" s="8">
        <v>29</v>
      </c>
      <c r="AS33" t="str" s="8">
        <v>攻击上限</v>
      </c>
      <c r="AT33" t="n" s="8">
        <v>29</v>
      </c>
      <c r="AU33" t="str" s="8">
        <v>法力下限</v>
      </c>
      <c r="AV33" t="n" s="8">
        <v>29</v>
      </c>
      <c r="AW33" t="str" s="8">
        <v>法力上限</v>
      </c>
      <c r="AX33" t="n" s="8">
        <v>29</v>
      </c>
      <c r="AY33" t="str" s="8">
        <v>物防下限</v>
      </c>
      <c r="AZ33" t="n" s="8">
        <v>7</v>
      </c>
      <c r="BA33" t="str" s="8">
        <v>物防上限</v>
      </c>
      <c r="BB33" t="n" s="8">
        <v>7</v>
      </c>
      <c r="BC33" t="str" s="8">
        <v>法防下限</v>
      </c>
      <c r="BD33" t="n" s="8">
        <v>7</v>
      </c>
      <c r="BE33" t="str" s="8">
        <v>法防上限</v>
      </c>
      <c r="BF33" t="n" s="8">
        <v>7</v>
      </c>
      <c r="BG33" t="str" s="8">
        <v>移动速度</v>
      </c>
      <c r="BH33" t="n" s="8">
        <v>240</v>
      </c>
      <c r="BI33" t="str" s="8">
        <v>攻击范围</v>
      </c>
      <c r="BJ33" t="n" s="8">
        <v>160</v>
      </c>
      <c r="BK33" t="str" s="8">
        <v>警戒范围</v>
      </c>
      <c r="BL33" t="n" s="8">
        <v>550</v>
      </c>
      <c r="BM33" t="str" s="8">
        <v>攻击间隔</v>
      </c>
      <c r="BN33" t="n" s="8">
        <v>1800</v>
      </c>
      <c r="BO33" t="n" s="8">
        <v>0</v>
      </c>
      <c r="BP33" s="8"/>
      <c r="BQ33" t="n" s="8">
        <v>0</v>
      </c>
      <c r="BR33" t="n" s="8">
        <v>0</v>
      </c>
      <c r="BS33" t="n" s="8">
        <v>0</v>
      </c>
      <c r="BT33" t="n" s="8">
        <v>0</v>
      </c>
      <c r="BU33" t="str" s="8">
        <v>砾台的普通遭遇。依托本区既有水土、岩隙和可达条件活动。</v>
      </c>
      <c r="BV33" t="n">
        <v>1</v>
      </c>
      <c r="BW33" t="n">
        <v>6</v>
      </c>
      <c r="BX33" t="str">
        <v>凡品</v>
      </c>
      <c r="BY33" t="str">
        <v>native</v>
      </c>
      <c r="BZ33" t="b">
        <v>0</v>
      </c>
    </row>
    <row r="34" ht="16.5" customHeight="1" spans="2:75">
      <c r="A34"/>
      <c r="B34" t="n" s="8">
        <f>60000000+INDEX(编号表!$B:$B,MATCH(J34,编号表!$A:$A,0))*10000+INDEX(编号表!$B:$B,MATCH(K34,编号表!$C:$C,0))*1000+L34</f>
        <v>60081043</v>
      </c>
      <c r="C34" t="str" s="8">
        <v>a010</v>
      </c>
      <c r="D34" t="str" s="5">
        <v>岩隙灵蝠</v>
      </c>
      <c r="E34" t="str" s="5">
        <v>R01-S1-普通-43</v>
      </c>
      <c r="F34" t="n" s="8">
        <v>9</v>
      </c>
      <c r="G34" t="str" s="8">
        <f>INDEX(编号表!$E:$E,MATCH(K34,编号表!$C:$C,0))</f>
        <v>白色</v>
      </c>
      <c r="H34" t="n" s="8">
        <v>1</v>
      </c>
      <c r="I34" t="str" s="8">
        <v>垂练岩</v>
      </c>
      <c r="J34" t="str" s="8">
        <v>垂练岩·覆而偶开</v>
      </c>
      <c r="K34" t="str" s="8">
        <v>普通</v>
      </c>
      <c r="L34" t="n" s="8">
        <v>43</v>
      </c>
      <c r="M34" t="n" s="8">
        <v>43</v>
      </c>
      <c r="N34" t="n" s="8">
        <v>1</v>
      </c>
      <c r="O34" s="8"/>
      <c r="P34" t="n" s="8">
        <v>24</v>
      </c>
      <c r="Q34" t="n" s="8">
        <v>30000</v>
      </c>
      <c r="R34" t="str" s="8">
        <v>首击</v>
      </c>
      <c r="S34" t="n" s="8">
        <v>30000</v>
      </c>
      <c r="T34" t="n" s="8">
        <v>10</v>
      </c>
      <c r="U34" t="n" s="16">
        <v>40900100</v>
      </c>
      <c r="V34" t="n" s="8">
        <v>40910107</v>
      </c>
      <c r="W34" t="n" s="8">
        <v>40920100</v>
      </c>
      <c r="X34" t="n" s="8">
        <v>11000001</v>
      </c>
      <c r="Y34" s="8"/>
      <c r="Z34" s="8"/>
      <c r="AA34" t="str" s="8">
        <v>妖兽</v>
      </c>
      <c r="AB34" s="11">
        <v>20018</v>
      </c>
      <c r="AC34" t="n" s="8">
        <v>1</v>
      </c>
      <c r="AD34" t="n" s="8">
        <v>60</v>
      </c>
      <c r="AE34" t="n" s="8">
        <v>60</v>
      </c>
      <c r="AF34" t="n" s="8">
        <v>0</v>
      </c>
      <c r="AG34" t="n" s="8">
        <v>0</v>
      </c>
      <c r="AH34" t="str" s="8">
        <v>近战</v>
      </c>
      <c r="AI34" s="8"/>
      <c r="AJ34" s="17"/>
      <c r="AK34" s="8"/>
      <c r="AL34" s="18"/>
      <c r="AM34" t="str" s="8">
        <v>生命值</v>
      </c>
      <c r="AN34" t="n" s="19">
        <v>395</v>
      </c>
      <c r="AO34" t="str" s="8">
        <v>灵力值</v>
      </c>
      <c r="AP34" t="n" s="8">
        <v>66</v>
      </c>
      <c r="AQ34" t="str" s="8">
        <v>攻击下限</v>
      </c>
      <c r="AR34" t="n" s="8">
        <v>33</v>
      </c>
      <c r="AS34" t="str" s="8">
        <v>攻击上限</v>
      </c>
      <c r="AT34" t="n" s="8">
        <v>33</v>
      </c>
      <c r="AU34" t="str" s="8">
        <v>法力下限</v>
      </c>
      <c r="AV34" t="n" s="8">
        <v>33</v>
      </c>
      <c r="AW34" t="str" s="8">
        <v>法力上限</v>
      </c>
      <c r="AX34" t="n" s="8">
        <v>33</v>
      </c>
      <c r="AY34" t="str" s="8">
        <v>物防下限</v>
      </c>
      <c r="AZ34" t="n" s="8">
        <v>8</v>
      </c>
      <c r="BA34" t="str" s="8">
        <v>物防上限</v>
      </c>
      <c r="BB34" t="n" s="8">
        <v>8</v>
      </c>
      <c r="BC34" t="str" s="8">
        <v>法防下限</v>
      </c>
      <c r="BD34" t="n" s="8">
        <v>8</v>
      </c>
      <c r="BE34" t="str" s="8">
        <v>法防上限</v>
      </c>
      <c r="BF34" t="n" s="8">
        <v>8</v>
      </c>
      <c r="BG34" t="str" s="8">
        <v>移动速度</v>
      </c>
      <c r="BH34" t="n" s="8">
        <v>240</v>
      </c>
      <c r="BI34" t="str" s="8">
        <v>攻击范围</v>
      </c>
      <c r="BJ34" t="n" s="8">
        <v>160</v>
      </c>
      <c r="BK34" t="str" s="8">
        <v>警戒范围</v>
      </c>
      <c r="BL34" t="n" s="8">
        <v>550</v>
      </c>
      <c r="BM34" t="str" s="8">
        <v>攻击间隔</v>
      </c>
      <c r="BN34" t="n" s="8">
        <v>1800</v>
      </c>
      <c r="BO34" t="n" s="8">
        <v>0</v>
      </c>
      <c r="BP34" s="8"/>
      <c r="BQ34" t="n" s="8">
        <v>0</v>
      </c>
      <c r="BR34" t="n" s="8">
        <v>0</v>
      </c>
      <c r="BS34" t="n" s="8">
        <v>0</v>
      </c>
      <c r="BT34" t="n" s="8">
        <v>0</v>
      </c>
      <c r="BU34" t="str" s="8">
        <v>垂练岩的普通遭遇。依托本区既有水土、岩隙和可达条件活动。</v>
      </c>
      <c r="BV34" t="n">
        <v>1</v>
      </c>
      <c r="BW34" t="n">
        <v>9</v>
      </c>
      <c r="BX34" t="str">
        <v>凡品</v>
      </c>
      <c r="BY34" t="str">
        <v>native</v>
      </c>
      <c r="BZ34" t="b">
        <v>0</v>
      </c>
    </row>
    <row r="35" ht="16.5" customHeight="1" spans="2:75">
      <c r="A35"/>
      <c r="B35" t="n" s="8">
        <f>60000000+INDEX(编号表!$B:$B,MATCH(J35,编号表!$A:$A,0))*10000+INDEX(编号表!$B:$B,MATCH(K35,编号表!$C:$C,0))*1000+L35</f>
        <v>60081044</v>
      </c>
      <c r="C35" t="str" s="8">
        <v>a010</v>
      </c>
      <c r="D35" t="str" s="5">
        <v>汀岸灵狼</v>
      </c>
      <c r="E35" t="str" s="5">
        <v>R01-S1-普通-44</v>
      </c>
      <c r="F35" t="n" s="8">
        <v>9</v>
      </c>
      <c r="G35" t="str" s="8">
        <f>INDEX(编号表!$E:$E,MATCH(K35,编号表!$C:$C,0))</f>
        <v>白色</v>
      </c>
      <c r="H35" t="n" s="8">
        <v>1</v>
      </c>
      <c r="I35" t="str" s="8">
        <v>垂练岩</v>
      </c>
      <c r="J35" t="str" s="8">
        <v>垂练岩·覆而偶开</v>
      </c>
      <c r="K35" t="str" s="8">
        <v>普通</v>
      </c>
      <c r="L35" t="n" s="8">
        <v>44</v>
      </c>
      <c r="M35" t="n" s="8">
        <v>44</v>
      </c>
      <c r="N35" t="n" s="8">
        <v>1</v>
      </c>
      <c r="O35" s="8"/>
      <c r="P35" t="n" s="8">
        <v>24</v>
      </c>
      <c r="Q35" t="n" s="8">
        <v>30000</v>
      </c>
      <c r="R35" t="str" s="8">
        <v>首击</v>
      </c>
      <c r="S35" t="n" s="8">
        <v>30000</v>
      </c>
      <c r="T35" t="n" s="8">
        <v>10</v>
      </c>
      <c r="U35" t="n" s="16">
        <v>40900100</v>
      </c>
      <c r="V35" t="n" s="8">
        <v>40910108</v>
      </c>
      <c r="W35" t="n" s="8">
        <v>40920100</v>
      </c>
      <c r="X35" t="n" s="8">
        <v>11000001</v>
      </c>
      <c r="Y35" s="8"/>
      <c r="Z35" s="8"/>
      <c r="AA35" t="str" s="8">
        <v>妖兽</v>
      </c>
      <c r="AB35" s="11">
        <v>20020</v>
      </c>
      <c r="AC35" t="n" s="8">
        <v>1</v>
      </c>
      <c r="AD35" t="n" s="8">
        <v>60</v>
      </c>
      <c r="AE35" t="n" s="8">
        <v>60</v>
      </c>
      <c r="AF35" t="n" s="8">
        <v>0</v>
      </c>
      <c r="AG35" t="n" s="8">
        <v>0</v>
      </c>
      <c r="AH35" t="str" s="8">
        <v>近战</v>
      </c>
      <c r="AI35" s="8"/>
      <c r="AJ35" s="17"/>
      <c r="AK35" s="8"/>
      <c r="AL35" s="18"/>
      <c r="AM35" t="str" s="8">
        <v>生命值</v>
      </c>
      <c r="AN35" t="n" s="19">
        <v>395</v>
      </c>
      <c r="AO35" t="str" s="8">
        <v>灵力值</v>
      </c>
      <c r="AP35" t="n" s="8">
        <v>66</v>
      </c>
      <c r="AQ35" t="str" s="8">
        <v>攻击下限</v>
      </c>
      <c r="AR35" t="n" s="8">
        <v>33</v>
      </c>
      <c r="AS35" t="str" s="8">
        <v>攻击上限</v>
      </c>
      <c r="AT35" t="n" s="8">
        <v>33</v>
      </c>
      <c r="AU35" t="str" s="8">
        <v>法力下限</v>
      </c>
      <c r="AV35" t="n" s="8">
        <v>33</v>
      </c>
      <c r="AW35" t="str" s="8">
        <v>法力上限</v>
      </c>
      <c r="AX35" t="n" s="8">
        <v>33</v>
      </c>
      <c r="AY35" t="str" s="8">
        <v>物防下限</v>
      </c>
      <c r="AZ35" t="n" s="8">
        <v>8</v>
      </c>
      <c r="BA35" t="str" s="8">
        <v>物防上限</v>
      </c>
      <c r="BB35" t="n" s="8">
        <v>8</v>
      </c>
      <c r="BC35" t="str" s="8">
        <v>法防下限</v>
      </c>
      <c r="BD35" t="n" s="8">
        <v>8</v>
      </c>
      <c r="BE35" t="str" s="8">
        <v>法防上限</v>
      </c>
      <c r="BF35" t="n" s="8">
        <v>8</v>
      </c>
      <c r="BG35" t="str" s="8">
        <v>移动速度</v>
      </c>
      <c r="BH35" t="n" s="8">
        <v>240</v>
      </c>
      <c r="BI35" t="str" s="8">
        <v>攻击范围</v>
      </c>
      <c r="BJ35" t="n" s="8">
        <v>160</v>
      </c>
      <c r="BK35" t="str" s="8">
        <v>警戒范围</v>
      </c>
      <c r="BL35" t="n" s="8">
        <v>550</v>
      </c>
      <c r="BM35" t="str" s="8">
        <v>攻击间隔</v>
      </c>
      <c r="BN35" t="n" s="8">
        <v>1800</v>
      </c>
      <c r="BO35" t="n" s="8">
        <v>0</v>
      </c>
      <c r="BP35" s="8"/>
      <c r="BQ35" t="n" s="8">
        <v>0</v>
      </c>
      <c r="BR35" t="n" s="8">
        <v>0</v>
      </c>
      <c r="BS35" t="n" s="8">
        <v>0</v>
      </c>
      <c r="BT35" t="n" s="8">
        <v>0</v>
      </c>
      <c r="BU35" t="str" s="8">
        <v>垂练岩的普通遭遇。依托本区既有水土、岩隙和可达条件活动。</v>
      </c>
      <c r="BV35" t="n">
        <v>1</v>
      </c>
      <c r="BW35" t="n">
        <v>9</v>
      </c>
      <c r="BX35" t="str">
        <v>凡品</v>
      </c>
      <c r="BY35" t="str">
        <v>native</v>
      </c>
      <c r="BZ35" t="b">
        <v>0</v>
      </c>
    </row>
    <row r="36" ht="16.5" customHeight="1" spans="2:75">
      <c r="A36"/>
      <c r="B36" t="n" s="8">
        <f>60000000+INDEX(编号表!$B:$B,MATCH(J36,编号表!$A:$A,0))*10000+INDEX(编号表!$B:$B,MATCH(K36,编号表!$C:$C,0))*1000+L36</f>
        <v>60081045</v>
      </c>
      <c r="C36" t="str" s="8">
        <v>a010</v>
      </c>
      <c r="D36" t="str" s="5">
        <v>浅汊水蛇</v>
      </c>
      <c r="E36" t="str" s="5">
        <v>R01-S1-普通-45</v>
      </c>
      <c r="F36" t="n" s="8">
        <v>9</v>
      </c>
      <c r="G36" t="str" s="8">
        <f>INDEX(编号表!$E:$E,MATCH(K36,编号表!$C:$C,0))</f>
        <v>白色</v>
      </c>
      <c r="H36" t="n" s="8">
        <v>1</v>
      </c>
      <c r="I36" t="str" s="8">
        <v>垂练岩</v>
      </c>
      <c r="J36" t="str" s="8">
        <v>垂练岩·覆而偶开</v>
      </c>
      <c r="K36" t="str" s="8">
        <v>普通</v>
      </c>
      <c r="L36" t="n" s="8">
        <v>45</v>
      </c>
      <c r="M36" t="n" s="8">
        <v>45</v>
      </c>
      <c r="N36" t="n" s="8">
        <v>1</v>
      </c>
      <c r="O36" s="8"/>
      <c r="P36" t="n" s="8">
        <v>24</v>
      </c>
      <c r="Q36" t="n" s="8">
        <v>30000</v>
      </c>
      <c r="R36" t="str" s="8">
        <v>首击</v>
      </c>
      <c r="S36" t="n" s="8">
        <v>30000</v>
      </c>
      <c r="T36" t="n" s="8">
        <v>10</v>
      </c>
      <c r="U36" t="n" s="16">
        <v>40900100</v>
      </c>
      <c r="V36" t="n" s="8">
        <v>40910109</v>
      </c>
      <c r="W36" t="n" s="8">
        <v>40920100</v>
      </c>
      <c r="X36" t="n" s="8">
        <v>11000001</v>
      </c>
      <c r="Y36" s="8"/>
      <c r="Z36" s="8"/>
      <c r="AA36" t="str" s="8">
        <v>妖兽</v>
      </c>
      <c r="AB36" s="11">
        <v>20027</v>
      </c>
      <c r="AC36" t="n" s="8">
        <v>1</v>
      </c>
      <c r="AD36" t="n" s="8">
        <v>60</v>
      </c>
      <c r="AE36" t="n" s="8">
        <v>60</v>
      </c>
      <c r="AF36" t="n" s="8">
        <v>0</v>
      </c>
      <c r="AG36" t="n" s="8">
        <v>0</v>
      </c>
      <c r="AH36" t="str" s="8">
        <v>近战</v>
      </c>
      <c r="AI36"/>
      <c r="AJ36" s="17"/>
      <c r="AK36" s="8"/>
      <c r="AL36" s="18"/>
      <c r="AM36" t="str" s="8">
        <v>生命值</v>
      </c>
      <c r="AN36" t="n" s="19">
        <v>395</v>
      </c>
      <c r="AO36" t="str" s="8">
        <v>灵力值</v>
      </c>
      <c r="AP36" t="n" s="8">
        <v>66</v>
      </c>
      <c r="AQ36" t="str" s="8">
        <v>攻击下限</v>
      </c>
      <c r="AR36" t="n" s="8">
        <v>33</v>
      </c>
      <c r="AS36" t="str" s="8">
        <v>攻击上限</v>
      </c>
      <c r="AT36" t="n" s="8">
        <v>33</v>
      </c>
      <c r="AU36" t="str" s="8">
        <v>法力下限</v>
      </c>
      <c r="AV36" t="n" s="8">
        <v>33</v>
      </c>
      <c r="AW36" t="str" s="8">
        <v>法力上限</v>
      </c>
      <c r="AX36" t="n" s="8">
        <v>33</v>
      </c>
      <c r="AY36" t="str" s="8">
        <v>物防下限</v>
      </c>
      <c r="AZ36" t="n" s="8">
        <v>8</v>
      </c>
      <c r="BA36" t="str" s="8">
        <v>物防上限</v>
      </c>
      <c r="BB36" t="n" s="8">
        <v>8</v>
      </c>
      <c r="BC36" t="str" s="8">
        <v>法防下限</v>
      </c>
      <c r="BD36" t="n" s="8">
        <v>8</v>
      </c>
      <c r="BE36" t="str" s="8">
        <v>法防上限</v>
      </c>
      <c r="BF36" t="n" s="8">
        <v>8</v>
      </c>
      <c r="BG36" t="str" s="8">
        <v>移动速度</v>
      </c>
      <c r="BH36" t="n" s="8">
        <v>240</v>
      </c>
      <c r="BI36" t="str" s="8">
        <v>攻击范围</v>
      </c>
      <c r="BJ36" t="n" s="8">
        <v>160</v>
      </c>
      <c r="BK36" t="str" s="8">
        <v>警戒范围</v>
      </c>
      <c r="BL36" t="n" s="8">
        <v>550</v>
      </c>
      <c r="BM36" t="str" s="8">
        <v>攻击间隔</v>
      </c>
      <c r="BN36" t="n" s="8">
        <v>1800</v>
      </c>
      <c r="BO36" t="n" s="8">
        <v>0</v>
      </c>
      <c r="BP36" s="8"/>
      <c r="BQ36" t="n" s="8">
        <v>0</v>
      </c>
      <c r="BR36" t="n" s="8">
        <v>0</v>
      </c>
      <c r="BS36" t="n" s="8">
        <v>0</v>
      </c>
      <c r="BT36" t="n" s="8">
        <v>0</v>
      </c>
      <c r="BU36" t="str" s="8">
        <v>垂练岩的普通遭遇。依托本区既有水土、岩隙和可达条件活动。</v>
      </c>
      <c r="BV36" t="n">
        <v>1</v>
      </c>
      <c r="BW36" t="n">
        <v>9</v>
      </c>
      <c r="BX36" t="str">
        <v>凡品</v>
      </c>
      <c r="BY36" t="str">
        <v>native</v>
      </c>
      <c r="BZ36" t="b">
        <v>0</v>
      </c>
    </row>
    <row r="37" ht="16.5" customHeight="1" spans="2:75">
      <c r="A37"/>
      <c r="B37" t="n" s="8">
        <f>60000000+INDEX(编号表!$B:$B,MATCH(J37,编号表!$A:$A,0))*10000+INDEX(编号表!$B:$B,MATCH(K37,编号表!$C:$C,0))*1000+L37</f>
        <v>60082046</v>
      </c>
      <c r="C37" t="str" s="8">
        <v>a010</v>
      </c>
      <c r="D37" t="str" s="5">
        <v>苇泽灵蛙·异种</v>
      </c>
      <c r="E37" t="str" s="5">
        <v>R01-S1-精英-46</v>
      </c>
      <c r="F37" t="n" s="8">
        <v>9</v>
      </c>
      <c r="G37" t="str" s="8">
        <f>INDEX(编号表!$E:$E,MATCH(K37,编号表!$C:$C,0))</f>
        <v>绿色</v>
      </c>
      <c r="H37" t="n" s="8">
        <v>1</v>
      </c>
      <c r="I37" t="str" s="8">
        <v>垂练岩</v>
      </c>
      <c r="J37" t="str" s="8">
        <v>垂练岩·覆而偶开</v>
      </c>
      <c r="K37" t="str" s="8">
        <v>精英</v>
      </c>
      <c r="L37" t="n" s="8">
        <v>46</v>
      </c>
      <c r="M37" t="n" s="8">
        <v>46</v>
      </c>
      <c r="N37" t="n" s="8">
        <v>3</v>
      </c>
      <c r="O37" s="8"/>
      <c r="P37" t="n" s="8">
        <v>40</v>
      </c>
      <c r="Q37" t="n" s="8">
        <v>180000</v>
      </c>
      <c r="R37" t="str" s="8">
        <v>首击</v>
      </c>
      <c r="S37" t="n" s="8">
        <v>30000</v>
      </c>
      <c r="T37" t="n" s="8">
        <v>11</v>
      </c>
      <c r="U37" t="n" s="16">
        <v>40900101</v>
      </c>
      <c r="V37" t="n" s="8">
        <v>41120110</v>
      </c>
      <c r="W37" t="n" s="8">
        <v>41320105</v>
      </c>
      <c r="X37" t="n" s="8">
        <v>11000001</v>
      </c>
      <c r="Y37" s="8"/>
      <c r="Z37" s="8"/>
      <c r="AA37" t="str" s="8">
        <v>妖兽</v>
      </c>
      <c r="AB37" s="11">
        <v>20027</v>
      </c>
      <c r="AC37" t="n" s="8">
        <v>1.25</v>
      </c>
      <c r="AD37" t="n" s="8">
        <v>60</v>
      </c>
      <c r="AE37" t="n" s="8">
        <v>60</v>
      </c>
      <c r="AF37" t="n" s="8">
        <v>0</v>
      </c>
      <c r="AG37" t="n" s="8">
        <v>0</v>
      </c>
      <c r="AH37" t="str" s="8">
        <v>近战</v>
      </c>
      <c r="AI37"/>
      <c r="AJ37" s="17"/>
      <c r="AK37" s="8"/>
      <c r="AL37" s="18"/>
      <c r="AM37" t="str" s="8">
        <v>生命值</v>
      </c>
      <c r="AN37" t="n" s="19">
        <v>1107</v>
      </c>
      <c r="AO37" t="str" s="8">
        <v>灵力值</v>
      </c>
      <c r="AP37" t="n" s="8">
        <v>96</v>
      </c>
      <c r="AQ37" t="str" s="8">
        <v>攻击下限</v>
      </c>
      <c r="AR37" t="n" s="8">
        <v>48</v>
      </c>
      <c r="AS37" t="str" s="8">
        <v>攻击上限</v>
      </c>
      <c r="AT37" t="n" s="8">
        <v>48</v>
      </c>
      <c r="AU37" t="str" s="8">
        <v>法力下限</v>
      </c>
      <c r="AV37" t="n" s="8">
        <v>48</v>
      </c>
      <c r="AW37" t="str" s="8">
        <v>法力上限</v>
      </c>
      <c r="AX37" t="n" s="8">
        <v>48</v>
      </c>
      <c r="AY37" t="str" s="8">
        <v>物防下限</v>
      </c>
      <c r="AZ37" t="n" s="8">
        <v>9</v>
      </c>
      <c r="BA37" t="str" s="8">
        <v>物防上限</v>
      </c>
      <c r="BB37" t="n" s="8">
        <v>9</v>
      </c>
      <c r="BC37" t="str" s="8">
        <v>法防下限</v>
      </c>
      <c r="BD37" t="n" s="8">
        <v>9</v>
      </c>
      <c r="BE37" t="str" s="8">
        <v>法防上限</v>
      </c>
      <c r="BF37" t="n" s="8">
        <v>9</v>
      </c>
      <c r="BG37" t="str" s="8">
        <v>移动速度</v>
      </c>
      <c r="BH37" t="n" s="8">
        <v>240</v>
      </c>
      <c r="BI37" t="str" s="8">
        <v>攻击范围</v>
      </c>
      <c r="BJ37" t="n" s="8">
        <v>160</v>
      </c>
      <c r="BK37" t="str" s="8">
        <v>警戒范围</v>
      </c>
      <c r="BL37" t="n" s="8">
        <v>550</v>
      </c>
      <c r="BM37" t="str" s="8">
        <v>攻击间隔</v>
      </c>
      <c r="BN37" t="n" s="8">
        <v>1800</v>
      </c>
      <c r="BO37" t="n" s="8">
        <v>0</v>
      </c>
      <c r="BP37" s="8"/>
      <c r="BQ37" t="n" s="8">
        <v>0</v>
      </c>
      <c r="BR37" t="n" s="8">
        <v>0</v>
      </c>
      <c r="BS37" t="n" s="8">
        <v>0</v>
      </c>
      <c r="BT37" t="n" s="8">
        <v>0</v>
      </c>
      <c r="BU37" t="str" s="8">
        <v>垂练岩的精英遭遇。依托本区既有水土、岩隙和可达条件活动。</v>
      </c>
      <c r="BV37" t="n">
        <v>1</v>
      </c>
      <c r="BW37" t="n">
        <v>9</v>
      </c>
      <c r="BX37" t="str">
        <v>玄品</v>
      </c>
      <c r="BY37" t="str">
        <v>native</v>
      </c>
      <c r="BZ37" t="b">
        <v>0</v>
      </c>
    </row>
    <row r="38" ht="16.5" customHeight="1" spans="2:75">
      <c r="A38"/>
      <c r="B38" t="n" s="8">
        <f>60000000+INDEX(编号表!$B:$B,MATCH(J38,编号表!$A:$A,0))*10000+INDEX(编号表!$B:$B,MATCH(K38,编号表!$C:$C,0))*1000+L38</f>
        <v>60084047</v>
      </c>
      <c r="C38" t="str" s="8">
        <v>a010</v>
      </c>
      <c r="D38" t="str" s="5">
        <v>岩隙灵蝠·首领</v>
      </c>
      <c r="E38" t="str" s="5">
        <v>R01-S1-BOSS-47</v>
      </c>
      <c r="F38" t="n" s="8">
        <v>9</v>
      </c>
      <c r="G38" t="str" s="8">
        <f>INDEX(编号表!$E:$E,MATCH(K38,编号表!$C:$C,0))</f>
        <v>橙色</v>
      </c>
      <c r="H38" t="n" s="8">
        <v>1</v>
      </c>
      <c r="I38" t="str" s="8">
        <v>垂练岩</v>
      </c>
      <c r="J38" t="str" s="8">
        <v>垂练岩·覆而偶开</v>
      </c>
      <c r="K38" t="str" s="8">
        <v>BOSS</v>
      </c>
      <c r="L38" t="n" s="8">
        <v>47</v>
      </c>
      <c r="M38" t="n" s="8">
        <v>47</v>
      </c>
      <c r="N38" t="n" s="8">
        <v>5</v>
      </c>
      <c r="O38" s="8"/>
      <c r="P38" t="n" s="8">
        <v>40</v>
      </c>
      <c r="Q38" t="n" s="8">
        <v>900000</v>
      </c>
      <c r="R38" t="str" s="8">
        <v>首击</v>
      </c>
      <c r="S38" t="n" s="8">
        <v>30000</v>
      </c>
      <c r="T38" t="n" s="8">
        <v>12</v>
      </c>
      <c r="U38" t="n" s="16">
        <v>40900102</v>
      </c>
      <c r="V38" t="n" s="8">
        <v>41130100</v>
      </c>
      <c r="W38" t="n" s="8">
        <v>41330106</v>
      </c>
      <c r="X38" t="n" s="8">
        <v>11000001</v>
      </c>
      <c r="Y38" s="8"/>
      <c r="Z38" s="8"/>
      <c r="AA38" t="str" s="8">
        <v>妖兽</v>
      </c>
      <c r="AB38" s="11">
        <v>20019</v>
      </c>
      <c r="AC38" t="n" s="8">
        <v>1.6</v>
      </c>
      <c r="AD38" t="n" s="8">
        <v>60</v>
      </c>
      <c r="AE38" t="n" s="8">
        <v>60</v>
      </c>
      <c r="AF38" t="n" s="8">
        <v>0</v>
      </c>
      <c r="AG38" t="n" s="8">
        <v>0</v>
      </c>
      <c r="AH38" t="str" s="8">
        <v>近战</v>
      </c>
      <c r="AI38" s="8"/>
      <c r="AJ38" s="17"/>
      <c r="AK38" s="8"/>
      <c r="AL38" s="18"/>
      <c r="AM38" t="str" s="8">
        <v>生命值</v>
      </c>
      <c r="AN38" t="n" s="19">
        <v>3952</v>
      </c>
      <c r="AO38" t="str" s="8">
        <v>灵力值</v>
      </c>
      <c r="AP38" t="n" s="8">
        <v>140</v>
      </c>
      <c r="AQ38" t="str" s="8">
        <v>攻击下限</v>
      </c>
      <c r="AR38" t="n" s="8">
        <v>70</v>
      </c>
      <c r="AS38" t="str" s="8">
        <v>攻击上限</v>
      </c>
      <c r="AT38" t="n" s="8">
        <v>70</v>
      </c>
      <c r="AU38" t="str" s="8">
        <v>法力下限</v>
      </c>
      <c r="AV38" t="n" s="8">
        <v>70</v>
      </c>
      <c r="AW38" t="str" s="8">
        <v>法力上限</v>
      </c>
      <c r="AX38" t="n" s="8">
        <v>70</v>
      </c>
      <c r="AY38" t="str" s="8">
        <v>物防下限</v>
      </c>
      <c r="AZ38" t="n" s="8">
        <v>11</v>
      </c>
      <c r="BA38" t="str" s="8">
        <v>物防上限</v>
      </c>
      <c r="BB38" t="n" s="8">
        <v>11</v>
      </c>
      <c r="BC38" t="str" s="8">
        <v>法防下限</v>
      </c>
      <c r="BD38" t="n" s="8">
        <v>11</v>
      </c>
      <c r="BE38" t="str" s="8">
        <v>法防上限</v>
      </c>
      <c r="BF38" t="n" s="8">
        <v>11</v>
      </c>
      <c r="BG38" t="str" s="8">
        <v>移动速度</v>
      </c>
      <c r="BH38" t="n" s="8">
        <v>240</v>
      </c>
      <c r="BI38" t="str" s="8">
        <v>攻击范围</v>
      </c>
      <c r="BJ38" t="n" s="8">
        <v>160</v>
      </c>
      <c r="BK38" t="str" s="8">
        <v>警戒范围</v>
      </c>
      <c r="BL38" t="n" s="8">
        <v>700</v>
      </c>
      <c r="BM38" t="str" s="8">
        <v>攻击间隔</v>
      </c>
      <c r="BN38" t="n" s="8">
        <v>2200</v>
      </c>
      <c r="BO38" t="n" s="8">
        <v>0</v>
      </c>
      <c r="BP38" s="8"/>
      <c r="BQ38" t="n" s="8">
        <v>0</v>
      </c>
      <c r="BR38" t="n" s="8">
        <v>0</v>
      </c>
      <c r="BS38" t="n" s="8">
        <v>0</v>
      </c>
      <c r="BT38" t="n" s="8">
        <v>0</v>
      </c>
      <c r="BU38" t="str" s="8">
        <v>垂练岩的BOSS遭遇。依托本区既有水土、岩隙和可达条件活动。</v>
      </c>
      <c r="BV38" t="n">
        <v>1</v>
      </c>
      <c r="BW38" t="n">
        <v>9</v>
      </c>
      <c r="BX38" t="str">
        <v>仙品</v>
      </c>
      <c r="BY38" t="str">
        <v>native</v>
      </c>
      <c r="BZ38" t="b">
        <v>1</v>
      </c>
    </row>
    <row r="39" ht="16.5" customHeight="1" spans="2:75">
      <c r="A39"/>
      <c r="B39" t="n" s="8">
        <f>60000000+INDEX(编号表!$B:$B,MATCH(J39,编号表!$A:$A,0))*10000+INDEX(编号表!$B:$B,MATCH(K39,编号表!$C:$C,0))*1000+L39</f>
        <v>60091048</v>
      </c>
      <c r="C39" t="str" s="8">
        <v>a010</v>
      </c>
      <c r="D39" t="str" s="5">
        <v>汀岸灵狼</v>
      </c>
      <c r="E39" t="str" s="5">
        <v>R01-S2-普通-48</v>
      </c>
      <c r="F39" t="n" s="8">
        <v>10</v>
      </c>
      <c r="G39" t="str" s="8">
        <f>INDEX(编号表!$E:$E,MATCH(K39,编号表!$C:$C,0))</f>
        <v>白色</v>
      </c>
      <c r="H39" t="n" s="8">
        <v>1</v>
      </c>
      <c r="I39" t="str" s="8">
        <v>水镜滩</v>
      </c>
      <c r="J39" t="str" s="8">
        <v>水镜滩·水退方见</v>
      </c>
      <c r="K39" t="str" s="8">
        <v>普通</v>
      </c>
      <c r="L39" t="n" s="8">
        <v>48</v>
      </c>
      <c r="M39" t="n" s="8">
        <v>48</v>
      </c>
      <c r="N39" t="n" s="8">
        <v>1</v>
      </c>
      <c r="O39" s="8"/>
      <c r="P39" t="n" s="8">
        <v>24</v>
      </c>
      <c r="Q39" t="n" s="8">
        <v>30000</v>
      </c>
      <c r="R39" t="str" s="8">
        <v>首击</v>
      </c>
      <c r="S39" t="n" s="8">
        <v>30000</v>
      </c>
      <c r="T39" t="n" s="8">
        <v>10</v>
      </c>
      <c r="U39" t="n" s="16">
        <v>40900100</v>
      </c>
      <c r="V39" t="n" s="8">
        <v>40910101</v>
      </c>
      <c r="W39" t="n" s="8">
        <v>40920100</v>
      </c>
      <c r="X39" t="n" s="8">
        <v>11000001</v>
      </c>
      <c r="Y39" s="8"/>
      <c r="Z39" s="8"/>
      <c r="AA39" t="str" s="8">
        <v>妖兽</v>
      </c>
      <c r="AB39" s="11">
        <v>20029</v>
      </c>
      <c r="AC39" t="n" s="8">
        <v>1</v>
      </c>
      <c r="AD39" t="n" s="8">
        <v>60</v>
      </c>
      <c r="AE39" t="n" s="8">
        <v>60</v>
      </c>
      <c r="AF39" t="n" s="8">
        <v>0</v>
      </c>
      <c r="AG39" t="n" s="8">
        <v>0</v>
      </c>
      <c r="AH39" t="str" s="8">
        <v>近战</v>
      </c>
      <c r="AI39"/>
      <c r="AJ39" s="17"/>
      <c r="AK39" s="8"/>
      <c r="AL39" s="18"/>
      <c r="AM39" t="str" s="8">
        <v>生命值</v>
      </c>
      <c r="AN39" t="n" s="19">
        <v>412</v>
      </c>
      <c r="AO39" t="str" s="8">
        <v>灵力值</v>
      </c>
      <c r="AP39" t="n" s="8">
        <v>70</v>
      </c>
      <c r="AQ39" t="str" s="8">
        <v>攻击下限</v>
      </c>
      <c r="AR39" t="n" s="8">
        <v>35</v>
      </c>
      <c r="AS39" t="str" s="8">
        <v>攻击上限</v>
      </c>
      <c r="AT39" t="n" s="8">
        <v>35</v>
      </c>
      <c r="AU39" t="str" s="8">
        <v>法力下限</v>
      </c>
      <c r="AV39" t="n" s="8">
        <v>35</v>
      </c>
      <c r="AW39" t="str" s="8">
        <v>法力上限</v>
      </c>
      <c r="AX39" t="n" s="8">
        <v>35</v>
      </c>
      <c r="AY39" t="str" s="8">
        <v>物防下限</v>
      </c>
      <c r="AZ39" t="n" s="8">
        <v>8</v>
      </c>
      <c r="BA39" t="str" s="8">
        <v>物防上限</v>
      </c>
      <c r="BB39" t="n" s="8">
        <v>8</v>
      </c>
      <c r="BC39" t="str" s="8">
        <v>法防下限</v>
      </c>
      <c r="BD39" t="n" s="8">
        <v>8</v>
      </c>
      <c r="BE39" t="str" s="8">
        <v>法防上限</v>
      </c>
      <c r="BF39" t="n" s="8">
        <v>8</v>
      </c>
      <c r="BG39" t="str" s="8">
        <v>移动速度</v>
      </c>
      <c r="BH39" t="n" s="8">
        <v>240</v>
      </c>
      <c r="BI39" t="str" s="8">
        <v>攻击范围</v>
      </c>
      <c r="BJ39" t="n" s="8">
        <v>160</v>
      </c>
      <c r="BK39" t="str" s="8">
        <v>警戒范围</v>
      </c>
      <c r="BL39" t="n" s="8">
        <v>550</v>
      </c>
      <c r="BM39" t="str" s="8">
        <v>攻击间隔</v>
      </c>
      <c r="BN39" t="n" s="8">
        <v>1800</v>
      </c>
      <c r="BO39" t="n" s="8">
        <v>0</v>
      </c>
      <c r="BP39" s="8"/>
      <c r="BQ39" t="n" s="8">
        <v>0</v>
      </c>
      <c r="BR39" t="n" s="8">
        <v>0</v>
      </c>
      <c r="BS39" t="n" s="8">
        <v>0</v>
      </c>
      <c r="BT39" t="n" s="8">
        <v>0</v>
      </c>
      <c r="BU39" t="str" s="8">
        <v>水镜滩的普通遭遇。依托本区既有水土、岩隙和可达条件活动。</v>
      </c>
      <c r="BV39" t="n">
        <v>1</v>
      </c>
      <c r="BW39" t="n">
        <v>10</v>
      </c>
      <c r="BX39" t="str">
        <v>凡品</v>
      </c>
      <c r="BY39" t="str">
        <v>native</v>
      </c>
      <c r="BZ39" t="b">
        <v>0</v>
      </c>
    </row>
    <row r="40" ht="16.5" customHeight="1" spans="2:75">
      <c r="A40"/>
      <c r="B40" t="n" s="8">
        <f>60000000+INDEX(编号表!$B:$B,MATCH(J40,编号表!$A:$A,0))*10000+INDEX(编号表!$B:$B,MATCH(K40,编号表!$C:$C,0))*1000+L40</f>
        <v>60091049</v>
      </c>
      <c r="C40" t="str" s="8">
        <v>a010</v>
      </c>
      <c r="D40" t="str" s="5">
        <v>浅汊水蛇</v>
      </c>
      <c r="E40" t="str" s="5">
        <v>R01-S2-普通-49</v>
      </c>
      <c r="F40" t="n" s="8">
        <v>10</v>
      </c>
      <c r="G40" t="str" s="8">
        <f>INDEX(编号表!$E:$E,MATCH(K40,编号表!$C:$C,0))</f>
        <v>白色</v>
      </c>
      <c r="H40" t="n" s="8">
        <v>1</v>
      </c>
      <c r="I40" t="str" s="8">
        <v>水镜滩</v>
      </c>
      <c r="J40" t="str" s="8">
        <v>水镜滩·水退方见</v>
      </c>
      <c r="K40" t="str" s="8">
        <v>普通</v>
      </c>
      <c r="L40" t="n" s="8">
        <v>49</v>
      </c>
      <c r="M40" t="n" s="8">
        <v>49</v>
      </c>
      <c r="N40" t="n" s="8">
        <v>1</v>
      </c>
      <c r="O40" s="8"/>
      <c r="P40" t="n" s="8">
        <v>24</v>
      </c>
      <c r="Q40" t="n" s="8">
        <v>30000</v>
      </c>
      <c r="R40" t="str" s="8">
        <v>首击</v>
      </c>
      <c r="S40" t="n" s="8">
        <v>30000</v>
      </c>
      <c r="T40" t="n" s="8">
        <v>10</v>
      </c>
      <c r="U40" t="n" s="16">
        <v>40900100</v>
      </c>
      <c r="V40" t="n" s="8">
        <v>40910102</v>
      </c>
      <c r="W40" t="n" s="8">
        <v>40920100</v>
      </c>
      <c r="X40" t="n" s="8">
        <v>11000001</v>
      </c>
      <c r="Y40" s="8"/>
      <c r="Z40" s="8"/>
      <c r="AA40" t="str" s="8">
        <v>妖兽</v>
      </c>
      <c r="AB40" s="11">
        <v>20028</v>
      </c>
      <c r="AC40" t="n" s="8">
        <v>1</v>
      </c>
      <c r="AD40" t="n" s="8">
        <v>60</v>
      </c>
      <c r="AE40" t="n" s="8">
        <v>60</v>
      </c>
      <c r="AF40" t="n" s="8">
        <v>0</v>
      </c>
      <c r="AG40" t="n" s="8">
        <v>0</v>
      </c>
      <c r="AH40" t="str" s="8">
        <v>近战</v>
      </c>
      <c r="AI40" s="8"/>
      <c r="AJ40" s="17"/>
      <c r="AK40" s="8"/>
      <c r="AL40" s="18"/>
      <c r="AM40" t="str" s="8">
        <v>生命值</v>
      </c>
      <c r="AN40" t="n" s="19">
        <v>412</v>
      </c>
      <c r="AO40" t="str" s="8">
        <v>灵力值</v>
      </c>
      <c r="AP40" t="n" s="8">
        <v>70</v>
      </c>
      <c r="AQ40" t="str" s="8">
        <v>攻击下限</v>
      </c>
      <c r="AR40" t="n" s="8">
        <v>35</v>
      </c>
      <c r="AS40" t="str" s="8">
        <v>攻击上限</v>
      </c>
      <c r="AT40" t="n" s="8">
        <v>35</v>
      </c>
      <c r="AU40" t="str" s="8">
        <v>法力下限</v>
      </c>
      <c r="AV40" t="n" s="8">
        <v>35</v>
      </c>
      <c r="AW40" t="str" s="8">
        <v>法力上限</v>
      </c>
      <c r="AX40" t="n" s="8">
        <v>35</v>
      </c>
      <c r="AY40" t="str" s="8">
        <v>物防下限</v>
      </c>
      <c r="AZ40" t="n" s="8">
        <v>8</v>
      </c>
      <c r="BA40" t="str" s="8">
        <v>物防上限</v>
      </c>
      <c r="BB40" t="n" s="8">
        <v>8</v>
      </c>
      <c r="BC40" t="str" s="8">
        <v>法防下限</v>
      </c>
      <c r="BD40" t="n" s="8">
        <v>8</v>
      </c>
      <c r="BE40" t="str" s="8">
        <v>法防上限</v>
      </c>
      <c r="BF40" t="n" s="8">
        <v>8</v>
      </c>
      <c r="BG40" t="str" s="8">
        <v>移动速度</v>
      </c>
      <c r="BH40" t="n" s="8">
        <v>240</v>
      </c>
      <c r="BI40" t="str" s="8">
        <v>攻击范围</v>
      </c>
      <c r="BJ40" t="n" s="8">
        <v>160</v>
      </c>
      <c r="BK40" t="str" s="8">
        <v>警戒范围</v>
      </c>
      <c r="BL40" t="n" s="8">
        <v>550</v>
      </c>
      <c r="BM40" t="str" s="8">
        <v>攻击间隔</v>
      </c>
      <c r="BN40" t="n" s="8">
        <v>1800</v>
      </c>
      <c r="BO40" t="n" s="8">
        <v>0</v>
      </c>
      <c r="BP40" s="8"/>
      <c r="BQ40" t="n" s="8">
        <v>0</v>
      </c>
      <c r="BR40" t="n" s="8">
        <v>0</v>
      </c>
      <c r="BS40" t="n" s="8">
        <v>0</v>
      </c>
      <c r="BT40" t="n" s="8">
        <v>0</v>
      </c>
      <c r="BU40" t="str" s="8">
        <v>水镜滩的普通遭遇。依托本区既有水土、岩隙和可达条件活动。</v>
      </c>
      <c r="BV40" t="n">
        <v>1</v>
      </c>
      <c r="BW40" t="n">
        <v>10</v>
      </c>
      <c r="BX40" t="str">
        <v>凡品</v>
      </c>
      <c r="BY40" t="str">
        <v>native</v>
      </c>
      <c r="BZ40" t="b">
        <v>0</v>
      </c>
    </row>
    <row r="41" ht="16.5" customHeight="1" spans="2:75">
      <c r="A41"/>
      <c r="B41" t="n" s="8">
        <f>60000000+INDEX(编号表!$B:$B,MATCH(J41,编号表!$A:$A,0))*10000+INDEX(编号表!$B:$B,MATCH(K41,编号表!$C:$C,0))*1000+L41</f>
        <v>60091050</v>
      </c>
      <c r="C41" t="str" s="8">
        <v>a010</v>
      </c>
      <c r="D41" t="str" s="5">
        <v>苇泽灵蛙</v>
      </c>
      <c r="E41" t="str" s="5">
        <v>R01-S2-普通-50</v>
      </c>
      <c r="F41" t="n" s="8">
        <v>10</v>
      </c>
      <c r="G41" t="str" s="8">
        <f>INDEX(编号表!$E:$E,MATCH(K41,编号表!$C:$C,0))</f>
        <v>白色</v>
      </c>
      <c r="H41" t="n" s="8">
        <v>1</v>
      </c>
      <c r="I41" t="str" s="8">
        <v>水镜滩</v>
      </c>
      <c r="J41" t="str" s="8">
        <v>水镜滩·水退方见</v>
      </c>
      <c r="K41" t="str" s="8">
        <v>普通</v>
      </c>
      <c r="L41" t="n" s="8">
        <v>50</v>
      </c>
      <c r="M41" t="n" s="8">
        <v>50</v>
      </c>
      <c r="N41" t="n" s="8">
        <v>1</v>
      </c>
      <c r="O41" s="8"/>
      <c r="P41" t="n" s="8">
        <v>24</v>
      </c>
      <c r="Q41" t="n" s="8">
        <v>30000</v>
      </c>
      <c r="R41" t="str" s="8">
        <v>首击</v>
      </c>
      <c r="S41" t="n" s="8">
        <v>30000</v>
      </c>
      <c r="T41" t="n" s="8">
        <v>10</v>
      </c>
      <c r="U41" t="n" s="16">
        <v>40900100</v>
      </c>
      <c r="V41" t="n" s="8">
        <v>40910103</v>
      </c>
      <c r="W41" t="n" s="8">
        <v>40920100</v>
      </c>
      <c r="X41" t="n" s="8">
        <v>11000001</v>
      </c>
      <c r="Y41" s="8"/>
      <c r="Z41" s="8"/>
      <c r="AA41" t="str" s="8">
        <v>妖兽</v>
      </c>
      <c r="AB41" s="11">
        <v>20034</v>
      </c>
      <c r="AC41" t="n" s="8">
        <v>1</v>
      </c>
      <c r="AD41" t="n" s="8">
        <v>60</v>
      </c>
      <c r="AE41" t="n" s="8">
        <v>60</v>
      </c>
      <c r="AF41" t="n" s="8">
        <v>0</v>
      </c>
      <c r="AG41" t="n" s="8">
        <v>0</v>
      </c>
      <c r="AH41" t="str" s="8">
        <v>近战</v>
      </c>
      <c r="AI41" s="8"/>
      <c r="AJ41" s="17"/>
      <c r="AK41" s="8"/>
      <c r="AL41" s="18"/>
      <c r="AM41" t="str" s="8">
        <v>生命值</v>
      </c>
      <c r="AN41" t="n" s="19">
        <v>412</v>
      </c>
      <c r="AO41" t="str" s="8">
        <v>灵力值</v>
      </c>
      <c r="AP41" t="n" s="8">
        <v>70</v>
      </c>
      <c r="AQ41" t="str" s="8">
        <v>攻击下限</v>
      </c>
      <c r="AR41" t="n" s="8">
        <v>35</v>
      </c>
      <c r="AS41" t="str" s="8">
        <v>攻击上限</v>
      </c>
      <c r="AT41" t="n" s="8">
        <v>35</v>
      </c>
      <c r="AU41" t="str" s="8">
        <v>法力下限</v>
      </c>
      <c r="AV41" t="n" s="8">
        <v>35</v>
      </c>
      <c r="AW41" t="str" s="8">
        <v>法力上限</v>
      </c>
      <c r="AX41" t="n" s="8">
        <v>35</v>
      </c>
      <c r="AY41" t="str" s="8">
        <v>物防下限</v>
      </c>
      <c r="AZ41" t="n" s="8">
        <v>8</v>
      </c>
      <c r="BA41" t="str" s="8">
        <v>物防上限</v>
      </c>
      <c r="BB41" t="n" s="8">
        <v>8</v>
      </c>
      <c r="BC41" t="str" s="8">
        <v>法防下限</v>
      </c>
      <c r="BD41" t="n" s="8">
        <v>8</v>
      </c>
      <c r="BE41" t="str" s="8">
        <v>法防上限</v>
      </c>
      <c r="BF41" t="n" s="8">
        <v>8</v>
      </c>
      <c r="BG41" t="str" s="8">
        <v>移动速度</v>
      </c>
      <c r="BH41" t="n" s="8">
        <v>240</v>
      </c>
      <c r="BI41" t="str" s="8">
        <v>攻击范围</v>
      </c>
      <c r="BJ41" t="n" s="8">
        <v>160</v>
      </c>
      <c r="BK41" t="str" s="8">
        <v>警戒范围</v>
      </c>
      <c r="BL41" t="n" s="8">
        <v>550</v>
      </c>
      <c r="BM41" t="str" s="8">
        <v>攻击间隔</v>
      </c>
      <c r="BN41" t="n" s="8">
        <v>1800</v>
      </c>
      <c r="BO41" t="n" s="8">
        <v>0</v>
      </c>
      <c r="BP41" s="8"/>
      <c r="BQ41" t="n" s="8">
        <v>0</v>
      </c>
      <c r="BR41" t="n" s="8">
        <v>0</v>
      </c>
      <c r="BS41" t="n" s="8">
        <v>0</v>
      </c>
      <c r="BT41" t="n" s="8">
        <v>0</v>
      </c>
      <c r="BU41" t="str" s="8">
        <v>水镜滩的普通遭遇。依托本区既有水土、岩隙和可达条件活动。</v>
      </c>
      <c r="BV41" t="n">
        <v>1</v>
      </c>
      <c r="BW41" t="n">
        <v>10</v>
      </c>
      <c r="BX41" t="str">
        <v>凡品</v>
      </c>
      <c r="BY41" t="str">
        <v>native</v>
      </c>
      <c r="BZ41" t="b">
        <v>0</v>
      </c>
    </row>
    <row r="42" ht="16.5" customHeight="1" spans="2:75">
      <c r="A42"/>
      <c r="B42" t="n" s="8">
        <f>60000000+INDEX(编号表!$B:$B,MATCH(J42,编号表!$A:$A,0))*10000+INDEX(编号表!$B:$B,MATCH(K42,编号表!$C:$C,0))*1000+L42</f>
        <v>60091051</v>
      </c>
      <c r="C42" t="str" s="8">
        <v>a010</v>
      </c>
      <c r="D42" t="str" s="5">
        <v>岩隙灵蝠</v>
      </c>
      <c r="E42" t="str" s="5">
        <v>R01-S2-普通-51</v>
      </c>
      <c r="F42" t="n" s="8">
        <v>10</v>
      </c>
      <c r="G42" t="str" s="8">
        <f>INDEX(编号表!$E:$E,MATCH(K42,编号表!$C:$C,0))</f>
        <v>白色</v>
      </c>
      <c r="H42" t="n" s="8">
        <v>1</v>
      </c>
      <c r="I42" t="str" s="8">
        <v>水镜滩</v>
      </c>
      <c r="J42" t="str" s="8">
        <v>水镜滩·水退方见</v>
      </c>
      <c r="K42" t="str" s="8">
        <v>普通</v>
      </c>
      <c r="L42" t="n" s="8">
        <v>51</v>
      </c>
      <c r="M42" t="n" s="8">
        <v>51</v>
      </c>
      <c r="N42" t="n" s="8">
        <v>1</v>
      </c>
      <c r="O42" s="8"/>
      <c r="P42" t="n" s="8">
        <v>24</v>
      </c>
      <c r="Q42" t="n" s="8">
        <v>30000</v>
      </c>
      <c r="R42" t="str" s="8">
        <v>首击</v>
      </c>
      <c r="S42" t="n" s="8">
        <v>30000</v>
      </c>
      <c r="T42" t="n" s="8">
        <v>10</v>
      </c>
      <c r="U42" t="n" s="16">
        <v>40900100</v>
      </c>
      <c r="V42" t="n" s="8">
        <v>40910104</v>
      </c>
      <c r="W42" t="n" s="8">
        <v>40920100</v>
      </c>
      <c r="X42" t="n" s="8">
        <v>11000001</v>
      </c>
      <c r="Y42" s="8"/>
      <c r="Z42" s="8"/>
      <c r="AA42" t="str" s="8">
        <v>妖兽</v>
      </c>
      <c r="AB42" s="11">
        <v>20035</v>
      </c>
      <c r="AC42" t="n" s="8">
        <v>1</v>
      </c>
      <c r="AD42" t="n" s="8">
        <v>60</v>
      </c>
      <c r="AE42" t="n" s="8">
        <v>60</v>
      </c>
      <c r="AF42" t="n" s="8">
        <v>0</v>
      </c>
      <c r="AG42" t="n" s="8">
        <v>0</v>
      </c>
      <c r="AH42" t="str" s="8">
        <v>近战</v>
      </c>
      <c r="AI42" s="8"/>
      <c r="AJ42" s="17"/>
      <c r="AK42" s="8"/>
      <c r="AL42" s="18"/>
      <c r="AM42" t="str" s="8">
        <v>生命值</v>
      </c>
      <c r="AN42" t="n" s="19">
        <v>412</v>
      </c>
      <c r="AO42" t="str" s="8">
        <v>灵力值</v>
      </c>
      <c r="AP42" t="n" s="8">
        <v>70</v>
      </c>
      <c r="AQ42" t="str" s="8">
        <v>攻击下限</v>
      </c>
      <c r="AR42" t="n" s="8">
        <v>35</v>
      </c>
      <c r="AS42" t="str" s="8">
        <v>攻击上限</v>
      </c>
      <c r="AT42" t="n" s="8">
        <v>35</v>
      </c>
      <c r="AU42" t="str" s="8">
        <v>法力下限</v>
      </c>
      <c r="AV42" t="n" s="8">
        <v>35</v>
      </c>
      <c r="AW42" t="str" s="8">
        <v>法力上限</v>
      </c>
      <c r="AX42" t="n" s="8">
        <v>35</v>
      </c>
      <c r="AY42" t="str" s="8">
        <v>物防下限</v>
      </c>
      <c r="AZ42" t="n" s="8">
        <v>8</v>
      </c>
      <c r="BA42" t="str" s="8">
        <v>物防上限</v>
      </c>
      <c r="BB42" t="n" s="8">
        <v>8</v>
      </c>
      <c r="BC42" t="str" s="8">
        <v>法防下限</v>
      </c>
      <c r="BD42" t="n" s="8">
        <v>8</v>
      </c>
      <c r="BE42" t="str" s="8">
        <v>法防上限</v>
      </c>
      <c r="BF42" t="n" s="8">
        <v>8</v>
      </c>
      <c r="BG42" t="str" s="8">
        <v>移动速度</v>
      </c>
      <c r="BH42" t="n" s="8">
        <v>240</v>
      </c>
      <c r="BI42" t="str" s="8">
        <v>攻击范围</v>
      </c>
      <c r="BJ42" t="n" s="8">
        <v>160</v>
      </c>
      <c r="BK42" t="str" s="8">
        <v>警戒范围</v>
      </c>
      <c r="BL42" t="n" s="8">
        <v>550</v>
      </c>
      <c r="BM42" t="str" s="8">
        <v>攻击间隔</v>
      </c>
      <c r="BN42" t="n" s="8">
        <v>1800</v>
      </c>
      <c r="BO42" t="n" s="8">
        <v>0</v>
      </c>
      <c r="BP42" s="8"/>
      <c r="BQ42" t="n" s="8">
        <v>0</v>
      </c>
      <c r="BR42" t="n" s="8">
        <v>0</v>
      </c>
      <c r="BS42" t="n" s="8">
        <v>0</v>
      </c>
      <c r="BT42" t="n" s="8">
        <v>0</v>
      </c>
      <c r="BU42" t="str" s="8">
        <v>水镜滩的普通遭遇。依托本区既有水土、岩隙和可达条件活动。</v>
      </c>
      <c r="BV42" t="n">
        <v>1</v>
      </c>
      <c r="BW42" t="n">
        <v>10</v>
      </c>
      <c r="BX42" t="str">
        <v>凡品</v>
      </c>
      <c r="BY42" t="str">
        <v>native</v>
      </c>
      <c r="BZ42" t="b">
        <v>0</v>
      </c>
    </row>
    <row r="43" ht="16.5" customHeight="1" spans="2:75">
      <c r="A43"/>
      <c r="B43" t="n" s="8">
        <f>60000000+INDEX(编号表!$B:$B,MATCH(J43,编号表!$A:$A,0))*10000+INDEX(编号表!$B:$B,MATCH(K43,编号表!$C:$C,0))*1000+L43</f>
        <v>60092052</v>
      </c>
      <c r="C43" t="str" s="8">
        <v>a010</v>
      </c>
      <c r="D43" t="str" s="5">
        <v>汀岸灵狼·异种</v>
      </c>
      <c r="E43" t="str" s="5">
        <v>R01-S2-精英-52</v>
      </c>
      <c r="F43" t="n" s="8">
        <v>10</v>
      </c>
      <c r="G43" t="str" s="8">
        <f>INDEX(编号表!$E:$E,MATCH(K43,编号表!$C:$C,0))</f>
        <v>绿色</v>
      </c>
      <c r="H43" t="n" s="8">
        <v>1</v>
      </c>
      <c r="I43" t="str" s="8">
        <v>水镜滩</v>
      </c>
      <c r="J43" t="str" s="8">
        <v>水镜滩·水退方见</v>
      </c>
      <c r="K43" t="str" s="8">
        <v>精英</v>
      </c>
      <c r="L43" t="n" s="8">
        <v>52</v>
      </c>
      <c r="M43" t="n" s="8">
        <v>52</v>
      </c>
      <c r="N43" t="n" s="8">
        <v>3</v>
      </c>
      <c r="O43" s="8"/>
      <c r="P43" t="n" s="8">
        <v>40</v>
      </c>
      <c r="Q43" t="n" s="8">
        <v>180000</v>
      </c>
      <c r="R43" t="str" s="8">
        <v>首击</v>
      </c>
      <c r="S43" t="n" s="8">
        <v>30000</v>
      </c>
      <c r="T43" t="n" s="8">
        <v>11</v>
      </c>
      <c r="U43" t="n" s="16">
        <v>40900101</v>
      </c>
      <c r="V43" t="n" s="8">
        <v>41120105</v>
      </c>
      <c r="W43" t="n" s="8">
        <v>41320100</v>
      </c>
      <c r="X43" t="n" s="8">
        <v>11000001</v>
      </c>
      <c r="Y43" s="8"/>
      <c r="Z43" s="8"/>
      <c r="AA43" t="str" s="8">
        <v>妖兽</v>
      </c>
      <c r="AB43" s="11">
        <v>20035</v>
      </c>
      <c r="AC43" t="n" s="8">
        <v>1.25</v>
      </c>
      <c r="AD43" t="n" s="8">
        <v>60</v>
      </c>
      <c r="AE43" t="n" s="8">
        <v>60</v>
      </c>
      <c r="AF43" t="n" s="8">
        <v>0</v>
      </c>
      <c r="AG43" t="n" s="8">
        <v>0</v>
      </c>
      <c r="AH43" t="str" s="8">
        <v>近战</v>
      </c>
      <c r="AI43" s="8"/>
      <c r="AJ43" s="17"/>
      <c r="AK43" s="8"/>
      <c r="AL43" s="18"/>
      <c r="AM43" t="str" s="8">
        <v>生命值</v>
      </c>
      <c r="AN43" t="n" s="19">
        <v>1154</v>
      </c>
      <c r="AO43" t="str" s="8">
        <v>灵力值</v>
      </c>
      <c r="AP43" t="n" s="8">
        <v>102</v>
      </c>
      <c r="AQ43" t="str" s="8">
        <v>攻击下限</v>
      </c>
      <c r="AR43" t="n" s="8">
        <v>51</v>
      </c>
      <c r="AS43" t="str" s="8">
        <v>攻击上限</v>
      </c>
      <c r="AT43" t="n" s="8">
        <v>51</v>
      </c>
      <c r="AU43" t="str" s="8">
        <v>法力下限</v>
      </c>
      <c r="AV43" t="n" s="8">
        <v>51</v>
      </c>
      <c r="AW43" t="str" s="8">
        <v>法力上限</v>
      </c>
      <c r="AX43" t="n" s="8">
        <v>51</v>
      </c>
      <c r="AY43" t="str" s="8">
        <v>物防下限</v>
      </c>
      <c r="AZ43" t="n" s="8">
        <v>10</v>
      </c>
      <c r="BA43" t="str" s="8">
        <v>物防上限</v>
      </c>
      <c r="BB43" t="n" s="8">
        <v>10</v>
      </c>
      <c r="BC43" t="str" s="8">
        <v>法防下限</v>
      </c>
      <c r="BD43" t="n" s="8">
        <v>10</v>
      </c>
      <c r="BE43" t="str" s="8">
        <v>法防上限</v>
      </c>
      <c r="BF43" t="n" s="8">
        <v>10</v>
      </c>
      <c r="BG43" t="str" s="8">
        <v>移动速度</v>
      </c>
      <c r="BH43" t="n" s="8">
        <v>240</v>
      </c>
      <c r="BI43" t="str" s="8">
        <v>攻击范围</v>
      </c>
      <c r="BJ43" t="n" s="8">
        <v>160</v>
      </c>
      <c r="BK43" t="str" s="8">
        <v>警戒范围</v>
      </c>
      <c r="BL43" t="n" s="8">
        <v>550</v>
      </c>
      <c r="BM43" t="str" s="8">
        <v>攻击间隔</v>
      </c>
      <c r="BN43" t="n" s="8">
        <v>1800</v>
      </c>
      <c r="BO43" t="n" s="8">
        <v>0</v>
      </c>
      <c r="BP43" s="8"/>
      <c r="BQ43" t="n" s="8">
        <v>0</v>
      </c>
      <c r="BR43" t="n" s="8">
        <v>0</v>
      </c>
      <c r="BS43" t="n" s="8">
        <v>0</v>
      </c>
      <c r="BT43" t="n" s="8">
        <v>0</v>
      </c>
      <c r="BU43" t="str" s="8">
        <v>水镜滩的精英遭遇。依托本区既有水土、岩隙和可达条件活动。</v>
      </c>
      <c r="BV43" t="n">
        <v>1</v>
      </c>
      <c r="BW43" t="n">
        <v>10</v>
      </c>
      <c r="BX43" t="str">
        <v>玄品</v>
      </c>
      <c r="BY43" t="str">
        <v>native</v>
      </c>
      <c r="BZ43" t="b">
        <v>0</v>
      </c>
    </row>
    <row r="44" ht="16.5" customHeight="1" spans="2:75">
      <c r="A44"/>
      <c r="B44" t="n" s="8">
        <f>60000000+INDEX(编号表!$B:$B,MATCH(J44,编号表!$A:$A,0))*10000+INDEX(编号表!$B:$B,MATCH(K44,编号表!$C:$C,0))*1000+L44</f>
        <v>60181053</v>
      </c>
      <c r="C44" t="str" s="8">
        <v>a010</v>
      </c>
      <c r="D44" t="str" s="5">
        <v>魔化水脉灵蛇</v>
      </c>
      <c r="E44" t="str" s="5">
        <v>R03-D1-普通-53</v>
      </c>
      <c r="F44" t="n" s="8">
        <v>28</v>
      </c>
      <c r="G44" t="str" s="8">
        <f>INDEX(编号表!$E:$E,MATCH(K44,编号表!$C:$C,0))</f>
        <v>白色</v>
      </c>
      <c r="H44" t="n" s="8">
        <v>3</v>
      </c>
      <c r="I44" t="str" s="8">
        <v>沉浊坡</v>
      </c>
      <c r="J44" t="str" s="8">
        <v>沉浊坡</v>
      </c>
      <c r="K44" t="str" s="8">
        <v>普通</v>
      </c>
      <c r="L44" t="n" s="8">
        <v>53</v>
      </c>
      <c r="M44" t="n" s="8">
        <v>53</v>
      </c>
      <c r="N44" t="n" s="8">
        <v>1</v>
      </c>
      <c r="O44" s="8"/>
      <c r="P44" t="n" s="8">
        <v>24</v>
      </c>
      <c r="Q44" t="n" s="8">
        <v>30000</v>
      </c>
      <c r="R44" t="str" s="8">
        <v>首击</v>
      </c>
      <c r="S44" t="n" s="8">
        <v>30000</v>
      </c>
      <c r="T44" t="n" s="8">
        <v>10</v>
      </c>
      <c r="U44" t="n" s="16">
        <v>40900300</v>
      </c>
      <c r="V44" t="n" s="8">
        <v>40910300</v>
      </c>
      <c r="W44" t="n" s="8">
        <v>40920300</v>
      </c>
      <c r="X44" t="n" s="8">
        <v>11000001</v>
      </c>
      <c r="Y44" s="8"/>
      <c r="Z44" s="8"/>
      <c r="AA44" t="str" s="8">
        <v>妖兽</v>
      </c>
      <c r="AB44" s="21">
        <v>20039</v>
      </c>
      <c r="AC44" t="n" s="8">
        <v>1</v>
      </c>
      <c r="AD44" t="n" s="8">
        <v>60</v>
      </c>
      <c r="AE44" t="n" s="8">
        <v>60</v>
      </c>
      <c r="AF44" t="n" s="8">
        <v>0</v>
      </c>
      <c r="AG44" t="n" s="8">
        <v>0</v>
      </c>
      <c r="AH44" t="str" s="8">
        <v>近战</v>
      </c>
      <c r="AI44" s="8"/>
      <c r="AJ44" s="17"/>
      <c r="AK44" s="8"/>
      <c r="AL44" s="18"/>
      <c r="AM44" t="str" s="8">
        <v>生命值</v>
      </c>
      <c r="AN44" t="n" s="19">
        <v>10476</v>
      </c>
      <c r="AO44" t="str" s="8">
        <v>灵力值</v>
      </c>
      <c r="AP44" t="n" s="8">
        <v>1194</v>
      </c>
      <c r="AQ44" t="str" s="8">
        <v>攻击下限</v>
      </c>
      <c r="AR44" t="n" s="8">
        <v>597</v>
      </c>
      <c r="AS44" t="str" s="8">
        <v>攻击上限</v>
      </c>
      <c r="AT44" t="n" s="8">
        <v>597</v>
      </c>
      <c r="AU44" t="str" s="8">
        <v>法力下限</v>
      </c>
      <c r="AV44" t="n" s="8">
        <v>597</v>
      </c>
      <c r="AW44" t="str" s="8">
        <v>法力上限</v>
      </c>
      <c r="AX44" t="n" s="8">
        <v>597</v>
      </c>
      <c r="AY44" t="str" s="8">
        <v>物防下限</v>
      </c>
      <c r="AZ44" t="n" s="8">
        <v>196</v>
      </c>
      <c r="BA44" t="str" s="8">
        <v>物防上限</v>
      </c>
      <c r="BB44" t="n" s="8">
        <v>196</v>
      </c>
      <c r="BC44" t="str" s="8">
        <v>法防下限</v>
      </c>
      <c r="BD44" t="n" s="8">
        <v>196</v>
      </c>
      <c r="BE44" t="str" s="8">
        <v>法防上限</v>
      </c>
      <c r="BF44" t="n" s="8">
        <v>196</v>
      </c>
      <c r="BG44" t="str" s="8">
        <v>移动速度</v>
      </c>
      <c r="BH44" t="n" s="8">
        <v>240</v>
      </c>
      <c r="BI44" t="str" s="8">
        <v>攻击范围</v>
      </c>
      <c r="BJ44" t="n" s="8">
        <v>160</v>
      </c>
      <c r="BK44" t="str" s="8">
        <v>警戒范围</v>
      </c>
      <c r="BL44" t="n" s="8">
        <v>550</v>
      </c>
      <c r="BM44" t="str" s="8">
        <v>攻击间隔</v>
      </c>
      <c r="BN44" t="n" s="8">
        <v>1800</v>
      </c>
      <c r="BO44" t="n" s="8">
        <v>0</v>
      </c>
      <c r="BP44" s="8"/>
      <c r="BQ44" t="n" s="8">
        <v>0</v>
      </c>
      <c r="BR44" t="n" s="8">
        <v>0</v>
      </c>
      <c r="BS44" t="n" s="8">
        <v>0</v>
      </c>
      <c r="BT44" t="n" s="8">
        <v>0</v>
      </c>
      <c r="BU44" t="str" s="8">
        <v>沉浊坡的普通遭遇。裂隙渗漏造成的短时魔化，非本区新增裂隙。</v>
      </c>
      <c r="BV44" t="n">
        <v>3</v>
      </c>
      <c r="BW44" t="n">
        <v>8</v>
      </c>
      <c r="BX44" t="str">
        <v>凡品</v>
      </c>
      <c r="BY44" t="str">
        <v>corrupted</v>
      </c>
      <c r="BZ44" t="b">
        <v>0</v>
      </c>
    </row>
    <row r="45" ht="16.5" customHeight="1" spans="2:75">
      <c r="A45"/>
      <c r="B45" t="n" s="8">
        <f>60000000+INDEX(编号表!$B:$B,MATCH(J45,编号表!$A:$A,0))*10000+INDEX(编号表!$B:$B,MATCH(K45,编号表!$C:$C,0))*1000+L45</f>
        <v>60181054</v>
      </c>
      <c r="C45" t="str" s="8">
        <v>a010</v>
      </c>
      <c r="D45" t="str" s="5">
        <v>魔化低岛灵狼</v>
      </c>
      <c r="E45" t="str" s="5">
        <v>R03-D1-普通-54</v>
      </c>
      <c r="F45" t="n" s="8">
        <v>28</v>
      </c>
      <c r="G45" t="str" s="8">
        <f>INDEX(编号表!$E:$E,MATCH(K45,编号表!$C:$C,0))</f>
        <v>白色</v>
      </c>
      <c r="H45" t="n" s="8">
        <v>3</v>
      </c>
      <c r="I45" t="str" s="8">
        <v>沉浊坡</v>
      </c>
      <c r="J45" t="str" s="8">
        <v>沉浊坡</v>
      </c>
      <c r="K45" t="str" s="8">
        <v>普通</v>
      </c>
      <c r="L45" t="n" s="8">
        <v>54</v>
      </c>
      <c r="M45" t="n" s="8">
        <v>54</v>
      </c>
      <c r="N45" t="n" s="8">
        <v>1</v>
      </c>
      <c r="O45" s="8"/>
      <c r="P45" t="n" s="8">
        <v>24</v>
      </c>
      <c r="Q45" t="n" s="8">
        <v>30000</v>
      </c>
      <c r="R45" t="str" s="8">
        <v>首击</v>
      </c>
      <c r="S45" t="n" s="8">
        <v>30000</v>
      </c>
      <c r="T45" t="n" s="8">
        <v>10</v>
      </c>
      <c r="U45" t="n" s="16">
        <v>40900300</v>
      </c>
      <c r="V45" t="n" s="8">
        <v>40910301</v>
      </c>
      <c r="W45" t="n" s="8">
        <v>40920301</v>
      </c>
      <c r="X45" t="n" s="8">
        <v>11000001</v>
      </c>
      <c r="Y45" s="8"/>
      <c r="Z45" s="8"/>
      <c r="AA45" t="str" s="8">
        <v>妖兽</v>
      </c>
      <c r="AB45" s="21">
        <v>20040</v>
      </c>
      <c r="AC45" t="n" s="8">
        <v>1</v>
      </c>
      <c r="AD45" t="n" s="8">
        <v>60</v>
      </c>
      <c r="AE45" t="n" s="8">
        <v>60</v>
      </c>
      <c r="AF45" t="n" s="8">
        <v>0</v>
      </c>
      <c r="AG45" t="n" s="8">
        <v>0</v>
      </c>
      <c r="AH45" t="str" s="8">
        <v>近战</v>
      </c>
      <c r="AI45"/>
      <c r="AJ45" s="17"/>
      <c r="AK45" s="8"/>
      <c r="AL45" s="18"/>
      <c r="AM45" t="str" s="8">
        <v>生命值</v>
      </c>
      <c r="AN45" t="n" s="19">
        <v>10476</v>
      </c>
      <c r="AO45" t="str" s="8">
        <v>灵力值</v>
      </c>
      <c r="AP45" t="n" s="8">
        <v>1194</v>
      </c>
      <c r="AQ45" t="str" s="8">
        <v>攻击下限</v>
      </c>
      <c r="AR45" t="n" s="8">
        <v>597</v>
      </c>
      <c r="AS45" t="str" s="8">
        <v>攻击上限</v>
      </c>
      <c r="AT45" t="n" s="8">
        <v>597</v>
      </c>
      <c r="AU45" t="str" s="8">
        <v>法力下限</v>
      </c>
      <c r="AV45" t="n" s="8">
        <v>597</v>
      </c>
      <c r="AW45" t="str" s="8">
        <v>法力上限</v>
      </c>
      <c r="AX45" t="n" s="8">
        <v>597</v>
      </c>
      <c r="AY45" t="str" s="8">
        <v>物防下限</v>
      </c>
      <c r="AZ45" t="n" s="8">
        <v>196</v>
      </c>
      <c r="BA45" t="str" s="8">
        <v>物防上限</v>
      </c>
      <c r="BB45" t="n" s="8">
        <v>196</v>
      </c>
      <c r="BC45" t="str" s="8">
        <v>法防下限</v>
      </c>
      <c r="BD45" t="n" s="8">
        <v>196</v>
      </c>
      <c r="BE45" t="str" s="8">
        <v>法防上限</v>
      </c>
      <c r="BF45" t="n" s="8">
        <v>196</v>
      </c>
      <c r="BG45" t="str" s="8">
        <v>移动速度</v>
      </c>
      <c r="BH45" t="n" s="8">
        <v>240</v>
      </c>
      <c r="BI45" t="str" s="8">
        <v>攻击范围</v>
      </c>
      <c r="BJ45" t="n" s="8">
        <v>160</v>
      </c>
      <c r="BK45" t="str" s="8">
        <v>警戒范围</v>
      </c>
      <c r="BL45" t="n" s="8">
        <v>550</v>
      </c>
      <c r="BM45" t="str" s="8">
        <v>攻击间隔</v>
      </c>
      <c r="BN45" t="n" s="8">
        <v>1800</v>
      </c>
      <c r="BO45" t="n" s="8">
        <v>0</v>
      </c>
      <c r="BP45" s="8"/>
      <c r="BQ45" t="n" s="8">
        <v>0</v>
      </c>
      <c r="BR45" t="n" s="8">
        <v>0</v>
      </c>
      <c r="BS45" t="n" s="8">
        <v>0</v>
      </c>
      <c r="BT45" t="n" s="8">
        <v>0</v>
      </c>
      <c r="BU45" t="str" s="8">
        <v>沉浊坡的普通遭遇。裂隙渗漏造成的短时魔化，非本区新增裂隙。</v>
      </c>
      <c r="BV45" t="n">
        <v>3</v>
      </c>
      <c r="BW45" t="n">
        <v>8</v>
      </c>
      <c r="BX45" t="str">
        <v>凡品</v>
      </c>
      <c r="BY45" t="str">
        <v>corrupted</v>
      </c>
      <c r="BZ45" t="b">
        <v>0</v>
      </c>
    </row>
    <row r="46" ht="16.5" customHeight="1" spans="2:75">
      <c r="A46"/>
      <c r="B46" t="n" s="8">
        <f>60000000+INDEX(编号表!$B:$B,MATCH(J46,编号表!$A:$A,0))*10000+INDEX(编号表!$B:$B,MATCH(K46,编号表!$C:$C,0))*1000+L46</f>
        <v>60182055</v>
      </c>
      <c r="C46" t="str" s="8">
        <v>a010</v>
      </c>
      <c r="D46" t="str" s="5">
        <v>魔化末分岩蟹·异种</v>
      </c>
      <c r="E46" t="str" s="5">
        <v>R03-D1-精英-55</v>
      </c>
      <c r="F46" t="n" s="8">
        <v>28</v>
      </c>
      <c r="G46" t="str" s="8">
        <f>INDEX(编号表!$E:$E,MATCH(K46,编号表!$C:$C,0))</f>
        <v>绿色</v>
      </c>
      <c r="H46" t="n" s="8">
        <v>3</v>
      </c>
      <c r="I46" t="str" s="8">
        <v>沉浊坡</v>
      </c>
      <c r="J46" t="str" s="8">
        <v>沉浊坡</v>
      </c>
      <c r="K46" t="str" s="8">
        <v>精英</v>
      </c>
      <c r="L46" t="n" s="8">
        <v>55</v>
      </c>
      <c r="M46" t="n" s="8">
        <v>55</v>
      </c>
      <c r="N46" t="n" s="8">
        <v>3</v>
      </c>
      <c r="O46" s="8"/>
      <c r="P46" t="n" s="8">
        <v>40</v>
      </c>
      <c r="Q46" t="n" s="8">
        <v>180000</v>
      </c>
      <c r="R46" t="str" s="8">
        <v>首击</v>
      </c>
      <c r="S46" t="n" s="8">
        <v>30000</v>
      </c>
      <c r="T46" t="n" s="8">
        <v>11</v>
      </c>
      <c r="U46" t="n" s="16">
        <v>40900301</v>
      </c>
      <c r="V46" t="n" s="8">
        <v>41120302</v>
      </c>
      <c r="W46" t="n" s="8">
        <v>41320300</v>
      </c>
      <c r="X46" t="n" s="8">
        <v>11000001</v>
      </c>
      <c r="Y46" s="8"/>
      <c r="Z46" s="8"/>
      <c r="AA46" t="str" s="8">
        <v>妖兽</v>
      </c>
      <c r="AB46" s="21">
        <v>20041</v>
      </c>
      <c r="AC46" t="n" s="8">
        <v>1.25</v>
      </c>
      <c r="AD46" t="n" s="8">
        <v>60</v>
      </c>
      <c r="AE46" t="n" s="8">
        <v>60</v>
      </c>
      <c r="AF46" t="n" s="8">
        <v>0</v>
      </c>
      <c r="AG46" t="n" s="8">
        <v>0</v>
      </c>
      <c r="AH46" t="str" s="8">
        <v>近战</v>
      </c>
      <c r="AI46" s="8"/>
      <c r="AJ46" s="17"/>
      <c r="AK46" s="8"/>
      <c r="AL46" s="18"/>
      <c r="AM46" t="str" s="8">
        <v>生命值</v>
      </c>
      <c r="AN46" t="n" s="19">
        <v>29333</v>
      </c>
      <c r="AO46" t="str" s="8">
        <v>灵力值</v>
      </c>
      <c r="AP46" t="n" s="8">
        <v>1730</v>
      </c>
      <c r="AQ46" t="str" s="8">
        <v>攻击下限</v>
      </c>
      <c r="AR46" t="n" s="8">
        <v>865</v>
      </c>
      <c r="AS46" t="str" s="8">
        <v>攻击上限</v>
      </c>
      <c r="AT46" t="n" s="8">
        <v>865</v>
      </c>
      <c r="AU46" t="str" s="8">
        <v>法力下限</v>
      </c>
      <c r="AV46" t="n" s="8">
        <v>865</v>
      </c>
      <c r="AW46" t="str" s="8">
        <v>法力上限</v>
      </c>
      <c r="AX46" t="n" s="8">
        <v>865</v>
      </c>
      <c r="AY46" t="str" s="8">
        <v>物防下限</v>
      </c>
      <c r="AZ46" t="n" s="8">
        <v>236</v>
      </c>
      <c r="BA46" t="str" s="8">
        <v>物防上限</v>
      </c>
      <c r="BB46" t="n" s="8">
        <v>236</v>
      </c>
      <c r="BC46" t="str" s="8">
        <v>法防下限</v>
      </c>
      <c r="BD46" t="n" s="8">
        <v>236</v>
      </c>
      <c r="BE46" t="str" s="8">
        <v>法防上限</v>
      </c>
      <c r="BF46" t="n" s="8">
        <v>236</v>
      </c>
      <c r="BG46" t="str" s="8">
        <v>移动速度</v>
      </c>
      <c r="BH46" t="n" s="8">
        <v>240</v>
      </c>
      <c r="BI46" t="str" s="8">
        <v>攻击范围</v>
      </c>
      <c r="BJ46" t="n" s="8">
        <v>160</v>
      </c>
      <c r="BK46" t="str" s="8">
        <v>警戒范围</v>
      </c>
      <c r="BL46" t="n" s="8">
        <v>550</v>
      </c>
      <c r="BM46" t="str" s="8">
        <v>攻击间隔</v>
      </c>
      <c r="BN46" t="n" s="8">
        <v>1800</v>
      </c>
      <c r="BO46" t="n" s="8">
        <v>0</v>
      </c>
      <c r="BP46" s="8"/>
      <c r="BQ46" t="n" s="8">
        <v>0</v>
      </c>
      <c r="BR46" t="n" s="8">
        <v>0</v>
      </c>
      <c r="BS46" t="n" s="8">
        <v>0</v>
      </c>
      <c r="BT46" t="n" s="8">
        <v>0</v>
      </c>
      <c r="BU46" t="str" s="8">
        <v>沉浊坡的精英遭遇。裂隙渗漏造成的短时魔化，非本区新增裂隙。</v>
      </c>
      <c r="BV46" t="n">
        <v>3</v>
      </c>
      <c r="BW46" t="n">
        <v>8</v>
      </c>
      <c r="BX46" t="str">
        <v>玄品</v>
      </c>
      <c r="BY46" t="str">
        <v>corrupted</v>
      </c>
      <c r="BZ46" t="b">
        <v>0</v>
      </c>
    </row>
    <row r="47" ht="16.5" customHeight="1" spans="2:75">
      <c r="A47"/>
      <c r="B47" t="n" s="8">
        <f>60000000+INDEX(编号表!$B:$B,MATCH(J47,编号表!$A:$A,0))*10000+INDEX(编号表!$B:$B,MATCH(K47,编号表!$C:$C,0))*1000+L47</f>
        <v>60111056</v>
      </c>
      <c r="C47" t="str" s="8">
        <v>a010</v>
      </c>
      <c r="D47" t="str" s="5">
        <v>荷汊灵蛙</v>
      </c>
      <c r="E47" t="str" s="5">
        <v>R03-M1-普通-56</v>
      </c>
      <c r="F47" t="n" s="8">
        <v>22</v>
      </c>
      <c r="G47" t="str" s="8">
        <f>INDEX(编号表!$E:$E,MATCH(K47,编号表!$C:$C,0))</f>
        <v>白色</v>
      </c>
      <c r="H47" t="n" s="8">
        <v>3</v>
      </c>
      <c r="I47" t="str" s="8">
        <v>豁烟水</v>
      </c>
      <c r="J47" t="str" s="8">
        <v>豁烟水</v>
      </c>
      <c r="K47" t="str" s="8">
        <v>普通</v>
      </c>
      <c r="L47" t="n" s="8">
        <v>56</v>
      </c>
      <c r="M47" t="n" s="8">
        <v>56</v>
      </c>
      <c r="N47" t="n" s="8">
        <v>1</v>
      </c>
      <c r="O47" s="8"/>
      <c r="P47" t="n" s="8">
        <v>24</v>
      </c>
      <c r="Q47" t="n" s="8">
        <v>30000</v>
      </c>
      <c r="R47" t="str" s="8">
        <v>首击</v>
      </c>
      <c r="S47" t="n" s="8">
        <v>30000</v>
      </c>
      <c r="T47" t="n" s="8">
        <v>10</v>
      </c>
      <c r="U47" t="n" s="16">
        <v>40900300</v>
      </c>
      <c r="V47" t="n" s="8">
        <v>40910303</v>
      </c>
      <c r="W47" t="n" s="8">
        <v>40920301</v>
      </c>
      <c r="X47" t="n" s="8">
        <v>11000001</v>
      </c>
      <c r="Y47" s="8"/>
      <c r="Z47" s="8"/>
      <c r="AA47" t="str" s="8">
        <v>妖兽</v>
      </c>
      <c r="AB47" s="21">
        <v>20042</v>
      </c>
      <c r="AC47" t="n" s="8">
        <v>1</v>
      </c>
      <c r="AD47" t="n" s="8">
        <v>60</v>
      </c>
      <c r="AE47" t="n" s="8">
        <v>60</v>
      </c>
      <c r="AF47" t="n" s="8">
        <v>0</v>
      </c>
      <c r="AG47" t="n" s="8">
        <v>0</v>
      </c>
      <c r="AH47" t="str" s="8">
        <v>近战</v>
      </c>
      <c r="AI47" s="8"/>
      <c r="AJ47" s="17"/>
      <c r="AK47" s="8"/>
      <c r="AL47" s="18"/>
      <c r="AM47" t="str" s="8">
        <v>生命值</v>
      </c>
      <c r="AN47" t="n" s="19">
        <v>7668</v>
      </c>
      <c r="AO47" t="str" s="8">
        <v>灵力值</v>
      </c>
      <c r="AP47" t="n" s="8">
        <v>874</v>
      </c>
      <c r="AQ47" t="str" s="8">
        <v>攻击下限</v>
      </c>
      <c r="AR47" t="n" s="8">
        <v>437</v>
      </c>
      <c r="AS47" t="str" s="8">
        <v>攻击上限</v>
      </c>
      <c r="AT47" t="n" s="8">
        <v>437</v>
      </c>
      <c r="AU47" t="str" s="8">
        <v>法力下限</v>
      </c>
      <c r="AV47" t="n" s="8">
        <v>437</v>
      </c>
      <c r="AW47" t="str" s="8">
        <v>法力上限</v>
      </c>
      <c r="AX47" t="n" s="8">
        <v>437</v>
      </c>
      <c r="AY47" t="str" s="8">
        <v>物防下限</v>
      </c>
      <c r="AZ47" t="n" s="8">
        <v>144</v>
      </c>
      <c r="BA47" t="str" s="8">
        <v>物防上限</v>
      </c>
      <c r="BB47" t="n" s="8">
        <v>144</v>
      </c>
      <c r="BC47" t="str" s="8">
        <v>法防下限</v>
      </c>
      <c r="BD47" t="n" s="8">
        <v>144</v>
      </c>
      <c r="BE47" t="str" s="8">
        <v>法防上限</v>
      </c>
      <c r="BF47" t="n" s="8">
        <v>144</v>
      </c>
      <c r="BG47" t="str" s="8">
        <v>移动速度</v>
      </c>
      <c r="BH47" t="n" s="8">
        <v>240</v>
      </c>
      <c r="BI47" t="str" s="8">
        <v>攻击范围</v>
      </c>
      <c r="BJ47" t="n" s="8">
        <v>160</v>
      </c>
      <c r="BK47" t="str" s="8">
        <v>警戒范围</v>
      </c>
      <c r="BL47" t="n" s="8">
        <v>550</v>
      </c>
      <c r="BM47" t="str" s="8">
        <v>攻击间隔</v>
      </c>
      <c r="BN47" t="n" s="8">
        <v>1800</v>
      </c>
      <c r="BO47" t="n" s="8">
        <v>0</v>
      </c>
      <c r="BP47" s="8"/>
      <c r="BQ47" t="n" s="8">
        <v>0</v>
      </c>
      <c r="BR47" t="n" s="8">
        <v>0</v>
      </c>
      <c r="BS47" t="n" s="8">
        <v>0</v>
      </c>
      <c r="BT47" t="n" s="8">
        <v>0</v>
      </c>
      <c r="BU47" t="str" s="8">
        <v>豁烟水的普通遭遇。依托本区既有水土、岩隙和可达条件活动。</v>
      </c>
      <c r="BV47" t="n">
        <v>3</v>
      </c>
      <c r="BW47" t="n">
        <v>2</v>
      </c>
      <c r="BX47" t="str">
        <v>凡品</v>
      </c>
      <c r="BY47" t="str">
        <v>native</v>
      </c>
      <c r="BZ47" t="b">
        <v>0</v>
      </c>
    </row>
    <row r="48" ht="16.5" customHeight="1" spans="2:75">
      <c r="A48"/>
      <c r="B48" t="n" s="8">
        <f>60000000+INDEX(编号表!$B:$B,MATCH(J48,编号表!$A:$A,0))*10000+INDEX(编号表!$B:$B,MATCH(K48,编号表!$C:$C,0))*1000+L48</f>
        <v>60111057</v>
      </c>
      <c r="C48" t="str" s="8">
        <v>a010</v>
      </c>
      <c r="D48" t="str" s="5">
        <v>水脉灵蛇</v>
      </c>
      <c r="E48" t="str" s="5">
        <v>R03-M1-普通-57</v>
      </c>
      <c r="F48" t="n" s="8">
        <v>22</v>
      </c>
      <c r="G48" t="str" s="8">
        <f>INDEX(编号表!$E:$E,MATCH(K48,编号表!$C:$C,0))</f>
        <v>白色</v>
      </c>
      <c r="H48" t="n" s="8">
        <v>3</v>
      </c>
      <c r="I48" t="str" s="8">
        <v>豁烟水</v>
      </c>
      <c r="J48" t="str" s="8">
        <v>豁烟水</v>
      </c>
      <c r="K48" t="str" s="8">
        <v>普通</v>
      </c>
      <c r="L48" t="n" s="8">
        <v>57</v>
      </c>
      <c r="M48" t="n" s="8">
        <v>57</v>
      </c>
      <c r="N48" t="n" s="8">
        <v>1</v>
      </c>
      <c r="O48" s="8"/>
      <c r="P48" t="n" s="8">
        <v>24</v>
      </c>
      <c r="Q48" t="n" s="8">
        <v>30000</v>
      </c>
      <c r="R48" t="str" s="8">
        <v>首击</v>
      </c>
      <c r="S48" t="n" s="8">
        <v>30000</v>
      </c>
      <c r="T48" t="n" s="8">
        <v>10</v>
      </c>
      <c r="U48" t="n" s="16">
        <v>40900300</v>
      </c>
      <c r="V48" t="n" s="8">
        <v>40910304</v>
      </c>
      <c r="W48" t="n" s="8">
        <v>40920300</v>
      </c>
      <c r="X48" t="n" s="8">
        <v>11000001</v>
      </c>
      <c r="Y48" s="8"/>
      <c r="Z48" s="8"/>
      <c r="AA48" t="str" s="8">
        <v>妖兽</v>
      </c>
      <c r="AB48" s="21">
        <v>20043</v>
      </c>
      <c r="AC48" t="n" s="8">
        <v>1</v>
      </c>
      <c r="AD48" t="n" s="8">
        <v>60</v>
      </c>
      <c r="AE48" t="n" s="8">
        <v>60</v>
      </c>
      <c r="AF48" t="n" s="8">
        <v>0</v>
      </c>
      <c r="AG48" t="n" s="8">
        <v>0</v>
      </c>
      <c r="AH48" t="str" s="8">
        <v>近战</v>
      </c>
      <c r="AI48" s="8"/>
      <c r="AJ48" s="17"/>
      <c r="AK48" s="8"/>
      <c r="AL48" s="18"/>
      <c r="AM48" t="str" s="8">
        <v>生命值</v>
      </c>
      <c r="AN48" t="n" s="19">
        <v>7668</v>
      </c>
      <c r="AO48" t="str" s="8">
        <v>灵力值</v>
      </c>
      <c r="AP48" t="n" s="8">
        <v>874</v>
      </c>
      <c r="AQ48" t="str" s="8">
        <v>攻击下限</v>
      </c>
      <c r="AR48" t="n" s="8">
        <v>437</v>
      </c>
      <c r="AS48" t="str" s="8">
        <v>攻击上限</v>
      </c>
      <c r="AT48" t="n" s="8">
        <v>437</v>
      </c>
      <c r="AU48" t="str" s="8">
        <v>法力下限</v>
      </c>
      <c r="AV48" t="n" s="8">
        <v>437</v>
      </c>
      <c r="AW48" t="str" s="8">
        <v>法力上限</v>
      </c>
      <c r="AX48" t="n" s="8">
        <v>437</v>
      </c>
      <c r="AY48" t="str" s="8">
        <v>物防下限</v>
      </c>
      <c r="AZ48" t="n" s="8">
        <v>144</v>
      </c>
      <c r="BA48" t="str" s="8">
        <v>物防上限</v>
      </c>
      <c r="BB48" t="n" s="8">
        <v>144</v>
      </c>
      <c r="BC48" t="str" s="8">
        <v>法防下限</v>
      </c>
      <c r="BD48" t="n" s="8">
        <v>144</v>
      </c>
      <c r="BE48" t="str" s="8">
        <v>法防上限</v>
      </c>
      <c r="BF48" t="n" s="8">
        <v>144</v>
      </c>
      <c r="BG48" t="str" s="8">
        <v>移动速度</v>
      </c>
      <c r="BH48" t="n" s="8">
        <v>240</v>
      </c>
      <c r="BI48" t="str" s="8">
        <v>攻击范围</v>
      </c>
      <c r="BJ48" t="n" s="8">
        <v>160</v>
      </c>
      <c r="BK48" t="str" s="8">
        <v>警戒范围</v>
      </c>
      <c r="BL48" t="n" s="8">
        <v>550</v>
      </c>
      <c r="BM48" t="str" s="8">
        <v>攻击间隔</v>
      </c>
      <c r="BN48" t="n" s="8">
        <v>1800</v>
      </c>
      <c r="BO48" t="n" s="8">
        <v>0</v>
      </c>
      <c r="BP48" s="8"/>
      <c r="BQ48" t="n" s="8">
        <v>0</v>
      </c>
      <c r="BR48" t="n" s="8">
        <v>0</v>
      </c>
      <c r="BS48" t="n" s="8">
        <v>0</v>
      </c>
      <c r="BT48" t="n" s="8">
        <v>0</v>
      </c>
      <c r="BU48" t="str" s="8">
        <v>豁烟水的普通遭遇。依托本区既有水土、岩隙和可达条件活动。</v>
      </c>
      <c r="BV48" t="n">
        <v>3</v>
      </c>
      <c r="BW48" t="n">
        <v>2</v>
      </c>
      <c r="BX48" t="str">
        <v>凡品</v>
      </c>
      <c r="BY48" t="str">
        <v>native</v>
      </c>
      <c r="BZ48" t="b">
        <v>0</v>
      </c>
    </row>
    <row r="49" ht="16.5" customHeight="1" spans="2:75">
      <c r="A49"/>
      <c r="B49" t="n" s="8">
        <f>60000000+INDEX(编号表!$B:$B,MATCH(J49,编号表!$A:$A,0))*10000+INDEX(编号表!$B:$B,MATCH(K49,编号表!$C:$C,0))*1000+L49</f>
        <v>60111058</v>
      </c>
      <c r="C49" t="str" s="8">
        <v>a010</v>
      </c>
      <c r="D49" t="str" s="5">
        <v>低岛灵狼</v>
      </c>
      <c r="E49" t="str" s="5">
        <v>R03-M1-普通-58</v>
      </c>
      <c r="F49" t="n" s="8">
        <v>22</v>
      </c>
      <c r="G49" t="str" s="8">
        <f>INDEX(编号表!$E:$E,MATCH(K49,编号表!$C:$C,0))</f>
        <v>白色</v>
      </c>
      <c r="H49" t="n" s="8">
        <v>3</v>
      </c>
      <c r="I49" t="str" s="8">
        <v>豁烟水</v>
      </c>
      <c r="J49" t="str" s="8">
        <v>豁烟水</v>
      </c>
      <c r="K49" t="str" s="8">
        <v>普通</v>
      </c>
      <c r="L49" t="n" s="8">
        <v>58</v>
      </c>
      <c r="M49" t="n" s="8">
        <v>58</v>
      </c>
      <c r="N49" t="n" s="8">
        <v>1</v>
      </c>
      <c r="O49" s="8"/>
      <c r="P49" t="n" s="8">
        <v>24</v>
      </c>
      <c r="Q49" t="n" s="8">
        <v>30000</v>
      </c>
      <c r="R49" t="str" s="8">
        <v>首击</v>
      </c>
      <c r="S49" t="n" s="8">
        <v>30000</v>
      </c>
      <c r="T49" t="n" s="8">
        <v>10</v>
      </c>
      <c r="U49" t="n" s="16">
        <v>40900300</v>
      </c>
      <c r="V49" t="n" s="8">
        <v>40910305</v>
      </c>
      <c r="W49" t="n" s="8">
        <v>40920301</v>
      </c>
      <c r="X49" t="n" s="8">
        <v>11000001</v>
      </c>
      <c r="Y49" s="8"/>
      <c r="Z49" s="8"/>
      <c r="AA49" t="str" s="8">
        <v>妖兽</v>
      </c>
      <c r="AB49" s="21">
        <v>20044</v>
      </c>
      <c r="AC49" t="n" s="8">
        <v>1</v>
      </c>
      <c r="AD49" t="n" s="8">
        <v>60</v>
      </c>
      <c r="AE49" t="n" s="8">
        <v>60</v>
      </c>
      <c r="AF49" t="n" s="8">
        <v>0</v>
      </c>
      <c r="AG49" t="n" s="8">
        <v>0</v>
      </c>
      <c r="AH49" t="str" s="8">
        <v>近战</v>
      </c>
      <c r="AI49"/>
      <c r="AJ49" s="17"/>
      <c r="AK49" s="8"/>
      <c r="AL49" s="18"/>
      <c r="AM49" t="str" s="8">
        <v>生命值</v>
      </c>
      <c r="AN49" t="n" s="19">
        <v>7668</v>
      </c>
      <c r="AO49" t="str" s="8">
        <v>灵力值</v>
      </c>
      <c r="AP49" t="n" s="8">
        <v>874</v>
      </c>
      <c r="AQ49" t="str" s="8">
        <v>攻击下限</v>
      </c>
      <c r="AR49" t="n" s="8">
        <v>437</v>
      </c>
      <c r="AS49" t="str" s="8">
        <v>攻击上限</v>
      </c>
      <c r="AT49" t="n" s="8">
        <v>437</v>
      </c>
      <c r="AU49" t="str" s="8">
        <v>法力下限</v>
      </c>
      <c r="AV49" t="n" s="8">
        <v>437</v>
      </c>
      <c r="AW49" t="str" s="8">
        <v>法力上限</v>
      </c>
      <c r="AX49" t="n" s="8">
        <v>437</v>
      </c>
      <c r="AY49" t="str" s="8">
        <v>物防下限</v>
      </c>
      <c r="AZ49" t="n" s="8">
        <v>144</v>
      </c>
      <c r="BA49" t="str" s="8">
        <v>物防上限</v>
      </c>
      <c r="BB49" t="n" s="8">
        <v>144</v>
      </c>
      <c r="BC49" t="str" s="8">
        <v>法防下限</v>
      </c>
      <c r="BD49" t="n" s="8">
        <v>144</v>
      </c>
      <c r="BE49" t="str" s="8">
        <v>法防上限</v>
      </c>
      <c r="BF49" t="n" s="8">
        <v>144</v>
      </c>
      <c r="BG49" t="str" s="8">
        <v>移动速度</v>
      </c>
      <c r="BH49" t="n" s="8">
        <v>240</v>
      </c>
      <c r="BI49" t="str" s="8">
        <v>攻击范围</v>
      </c>
      <c r="BJ49" t="n" s="8">
        <v>160</v>
      </c>
      <c r="BK49" t="str" s="8">
        <v>警戒范围</v>
      </c>
      <c r="BL49" t="n" s="8">
        <v>550</v>
      </c>
      <c r="BM49" t="str" s="8">
        <v>攻击间隔</v>
      </c>
      <c r="BN49" t="n" s="8">
        <v>1800</v>
      </c>
      <c r="BO49" t="n" s="8">
        <v>0</v>
      </c>
      <c r="BP49" s="8"/>
      <c r="BQ49" t="n" s="8">
        <v>0</v>
      </c>
      <c r="BR49" t="n" s="8">
        <v>0</v>
      </c>
      <c r="BS49" t="n" s="8">
        <v>0</v>
      </c>
      <c r="BT49" t="n" s="8">
        <v>0</v>
      </c>
      <c r="BU49" t="str" s="8">
        <v>豁烟水的普通遭遇。依托本区既有水土、岩隙和可达条件活动。</v>
      </c>
      <c r="BV49" t="n">
        <v>3</v>
      </c>
      <c r="BW49" t="n">
        <v>2</v>
      </c>
      <c r="BX49" t="str">
        <v>凡品</v>
      </c>
      <c r="BY49" t="str">
        <v>native</v>
      </c>
      <c r="BZ49" t="b">
        <v>0</v>
      </c>
    </row>
    <row r="50" ht="16.5" customHeight="1" spans="2:75">
      <c r="A50"/>
      <c r="B50" t="n" s="8">
        <f>60000000+INDEX(编号表!$B:$B,MATCH(J50,编号表!$A:$A,0))*10000+INDEX(编号表!$B:$B,MATCH(K50,编号表!$C:$C,0))*1000+L50</f>
        <v>60111059</v>
      </c>
      <c r="C50" t="str" s="8">
        <v>a010</v>
      </c>
      <c r="D50" t="str" s="5">
        <v>末分岩蟹</v>
      </c>
      <c r="E50" t="str" s="5">
        <v>R03-M1-普通-59</v>
      </c>
      <c r="F50" t="n" s="8">
        <v>22</v>
      </c>
      <c r="G50" t="str" s="8">
        <f>INDEX(编号表!$E:$E,MATCH(K50,编号表!$C:$C,0))</f>
        <v>白色</v>
      </c>
      <c r="H50" t="n" s="8">
        <v>3</v>
      </c>
      <c r="I50" t="str" s="8">
        <v>豁烟水</v>
      </c>
      <c r="J50" t="str" s="8">
        <v>豁烟水</v>
      </c>
      <c r="K50" t="str" s="8">
        <v>普通</v>
      </c>
      <c r="L50" t="n" s="8">
        <v>59</v>
      </c>
      <c r="M50" t="n" s="8">
        <v>59</v>
      </c>
      <c r="N50" t="n" s="8">
        <v>1</v>
      </c>
      <c r="O50" s="8"/>
      <c r="P50" t="n" s="8">
        <v>24</v>
      </c>
      <c r="Q50" t="n" s="8">
        <v>30000</v>
      </c>
      <c r="R50" t="str" s="8">
        <v>首击</v>
      </c>
      <c r="S50" t="n" s="8">
        <v>30000</v>
      </c>
      <c r="T50" t="n" s="8">
        <v>10</v>
      </c>
      <c r="U50" t="n" s="16">
        <v>40900300</v>
      </c>
      <c r="V50" t="n" s="8">
        <v>40910306</v>
      </c>
      <c r="W50" t="n" s="8">
        <v>40920300</v>
      </c>
      <c r="X50" t="n" s="8">
        <v>11000001</v>
      </c>
      <c r="Y50" s="8"/>
      <c r="Z50" s="8"/>
      <c r="AA50" t="str" s="8">
        <v>妖兽</v>
      </c>
      <c r="AB50" s="21">
        <v>20045</v>
      </c>
      <c r="AC50" t="n" s="8">
        <v>1</v>
      </c>
      <c r="AD50" t="n" s="8">
        <v>60</v>
      </c>
      <c r="AE50" t="n" s="8">
        <v>60</v>
      </c>
      <c r="AF50" t="n" s="8">
        <v>0</v>
      </c>
      <c r="AG50" t="n" s="8">
        <v>0</v>
      </c>
      <c r="AH50" t="str" s="8">
        <v>近战</v>
      </c>
      <c r="AI50" s="8"/>
      <c r="AJ50" s="17"/>
      <c r="AK50" s="8"/>
      <c r="AL50" s="18"/>
      <c r="AM50" t="str" s="8">
        <v>生命值</v>
      </c>
      <c r="AN50" t="n" s="19">
        <v>7668</v>
      </c>
      <c r="AO50" t="str" s="8">
        <v>灵力值</v>
      </c>
      <c r="AP50" t="n" s="8">
        <v>874</v>
      </c>
      <c r="AQ50" t="str" s="8">
        <v>攻击下限</v>
      </c>
      <c r="AR50" t="n" s="8">
        <v>437</v>
      </c>
      <c r="AS50" t="str" s="8">
        <v>攻击上限</v>
      </c>
      <c r="AT50" t="n" s="8">
        <v>437</v>
      </c>
      <c r="AU50" t="str" s="8">
        <v>法力下限</v>
      </c>
      <c r="AV50" t="n" s="8">
        <v>437</v>
      </c>
      <c r="AW50" t="str" s="8">
        <v>法力上限</v>
      </c>
      <c r="AX50" t="n" s="8">
        <v>437</v>
      </c>
      <c r="AY50" t="str" s="8">
        <v>物防下限</v>
      </c>
      <c r="AZ50" t="n" s="8">
        <v>144</v>
      </c>
      <c r="BA50" t="str" s="8">
        <v>物防上限</v>
      </c>
      <c r="BB50" t="n" s="8">
        <v>144</v>
      </c>
      <c r="BC50" t="str" s="8">
        <v>法防下限</v>
      </c>
      <c r="BD50" t="n" s="8">
        <v>144</v>
      </c>
      <c r="BE50" t="str" s="8">
        <v>法防上限</v>
      </c>
      <c r="BF50" t="n" s="8">
        <v>144</v>
      </c>
      <c r="BG50" t="str" s="8">
        <v>移动速度</v>
      </c>
      <c r="BH50" t="n" s="8">
        <v>240</v>
      </c>
      <c r="BI50" t="str" s="8">
        <v>攻击范围</v>
      </c>
      <c r="BJ50" t="n" s="8">
        <v>160</v>
      </c>
      <c r="BK50" t="str" s="8">
        <v>警戒范围</v>
      </c>
      <c r="BL50" t="n" s="8">
        <v>550</v>
      </c>
      <c r="BM50" t="str" s="8">
        <v>攻击间隔</v>
      </c>
      <c r="BN50" t="n" s="8">
        <v>1800</v>
      </c>
      <c r="BO50" t="n" s="8">
        <v>0</v>
      </c>
      <c r="BP50" s="8"/>
      <c r="BQ50" t="n" s="8">
        <v>0</v>
      </c>
      <c r="BR50" t="n" s="8">
        <v>0</v>
      </c>
      <c r="BS50" t="n" s="8">
        <v>0</v>
      </c>
      <c r="BT50" t="n" s="8">
        <v>0</v>
      </c>
      <c r="BU50" t="str" s="8">
        <v>豁烟水的普通遭遇。依托本区既有水土、岩隙和可达条件活动。</v>
      </c>
      <c r="BV50" t="n">
        <v>3</v>
      </c>
      <c r="BW50" t="n">
        <v>2</v>
      </c>
      <c r="BX50" t="str">
        <v>凡品</v>
      </c>
      <c r="BY50" t="str">
        <v>native</v>
      </c>
      <c r="BZ50" t="b">
        <v>0</v>
      </c>
    </row>
    <row r="51" ht="16.5" customHeight="1" spans="2:75">
      <c r="A51"/>
      <c r="B51" t="n" s="8">
        <f>60000000+INDEX(编号表!$B:$B,MATCH(J51,编号表!$A:$A,0))*10000+INDEX(编号表!$B:$B,MATCH(K51,编号表!$C:$C,0))*1000+L51</f>
        <v>60111060</v>
      </c>
      <c r="C51" t="str" s="8">
        <v>a010</v>
      </c>
      <c r="D51" t="str" s="5">
        <v>荷汊灵蛙</v>
      </c>
      <c r="E51" t="str" s="5">
        <v>R03-M1-普通-60</v>
      </c>
      <c r="F51" t="n" s="8">
        <v>22</v>
      </c>
      <c r="G51" t="str" s="8">
        <f>INDEX(编号表!$E:$E,MATCH(K51,编号表!$C:$C,0))</f>
        <v>白色</v>
      </c>
      <c r="H51" t="n" s="8">
        <v>3</v>
      </c>
      <c r="I51" t="str" s="8">
        <v>豁烟水</v>
      </c>
      <c r="J51" t="str" s="8">
        <v>豁烟水</v>
      </c>
      <c r="K51" t="str" s="8">
        <v>普通</v>
      </c>
      <c r="L51" t="n" s="8">
        <v>60</v>
      </c>
      <c r="M51" t="n" s="8">
        <v>60</v>
      </c>
      <c r="N51" t="n" s="8">
        <v>1</v>
      </c>
      <c r="O51" s="8"/>
      <c r="P51" t="n" s="8">
        <v>24</v>
      </c>
      <c r="Q51" t="n" s="8">
        <v>30000</v>
      </c>
      <c r="R51" t="str" s="8">
        <v>首击</v>
      </c>
      <c r="S51" t="n" s="8">
        <v>30000</v>
      </c>
      <c r="T51" t="n" s="8">
        <v>10</v>
      </c>
      <c r="U51" t="n" s="16">
        <v>40900300</v>
      </c>
      <c r="V51" t="n" s="8">
        <v>40910307</v>
      </c>
      <c r="W51" t="n" s="8">
        <v>40920301</v>
      </c>
      <c r="X51" t="n" s="8">
        <v>11000001</v>
      </c>
      <c r="Y51" s="8"/>
      <c r="Z51" s="8"/>
      <c r="AA51" t="str" s="8">
        <v>妖兽</v>
      </c>
      <c r="AB51" s="21">
        <v>20046</v>
      </c>
      <c r="AC51" t="n" s="8">
        <v>1</v>
      </c>
      <c r="AD51" t="n" s="8">
        <v>60</v>
      </c>
      <c r="AE51" t="n" s="8">
        <v>60</v>
      </c>
      <c r="AF51" t="n" s="8">
        <v>0</v>
      </c>
      <c r="AG51" t="n" s="8">
        <v>0</v>
      </c>
      <c r="AH51" t="str" s="8">
        <v>近战</v>
      </c>
      <c r="AI51" s="8"/>
      <c r="AJ51" s="17"/>
      <c r="AK51" s="8"/>
      <c r="AL51" s="18"/>
      <c r="AM51" t="str" s="8">
        <v>生命值</v>
      </c>
      <c r="AN51" t="n" s="19">
        <v>7668</v>
      </c>
      <c r="AO51" t="str" s="8">
        <v>灵力值</v>
      </c>
      <c r="AP51" t="n" s="8">
        <v>874</v>
      </c>
      <c r="AQ51" t="str" s="8">
        <v>攻击下限</v>
      </c>
      <c r="AR51" t="n" s="8">
        <v>437</v>
      </c>
      <c r="AS51" t="str" s="8">
        <v>攻击上限</v>
      </c>
      <c r="AT51" t="n" s="8">
        <v>437</v>
      </c>
      <c r="AU51" t="str" s="8">
        <v>法力下限</v>
      </c>
      <c r="AV51" t="n" s="8">
        <v>437</v>
      </c>
      <c r="AW51" t="str" s="8">
        <v>法力上限</v>
      </c>
      <c r="AX51" t="n" s="8">
        <v>437</v>
      </c>
      <c r="AY51" t="str" s="8">
        <v>物防下限</v>
      </c>
      <c r="AZ51" t="n" s="8">
        <v>144</v>
      </c>
      <c r="BA51" t="str" s="8">
        <v>物防上限</v>
      </c>
      <c r="BB51" t="n" s="8">
        <v>144</v>
      </c>
      <c r="BC51" t="str" s="8">
        <v>法防下限</v>
      </c>
      <c r="BD51" t="n" s="8">
        <v>144</v>
      </c>
      <c r="BE51" t="str" s="8">
        <v>法防上限</v>
      </c>
      <c r="BF51" t="n" s="8">
        <v>144</v>
      </c>
      <c r="BG51" t="str" s="8">
        <v>移动速度</v>
      </c>
      <c r="BH51" t="n" s="8">
        <v>240</v>
      </c>
      <c r="BI51" t="str" s="8">
        <v>攻击范围</v>
      </c>
      <c r="BJ51" t="n" s="8">
        <v>160</v>
      </c>
      <c r="BK51" t="str" s="8">
        <v>警戒范围</v>
      </c>
      <c r="BL51" t="n" s="8">
        <v>550</v>
      </c>
      <c r="BM51" t="str" s="8">
        <v>攻击间隔</v>
      </c>
      <c r="BN51" t="n" s="8">
        <v>1800</v>
      </c>
      <c r="BO51" t="n" s="8">
        <v>0</v>
      </c>
      <c r="BP51" s="8"/>
      <c r="BQ51" t="n" s="8">
        <v>0</v>
      </c>
      <c r="BR51" t="n" s="8">
        <v>0</v>
      </c>
      <c r="BS51" t="n" s="8">
        <v>0</v>
      </c>
      <c r="BT51" t="n" s="8">
        <v>0</v>
      </c>
      <c r="BU51" t="str" s="8">
        <v>豁烟水的普通遭遇。依托本区既有水土、岩隙和可达条件活动。</v>
      </c>
      <c r="BV51" t="n">
        <v>3</v>
      </c>
      <c r="BW51" t="n">
        <v>2</v>
      </c>
      <c r="BX51" t="str">
        <v>凡品</v>
      </c>
      <c r="BY51" t="str">
        <v>native</v>
      </c>
      <c r="BZ51" t="b">
        <v>0</v>
      </c>
    </row>
    <row r="52" ht="16.5" customHeight="1" spans="2:75">
      <c r="A52"/>
      <c r="B52" t="n" s="8">
        <f>60000000+INDEX(编号表!$B:$B,MATCH(J52,编号表!$A:$A,0))*10000+INDEX(编号表!$B:$B,MATCH(K52,编号表!$C:$C,0))*1000+L52</f>
        <v>60112061</v>
      </c>
      <c r="C52" t="str" s="8">
        <v>a010</v>
      </c>
      <c r="D52" t="str" s="5">
        <v>水脉灵蛇·异种</v>
      </c>
      <c r="E52" t="str" s="5">
        <v>R03-M1-精英-61</v>
      </c>
      <c r="F52" t="n" s="8">
        <v>22</v>
      </c>
      <c r="G52" t="str" s="8">
        <f>INDEX(编号表!$E:$E,MATCH(K52,编号表!$C:$C,0))</f>
        <v>绿色</v>
      </c>
      <c r="H52" t="n" s="8">
        <v>3</v>
      </c>
      <c r="I52" t="str" s="8">
        <v>豁烟水</v>
      </c>
      <c r="J52" t="str" s="8">
        <v>豁烟水</v>
      </c>
      <c r="K52" t="str" s="8">
        <v>精英</v>
      </c>
      <c r="L52" t="n" s="8">
        <v>61</v>
      </c>
      <c r="M52" t="n" s="8">
        <v>61</v>
      </c>
      <c r="N52" t="n" s="8">
        <v>3</v>
      </c>
      <c r="O52" s="8"/>
      <c r="P52" t="n" s="8">
        <v>40</v>
      </c>
      <c r="Q52" t="n" s="8">
        <v>180000</v>
      </c>
      <c r="R52" t="str" s="8">
        <v>首击</v>
      </c>
      <c r="S52" t="n" s="8">
        <v>30000</v>
      </c>
      <c r="T52" t="n" s="8">
        <v>11</v>
      </c>
      <c r="U52" t="n" s="16">
        <v>40900301</v>
      </c>
      <c r="V52" t="n" s="8">
        <v>41120308</v>
      </c>
      <c r="W52" t="n" s="8">
        <v>41320301</v>
      </c>
      <c r="X52" t="n" s="8">
        <v>11000001</v>
      </c>
      <c r="Y52" s="8"/>
      <c r="Z52" s="8"/>
      <c r="AA52" t="str" s="8">
        <v>妖兽</v>
      </c>
      <c r="AB52" s="21">
        <v>20044</v>
      </c>
      <c r="AC52" t="n" s="8">
        <v>1.25</v>
      </c>
      <c r="AD52" t="n" s="8">
        <v>60</v>
      </c>
      <c r="AE52" t="n" s="8">
        <v>60</v>
      </c>
      <c r="AF52" t="n" s="8">
        <v>0</v>
      </c>
      <c r="AG52" t="n" s="8">
        <v>0</v>
      </c>
      <c r="AH52" t="str" s="8">
        <v>近战</v>
      </c>
      <c r="AI52"/>
      <c r="AJ52" s="17"/>
      <c r="AK52" s="8"/>
      <c r="AL52" s="18"/>
      <c r="AM52" t="str" s="8">
        <v>生命值</v>
      </c>
      <c r="AN52" t="n" s="19">
        <v>21470</v>
      </c>
      <c r="AO52" t="str" s="8">
        <v>灵力值</v>
      </c>
      <c r="AP52" t="n" s="8">
        <v>1266</v>
      </c>
      <c r="AQ52" t="str" s="8">
        <v>攻击下限</v>
      </c>
      <c r="AR52" t="n" s="8">
        <v>633</v>
      </c>
      <c r="AS52" t="str" s="8">
        <v>攻击上限</v>
      </c>
      <c r="AT52" t="n" s="8">
        <v>633</v>
      </c>
      <c r="AU52" t="str" s="8">
        <v>法力下限</v>
      </c>
      <c r="AV52" t="n" s="8">
        <v>633</v>
      </c>
      <c r="AW52" t="str" s="8">
        <v>法力上限</v>
      </c>
      <c r="AX52" t="n" s="8">
        <v>633</v>
      </c>
      <c r="AY52" t="str" s="8">
        <v>物防下限</v>
      </c>
      <c r="AZ52" t="n" s="8">
        <v>173</v>
      </c>
      <c r="BA52" t="str" s="8">
        <v>物防上限</v>
      </c>
      <c r="BB52" t="n" s="8">
        <v>173</v>
      </c>
      <c r="BC52" t="str" s="8">
        <v>法防下限</v>
      </c>
      <c r="BD52" t="n" s="8">
        <v>173</v>
      </c>
      <c r="BE52" t="str" s="8">
        <v>法防上限</v>
      </c>
      <c r="BF52" t="n" s="8">
        <v>173</v>
      </c>
      <c r="BG52" t="str" s="8">
        <v>移动速度</v>
      </c>
      <c r="BH52" t="n" s="8">
        <v>240</v>
      </c>
      <c r="BI52" t="str" s="8">
        <v>攻击范围</v>
      </c>
      <c r="BJ52" t="n" s="8">
        <v>160</v>
      </c>
      <c r="BK52" t="str" s="8">
        <v>警戒范围</v>
      </c>
      <c r="BL52" t="n" s="8">
        <v>550</v>
      </c>
      <c r="BM52" t="str" s="8">
        <v>攻击间隔</v>
      </c>
      <c r="BN52" t="n" s="8">
        <v>1800</v>
      </c>
      <c r="BO52" t="n" s="8">
        <v>0</v>
      </c>
      <c r="BP52" s="8"/>
      <c r="BQ52" t="n" s="8">
        <v>0</v>
      </c>
      <c r="BR52" t="n" s="8">
        <v>0</v>
      </c>
      <c r="BS52" t="n" s="8">
        <v>0</v>
      </c>
      <c r="BT52" t="n" s="8">
        <v>0</v>
      </c>
      <c r="BU52" t="str" s="8">
        <v>豁烟水的精英遭遇。依托本区既有水土、岩隙和可达条件活动。</v>
      </c>
      <c r="BV52" t="n">
        <v>3</v>
      </c>
      <c r="BW52" t="n">
        <v>2</v>
      </c>
      <c r="BX52" t="str">
        <v>玄品</v>
      </c>
      <c r="BY52" t="str">
        <v>native</v>
      </c>
      <c r="BZ52" t="b">
        <v>0</v>
      </c>
    </row>
    <row r="53" ht="16.5" customHeight="1" spans="2:75">
      <c r="A53"/>
      <c r="B53" t="n" s="8">
        <f>60000000+INDEX(编号表!$B:$B,MATCH(J53,编号表!$A:$A,0))*10000+INDEX(编号表!$B:$B,MATCH(K53,编号表!$C:$C,0))*1000+L53</f>
        <v>60121062</v>
      </c>
      <c r="C53" t="str" s="8">
        <v>a010</v>
      </c>
      <c r="D53" t="str" s="5">
        <v>低岛灵狼</v>
      </c>
      <c r="E53" t="str" s="5">
        <v>R03-M2-普通-62</v>
      </c>
      <c r="F53" t="n" s="8">
        <v>25</v>
      </c>
      <c r="G53" t="str" s="8">
        <f>INDEX(编号表!$E:$E,MATCH(K53,编号表!$C:$C,0))</f>
        <v>白色</v>
      </c>
      <c r="H53" t="n" s="8">
        <v>3</v>
      </c>
      <c r="I53" t="str" s="8">
        <v>密荷影</v>
      </c>
      <c r="J53" t="str" s="8">
        <v>密荷影</v>
      </c>
      <c r="K53" t="str" s="8">
        <v>普通</v>
      </c>
      <c r="L53" t="n" s="8">
        <v>62</v>
      </c>
      <c r="M53" t="n" s="8">
        <v>62</v>
      </c>
      <c r="N53" t="n" s="8">
        <v>1</v>
      </c>
      <c r="O53" s="8"/>
      <c r="P53" t="n" s="8">
        <v>24</v>
      </c>
      <c r="Q53" t="n" s="8">
        <v>30000</v>
      </c>
      <c r="R53" t="str" s="8">
        <v>首击</v>
      </c>
      <c r="S53" t="n" s="8">
        <v>30000</v>
      </c>
      <c r="T53" t="n" s="8">
        <v>10</v>
      </c>
      <c r="U53" t="n" s="16">
        <v>40900300</v>
      </c>
      <c r="V53" t="n" s="8">
        <v>40910309</v>
      </c>
      <c r="W53" t="n" s="8">
        <v>40920301</v>
      </c>
      <c r="X53" t="n" s="8">
        <v>11000001</v>
      </c>
      <c r="Y53" s="8"/>
      <c r="Z53" s="8"/>
      <c r="AA53" t="str" s="8">
        <v>妖兽</v>
      </c>
      <c r="AB53" s="21">
        <v>20048</v>
      </c>
      <c r="AC53" t="n" s="8">
        <v>1</v>
      </c>
      <c r="AD53" t="n" s="8">
        <v>60</v>
      </c>
      <c r="AE53" t="n" s="8">
        <v>60</v>
      </c>
      <c r="AF53" t="n" s="8">
        <v>0</v>
      </c>
      <c r="AG53" t="n" s="8">
        <v>0</v>
      </c>
      <c r="AH53" t="str" s="8">
        <v>近战</v>
      </c>
      <c r="AI53" s="8"/>
      <c r="AJ53" s="17"/>
      <c r="AK53" s="8"/>
      <c r="AL53" s="18"/>
      <c r="AM53" t="str" s="8">
        <v>生命值</v>
      </c>
      <c r="AN53" t="n" s="19">
        <v>9072</v>
      </c>
      <c r="AO53" t="str" s="8">
        <v>灵力值</v>
      </c>
      <c r="AP53" t="n" s="8">
        <v>1034</v>
      </c>
      <c r="AQ53" t="str" s="8">
        <v>攻击下限</v>
      </c>
      <c r="AR53" t="n" s="8">
        <v>517</v>
      </c>
      <c r="AS53" t="str" s="8">
        <v>攻击上限</v>
      </c>
      <c r="AT53" t="n" s="8">
        <v>517</v>
      </c>
      <c r="AU53" t="str" s="8">
        <v>法力下限</v>
      </c>
      <c r="AV53" t="n" s="8">
        <v>517</v>
      </c>
      <c r="AW53" t="str" s="8">
        <v>法力上限</v>
      </c>
      <c r="AX53" t="n" s="8">
        <v>517</v>
      </c>
      <c r="AY53" t="str" s="8">
        <v>物防下限</v>
      </c>
      <c r="AZ53" t="n" s="8">
        <v>170</v>
      </c>
      <c r="BA53" t="str" s="8">
        <v>物防上限</v>
      </c>
      <c r="BB53" t="n" s="8">
        <v>170</v>
      </c>
      <c r="BC53" t="str" s="8">
        <v>法防下限</v>
      </c>
      <c r="BD53" t="n" s="8">
        <v>170</v>
      </c>
      <c r="BE53" t="str" s="8">
        <v>法防上限</v>
      </c>
      <c r="BF53" t="n" s="8">
        <v>170</v>
      </c>
      <c r="BG53" t="str" s="8">
        <v>移动速度</v>
      </c>
      <c r="BH53" t="n" s="8">
        <v>240</v>
      </c>
      <c r="BI53" t="str" s="8">
        <v>攻击范围</v>
      </c>
      <c r="BJ53" t="n" s="8">
        <v>160</v>
      </c>
      <c r="BK53" t="str" s="8">
        <v>警戒范围</v>
      </c>
      <c r="BL53" t="n" s="8">
        <v>550</v>
      </c>
      <c r="BM53" t="str" s="8">
        <v>攻击间隔</v>
      </c>
      <c r="BN53" t="n" s="8">
        <v>1800</v>
      </c>
      <c r="BO53" t="n" s="8">
        <v>0</v>
      </c>
      <c r="BP53" s="8"/>
      <c r="BQ53" t="n" s="8">
        <v>0</v>
      </c>
      <c r="BR53" t="n" s="8">
        <v>0</v>
      </c>
      <c r="BS53" t="n" s="8">
        <v>0</v>
      </c>
      <c r="BT53" t="n" s="8">
        <v>0</v>
      </c>
      <c r="BU53" t="str" s="8">
        <v>密荷影的普通遭遇。依托本区既有水土、岩隙和可达条件活动。</v>
      </c>
      <c r="BV53" t="n">
        <v>3</v>
      </c>
      <c r="BW53" t="n">
        <v>5</v>
      </c>
      <c r="BX53" t="str">
        <v>凡品</v>
      </c>
      <c r="BY53" t="str">
        <v>native</v>
      </c>
      <c r="BZ53" t="b">
        <v>0</v>
      </c>
    </row>
    <row r="54" ht="16.5" customHeight="1" spans="2:75">
      <c r="A54"/>
      <c r="B54" t="n" s="8">
        <f>60000000+INDEX(编号表!$B:$B,MATCH(J54,编号表!$A:$A,0))*10000+INDEX(编号表!$B:$B,MATCH(K54,编号表!$C:$C,0))*1000+L54</f>
        <v>60121063</v>
      </c>
      <c r="C54" t="str" s="8">
        <v>a010</v>
      </c>
      <c r="D54" t="str" s="5">
        <v>末分岩蟹</v>
      </c>
      <c r="E54" t="str" s="5">
        <v>R03-M2-普通-63</v>
      </c>
      <c r="F54" t="n" s="8">
        <v>25</v>
      </c>
      <c r="G54" t="str" s="8">
        <f>INDEX(编号表!$E:$E,MATCH(K54,编号表!$C:$C,0))</f>
        <v>白色</v>
      </c>
      <c r="H54" t="n" s="8">
        <v>3</v>
      </c>
      <c r="I54" t="str" s="8">
        <v>密荷影</v>
      </c>
      <c r="J54" t="str" s="8">
        <v>密荷影</v>
      </c>
      <c r="K54" t="str" s="8">
        <v>普通</v>
      </c>
      <c r="L54" t="n" s="8">
        <v>63</v>
      </c>
      <c r="M54" t="n" s="8">
        <v>63</v>
      </c>
      <c r="N54" t="n" s="8">
        <v>1</v>
      </c>
      <c r="O54" s="8"/>
      <c r="P54" t="n" s="8">
        <v>24</v>
      </c>
      <c r="Q54" t="n" s="8">
        <v>30000</v>
      </c>
      <c r="R54" t="str" s="8">
        <v>首击</v>
      </c>
      <c r="S54" t="n" s="8">
        <v>30000</v>
      </c>
      <c r="T54" t="n" s="8">
        <v>10</v>
      </c>
      <c r="U54" t="n" s="16">
        <v>40900300</v>
      </c>
      <c r="V54" t="n" s="8">
        <v>40910310</v>
      </c>
      <c r="W54" t="n" s="8">
        <v>40920300</v>
      </c>
      <c r="X54" t="n" s="8">
        <v>11000001</v>
      </c>
      <c r="Y54" s="8"/>
      <c r="Z54" s="8"/>
      <c r="AA54" t="str" s="8">
        <v>妖兽</v>
      </c>
      <c r="AB54" s="21">
        <v>20049</v>
      </c>
      <c r="AC54" t="n" s="8">
        <v>1</v>
      </c>
      <c r="AD54" t="n" s="8">
        <v>60</v>
      </c>
      <c r="AE54" t="n" s="8">
        <v>60</v>
      </c>
      <c r="AF54" t="n" s="8">
        <v>0</v>
      </c>
      <c r="AG54" t="n" s="8">
        <v>0</v>
      </c>
      <c r="AH54" t="str" s="8">
        <v>近战</v>
      </c>
      <c r="AI54"/>
      <c r="AJ54" s="17"/>
      <c r="AK54" s="8"/>
      <c r="AL54" s="18"/>
      <c r="AM54" t="str" s="8">
        <v>生命值</v>
      </c>
      <c r="AN54" t="n" s="19">
        <v>9072</v>
      </c>
      <c r="AO54" t="str" s="8">
        <v>灵力值</v>
      </c>
      <c r="AP54" t="n" s="8">
        <v>1034</v>
      </c>
      <c r="AQ54" t="str" s="8">
        <v>攻击下限</v>
      </c>
      <c r="AR54" t="n" s="8">
        <v>517</v>
      </c>
      <c r="AS54" t="str" s="8">
        <v>攻击上限</v>
      </c>
      <c r="AT54" t="n" s="8">
        <v>517</v>
      </c>
      <c r="AU54" t="str" s="8">
        <v>法力下限</v>
      </c>
      <c r="AV54" t="n" s="8">
        <v>517</v>
      </c>
      <c r="AW54" t="str" s="8">
        <v>法力上限</v>
      </c>
      <c r="AX54" t="n" s="8">
        <v>517</v>
      </c>
      <c r="AY54" t="str" s="8">
        <v>物防下限</v>
      </c>
      <c r="AZ54" t="n" s="8">
        <v>170</v>
      </c>
      <c r="BA54" t="str" s="8">
        <v>物防上限</v>
      </c>
      <c r="BB54" t="n" s="8">
        <v>170</v>
      </c>
      <c r="BC54" t="str" s="8">
        <v>法防下限</v>
      </c>
      <c r="BD54" t="n" s="8">
        <v>170</v>
      </c>
      <c r="BE54" t="str" s="8">
        <v>法防上限</v>
      </c>
      <c r="BF54" t="n" s="8">
        <v>170</v>
      </c>
      <c r="BG54" t="str" s="8">
        <v>移动速度</v>
      </c>
      <c r="BH54" t="n" s="8">
        <v>240</v>
      </c>
      <c r="BI54" t="str" s="8">
        <v>攻击范围</v>
      </c>
      <c r="BJ54" t="n" s="8">
        <v>160</v>
      </c>
      <c r="BK54" t="str" s="8">
        <v>警戒范围</v>
      </c>
      <c r="BL54" t="n" s="8">
        <v>550</v>
      </c>
      <c r="BM54" t="str" s="8">
        <v>攻击间隔</v>
      </c>
      <c r="BN54" t="n" s="8">
        <v>1800</v>
      </c>
      <c r="BO54" t="n" s="8">
        <v>0</v>
      </c>
      <c r="BP54" s="8"/>
      <c r="BQ54" t="n" s="8">
        <v>0</v>
      </c>
      <c r="BR54" t="n" s="8">
        <v>0</v>
      </c>
      <c r="BS54" t="n" s="8">
        <v>0</v>
      </c>
      <c r="BT54" t="n" s="8">
        <v>0</v>
      </c>
      <c r="BU54" t="str" s="8">
        <v>密荷影的普通遭遇。依托本区既有水土、岩隙和可达条件活动。</v>
      </c>
      <c r="BV54" t="n">
        <v>3</v>
      </c>
      <c r="BW54" t="n">
        <v>5</v>
      </c>
      <c r="BX54" t="str">
        <v>凡品</v>
      </c>
      <c r="BY54" t="str">
        <v>native</v>
      </c>
      <c r="BZ54" t="b">
        <v>0</v>
      </c>
    </row>
    <row r="55" ht="16.5" customHeight="1" spans="2:75">
      <c r="A55"/>
      <c r="B55" t="n" s="8">
        <f>60000000+INDEX(编号表!$B:$B,MATCH(J55,编号表!$A:$A,0))*10000+INDEX(编号表!$B:$B,MATCH(K55,编号表!$C:$C,0))*1000+L55</f>
        <v>60121064</v>
      </c>
      <c r="C55" t="str" s="8">
        <v>a010</v>
      </c>
      <c r="D55" t="str" s="5">
        <v>荷汊灵蛙</v>
      </c>
      <c r="E55" t="str" s="5">
        <v>R03-M2-普通-64</v>
      </c>
      <c r="F55" t="n" s="8">
        <v>25</v>
      </c>
      <c r="G55" t="str" s="8">
        <f>INDEX(编号表!$E:$E,MATCH(K55,编号表!$C:$C,0))</f>
        <v>白色</v>
      </c>
      <c r="H55" t="n" s="8">
        <v>3</v>
      </c>
      <c r="I55" t="str" s="8">
        <v>密荷影</v>
      </c>
      <c r="J55" t="str" s="8">
        <v>密荷影</v>
      </c>
      <c r="K55" t="str" s="8">
        <v>普通</v>
      </c>
      <c r="L55" t="n" s="8">
        <v>64</v>
      </c>
      <c r="M55" t="n" s="8">
        <v>64</v>
      </c>
      <c r="N55" t="n" s="8">
        <v>1</v>
      </c>
      <c r="O55" s="8"/>
      <c r="P55" t="n" s="8">
        <v>24</v>
      </c>
      <c r="Q55" t="n" s="8">
        <v>30000</v>
      </c>
      <c r="R55" t="str" s="8">
        <v>首击</v>
      </c>
      <c r="S55" t="n" s="8">
        <v>30000</v>
      </c>
      <c r="T55" t="n" s="8">
        <v>10</v>
      </c>
      <c r="U55" t="n" s="16">
        <v>40900300</v>
      </c>
      <c r="V55" t="n" s="8">
        <v>40910311</v>
      </c>
      <c r="W55" t="n" s="8">
        <v>40920301</v>
      </c>
      <c r="X55" t="n" s="8">
        <v>11000001</v>
      </c>
      <c r="Y55" s="8"/>
      <c r="Z55" s="8"/>
      <c r="AA55" t="str" s="8">
        <v>妖兽</v>
      </c>
      <c r="AB55" s="21">
        <v>20050</v>
      </c>
      <c r="AC55" t="n" s="8">
        <v>1</v>
      </c>
      <c r="AD55" t="n" s="8">
        <v>60</v>
      </c>
      <c r="AE55" t="n" s="8">
        <v>60</v>
      </c>
      <c r="AF55" t="n" s="8">
        <v>0</v>
      </c>
      <c r="AG55" t="n" s="8">
        <v>0</v>
      </c>
      <c r="AH55" t="str" s="8">
        <v>近战</v>
      </c>
      <c r="AI55" s="8"/>
      <c r="AJ55" s="17"/>
      <c r="AK55" s="8"/>
      <c r="AL55" s="18"/>
      <c r="AM55" t="str" s="8">
        <v>生命值</v>
      </c>
      <c r="AN55" t="n" s="19">
        <v>9072</v>
      </c>
      <c r="AO55" t="str" s="8">
        <v>灵力值</v>
      </c>
      <c r="AP55" t="n" s="8">
        <v>1034</v>
      </c>
      <c r="AQ55" t="str" s="8">
        <v>攻击下限</v>
      </c>
      <c r="AR55" t="n" s="8">
        <v>517</v>
      </c>
      <c r="AS55" t="str" s="8">
        <v>攻击上限</v>
      </c>
      <c r="AT55" t="n" s="8">
        <v>517</v>
      </c>
      <c r="AU55" t="str" s="8">
        <v>法力下限</v>
      </c>
      <c r="AV55" t="n" s="8">
        <v>517</v>
      </c>
      <c r="AW55" t="str" s="8">
        <v>法力上限</v>
      </c>
      <c r="AX55" t="n" s="8">
        <v>517</v>
      </c>
      <c r="AY55" t="str" s="8">
        <v>物防下限</v>
      </c>
      <c r="AZ55" t="n" s="8">
        <v>170</v>
      </c>
      <c r="BA55" t="str" s="8">
        <v>物防上限</v>
      </c>
      <c r="BB55" t="n" s="8">
        <v>170</v>
      </c>
      <c r="BC55" t="str" s="8">
        <v>法防下限</v>
      </c>
      <c r="BD55" t="n" s="8">
        <v>170</v>
      </c>
      <c r="BE55" t="str" s="8">
        <v>法防上限</v>
      </c>
      <c r="BF55" t="n" s="8">
        <v>170</v>
      </c>
      <c r="BG55" t="str" s="8">
        <v>移动速度</v>
      </c>
      <c r="BH55" t="n" s="8">
        <v>240</v>
      </c>
      <c r="BI55" t="str" s="8">
        <v>攻击范围</v>
      </c>
      <c r="BJ55" t="n" s="8">
        <v>160</v>
      </c>
      <c r="BK55" t="str" s="8">
        <v>警戒范围</v>
      </c>
      <c r="BL55" t="n" s="8">
        <v>550</v>
      </c>
      <c r="BM55" t="str" s="8">
        <v>攻击间隔</v>
      </c>
      <c r="BN55" t="n" s="8">
        <v>1800</v>
      </c>
      <c r="BO55" t="n" s="8">
        <v>0</v>
      </c>
      <c r="BP55" s="8"/>
      <c r="BQ55" t="n" s="8">
        <v>0</v>
      </c>
      <c r="BR55" t="n" s="8">
        <v>0</v>
      </c>
      <c r="BS55" t="n" s="8">
        <v>0</v>
      </c>
      <c r="BT55" t="n" s="8">
        <v>0</v>
      </c>
      <c r="BU55" t="str" s="8">
        <v>密荷影的普通遭遇。依托本区既有水土、岩隙和可达条件活动。</v>
      </c>
      <c r="BV55" t="n">
        <v>3</v>
      </c>
      <c r="BW55" t="n">
        <v>5</v>
      </c>
      <c r="BX55" t="str">
        <v>凡品</v>
      </c>
      <c r="BY55" t="str">
        <v>native</v>
      </c>
      <c r="BZ55" t="b">
        <v>0</v>
      </c>
    </row>
    <row r="56" ht="16.5" customHeight="1" spans="2:75">
      <c r="A56"/>
      <c r="B56" t="n" s="8">
        <f>60000000+INDEX(编号表!$B:$B,MATCH(J56,编号表!$A:$A,0))*10000+INDEX(编号表!$B:$B,MATCH(K56,编号表!$C:$C,0))*1000+L56</f>
        <v>60121065</v>
      </c>
      <c r="C56" t="str" s="8">
        <v>a010</v>
      </c>
      <c r="D56" t="str" s="5">
        <v>水脉灵蛇</v>
      </c>
      <c r="E56" t="str" s="5">
        <v>R03-M2-普通-65</v>
      </c>
      <c r="F56" t="n" s="8">
        <v>25</v>
      </c>
      <c r="G56" t="str" s="8">
        <f>INDEX(编号表!$E:$E,MATCH(K56,编号表!$C:$C,0))</f>
        <v>白色</v>
      </c>
      <c r="H56" t="n" s="8">
        <v>3</v>
      </c>
      <c r="I56" t="str" s="8">
        <v>密荷影</v>
      </c>
      <c r="J56" t="str" s="8">
        <v>密荷影</v>
      </c>
      <c r="K56" t="str" s="8">
        <v>普通</v>
      </c>
      <c r="L56" t="n" s="8">
        <v>65</v>
      </c>
      <c r="M56" t="n" s="8">
        <v>65</v>
      </c>
      <c r="N56" t="n" s="8">
        <v>1</v>
      </c>
      <c r="O56" s="8"/>
      <c r="P56" t="n" s="8">
        <v>24</v>
      </c>
      <c r="Q56" t="n" s="8">
        <v>30000</v>
      </c>
      <c r="R56" t="str" s="8">
        <v>首击</v>
      </c>
      <c r="S56" t="n" s="8">
        <v>30000</v>
      </c>
      <c r="T56" t="n" s="8">
        <v>10</v>
      </c>
      <c r="U56" t="n" s="16">
        <v>40900300</v>
      </c>
      <c r="V56" t="n" s="8">
        <v>40910312</v>
      </c>
      <c r="W56" t="n" s="8">
        <v>40920300</v>
      </c>
      <c r="X56" t="n" s="8">
        <v>11000001</v>
      </c>
      <c r="Y56" s="8"/>
      <c r="Z56" s="8"/>
      <c r="AA56" t="str" s="8">
        <v>妖兽</v>
      </c>
      <c r="AB56" s="21">
        <v>20051</v>
      </c>
      <c r="AC56" t="n" s="8">
        <v>1</v>
      </c>
      <c r="AD56" t="n" s="8">
        <v>60</v>
      </c>
      <c r="AE56" t="n" s="8">
        <v>60</v>
      </c>
      <c r="AF56" t="n" s="8">
        <v>0</v>
      </c>
      <c r="AG56" t="n" s="8">
        <v>0</v>
      </c>
      <c r="AH56" t="str" s="8">
        <v>近战</v>
      </c>
      <c r="AI56"/>
      <c r="AJ56" s="17"/>
      <c r="AK56" s="8"/>
      <c r="AL56" s="18"/>
      <c r="AM56" t="str" s="8">
        <v>生命值</v>
      </c>
      <c r="AN56" t="n" s="19">
        <v>9072</v>
      </c>
      <c r="AO56" t="str" s="8">
        <v>灵力值</v>
      </c>
      <c r="AP56" t="n" s="8">
        <v>1034</v>
      </c>
      <c r="AQ56" t="str" s="8">
        <v>攻击下限</v>
      </c>
      <c r="AR56" t="n" s="8">
        <v>517</v>
      </c>
      <c r="AS56" t="str" s="8">
        <v>攻击上限</v>
      </c>
      <c r="AT56" t="n" s="8">
        <v>517</v>
      </c>
      <c r="AU56" t="str" s="8">
        <v>法力下限</v>
      </c>
      <c r="AV56" t="n" s="8">
        <v>517</v>
      </c>
      <c r="AW56" t="str" s="8">
        <v>法力上限</v>
      </c>
      <c r="AX56" t="n" s="8">
        <v>517</v>
      </c>
      <c r="AY56" t="str" s="8">
        <v>物防下限</v>
      </c>
      <c r="AZ56" t="n" s="8">
        <v>170</v>
      </c>
      <c r="BA56" t="str" s="8">
        <v>物防上限</v>
      </c>
      <c r="BB56" t="n" s="8">
        <v>170</v>
      </c>
      <c r="BC56" t="str" s="8">
        <v>法防下限</v>
      </c>
      <c r="BD56" t="n" s="8">
        <v>170</v>
      </c>
      <c r="BE56" t="str" s="8">
        <v>法防上限</v>
      </c>
      <c r="BF56" t="n" s="8">
        <v>170</v>
      </c>
      <c r="BG56" t="str" s="8">
        <v>移动速度</v>
      </c>
      <c r="BH56" t="n" s="8">
        <v>240</v>
      </c>
      <c r="BI56" t="str" s="8">
        <v>攻击范围</v>
      </c>
      <c r="BJ56" t="n" s="8">
        <v>160</v>
      </c>
      <c r="BK56" t="str" s="8">
        <v>警戒范围</v>
      </c>
      <c r="BL56" t="n" s="8">
        <v>550</v>
      </c>
      <c r="BM56" t="str" s="8">
        <v>攻击间隔</v>
      </c>
      <c r="BN56" t="n" s="8">
        <v>1800</v>
      </c>
      <c r="BO56" t="n" s="8">
        <v>0</v>
      </c>
      <c r="BP56" s="8"/>
      <c r="BQ56" t="n" s="8">
        <v>0</v>
      </c>
      <c r="BR56" t="n" s="8">
        <v>0</v>
      </c>
      <c r="BS56" t="n" s="8">
        <v>0</v>
      </c>
      <c r="BT56" t="n" s="8">
        <v>0</v>
      </c>
      <c r="BU56" t="str" s="8">
        <v>密荷影的普通遭遇。依托本区既有水土、岩隙和可达条件活动。</v>
      </c>
      <c r="BV56" t="n">
        <v>3</v>
      </c>
      <c r="BW56" t="n">
        <v>5</v>
      </c>
      <c r="BX56" t="str">
        <v>凡品</v>
      </c>
      <c r="BY56" t="str">
        <v>native</v>
      </c>
      <c r="BZ56" t="b">
        <v>0</v>
      </c>
    </row>
    <row r="57" ht="16.5" customHeight="1" spans="2:75">
      <c r="A57"/>
      <c r="B57" t="n" s="8">
        <f>60000000+INDEX(编号表!$B:$B,MATCH(J57,编号表!$A:$A,0))*10000+INDEX(编号表!$B:$B,MATCH(K57,编号表!$C:$C,0))*1000+L57</f>
        <v>60122066</v>
      </c>
      <c r="C57" t="str" s="8">
        <v>a010</v>
      </c>
      <c r="D57" t="str" s="5">
        <v>低岛灵狼·异种</v>
      </c>
      <c r="E57" t="str" s="5">
        <v>R03-M2-精英-66</v>
      </c>
      <c r="F57" t="n" s="8">
        <v>25</v>
      </c>
      <c r="G57" t="str" s="8">
        <f>INDEX(编号表!$E:$E,MATCH(K57,编号表!$C:$C,0))</f>
        <v>绿色</v>
      </c>
      <c r="H57" t="n" s="8">
        <v>3</v>
      </c>
      <c r="I57" t="str" s="8">
        <v>密荷影</v>
      </c>
      <c r="J57" t="str" s="8">
        <v>密荷影</v>
      </c>
      <c r="K57" t="str" s="8">
        <v>精英</v>
      </c>
      <c r="L57" t="n" s="8">
        <v>66</v>
      </c>
      <c r="M57" t="n" s="8">
        <v>66</v>
      </c>
      <c r="N57" t="n" s="8">
        <v>3</v>
      </c>
      <c r="O57" s="8"/>
      <c r="P57" t="n" s="8">
        <v>40</v>
      </c>
      <c r="Q57" t="n" s="8">
        <v>180000</v>
      </c>
      <c r="R57" t="str" s="8">
        <v>首击</v>
      </c>
      <c r="S57" t="n" s="8">
        <v>30000</v>
      </c>
      <c r="T57" t="n" s="8">
        <v>11</v>
      </c>
      <c r="U57" t="n" s="16">
        <v>40900301</v>
      </c>
      <c r="V57" t="n" s="8">
        <v>41120300</v>
      </c>
      <c r="W57" t="n" s="8">
        <v>41320302</v>
      </c>
      <c r="X57" t="n" s="8">
        <v>11000001</v>
      </c>
      <c r="Y57" s="8"/>
      <c r="Z57" s="8"/>
      <c r="AA57" t="str" s="8">
        <v>妖兽</v>
      </c>
      <c r="AB57" s="21">
        <v>20051</v>
      </c>
      <c r="AC57" t="n" s="8">
        <v>1.25</v>
      </c>
      <c r="AD57" t="n" s="8">
        <v>60</v>
      </c>
      <c r="AE57" t="n" s="8">
        <v>60</v>
      </c>
      <c r="AF57" t="n" s="8">
        <v>0</v>
      </c>
      <c r="AG57" t="n" s="8">
        <v>0</v>
      </c>
      <c r="AH57" t="str" s="8">
        <v>近战</v>
      </c>
      <c r="AI57"/>
      <c r="AJ57" s="17"/>
      <c r="AK57" s="8"/>
      <c r="AL57" s="18"/>
      <c r="AM57" t="str" s="8">
        <v>生命值</v>
      </c>
      <c r="AN57" t="n" s="19">
        <v>25402</v>
      </c>
      <c r="AO57" t="str" s="8">
        <v>灵力值</v>
      </c>
      <c r="AP57" t="n" s="8">
        <v>1498</v>
      </c>
      <c r="AQ57" t="str" s="8">
        <v>攻击下限</v>
      </c>
      <c r="AR57" t="n" s="8">
        <v>749</v>
      </c>
      <c r="AS57" t="str" s="8">
        <v>攻击上限</v>
      </c>
      <c r="AT57" t="n" s="8">
        <v>749</v>
      </c>
      <c r="AU57" t="str" s="8">
        <v>法力下限</v>
      </c>
      <c r="AV57" t="n" s="8">
        <v>749</v>
      </c>
      <c r="AW57" t="str" s="8">
        <v>法力上限</v>
      </c>
      <c r="AX57" t="n" s="8">
        <v>749</v>
      </c>
      <c r="AY57" t="str" s="8">
        <v>物防下限</v>
      </c>
      <c r="AZ57" t="n" s="8">
        <v>204</v>
      </c>
      <c r="BA57" t="str" s="8">
        <v>物防上限</v>
      </c>
      <c r="BB57" t="n" s="8">
        <v>204</v>
      </c>
      <c r="BC57" t="str" s="8">
        <v>法防下限</v>
      </c>
      <c r="BD57" t="n" s="8">
        <v>204</v>
      </c>
      <c r="BE57" t="str" s="8">
        <v>法防上限</v>
      </c>
      <c r="BF57" t="n" s="8">
        <v>204</v>
      </c>
      <c r="BG57" t="str" s="8">
        <v>移动速度</v>
      </c>
      <c r="BH57" t="n" s="8">
        <v>240</v>
      </c>
      <c r="BI57" t="str" s="8">
        <v>攻击范围</v>
      </c>
      <c r="BJ57" t="n" s="8">
        <v>160</v>
      </c>
      <c r="BK57" t="str" s="8">
        <v>警戒范围</v>
      </c>
      <c r="BL57" t="n" s="8">
        <v>550</v>
      </c>
      <c r="BM57" t="str" s="8">
        <v>攻击间隔</v>
      </c>
      <c r="BN57" t="n" s="8">
        <v>1800</v>
      </c>
      <c r="BO57" t="n" s="8">
        <v>0</v>
      </c>
      <c r="BP57" s="8"/>
      <c r="BQ57" t="n" s="8">
        <v>0</v>
      </c>
      <c r="BR57" t="n" s="8">
        <v>0</v>
      </c>
      <c r="BS57" t="n" s="8">
        <v>0</v>
      </c>
      <c r="BT57" t="n" s="8">
        <v>0</v>
      </c>
      <c r="BU57" t="str" s="8">
        <v>密荷影的精英遭遇。依托本区既有水土、岩隙和可达条件活动。</v>
      </c>
      <c r="BV57" t="n">
        <v>3</v>
      </c>
      <c r="BW57" t="n">
        <v>5</v>
      </c>
      <c r="BX57" t="str">
        <v>玄品</v>
      </c>
      <c r="BY57" t="str">
        <v>native</v>
      </c>
      <c r="BZ57" t="b">
        <v>0</v>
      </c>
    </row>
    <row r="58" ht="16.5" customHeight="1" spans="2:75">
      <c r="A58"/>
      <c r="B58" t="n" s="8">
        <f>60000000+INDEX(编号表!$B:$B,MATCH(J58,编号表!$A:$A,0))*10000+INDEX(编号表!$B:$B,MATCH(K58,编号表!$C:$C,0))*1000+L58</f>
        <v>60131067</v>
      </c>
      <c r="C58" t="str" s="8">
        <v>a010</v>
      </c>
      <c r="D58" t="str" s="5">
        <v>末分岩蟹</v>
      </c>
      <c r="E58" t="str" s="5">
        <v>R03-M3-普通-67</v>
      </c>
      <c r="F58" t="n" s="8">
        <v>28</v>
      </c>
      <c r="G58" t="str" s="8">
        <f>INDEX(编号表!$E:$E,MATCH(K58,编号表!$C:$C,0))</f>
        <v>白色</v>
      </c>
      <c r="H58" t="n" s="8">
        <v>3</v>
      </c>
      <c r="I58" t="str" s="8">
        <v>末分石</v>
      </c>
      <c r="J58" t="str" s="8">
        <v>末分石</v>
      </c>
      <c r="K58" t="str" s="8">
        <v>普通</v>
      </c>
      <c r="L58" t="n" s="8">
        <v>67</v>
      </c>
      <c r="M58" t="n" s="8">
        <v>67</v>
      </c>
      <c r="N58" t="n" s="8">
        <v>1</v>
      </c>
      <c r="O58" s="8"/>
      <c r="P58" t="n" s="8">
        <v>24</v>
      </c>
      <c r="Q58" t="n" s="8">
        <v>30000</v>
      </c>
      <c r="R58" t="str" s="8">
        <v>首击</v>
      </c>
      <c r="S58" t="n" s="8">
        <v>30000</v>
      </c>
      <c r="T58" t="n" s="8">
        <v>10</v>
      </c>
      <c r="U58" t="n" s="16">
        <v>40900300</v>
      </c>
      <c r="V58" t="n" s="8">
        <v>40910301</v>
      </c>
      <c r="W58" t="n" s="8">
        <v>40920300</v>
      </c>
      <c r="X58" t="n" s="8">
        <v>11000001</v>
      </c>
      <c r="Y58" s="8"/>
      <c r="Z58" s="8"/>
      <c r="AA58" t="str" s="8">
        <v>妖兽</v>
      </c>
      <c r="AB58" s="21">
        <v>20052</v>
      </c>
      <c r="AC58" t="n" s="8">
        <v>1</v>
      </c>
      <c r="AD58" t="n" s="8">
        <v>60</v>
      </c>
      <c r="AE58" t="n" s="8">
        <v>60</v>
      </c>
      <c r="AF58" t="n" s="8">
        <v>0</v>
      </c>
      <c r="AG58" t="n" s="8">
        <v>0</v>
      </c>
      <c r="AH58" t="str" s="8">
        <v>近战</v>
      </c>
      <c r="AI58" s="8"/>
      <c r="AJ58" s="17"/>
      <c r="AK58" s="8"/>
      <c r="AL58" s="18"/>
      <c r="AM58" t="str" s="8">
        <v>生命值</v>
      </c>
      <c r="AN58" t="n" s="19">
        <v>10476</v>
      </c>
      <c r="AO58" t="str" s="8">
        <v>灵力值</v>
      </c>
      <c r="AP58" t="n" s="8">
        <v>1194</v>
      </c>
      <c r="AQ58" t="str" s="8">
        <v>攻击下限</v>
      </c>
      <c r="AR58" t="n" s="8">
        <v>597</v>
      </c>
      <c r="AS58" t="str" s="8">
        <v>攻击上限</v>
      </c>
      <c r="AT58" t="n" s="8">
        <v>597</v>
      </c>
      <c r="AU58" t="str" s="8">
        <v>法力下限</v>
      </c>
      <c r="AV58" t="n" s="8">
        <v>597</v>
      </c>
      <c r="AW58" t="str" s="8">
        <v>法力上限</v>
      </c>
      <c r="AX58" t="n" s="8">
        <v>597</v>
      </c>
      <c r="AY58" t="str" s="8">
        <v>物防下限</v>
      </c>
      <c r="AZ58" t="n" s="8">
        <v>196</v>
      </c>
      <c r="BA58" t="str" s="8">
        <v>物防上限</v>
      </c>
      <c r="BB58" t="n" s="8">
        <v>196</v>
      </c>
      <c r="BC58" t="str" s="8">
        <v>法防下限</v>
      </c>
      <c r="BD58" t="n" s="8">
        <v>196</v>
      </c>
      <c r="BE58" t="str" s="8">
        <v>法防上限</v>
      </c>
      <c r="BF58" t="n" s="8">
        <v>196</v>
      </c>
      <c r="BG58" t="str" s="8">
        <v>移动速度</v>
      </c>
      <c r="BH58" t="n" s="8">
        <v>240</v>
      </c>
      <c r="BI58" t="str" s="8">
        <v>攻击范围</v>
      </c>
      <c r="BJ58" t="n" s="8">
        <v>160</v>
      </c>
      <c r="BK58" t="str" s="8">
        <v>警戒范围</v>
      </c>
      <c r="BL58" t="n" s="8">
        <v>550</v>
      </c>
      <c r="BM58" t="str" s="8">
        <v>攻击间隔</v>
      </c>
      <c r="BN58" t="n" s="8">
        <v>1800</v>
      </c>
      <c r="BO58" t="n" s="8">
        <v>0</v>
      </c>
      <c r="BP58" s="8"/>
      <c r="BQ58" t="n" s="8">
        <v>0</v>
      </c>
      <c r="BR58" t="n" s="8">
        <v>0</v>
      </c>
      <c r="BS58" t="n" s="8">
        <v>0</v>
      </c>
      <c r="BT58" t="n" s="8">
        <v>0</v>
      </c>
      <c r="BU58" t="str" s="8">
        <v>末分石的普通遭遇。依托本区既有水土、岩隙和可达条件活动。</v>
      </c>
      <c r="BV58" t="n">
        <v>3</v>
      </c>
      <c r="BW58" t="n">
        <v>8</v>
      </c>
      <c r="BX58" t="str">
        <v>凡品</v>
      </c>
      <c r="BY58" t="str">
        <v>native</v>
      </c>
      <c r="BZ58" t="b">
        <v>0</v>
      </c>
    </row>
    <row r="59" ht="16.5" customHeight="1" spans="2:75">
      <c r="A59"/>
      <c r="B59" t="n" s="8">
        <f>60000000+INDEX(编号表!$B:$B,MATCH(J59,编号表!$A:$A,0))*10000+INDEX(编号表!$B:$B,MATCH(K59,编号表!$C:$C,0))*1000+L59</f>
        <v>60131068</v>
      </c>
      <c r="C59" t="str" s="8">
        <v>a010</v>
      </c>
      <c r="D59" t="str" s="5">
        <v>荷汊灵蛙</v>
      </c>
      <c r="E59" t="str" s="5">
        <v>R03-M3-普通-68</v>
      </c>
      <c r="F59" t="n" s="8">
        <v>28</v>
      </c>
      <c r="G59" t="str" s="8">
        <f>INDEX(编号表!$E:$E,MATCH(K59,编号表!$C:$C,0))</f>
        <v>白色</v>
      </c>
      <c r="H59" t="n" s="8">
        <v>3</v>
      </c>
      <c r="I59" t="str" s="8">
        <v>末分石</v>
      </c>
      <c r="J59" t="str" s="8">
        <v>末分石</v>
      </c>
      <c r="K59" t="str" s="8">
        <v>普通</v>
      </c>
      <c r="L59" t="n" s="8">
        <v>68</v>
      </c>
      <c r="M59" t="n" s="8">
        <v>68</v>
      </c>
      <c r="N59" t="n" s="8">
        <v>1</v>
      </c>
      <c r="O59" s="8"/>
      <c r="P59" t="n" s="8">
        <v>24</v>
      </c>
      <c r="Q59" t="n" s="8">
        <v>30000</v>
      </c>
      <c r="R59" t="str" s="8">
        <v>首击</v>
      </c>
      <c r="S59" t="n" s="8">
        <v>30000</v>
      </c>
      <c r="T59" t="n" s="8">
        <v>10</v>
      </c>
      <c r="U59" t="n" s="16">
        <v>40900300</v>
      </c>
      <c r="V59" t="n" s="8">
        <v>40910302</v>
      </c>
      <c r="W59" t="n" s="8">
        <v>40920301</v>
      </c>
      <c r="X59" t="n" s="8">
        <v>11000001</v>
      </c>
      <c r="Y59" s="8"/>
      <c r="Z59" s="8"/>
      <c r="AA59" t="str" s="8">
        <v>妖兽</v>
      </c>
      <c r="AB59" s="21">
        <v>20053</v>
      </c>
      <c r="AC59" t="n" s="8">
        <v>1</v>
      </c>
      <c r="AD59" t="n" s="8">
        <v>60</v>
      </c>
      <c r="AE59" t="n" s="8">
        <v>60</v>
      </c>
      <c r="AF59" t="n" s="8">
        <v>0</v>
      </c>
      <c r="AG59" t="n" s="8">
        <v>0</v>
      </c>
      <c r="AH59" t="str" s="8">
        <v>近战</v>
      </c>
      <c r="AI59" s="8"/>
      <c r="AJ59" s="17"/>
      <c r="AK59" s="8"/>
      <c r="AL59" s="18"/>
      <c r="AM59" t="str" s="8">
        <v>生命值</v>
      </c>
      <c r="AN59" t="n" s="19">
        <v>10476</v>
      </c>
      <c r="AO59" t="str" s="8">
        <v>灵力值</v>
      </c>
      <c r="AP59" t="n" s="8">
        <v>1194</v>
      </c>
      <c r="AQ59" t="str" s="8">
        <v>攻击下限</v>
      </c>
      <c r="AR59" t="n" s="8">
        <v>597</v>
      </c>
      <c r="AS59" t="str" s="8">
        <v>攻击上限</v>
      </c>
      <c r="AT59" t="n" s="8">
        <v>597</v>
      </c>
      <c r="AU59" t="str" s="8">
        <v>法力下限</v>
      </c>
      <c r="AV59" t="n" s="8">
        <v>597</v>
      </c>
      <c r="AW59" t="str" s="8">
        <v>法力上限</v>
      </c>
      <c r="AX59" t="n" s="8">
        <v>597</v>
      </c>
      <c r="AY59" t="str" s="8">
        <v>物防下限</v>
      </c>
      <c r="AZ59" t="n" s="8">
        <v>196</v>
      </c>
      <c r="BA59" t="str" s="8">
        <v>物防上限</v>
      </c>
      <c r="BB59" t="n" s="8">
        <v>196</v>
      </c>
      <c r="BC59" t="str" s="8">
        <v>法防下限</v>
      </c>
      <c r="BD59" t="n" s="8">
        <v>196</v>
      </c>
      <c r="BE59" t="str" s="8">
        <v>法防上限</v>
      </c>
      <c r="BF59" t="n" s="8">
        <v>196</v>
      </c>
      <c r="BG59" t="str" s="8">
        <v>移动速度</v>
      </c>
      <c r="BH59" t="n" s="8">
        <v>240</v>
      </c>
      <c r="BI59" t="str" s="8">
        <v>攻击范围</v>
      </c>
      <c r="BJ59" t="n" s="8">
        <v>160</v>
      </c>
      <c r="BK59" t="str" s="8">
        <v>警戒范围</v>
      </c>
      <c r="BL59" t="n" s="8">
        <v>550</v>
      </c>
      <c r="BM59" t="str" s="8">
        <v>攻击间隔</v>
      </c>
      <c r="BN59" t="n" s="8">
        <v>1800</v>
      </c>
      <c r="BO59" t="n" s="8">
        <v>0</v>
      </c>
      <c r="BP59" s="8"/>
      <c r="BQ59" t="n" s="8">
        <v>0</v>
      </c>
      <c r="BR59" t="n" s="8">
        <v>0</v>
      </c>
      <c r="BS59" t="n" s="8">
        <v>0</v>
      </c>
      <c r="BT59" t="n" s="8">
        <v>0</v>
      </c>
      <c r="BU59" t="str" s="8">
        <v>末分石的普通遭遇。依托本区既有水土、岩隙和可达条件活动。</v>
      </c>
      <c r="BV59" t="n">
        <v>3</v>
      </c>
      <c r="BW59" t="n">
        <v>8</v>
      </c>
      <c r="BX59" t="str">
        <v>凡品</v>
      </c>
      <c r="BY59" t="str">
        <v>native</v>
      </c>
      <c r="BZ59" t="b">
        <v>0</v>
      </c>
    </row>
    <row r="60" ht="16.5" customHeight="1" spans="2:75">
      <c r="A60"/>
      <c r="B60" t="n" s="8">
        <f>60000000+INDEX(编号表!$B:$B,MATCH(J60,编号表!$A:$A,0))*10000+INDEX(编号表!$B:$B,MATCH(K60,编号表!$C:$C,0))*1000+L60</f>
        <v>60131069</v>
      </c>
      <c r="C60" t="str" s="8">
        <v>a010</v>
      </c>
      <c r="D60" t="str" s="5">
        <v>水脉灵蛇</v>
      </c>
      <c r="E60" t="str" s="5">
        <v>R03-M3-普通-69</v>
      </c>
      <c r="F60" t="n" s="8">
        <v>28</v>
      </c>
      <c r="G60" t="str" s="8">
        <f>INDEX(编号表!$E:$E,MATCH(K60,编号表!$C:$C,0))</f>
        <v>白色</v>
      </c>
      <c r="H60" t="n" s="8">
        <v>3</v>
      </c>
      <c r="I60" t="str" s="8">
        <v>末分石</v>
      </c>
      <c r="J60" t="str" s="8">
        <v>末分石</v>
      </c>
      <c r="K60" t="str" s="8">
        <v>普通</v>
      </c>
      <c r="L60" t="n" s="8">
        <v>69</v>
      </c>
      <c r="M60" t="n" s="8">
        <v>69</v>
      </c>
      <c r="N60" t="n" s="8">
        <v>1</v>
      </c>
      <c r="O60" s="8"/>
      <c r="P60" t="n" s="8">
        <v>24</v>
      </c>
      <c r="Q60" t="n" s="8">
        <v>30000</v>
      </c>
      <c r="R60" t="str" s="8">
        <v>首击</v>
      </c>
      <c r="S60" t="n" s="8">
        <v>30000</v>
      </c>
      <c r="T60" t="n" s="8">
        <v>10</v>
      </c>
      <c r="U60" t="n" s="16">
        <v>40900300</v>
      </c>
      <c r="V60" t="n" s="8">
        <v>40910303</v>
      </c>
      <c r="W60" t="n" s="8">
        <v>40920300</v>
      </c>
      <c r="X60" t="n" s="8">
        <v>11000001</v>
      </c>
      <c r="Y60" s="8"/>
      <c r="Z60" s="8"/>
      <c r="AA60" t="str" s="8">
        <v>妖兽</v>
      </c>
      <c r="AB60" s="21">
        <v>20054</v>
      </c>
      <c r="AC60" t="n" s="8">
        <v>1</v>
      </c>
      <c r="AD60" t="n" s="8">
        <v>60</v>
      </c>
      <c r="AE60" t="n" s="8">
        <v>60</v>
      </c>
      <c r="AF60" t="n" s="8">
        <v>0</v>
      </c>
      <c r="AG60" t="n" s="8">
        <v>0</v>
      </c>
      <c r="AH60" t="str" s="8">
        <v>近战</v>
      </c>
      <c r="AI60" s="8"/>
      <c r="AJ60" s="17"/>
      <c r="AK60" s="8"/>
      <c r="AL60" s="18"/>
      <c r="AM60" t="str" s="8">
        <v>生命值</v>
      </c>
      <c r="AN60" t="n" s="19">
        <v>10476</v>
      </c>
      <c r="AO60" t="str" s="8">
        <v>灵力值</v>
      </c>
      <c r="AP60" t="n" s="8">
        <v>1194</v>
      </c>
      <c r="AQ60" t="str" s="8">
        <v>攻击下限</v>
      </c>
      <c r="AR60" t="n" s="8">
        <v>597</v>
      </c>
      <c r="AS60" t="str" s="8">
        <v>攻击上限</v>
      </c>
      <c r="AT60" t="n" s="8">
        <v>597</v>
      </c>
      <c r="AU60" t="str" s="8">
        <v>法力下限</v>
      </c>
      <c r="AV60" t="n" s="8">
        <v>597</v>
      </c>
      <c r="AW60" t="str" s="8">
        <v>法力上限</v>
      </c>
      <c r="AX60" t="n" s="8">
        <v>597</v>
      </c>
      <c r="AY60" t="str" s="8">
        <v>物防下限</v>
      </c>
      <c r="AZ60" t="n" s="8">
        <v>196</v>
      </c>
      <c r="BA60" t="str" s="8">
        <v>物防上限</v>
      </c>
      <c r="BB60" t="n" s="8">
        <v>196</v>
      </c>
      <c r="BC60" t="str" s="8">
        <v>法防下限</v>
      </c>
      <c r="BD60" t="n" s="8">
        <v>196</v>
      </c>
      <c r="BE60" t="str" s="8">
        <v>法防上限</v>
      </c>
      <c r="BF60" t="n" s="8">
        <v>196</v>
      </c>
      <c r="BG60" t="str" s="8">
        <v>移动速度</v>
      </c>
      <c r="BH60" t="n" s="8">
        <v>240</v>
      </c>
      <c r="BI60" t="str" s="8">
        <v>攻击范围</v>
      </c>
      <c r="BJ60" t="n" s="8">
        <v>160</v>
      </c>
      <c r="BK60" t="str" s="8">
        <v>警戒范围</v>
      </c>
      <c r="BL60" t="n" s="8">
        <v>550</v>
      </c>
      <c r="BM60" t="str" s="8">
        <v>攻击间隔</v>
      </c>
      <c r="BN60" t="n" s="8">
        <v>1800</v>
      </c>
      <c r="BO60" t="n" s="8">
        <v>0</v>
      </c>
      <c r="BP60" s="8"/>
      <c r="BQ60" t="n" s="8">
        <v>0</v>
      </c>
      <c r="BR60" t="n" s="8">
        <v>0</v>
      </c>
      <c r="BS60" t="n" s="8">
        <v>0</v>
      </c>
      <c r="BT60" t="n" s="8">
        <v>0</v>
      </c>
      <c r="BU60" t="str" s="8">
        <v>末分石的普通遭遇。依托本区既有水土、岩隙和可达条件活动。</v>
      </c>
      <c r="BV60" t="n">
        <v>3</v>
      </c>
      <c r="BW60" t="n">
        <v>8</v>
      </c>
      <c r="BX60" t="str">
        <v>凡品</v>
      </c>
      <c r="BY60" t="str">
        <v>native</v>
      </c>
      <c r="BZ60" t="b">
        <v>0</v>
      </c>
    </row>
    <row r="61" ht="16.5" customHeight="1" spans="2:75">
      <c r="A61"/>
      <c r="B61" t="n" s="8">
        <f>60000000+INDEX(编号表!$B:$B,MATCH(J61,编号表!$A:$A,0))*10000+INDEX(编号表!$B:$B,MATCH(K61,编号表!$C:$C,0))*1000+L61</f>
        <v>60132070</v>
      </c>
      <c r="C61" t="str" s="8">
        <v>a010</v>
      </c>
      <c r="D61" t="str" s="5">
        <v>低岛灵狼·异种</v>
      </c>
      <c r="E61" t="str" s="5">
        <v>R03-M3-精英-70</v>
      </c>
      <c r="F61" t="n" s="8">
        <v>28</v>
      </c>
      <c r="G61" t="str" s="8">
        <f>INDEX(编号表!$E:$E,MATCH(K61,编号表!$C:$C,0))</f>
        <v>绿色</v>
      </c>
      <c r="H61" t="n" s="8">
        <v>3</v>
      </c>
      <c r="I61" t="str" s="8">
        <v>末分石</v>
      </c>
      <c r="J61" t="str" s="8">
        <v>末分石</v>
      </c>
      <c r="K61" t="str" s="8">
        <v>精英</v>
      </c>
      <c r="L61" t="n" s="8">
        <v>70</v>
      </c>
      <c r="M61" t="n" s="8">
        <v>70</v>
      </c>
      <c r="N61" t="n" s="8">
        <v>3</v>
      </c>
      <c r="O61" s="8"/>
      <c r="P61" t="n" s="8">
        <v>40</v>
      </c>
      <c r="Q61" t="n" s="8">
        <v>180000</v>
      </c>
      <c r="R61" t="str" s="8">
        <v>首击</v>
      </c>
      <c r="S61" t="n" s="8">
        <v>30000</v>
      </c>
      <c r="T61" t="n" s="8">
        <v>11</v>
      </c>
      <c r="U61" t="n" s="16">
        <v>40900301</v>
      </c>
      <c r="V61" t="n" s="8">
        <v>41120304</v>
      </c>
      <c r="W61" t="n" s="8">
        <v>41320303</v>
      </c>
      <c r="X61" t="n" s="8">
        <v>11000001</v>
      </c>
      <c r="Y61" s="8"/>
      <c r="Z61" s="8"/>
      <c r="AA61" t="str" s="8">
        <v>妖兽</v>
      </c>
      <c r="AB61" s="21">
        <v>20054</v>
      </c>
      <c r="AC61" t="n" s="8">
        <v>1.25</v>
      </c>
      <c r="AD61" t="n" s="8">
        <v>60</v>
      </c>
      <c r="AE61" t="n" s="8">
        <v>60</v>
      </c>
      <c r="AF61" t="n" s="8">
        <v>0</v>
      </c>
      <c r="AG61" t="n" s="8">
        <v>0</v>
      </c>
      <c r="AH61" t="str" s="8">
        <v>近战</v>
      </c>
      <c r="AI61" s="8"/>
      <c r="AJ61" s="17"/>
      <c r="AK61" s="8"/>
      <c r="AL61" s="18"/>
      <c r="AM61" t="str" s="8">
        <v>生命值</v>
      </c>
      <c r="AN61" t="n" s="19">
        <v>29333</v>
      </c>
      <c r="AO61" t="str" s="8">
        <v>灵力值</v>
      </c>
      <c r="AP61" t="n" s="8">
        <v>1730</v>
      </c>
      <c r="AQ61" t="str" s="8">
        <v>攻击下限</v>
      </c>
      <c r="AR61" t="n" s="8">
        <v>865</v>
      </c>
      <c r="AS61" t="str" s="8">
        <v>攻击上限</v>
      </c>
      <c r="AT61" t="n" s="8">
        <v>865</v>
      </c>
      <c r="AU61" t="str" s="8">
        <v>法力下限</v>
      </c>
      <c r="AV61" t="n" s="8">
        <v>865</v>
      </c>
      <c r="AW61" t="str" s="8">
        <v>法力上限</v>
      </c>
      <c r="AX61" t="n" s="8">
        <v>865</v>
      </c>
      <c r="AY61" t="str" s="8">
        <v>物防下限</v>
      </c>
      <c r="AZ61" t="n" s="8">
        <v>236</v>
      </c>
      <c r="BA61" t="str" s="8">
        <v>物防上限</v>
      </c>
      <c r="BB61" t="n" s="8">
        <v>236</v>
      </c>
      <c r="BC61" t="str" s="8">
        <v>法防下限</v>
      </c>
      <c r="BD61" t="n" s="8">
        <v>236</v>
      </c>
      <c r="BE61" t="str" s="8">
        <v>法防上限</v>
      </c>
      <c r="BF61" t="n" s="8">
        <v>236</v>
      </c>
      <c r="BG61" t="str" s="8">
        <v>移动速度</v>
      </c>
      <c r="BH61" t="n" s="8">
        <v>240</v>
      </c>
      <c r="BI61" t="str" s="8">
        <v>攻击范围</v>
      </c>
      <c r="BJ61" t="n" s="8">
        <v>160</v>
      </c>
      <c r="BK61" t="str" s="8">
        <v>警戒范围</v>
      </c>
      <c r="BL61" t="n" s="8">
        <v>550</v>
      </c>
      <c r="BM61" t="str" s="8">
        <v>攻击间隔</v>
      </c>
      <c r="BN61" t="n" s="8">
        <v>1800</v>
      </c>
      <c r="BO61" t="n" s="8">
        <v>0</v>
      </c>
      <c r="BP61" s="8"/>
      <c r="BQ61" t="n" s="8">
        <v>0</v>
      </c>
      <c r="BR61" t="n" s="8">
        <v>0</v>
      </c>
      <c r="BS61" t="n" s="8">
        <v>0</v>
      </c>
      <c r="BT61" t="n" s="8">
        <v>0</v>
      </c>
      <c r="BU61" t="str" s="8">
        <v>末分石的精英遭遇。依托本区既有水土、岩隙和可达条件活动。</v>
      </c>
      <c r="BV61" t="n">
        <v>3</v>
      </c>
      <c r="BW61" t="n">
        <v>8</v>
      </c>
      <c r="BX61" t="str">
        <v>玄品</v>
      </c>
      <c r="BY61" t="str">
        <v>native</v>
      </c>
      <c r="BZ61" t="b">
        <v>0</v>
      </c>
    </row>
    <row r="62" ht="16.5" customHeight="1" spans="2:75">
      <c r="A62"/>
      <c r="B62" t="n" s="8">
        <f>60000000+INDEX(编号表!$B:$B,MATCH(J62,编号表!$A:$A,0))*10000+INDEX(编号表!$B:$B,MATCH(K62,编号表!$C:$C,0))*1000+L62</f>
        <v>60134071</v>
      </c>
      <c r="C62" t="str" s="8">
        <v>a010</v>
      </c>
      <c r="D62" t="str" s="5">
        <v>末分岩蟹·首领</v>
      </c>
      <c r="E62" t="str" s="5">
        <v>R03-M3-BOSS-71</v>
      </c>
      <c r="F62" t="n" s="8">
        <v>28</v>
      </c>
      <c r="G62" t="str" s="8">
        <f>INDEX(编号表!$E:$E,MATCH(K62,编号表!$C:$C,0))</f>
        <v>橙色</v>
      </c>
      <c r="H62" t="n" s="8">
        <v>3</v>
      </c>
      <c r="I62" t="str" s="8">
        <v>末分石</v>
      </c>
      <c r="J62" t="str" s="8">
        <v>末分石</v>
      </c>
      <c r="K62" t="str" s="8">
        <v>BOSS</v>
      </c>
      <c r="L62" t="n" s="8">
        <v>71</v>
      </c>
      <c r="M62" t="n" s="8">
        <v>71</v>
      </c>
      <c r="N62" t="n" s="8">
        <v>5</v>
      </c>
      <c r="O62" s="8"/>
      <c r="P62" t="n" s="8">
        <v>40</v>
      </c>
      <c r="Q62" t="n" s="8">
        <v>900000</v>
      </c>
      <c r="R62" t="str" s="8">
        <v>首击</v>
      </c>
      <c r="S62" t="n" s="8">
        <v>30000</v>
      </c>
      <c r="T62" t="n" s="8">
        <v>12</v>
      </c>
      <c r="U62" t="n" s="16">
        <v>40900302</v>
      </c>
      <c r="V62" t="n" s="8">
        <v>41130305</v>
      </c>
      <c r="W62" t="n" s="8">
        <v>41330304</v>
      </c>
      <c r="X62" t="n" s="8">
        <v>11000001</v>
      </c>
      <c r="Y62" s="8"/>
      <c r="Z62" s="8"/>
      <c r="AA62" t="str" s="8">
        <v>妖兽</v>
      </c>
      <c r="AB62" s="21">
        <v>20055</v>
      </c>
      <c r="AC62" t="n" s="8">
        <v>1.6</v>
      </c>
      <c r="AD62" t="n" s="8">
        <v>60</v>
      </c>
      <c r="AE62" t="n" s="8">
        <v>60</v>
      </c>
      <c r="AF62" t="n" s="8">
        <v>0</v>
      </c>
      <c r="AG62" t="n" s="8">
        <v>0</v>
      </c>
      <c r="AH62" t="str" s="8">
        <v>近战</v>
      </c>
      <c r="AI62" s="8"/>
      <c r="AJ62" s="17"/>
      <c r="AK62" s="8"/>
      <c r="AL62" s="18"/>
      <c r="AM62" t="str" s="8">
        <v>生命值</v>
      </c>
      <c r="AN62" t="n" s="19">
        <v>104760</v>
      </c>
      <c r="AO62" t="str" s="8">
        <v>灵力值</v>
      </c>
      <c r="AP62" t="n" s="8">
        <v>2506</v>
      </c>
      <c r="AQ62" t="str" s="8">
        <v>攻击下限</v>
      </c>
      <c r="AR62" t="n" s="8">
        <v>1253</v>
      </c>
      <c r="AS62" t="str" s="8">
        <v>攻击上限</v>
      </c>
      <c r="AT62" t="n" s="8">
        <v>1253</v>
      </c>
      <c r="AU62" t="str" s="8">
        <v>法力下限</v>
      </c>
      <c r="AV62" t="n" s="8">
        <v>1253</v>
      </c>
      <c r="AW62" t="str" s="8">
        <v>法力上限</v>
      </c>
      <c r="AX62" t="n" s="8">
        <v>1253</v>
      </c>
      <c r="AY62" t="str" s="8">
        <v>物防下限</v>
      </c>
      <c r="AZ62" t="n" s="8">
        <v>295</v>
      </c>
      <c r="BA62" t="str" s="8">
        <v>物防上限</v>
      </c>
      <c r="BB62" t="n" s="8">
        <v>295</v>
      </c>
      <c r="BC62" t="str" s="8">
        <v>法防下限</v>
      </c>
      <c r="BD62" t="n" s="8">
        <v>295</v>
      </c>
      <c r="BE62" t="str" s="8">
        <v>法防上限</v>
      </c>
      <c r="BF62" t="n" s="8">
        <v>295</v>
      </c>
      <c r="BG62" t="str" s="8">
        <v>移动速度</v>
      </c>
      <c r="BH62" t="n" s="8">
        <v>240</v>
      </c>
      <c r="BI62" t="str" s="8">
        <v>攻击范围</v>
      </c>
      <c r="BJ62" t="n" s="8">
        <v>160</v>
      </c>
      <c r="BK62" t="str" s="8">
        <v>警戒范围</v>
      </c>
      <c r="BL62" t="n" s="8">
        <v>700</v>
      </c>
      <c r="BM62" t="str" s="8">
        <v>攻击间隔</v>
      </c>
      <c r="BN62" t="n" s="8">
        <v>2200</v>
      </c>
      <c r="BO62" t="n" s="8">
        <v>0</v>
      </c>
      <c r="BP62" s="8"/>
      <c r="BQ62" t="n" s="8">
        <v>0</v>
      </c>
      <c r="BR62" t="n" s="8">
        <v>0</v>
      </c>
      <c r="BS62" t="n" s="8">
        <v>0</v>
      </c>
      <c r="BT62" t="n" s="8">
        <v>0</v>
      </c>
      <c r="BU62" t="str" s="8">
        <v>末分石的BOSS遭遇。依托本区既有水土、岩隙和可达条件活动。</v>
      </c>
      <c r="BV62" t="n">
        <v>3</v>
      </c>
      <c r="BW62" t="n">
        <v>8</v>
      </c>
      <c r="BX62" t="str">
        <v>仙品</v>
      </c>
      <c r="BY62" t="str">
        <v>native</v>
      </c>
      <c r="BZ62" t="b">
        <v>1</v>
      </c>
    </row>
    <row r="63" ht="16.5" customHeight="1" spans="2:75">
      <c r="A63"/>
      <c r="B63" t="n" s="8">
        <f>60000000+INDEX(编号表!$B:$B,MATCH(J63,编号表!$A:$A,0))*10000+INDEX(编号表!$B:$B,MATCH(K63,编号表!$C:$C,0))*1000+L63</f>
        <v>60141072</v>
      </c>
      <c r="C63" t="str" s="8">
        <v>a010</v>
      </c>
      <c r="D63" t="str" s="5">
        <v>荷汊灵蛙</v>
      </c>
      <c r="E63" t="str" s="5">
        <v>R03-P1-普通-72</v>
      </c>
      <c r="F63" t="n" s="8">
        <v>23</v>
      </c>
      <c r="G63" t="str" s="8">
        <f>INDEX(编号表!$E:$E,MATCH(K63,编号表!$C:$C,0))</f>
        <v>白色</v>
      </c>
      <c r="H63" t="n" s="8">
        <v>3</v>
      </c>
      <c r="I63" t="str" s="8">
        <v>粉浪风</v>
      </c>
      <c r="J63" t="str" s="8">
        <v>粉浪风</v>
      </c>
      <c r="K63" t="str" s="8">
        <v>普通</v>
      </c>
      <c r="L63" t="n" s="8">
        <v>72</v>
      </c>
      <c r="M63" t="n" s="8">
        <v>72</v>
      </c>
      <c r="N63" t="n" s="8">
        <v>1</v>
      </c>
      <c r="O63" s="8"/>
      <c r="P63" t="n" s="8">
        <v>24</v>
      </c>
      <c r="Q63" t="n" s="8">
        <v>30000</v>
      </c>
      <c r="R63" t="str" s="8">
        <v>首击</v>
      </c>
      <c r="S63" t="n" s="8">
        <v>30000</v>
      </c>
      <c r="T63" t="n" s="8">
        <v>10</v>
      </c>
      <c r="U63" t="n" s="16">
        <v>40900300</v>
      </c>
      <c r="V63" t="n" s="8">
        <v>40910306</v>
      </c>
      <c r="W63" t="n" s="8">
        <v>40920301</v>
      </c>
      <c r="X63" t="n" s="8">
        <v>11000001</v>
      </c>
      <c r="Y63" s="8"/>
      <c r="Z63" s="8"/>
      <c r="AA63" t="str" s="8">
        <v>妖兽</v>
      </c>
      <c r="AB63" s="21">
        <v>20056</v>
      </c>
      <c r="AC63" t="n" s="8">
        <v>1</v>
      </c>
      <c r="AD63" t="n" s="8">
        <v>60</v>
      </c>
      <c r="AE63" t="n" s="8">
        <v>60</v>
      </c>
      <c r="AF63" t="n" s="8">
        <v>0</v>
      </c>
      <c r="AG63" t="n" s="8">
        <v>0</v>
      </c>
      <c r="AH63" t="str" s="8">
        <v>近战</v>
      </c>
      <c r="AI63" s="8"/>
      <c r="AJ63" s="17"/>
      <c r="AK63" s="8"/>
      <c r="AL63" s="18"/>
      <c r="AM63" t="str" s="8">
        <v>生命值</v>
      </c>
      <c r="AN63" t="n" s="19">
        <v>8136</v>
      </c>
      <c r="AO63" t="str" s="8">
        <v>灵力值</v>
      </c>
      <c r="AP63" t="n" s="8">
        <v>926</v>
      </c>
      <c r="AQ63" t="str" s="8">
        <v>攻击下限</v>
      </c>
      <c r="AR63" t="n" s="8">
        <v>463</v>
      </c>
      <c r="AS63" t="str" s="8">
        <v>攻击上限</v>
      </c>
      <c r="AT63" t="n" s="8">
        <v>463</v>
      </c>
      <c r="AU63" t="str" s="8">
        <v>法力下限</v>
      </c>
      <c r="AV63" t="n" s="8">
        <v>463</v>
      </c>
      <c r="AW63" t="str" s="8">
        <v>法力上限</v>
      </c>
      <c r="AX63" t="n" s="8">
        <v>463</v>
      </c>
      <c r="AY63" t="str" s="8">
        <v>物防下限</v>
      </c>
      <c r="AZ63" t="n" s="8">
        <v>153</v>
      </c>
      <c r="BA63" t="str" s="8">
        <v>物防上限</v>
      </c>
      <c r="BB63" t="n" s="8">
        <v>153</v>
      </c>
      <c r="BC63" t="str" s="8">
        <v>法防下限</v>
      </c>
      <c r="BD63" t="n" s="8">
        <v>153</v>
      </c>
      <c r="BE63" t="str" s="8">
        <v>法防上限</v>
      </c>
      <c r="BF63" t="n" s="8">
        <v>153</v>
      </c>
      <c r="BG63" t="str" s="8">
        <v>移动速度</v>
      </c>
      <c r="BH63" t="n" s="8">
        <v>240</v>
      </c>
      <c r="BI63" t="str" s="8">
        <v>攻击范围</v>
      </c>
      <c r="BJ63" t="n" s="8">
        <v>160</v>
      </c>
      <c r="BK63" t="str" s="8">
        <v>警戒范围</v>
      </c>
      <c r="BL63" t="n" s="8">
        <v>550</v>
      </c>
      <c r="BM63" t="str" s="8">
        <v>攻击间隔</v>
      </c>
      <c r="BN63" t="n" s="8">
        <v>1800</v>
      </c>
      <c r="BO63" t="n" s="8">
        <v>0</v>
      </c>
      <c r="BP63" s="8"/>
      <c r="BQ63" t="n" s="8">
        <v>0</v>
      </c>
      <c r="BR63" t="n" s="8">
        <v>0</v>
      </c>
      <c r="BS63" t="n" s="8">
        <v>0</v>
      </c>
      <c r="BT63" t="n" s="8">
        <v>0</v>
      </c>
      <c r="BU63" t="str" s="8">
        <v>粉浪风的普通遭遇。依托本区既有水土、岩隙和可达条件活动。</v>
      </c>
      <c r="BV63" t="n">
        <v>3</v>
      </c>
      <c r="BW63" t="n">
        <v>3</v>
      </c>
      <c r="BX63" t="str">
        <v>凡品</v>
      </c>
      <c r="BY63" t="str">
        <v>native</v>
      </c>
      <c r="BZ63" t="b">
        <v>0</v>
      </c>
    </row>
    <row r="64" ht="16.5" customHeight="1" spans="2:75">
      <c r="A64"/>
      <c r="B64" t="n" s="8">
        <f>60000000+INDEX(编号表!$B:$B,MATCH(J64,编号表!$A:$A,0))*10000+INDEX(编号表!$B:$B,MATCH(K64,编号表!$C:$C,0))*1000+L64</f>
        <v>60141073</v>
      </c>
      <c r="C64" t="str" s="8">
        <v>a010</v>
      </c>
      <c r="D64" t="str" s="5">
        <v>水脉灵蛇</v>
      </c>
      <c r="E64" t="str" s="5">
        <v>R03-P1-普通-73</v>
      </c>
      <c r="F64" t="n" s="8">
        <v>23</v>
      </c>
      <c r="G64" t="str" s="8">
        <f>INDEX(编号表!$E:$E,MATCH(K64,编号表!$C:$C,0))</f>
        <v>白色</v>
      </c>
      <c r="H64" t="n" s="8">
        <v>3</v>
      </c>
      <c r="I64" t="str" s="8">
        <v>粉浪风</v>
      </c>
      <c r="J64" t="str" s="8">
        <v>粉浪风</v>
      </c>
      <c r="K64" t="str" s="8">
        <v>普通</v>
      </c>
      <c r="L64" t="n" s="8">
        <v>73</v>
      </c>
      <c r="M64" t="n" s="8">
        <v>73</v>
      </c>
      <c r="N64" t="n" s="8">
        <v>1</v>
      </c>
      <c r="O64" s="8"/>
      <c r="P64" t="n" s="8">
        <v>24</v>
      </c>
      <c r="Q64" t="n" s="8">
        <v>30000</v>
      </c>
      <c r="R64" t="str" s="8">
        <v>首击</v>
      </c>
      <c r="S64" t="n" s="8">
        <v>30000</v>
      </c>
      <c r="T64" t="n" s="8">
        <v>10</v>
      </c>
      <c r="U64" t="n" s="16">
        <v>40900300</v>
      </c>
      <c r="V64" t="n" s="8">
        <v>40910307</v>
      </c>
      <c r="W64" t="n" s="8">
        <v>40920300</v>
      </c>
      <c r="X64" t="n" s="8">
        <v>11000001</v>
      </c>
      <c r="Y64" s="8"/>
      <c r="Z64" s="8"/>
      <c r="AA64" t="str" s="8">
        <v>妖兽</v>
      </c>
      <c r="AB64" s="21">
        <v>20057</v>
      </c>
      <c r="AC64" t="n" s="8">
        <v>1</v>
      </c>
      <c r="AD64" t="n" s="8">
        <v>60</v>
      </c>
      <c r="AE64" t="n" s="8">
        <v>60</v>
      </c>
      <c r="AF64" t="n" s="8">
        <v>0</v>
      </c>
      <c r="AG64" t="n" s="8">
        <v>0</v>
      </c>
      <c r="AH64" t="str" s="8">
        <v>近战</v>
      </c>
      <c r="AI64"/>
      <c r="AJ64" s="17"/>
      <c r="AK64" s="8"/>
      <c r="AL64" s="18"/>
      <c r="AM64" t="str" s="8">
        <v>生命值</v>
      </c>
      <c r="AN64" t="n" s="19">
        <v>8136</v>
      </c>
      <c r="AO64" t="str" s="8">
        <v>灵力值</v>
      </c>
      <c r="AP64" t="n" s="8">
        <v>926</v>
      </c>
      <c r="AQ64" t="str" s="8">
        <v>攻击下限</v>
      </c>
      <c r="AR64" t="n" s="8">
        <v>463</v>
      </c>
      <c r="AS64" t="str" s="8">
        <v>攻击上限</v>
      </c>
      <c r="AT64" t="n" s="8">
        <v>463</v>
      </c>
      <c r="AU64" t="str" s="8">
        <v>法力下限</v>
      </c>
      <c r="AV64" t="n" s="8">
        <v>463</v>
      </c>
      <c r="AW64" t="str" s="8">
        <v>法力上限</v>
      </c>
      <c r="AX64" t="n" s="8">
        <v>463</v>
      </c>
      <c r="AY64" t="str" s="8">
        <v>物防下限</v>
      </c>
      <c r="AZ64" t="n" s="8">
        <v>153</v>
      </c>
      <c r="BA64" t="str" s="8">
        <v>物防上限</v>
      </c>
      <c r="BB64" t="n" s="8">
        <v>153</v>
      </c>
      <c r="BC64" t="str" s="8">
        <v>法防下限</v>
      </c>
      <c r="BD64" t="n" s="8">
        <v>153</v>
      </c>
      <c r="BE64" t="str" s="8">
        <v>法防上限</v>
      </c>
      <c r="BF64" t="n" s="8">
        <v>153</v>
      </c>
      <c r="BG64" t="str" s="8">
        <v>移动速度</v>
      </c>
      <c r="BH64" t="n" s="8">
        <v>240</v>
      </c>
      <c r="BI64" t="str" s="8">
        <v>攻击范围</v>
      </c>
      <c r="BJ64" t="n" s="8">
        <v>160</v>
      </c>
      <c r="BK64" t="str" s="8">
        <v>警戒范围</v>
      </c>
      <c r="BL64" t="n" s="8">
        <v>550</v>
      </c>
      <c r="BM64" t="str" s="8">
        <v>攻击间隔</v>
      </c>
      <c r="BN64" t="n" s="8">
        <v>1800</v>
      </c>
      <c r="BO64" t="n" s="8">
        <v>0</v>
      </c>
      <c r="BP64" s="8"/>
      <c r="BQ64" t="n" s="8">
        <v>0</v>
      </c>
      <c r="BR64" t="n" s="8">
        <v>0</v>
      </c>
      <c r="BS64" t="n" s="8">
        <v>0</v>
      </c>
      <c r="BT64" t="n" s="8">
        <v>0</v>
      </c>
      <c r="BU64" t="str" s="8">
        <v>粉浪风的普通遭遇。依托本区既有水土、岩隙和可达条件活动。</v>
      </c>
      <c r="BV64" t="n">
        <v>3</v>
      </c>
      <c r="BW64" t="n">
        <v>3</v>
      </c>
      <c r="BX64" t="str">
        <v>凡品</v>
      </c>
      <c r="BY64" t="str">
        <v>native</v>
      </c>
      <c r="BZ64" t="b">
        <v>0</v>
      </c>
    </row>
    <row r="65" ht="16.5" customHeight="1" spans="2:75">
      <c r="A65"/>
      <c r="B65" t="n" s="8">
        <f>60000000+INDEX(编号表!$B:$B,MATCH(J65,编号表!$A:$A,0))*10000+INDEX(编号表!$B:$B,MATCH(K65,编号表!$C:$C,0))*1000+L65</f>
        <v>60141074</v>
      </c>
      <c r="C65" t="str" s="8">
        <v>a010</v>
      </c>
      <c r="D65" t="str" s="5">
        <v>低岛灵狼</v>
      </c>
      <c r="E65" t="str" s="5">
        <v>R03-P1-普通-74</v>
      </c>
      <c r="F65" t="n" s="8">
        <v>23</v>
      </c>
      <c r="G65" t="str" s="8">
        <f>INDEX(编号表!$E:$E,MATCH(K65,编号表!$C:$C,0))</f>
        <v>白色</v>
      </c>
      <c r="H65" t="n" s="8">
        <v>3</v>
      </c>
      <c r="I65" t="str" s="8">
        <v>粉浪风</v>
      </c>
      <c r="J65" t="str" s="8">
        <v>粉浪风</v>
      </c>
      <c r="K65" t="str" s="8">
        <v>普通</v>
      </c>
      <c r="L65" t="n" s="8">
        <v>74</v>
      </c>
      <c r="M65" t="n" s="8">
        <v>74</v>
      </c>
      <c r="N65" t="n" s="8">
        <v>1</v>
      </c>
      <c r="O65" s="8"/>
      <c r="P65" t="n" s="8">
        <v>24</v>
      </c>
      <c r="Q65" t="n" s="8">
        <v>30000</v>
      </c>
      <c r="R65" t="str" s="8">
        <v>首击</v>
      </c>
      <c r="S65" t="n" s="8">
        <v>30000</v>
      </c>
      <c r="T65" t="n" s="8">
        <v>10</v>
      </c>
      <c r="U65" t="n" s="16">
        <v>40900300</v>
      </c>
      <c r="V65" t="n" s="8">
        <v>40910308</v>
      </c>
      <c r="W65" t="n" s="8">
        <v>40920301</v>
      </c>
      <c r="X65" t="n" s="8">
        <v>11000001</v>
      </c>
      <c r="Y65" s="8"/>
      <c r="Z65" s="8"/>
      <c r="AA65" t="str" s="8">
        <v>妖兽</v>
      </c>
      <c r="AB65" s="21">
        <v>20058</v>
      </c>
      <c r="AC65" t="n" s="8">
        <v>1</v>
      </c>
      <c r="AD65" t="n" s="8">
        <v>60</v>
      </c>
      <c r="AE65" t="n" s="8">
        <v>60</v>
      </c>
      <c r="AF65" t="n" s="8">
        <v>0</v>
      </c>
      <c r="AG65" t="n" s="8">
        <v>0</v>
      </c>
      <c r="AH65" t="str" s="8">
        <v>近战</v>
      </c>
      <c r="AI65" s="8"/>
      <c r="AJ65" s="17"/>
      <c r="AK65" s="8"/>
      <c r="AL65" s="18"/>
      <c r="AM65" t="str" s="8">
        <v>生命值</v>
      </c>
      <c r="AN65" t="n" s="19">
        <v>8136</v>
      </c>
      <c r="AO65" t="str" s="8">
        <v>灵力值</v>
      </c>
      <c r="AP65" t="n" s="8">
        <v>926</v>
      </c>
      <c r="AQ65" t="str" s="8">
        <v>攻击下限</v>
      </c>
      <c r="AR65" t="n" s="8">
        <v>463</v>
      </c>
      <c r="AS65" t="str" s="8">
        <v>攻击上限</v>
      </c>
      <c r="AT65" t="n" s="8">
        <v>463</v>
      </c>
      <c r="AU65" t="str" s="8">
        <v>法力下限</v>
      </c>
      <c r="AV65" t="n" s="8">
        <v>463</v>
      </c>
      <c r="AW65" t="str" s="8">
        <v>法力上限</v>
      </c>
      <c r="AX65" t="n" s="8">
        <v>463</v>
      </c>
      <c r="AY65" t="str" s="8">
        <v>物防下限</v>
      </c>
      <c r="AZ65" t="n" s="8">
        <v>153</v>
      </c>
      <c r="BA65" t="str" s="8">
        <v>物防上限</v>
      </c>
      <c r="BB65" t="n" s="8">
        <v>153</v>
      </c>
      <c r="BC65" t="str" s="8">
        <v>法防下限</v>
      </c>
      <c r="BD65" t="n" s="8">
        <v>153</v>
      </c>
      <c r="BE65" t="str" s="8">
        <v>法防上限</v>
      </c>
      <c r="BF65" t="n" s="8">
        <v>153</v>
      </c>
      <c r="BG65" t="str" s="8">
        <v>移动速度</v>
      </c>
      <c r="BH65" t="n" s="8">
        <v>240</v>
      </c>
      <c r="BI65" t="str" s="8">
        <v>攻击范围</v>
      </c>
      <c r="BJ65" t="n" s="8">
        <v>160</v>
      </c>
      <c r="BK65" t="str" s="8">
        <v>警戒范围</v>
      </c>
      <c r="BL65" t="n" s="8">
        <v>550</v>
      </c>
      <c r="BM65" t="str" s="8">
        <v>攻击间隔</v>
      </c>
      <c r="BN65" t="n" s="8">
        <v>1800</v>
      </c>
      <c r="BO65" t="n" s="8">
        <v>0</v>
      </c>
      <c r="BP65" s="8"/>
      <c r="BQ65" t="n" s="8">
        <v>0</v>
      </c>
      <c r="BR65" t="n" s="8">
        <v>0</v>
      </c>
      <c r="BS65" t="n" s="8">
        <v>0</v>
      </c>
      <c r="BT65" t="n" s="8">
        <v>0</v>
      </c>
      <c r="BU65" t="str" s="8">
        <v>粉浪风的普通遭遇。依托本区既有水土、岩隙和可达条件活动。</v>
      </c>
      <c r="BV65" t="n">
        <v>3</v>
      </c>
      <c r="BW65" t="n">
        <v>3</v>
      </c>
      <c r="BX65" t="str">
        <v>凡品</v>
      </c>
      <c r="BY65" t="str">
        <v>native</v>
      </c>
      <c r="BZ65" t="b">
        <v>0</v>
      </c>
    </row>
    <row r="66" ht="16.5" customHeight="1" spans="2:75">
      <c r="A66"/>
      <c r="B66" t="n" s="8">
        <f>60000000+INDEX(编号表!$B:$B,MATCH(J66,编号表!$A:$A,0))*10000+INDEX(编号表!$B:$B,MATCH(K66,编号表!$C:$C,0))*1000+L66</f>
        <v>60151075</v>
      </c>
      <c r="C66" t="str" s="8">
        <v>a010</v>
      </c>
      <c r="D66" t="str" s="5">
        <v>末分岩蟹</v>
      </c>
      <c r="E66" t="str" s="5">
        <v>R03-P2-普通-75</v>
      </c>
      <c r="F66" t="n" s="8">
        <v>26</v>
      </c>
      <c r="G66" t="str" s="8">
        <f>INDEX(编号表!$E:$E,MATCH(K66,编号表!$C:$C,0))</f>
        <v>白色</v>
      </c>
      <c r="H66" t="n" s="8">
        <v>3</v>
      </c>
      <c r="I66" t="str" s="8">
        <v>漫莎台</v>
      </c>
      <c r="J66" t="str" s="8">
        <v>漫莎台</v>
      </c>
      <c r="K66" t="str" s="8">
        <v>普通</v>
      </c>
      <c r="L66" t="n" s="8">
        <v>75</v>
      </c>
      <c r="M66" t="n" s="8">
        <v>75</v>
      </c>
      <c r="N66" t="n" s="8">
        <v>1</v>
      </c>
      <c r="O66" s="8"/>
      <c r="P66" t="n" s="8">
        <v>24</v>
      </c>
      <c r="Q66" t="n" s="8">
        <v>30000</v>
      </c>
      <c r="R66" t="str" s="8">
        <v>首击</v>
      </c>
      <c r="S66" t="n" s="8">
        <v>30000</v>
      </c>
      <c r="T66" t="n" s="8">
        <v>10</v>
      </c>
      <c r="U66" t="n" s="16">
        <v>40900300</v>
      </c>
      <c r="V66" t="n" s="8">
        <v>40910309</v>
      </c>
      <c r="W66" t="n" s="8">
        <v>40920300</v>
      </c>
      <c r="X66" t="n" s="8">
        <v>11000001</v>
      </c>
      <c r="Y66" s="8"/>
      <c r="Z66" s="8"/>
      <c r="AA66" t="str" s="8">
        <v>妖兽</v>
      </c>
      <c r="AB66" s="21">
        <v>20059</v>
      </c>
      <c r="AC66" t="n" s="8">
        <v>1</v>
      </c>
      <c r="AD66" t="n" s="8">
        <v>60</v>
      </c>
      <c r="AE66" t="n" s="8">
        <v>60</v>
      </c>
      <c r="AF66" t="n" s="8">
        <v>0</v>
      </c>
      <c r="AG66" t="n" s="8">
        <v>0</v>
      </c>
      <c r="AH66" t="str" s="8">
        <v>近战</v>
      </c>
      <c r="AI66" s="8"/>
      <c r="AJ66" s="17"/>
      <c r="AK66" s="8"/>
      <c r="AL66" s="18"/>
      <c r="AM66" t="str" s="8">
        <v>生命值</v>
      </c>
      <c r="AN66" t="n" s="19">
        <v>9540</v>
      </c>
      <c r="AO66" t="str" s="8">
        <v>灵力值</v>
      </c>
      <c r="AP66" t="n" s="8">
        <v>1086</v>
      </c>
      <c r="AQ66" t="str" s="8">
        <v>攻击下限</v>
      </c>
      <c r="AR66" t="n" s="8">
        <v>543</v>
      </c>
      <c r="AS66" t="str" s="8">
        <v>攻击上限</v>
      </c>
      <c r="AT66" t="n" s="8">
        <v>543</v>
      </c>
      <c r="AU66" t="str" s="8">
        <v>法力下限</v>
      </c>
      <c r="AV66" t="n" s="8">
        <v>543</v>
      </c>
      <c r="AW66" t="str" s="8">
        <v>法力上限</v>
      </c>
      <c r="AX66" t="n" s="8">
        <v>543</v>
      </c>
      <c r="AY66" t="str" s="8">
        <v>物防下限</v>
      </c>
      <c r="AZ66" t="n" s="8">
        <v>179</v>
      </c>
      <c r="BA66" t="str" s="8">
        <v>物防上限</v>
      </c>
      <c r="BB66" t="n" s="8">
        <v>179</v>
      </c>
      <c r="BC66" t="str" s="8">
        <v>法防下限</v>
      </c>
      <c r="BD66" t="n" s="8">
        <v>179</v>
      </c>
      <c r="BE66" t="str" s="8">
        <v>法防上限</v>
      </c>
      <c r="BF66" t="n" s="8">
        <v>179</v>
      </c>
      <c r="BG66" t="str" s="8">
        <v>移动速度</v>
      </c>
      <c r="BH66" t="n" s="8">
        <v>240</v>
      </c>
      <c r="BI66" t="str" s="8">
        <v>攻击范围</v>
      </c>
      <c r="BJ66" t="n" s="8">
        <v>160</v>
      </c>
      <c r="BK66" t="str" s="8">
        <v>警戒范围</v>
      </c>
      <c r="BL66" t="n" s="8">
        <v>550</v>
      </c>
      <c r="BM66" t="str" s="8">
        <v>攻击间隔</v>
      </c>
      <c r="BN66" t="n" s="8">
        <v>1800</v>
      </c>
      <c r="BO66" t="n" s="8">
        <v>0</v>
      </c>
      <c r="BP66" s="8"/>
      <c r="BQ66" t="n" s="8">
        <v>0</v>
      </c>
      <c r="BR66" t="n" s="8">
        <v>0</v>
      </c>
      <c r="BS66" t="n" s="8">
        <v>0</v>
      </c>
      <c r="BT66" t="n" s="8">
        <v>0</v>
      </c>
      <c r="BU66" t="str" s="8">
        <v>漫莎台的普通遭遇。依托本区既有水土、岩隙和可达条件活动。</v>
      </c>
      <c r="BV66" t="n">
        <v>3</v>
      </c>
      <c r="BW66" t="n">
        <v>6</v>
      </c>
      <c r="BX66" t="str">
        <v>凡品</v>
      </c>
      <c r="BY66" t="str">
        <v>native</v>
      </c>
      <c r="BZ66" t="b">
        <v>0</v>
      </c>
    </row>
    <row r="67" ht="16.5" customHeight="1" spans="2:75">
      <c r="A67"/>
      <c r="B67" t="n" s="8">
        <f>60000000+INDEX(编号表!$B:$B,MATCH(J67,编号表!$A:$A,0))*10000+INDEX(编号表!$B:$B,MATCH(K67,编号表!$C:$C,0))*1000+L67</f>
        <v>60151076</v>
      </c>
      <c r="C67" t="str" s="8">
        <v>a010</v>
      </c>
      <c r="D67" t="str" s="5">
        <v>荷汊灵蛙</v>
      </c>
      <c r="E67" t="str" s="5">
        <v>R03-P2-普通-76</v>
      </c>
      <c r="F67" t="n" s="8">
        <v>26</v>
      </c>
      <c r="G67" t="str" s="8">
        <f>INDEX(编号表!$E:$E,MATCH(K67,编号表!$C:$C,0))</f>
        <v>白色</v>
      </c>
      <c r="H67" t="n" s="8">
        <v>3</v>
      </c>
      <c r="I67" t="str" s="8">
        <v>漫莎台</v>
      </c>
      <c r="J67" t="str" s="8">
        <v>漫莎台</v>
      </c>
      <c r="K67" t="str" s="8">
        <v>普通</v>
      </c>
      <c r="L67" t="n" s="8">
        <v>76</v>
      </c>
      <c r="M67" t="n" s="8">
        <v>76</v>
      </c>
      <c r="N67" t="n" s="8">
        <v>1</v>
      </c>
      <c r="O67" s="8"/>
      <c r="P67" t="n" s="8">
        <v>24</v>
      </c>
      <c r="Q67" t="n" s="8">
        <v>30000</v>
      </c>
      <c r="R67" t="str" s="8">
        <v>首击</v>
      </c>
      <c r="S67" t="n" s="8">
        <v>30000</v>
      </c>
      <c r="T67" t="n" s="8">
        <v>10</v>
      </c>
      <c r="U67" t="n" s="16">
        <v>40900300</v>
      </c>
      <c r="V67" t="n" s="8">
        <v>40910310</v>
      </c>
      <c r="W67" t="n" s="8">
        <v>40920301</v>
      </c>
      <c r="X67" t="n" s="8">
        <v>11000001</v>
      </c>
      <c r="Y67" s="8"/>
      <c r="Z67" s="8"/>
      <c r="AA67" t="str" s="8">
        <v>妖兽</v>
      </c>
      <c r="AB67" s="21">
        <v>20060</v>
      </c>
      <c r="AC67" t="n" s="8">
        <v>1</v>
      </c>
      <c r="AD67" t="n" s="8">
        <v>60</v>
      </c>
      <c r="AE67" t="n" s="8">
        <v>60</v>
      </c>
      <c r="AF67" t="n" s="8">
        <v>0</v>
      </c>
      <c r="AG67" t="n" s="8">
        <v>0</v>
      </c>
      <c r="AH67" t="str" s="8">
        <v>近战</v>
      </c>
      <c r="AI67" s="8"/>
      <c r="AJ67" s="17"/>
      <c r="AK67" s="8"/>
      <c r="AL67" s="18"/>
      <c r="AM67" t="str" s="8">
        <v>生命值</v>
      </c>
      <c r="AN67" t="n" s="19">
        <v>9540</v>
      </c>
      <c r="AO67" t="str" s="8">
        <v>灵力值</v>
      </c>
      <c r="AP67" t="n" s="8">
        <v>1086</v>
      </c>
      <c r="AQ67" t="str" s="8">
        <v>攻击下限</v>
      </c>
      <c r="AR67" t="n" s="8">
        <v>543</v>
      </c>
      <c r="AS67" t="str" s="8">
        <v>攻击上限</v>
      </c>
      <c r="AT67" t="n" s="8">
        <v>543</v>
      </c>
      <c r="AU67" t="str" s="8">
        <v>法力下限</v>
      </c>
      <c r="AV67" t="n" s="8">
        <v>543</v>
      </c>
      <c r="AW67" t="str" s="8">
        <v>法力上限</v>
      </c>
      <c r="AX67" t="n" s="8">
        <v>543</v>
      </c>
      <c r="AY67" t="str" s="8">
        <v>物防下限</v>
      </c>
      <c r="AZ67" t="n" s="8">
        <v>179</v>
      </c>
      <c r="BA67" t="str" s="8">
        <v>物防上限</v>
      </c>
      <c r="BB67" t="n" s="8">
        <v>179</v>
      </c>
      <c r="BC67" t="str" s="8">
        <v>法防下限</v>
      </c>
      <c r="BD67" t="n" s="8">
        <v>179</v>
      </c>
      <c r="BE67" t="str" s="8">
        <v>法防上限</v>
      </c>
      <c r="BF67" t="n" s="8">
        <v>179</v>
      </c>
      <c r="BG67" t="str" s="8">
        <v>移动速度</v>
      </c>
      <c r="BH67" t="n" s="8">
        <v>240</v>
      </c>
      <c r="BI67" t="str" s="8">
        <v>攻击范围</v>
      </c>
      <c r="BJ67" t="n" s="8">
        <v>160</v>
      </c>
      <c r="BK67" t="str" s="8">
        <v>警戒范围</v>
      </c>
      <c r="BL67" t="n" s="8">
        <v>550</v>
      </c>
      <c r="BM67" t="str" s="8">
        <v>攻击间隔</v>
      </c>
      <c r="BN67" t="n" s="8">
        <v>1800</v>
      </c>
      <c r="BO67" t="n" s="8">
        <v>0</v>
      </c>
      <c r="BP67" s="8"/>
      <c r="BQ67" t="n" s="8">
        <v>0</v>
      </c>
      <c r="BR67" t="n" s="8">
        <v>0</v>
      </c>
      <c r="BS67" t="n" s="8">
        <v>0</v>
      </c>
      <c r="BT67" t="n" s="8">
        <v>0</v>
      </c>
      <c r="BU67" t="str" s="8">
        <v>漫莎台的普通遭遇。依托本区既有水土、岩隙和可达条件活动。</v>
      </c>
      <c r="BV67" t="n">
        <v>3</v>
      </c>
      <c r="BW67" t="n">
        <v>6</v>
      </c>
      <c r="BX67" t="str">
        <v>凡品</v>
      </c>
      <c r="BY67" t="str">
        <v>native</v>
      </c>
      <c r="BZ67" t="b">
        <v>0</v>
      </c>
    </row>
    <row r="68" ht="16.5" customHeight="1" spans="2:75">
      <c r="A68"/>
      <c r="B68" t="n" s="8">
        <f>60000000+INDEX(编号表!$B:$B,MATCH(J68,编号表!$A:$A,0))*10000+INDEX(编号表!$B:$B,MATCH(K68,编号表!$C:$C,0))*1000+L68</f>
        <v>60161077</v>
      </c>
      <c r="C68" t="str" s="8">
        <v>a010</v>
      </c>
      <c r="D68" t="str" s="5">
        <v>水脉灵蛇</v>
      </c>
      <c r="E68" t="str" s="5">
        <v>R03-S1-普通-77</v>
      </c>
      <c r="F68" t="n" s="8">
        <v>29</v>
      </c>
      <c r="G68" t="str" s="8">
        <f>INDEX(编号表!$E:$E,MATCH(K68,编号表!$C:$C,0))</f>
        <v>白色</v>
      </c>
      <c r="H68" t="n" s="8">
        <v>3</v>
      </c>
      <c r="I68" t="str" s="8">
        <v>匿汊口</v>
      </c>
      <c r="J68" t="str" s="8">
        <v>匿汊口</v>
      </c>
      <c r="K68" t="str" s="8">
        <v>普通</v>
      </c>
      <c r="L68" t="n" s="8">
        <v>77</v>
      </c>
      <c r="M68" t="n" s="8">
        <v>77</v>
      </c>
      <c r="N68" t="n" s="8">
        <v>1</v>
      </c>
      <c r="O68" s="8"/>
      <c r="P68" t="n" s="8">
        <v>24</v>
      </c>
      <c r="Q68" t="n" s="8">
        <v>30000</v>
      </c>
      <c r="R68" t="str" s="8">
        <v>首击</v>
      </c>
      <c r="S68" t="n" s="8">
        <v>30000</v>
      </c>
      <c r="T68" t="n" s="8">
        <v>10</v>
      </c>
      <c r="U68" t="n" s="16">
        <v>40900300</v>
      </c>
      <c r="V68" t="n" s="8">
        <v>40910311</v>
      </c>
      <c r="W68" t="n" s="8">
        <v>40920300</v>
      </c>
      <c r="X68" t="n" s="8">
        <v>11000001</v>
      </c>
      <c r="Y68" s="8"/>
      <c r="Z68" s="8"/>
      <c r="AA68" t="str" s="8">
        <v>妖兽</v>
      </c>
      <c r="AB68" s="21">
        <v>20061</v>
      </c>
      <c r="AC68" t="n" s="8">
        <v>1</v>
      </c>
      <c r="AD68" t="n" s="8">
        <v>60</v>
      </c>
      <c r="AE68" t="n" s="8">
        <v>60</v>
      </c>
      <c r="AF68" t="n" s="8">
        <v>0</v>
      </c>
      <c r="AG68" t="n" s="8">
        <v>0</v>
      </c>
      <c r="AH68" t="str" s="8">
        <v>近战</v>
      </c>
      <c r="AI68" s="8"/>
      <c r="AJ68" s="17"/>
      <c r="AK68" s="8"/>
      <c r="AL68" s="18"/>
      <c r="AM68" t="str" s="8">
        <v>生命值</v>
      </c>
      <c r="AN68" t="n" s="19">
        <v>10944</v>
      </c>
      <c r="AO68" t="str" s="8">
        <v>灵力值</v>
      </c>
      <c r="AP68" t="n" s="8">
        <v>1246</v>
      </c>
      <c r="AQ68" t="str" s="8">
        <v>攻击下限</v>
      </c>
      <c r="AR68" t="n" s="8">
        <v>623</v>
      </c>
      <c r="AS68" t="str" s="8">
        <v>攻击上限</v>
      </c>
      <c r="AT68" t="n" s="8">
        <v>623</v>
      </c>
      <c r="AU68" t="str" s="8">
        <v>法力下限</v>
      </c>
      <c r="AV68" t="n" s="8">
        <v>623</v>
      </c>
      <c r="AW68" t="str" s="8">
        <v>法力上限</v>
      </c>
      <c r="AX68" t="n" s="8">
        <v>623</v>
      </c>
      <c r="AY68" t="str" s="8">
        <v>物防下限</v>
      </c>
      <c r="AZ68" t="n" s="8">
        <v>205</v>
      </c>
      <c r="BA68" t="str" s="8">
        <v>物防上限</v>
      </c>
      <c r="BB68" t="n" s="8">
        <v>205</v>
      </c>
      <c r="BC68" t="str" s="8">
        <v>法防下限</v>
      </c>
      <c r="BD68" t="n" s="8">
        <v>205</v>
      </c>
      <c r="BE68" t="str" s="8">
        <v>法防上限</v>
      </c>
      <c r="BF68" t="n" s="8">
        <v>205</v>
      </c>
      <c r="BG68" t="str" s="8">
        <v>移动速度</v>
      </c>
      <c r="BH68" t="n" s="8">
        <v>240</v>
      </c>
      <c r="BI68" t="str" s="8">
        <v>攻击范围</v>
      </c>
      <c r="BJ68" t="n" s="8">
        <v>160</v>
      </c>
      <c r="BK68" t="str" s="8">
        <v>警戒范围</v>
      </c>
      <c r="BL68" t="n" s="8">
        <v>550</v>
      </c>
      <c r="BM68" t="str" s="8">
        <v>攻击间隔</v>
      </c>
      <c r="BN68" t="n" s="8">
        <v>1800</v>
      </c>
      <c r="BO68" t="n" s="8">
        <v>0</v>
      </c>
      <c r="BP68" s="8"/>
      <c r="BQ68" t="n" s="8">
        <v>0</v>
      </c>
      <c r="BR68" t="n" s="8">
        <v>0</v>
      </c>
      <c r="BS68" t="n" s="8">
        <v>0</v>
      </c>
      <c r="BT68" t="n" s="8">
        <v>0</v>
      </c>
      <c r="BU68" t="str" s="8">
        <v>匿汊口的普通遭遇。依托本区既有水土、岩隙和可达条件活动。</v>
      </c>
      <c r="BV68" t="n">
        <v>3</v>
      </c>
      <c r="BW68" t="n">
        <v>9</v>
      </c>
      <c r="BX68" t="str">
        <v>凡品</v>
      </c>
      <c r="BY68" t="str">
        <v>native</v>
      </c>
      <c r="BZ68" t="b">
        <v>0</v>
      </c>
    </row>
    <row r="69" ht="16.5" customHeight="1" spans="2:75">
      <c r="A69"/>
      <c r="B69" t="n" s="8">
        <f>60000000+INDEX(编号表!$B:$B,MATCH(J69,编号表!$A:$A,0))*10000+INDEX(编号表!$B:$B,MATCH(K69,编号表!$C:$C,0))*1000+L69</f>
        <v>60161078</v>
      </c>
      <c r="C69" t="str" s="8">
        <v>a010</v>
      </c>
      <c r="D69" t="str" s="5">
        <v>低岛灵狼</v>
      </c>
      <c r="E69" t="str" s="5">
        <v>R03-S1-普通-78</v>
      </c>
      <c r="F69" t="n" s="8">
        <v>29</v>
      </c>
      <c r="G69" t="str" s="8">
        <f>INDEX(编号表!$E:$E,MATCH(K69,编号表!$C:$C,0))</f>
        <v>白色</v>
      </c>
      <c r="H69" t="n" s="8">
        <v>3</v>
      </c>
      <c r="I69" t="str" s="8">
        <v>匿汊口</v>
      </c>
      <c r="J69" t="str" s="8">
        <v>匿汊口</v>
      </c>
      <c r="K69" t="str" s="8">
        <v>普通</v>
      </c>
      <c r="L69" t="n" s="8">
        <v>78</v>
      </c>
      <c r="M69" t="n" s="8">
        <v>78</v>
      </c>
      <c r="N69" t="n" s="8">
        <v>1</v>
      </c>
      <c r="O69" s="8"/>
      <c r="P69" t="n" s="8">
        <v>24</v>
      </c>
      <c r="Q69" t="n" s="8">
        <v>30000</v>
      </c>
      <c r="R69" t="str" s="8">
        <v>首击</v>
      </c>
      <c r="S69" t="n" s="8">
        <v>30000</v>
      </c>
      <c r="T69" t="n" s="8">
        <v>10</v>
      </c>
      <c r="U69" t="n" s="16">
        <v>40900300</v>
      </c>
      <c r="V69" t="n" s="8">
        <v>40910312</v>
      </c>
      <c r="W69" t="n" s="8">
        <v>40920301</v>
      </c>
      <c r="X69" t="n" s="8">
        <v>11000001</v>
      </c>
      <c r="Y69" s="8"/>
      <c r="Z69" s="8"/>
      <c r="AA69" t="str" s="8">
        <v>妖兽</v>
      </c>
      <c r="AB69" s="21">
        <v>20062</v>
      </c>
      <c r="AC69" t="n" s="8">
        <v>1</v>
      </c>
      <c r="AD69" t="n" s="8">
        <v>60</v>
      </c>
      <c r="AE69" t="n" s="8">
        <v>60</v>
      </c>
      <c r="AF69" t="n" s="8">
        <v>0</v>
      </c>
      <c r="AG69" t="n" s="8">
        <v>0</v>
      </c>
      <c r="AH69" t="str" s="8">
        <v>近战</v>
      </c>
      <c r="AI69" s="8"/>
      <c r="AJ69" s="17"/>
      <c r="AK69" s="8"/>
      <c r="AL69" s="18"/>
      <c r="AM69" t="str" s="8">
        <v>生命值</v>
      </c>
      <c r="AN69" t="n" s="19">
        <v>10944</v>
      </c>
      <c r="AO69" t="str" s="8">
        <v>灵力值</v>
      </c>
      <c r="AP69" t="n" s="8">
        <v>1246</v>
      </c>
      <c r="AQ69" t="str" s="8">
        <v>攻击下限</v>
      </c>
      <c r="AR69" t="n" s="8">
        <v>623</v>
      </c>
      <c r="AS69" t="str" s="8">
        <v>攻击上限</v>
      </c>
      <c r="AT69" t="n" s="8">
        <v>623</v>
      </c>
      <c r="AU69" t="str" s="8">
        <v>法力下限</v>
      </c>
      <c r="AV69" t="n" s="8">
        <v>623</v>
      </c>
      <c r="AW69" t="str" s="8">
        <v>法力上限</v>
      </c>
      <c r="AX69" t="n" s="8">
        <v>623</v>
      </c>
      <c r="AY69" t="str" s="8">
        <v>物防下限</v>
      </c>
      <c r="AZ69" t="n" s="8">
        <v>205</v>
      </c>
      <c r="BA69" t="str" s="8">
        <v>物防上限</v>
      </c>
      <c r="BB69" t="n" s="8">
        <v>205</v>
      </c>
      <c r="BC69" t="str" s="8">
        <v>法防下限</v>
      </c>
      <c r="BD69" t="n" s="8">
        <v>205</v>
      </c>
      <c r="BE69" t="str" s="8">
        <v>法防上限</v>
      </c>
      <c r="BF69" t="n" s="8">
        <v>205</v>
      </c>
      <c r="BG69" t="str" s="8">
        <v>移动速度</v>
      </c>
      <c r="BH69" t="n" s="8">
        <v>240</v>
      </c>
      <c r="BI69" t="str" s="8">
        <v>攻击范围</v>
      </c>
      <c r="BJ69" t="n" s="8">
        <v>160</v>
      </c>
      <c r="BK69" t="str" s="8">
        <v>警戒范围</v>
      </c>
      <c r="BL69" t="n" s="8">
        <v>550</v>
      </c>
      <c r="BM69" t="str" s="8">
        <v>攻击间隔</v>
      </c>
      <c r="BN69" t="n" s="8">
        <v>1800</v>
      </c>
      <c r="BO69" t="n" s="8">
        <v>0</v>
      </c>
      <c r="BP69" s="8"/>
      <c r="BQ69" t="n" s="8">
        <v>0</v>
      </c>
      <c r="BR69" t="n" s="8">
        <v>0</v>
      </c>
      <c r="BS69" t="n" s="8">
        <v>0</v>
      </c>
      <c r="BT69" t="n" s="8">
        <v>0</v>
      </c>
      <c r="BU69" t="str" s="8">
        <v>匿汊口的普通遭遇。依托本区既有水土、岩隙和可达条件活动。</v>
      </c>
      <c r="BV69" t="n">
        <v>3</v>
      </c>
      <c r="BW69" t="n">
        <v>9</v>
      </c>
      <c r="BX69" t="str">
        <v>凡品</v>
      </c>
      <c r="BY69" t="str">
        <v>native</v>
      </c>
      <c r="BZ69" t="b">
        <v>0</v>
      </c>
    </row>
    <row r="70" ht="16.5" customHeight="1" spans="2:75">
      <c r="A70"/>
      <c r="B70" t="n" s="8">
        <f>60000000+INDEX(编号表!$B:$B,MATCH(J70,编号表!$A:$A,0))*10000+INDEX(编号表!$B:$B,MATCH(K70,编号表!$C:$C,0))*1000+L70</f>
        <v>60161079</v>
      </c>
      <c r="C70" t="str" s="8">
        <v>a010</v>
      </c>
      <c r="D70" t="str" s="5">
        <v>末分岩蟹</v>
      </c>
      <c r="E70" t="str" s="5">
        <v>R03-S1-普通-79</v>
      </c>
      <c r="F70" t="n" s="8">
        <v>29</v>
      </c>
      <c r="G70" t="str" s="8">
        <f>INDEX(编号表!$E:$E,MATCH(K70,编号表!$C:$C,0))</f>
        <v>白色</v>
      </c>
      <c r="H70" t="n" s="8">
        <v>3</v>
      </c>
      <c r="I70" t="str" s="8">
        <v>匿汊口</v>
      </c>
      <c r="J70" t="str" s="8">
        <v>匿汊口</v>
      </c>
      <c r="K70" t="str" s="8">
        <v>普通</v>
      </c>
      <c r="L70" t="n" s="8">
        <v>79</v>
      </c>
      <c r="M70" t="n" s="8">
        <v>79</v>
      </c>
      <c r="N70" t="n" s="8">
        <v>1</v>
      </c>
      <c r="O70" s="8"/>
      <c r="P70" t="n" s="8">
        <v>24</v>
      </c>
      <c r="Q70" t="n" s="8">
        <v>30000</v>
      </c>
      <c r="R70" t="str" s="8">
        <v>首击</v>
      </c>
      <c r="S70" t="n" s="8">
        <v>30000</v>
      </c>
      <c r="T70" t="n" s="8">
        <v>10</v>
      </c>
      <c r="U70" t="n" s="16">
        <v>40900300</v>
      </c>
      <c r="V70" t="n" s="8">
        <v>40910300</v>
      </c>
      <c r="W70" t="n" s="8">
        <v>40920300</v>
      </c>
      <c r="X70" t="n" s="8">
        <v>11000001</v>
      </c>
      <c r="Y70" s="8"/>
      <c r="Z70" s="8"/>
      <c r="AA70" t="str" s="8">
        <v>妖兽</v>
      </c>
      <c r="AB70" s="21">
        <v>20063</v>
      </c>
      <c r="AC70" t="n" s="8">
        <v>1</v>
      </c>
      <c r="AD70" t="n" s="8">
        <v>60</v>
      </c>
      <c r="AE70" t="n" s="8">
        <v>60</v>
      </c>
      <c r="AF70" t="n" s="8">
        <v>0</v>
      </c>
      <c r="AG70" t="n" s="8">
        <v>0</v>
      </c>
      <c r="AH70" t="str" s="8">
        <v>近战</v>
      </c>
      <c r="AI70" s="8"/>
      <c r="AJ70" s="17"/>
      <c r="AK70" s="8"/>
      <c r="AL70" s="18"/>
      <c r="AM70" t="str" s="8">
        <v>生命值</v>
      </c>
      <c r="AN70" t="n" s="19">
        <v>10944</v>
      </c>
      <c r="AO70" t="str" s="8">
        <v>灵力值</v>
      </c>
      <c r="AP70" t="n" s="8">
        <v>1246</v>
      </c>
      <c r="AQ70" t="str" s="8">
        <v>攻击下限</v>
      </c>
      <c r="AR70" t="n" s="8">
        <v>623</v>
      </c>
      <c r="AS70" t="str" s="8">
        <v>攻击上限</v>
      </c>
      <c r="AT70" t="n" s="8">
        <v>623</v>
      </c>
      <c r="AU70" t="str" s="8">
        <v>法力下限</v>
      </c>
      <c r="AV70" t="n" s="8">
        <v>623</v>
      </c>
      <c r="AW70" t="str" s="8">
        <v>法力上限</v>
      </c>
      <c r="AX70" t="n" s="8">
        <v>623</v>
      </c>
      <c r="AY70" t="str" s="8">
        <v>物防下限</v>
      </c>
      <c r="AZ70" t="n" s="8">
        <v>205</v>
      </c>
      <c r="BA70" t="str" s="8">
        <v>物防上限</v>
      </c>
      <c r="BB70" t="n" s="8">
        <v>205</v>
      </c>
      <c r="BC70" t="str" s="8">
        <v>法防下限</v>
      </c>
      <c r="BD70" t="n" s="8">
        <v>205</v>
      </c>
      <c r="BE70" t="str" s="8">
        <v>法防上限</v>
      </c>
      <c r="BF70" t="n" s="8">
        <v>205</v>
      </c>
      <c r="BG70" t="str" s="8">
        <v>移动速度</v>
      </c>
      <c r="BH70" t="n" s="8">
        <v>240</v>
      </c>
      <c r="BI70" t="str" s="8">
        <v>攻击范围</v>
      </c>
      <c r="BJ70" t="n" s="8">
        <v>160</v>
      </c>
      <c r="BK70" t="str" s="8">
        <v>警戒范围</v>
      </c>
      <c r="BL70" t="n" s="8">
        <v>550</v>
      </c>
      <c r="BM70" t="str" s="8">
        <v>攻击间隔</v>
      </c>
      <c r="BN70" t="n" s="8">
        <v>1800</v>
      </c>
      <c r="BO70" t="n" s="8">
        <v>0</v>
      </c>
      <c r="BP70" s="8"/>
      <c r="BQ70" t="n" s="8">
        <v>0</v>
      </c>
      <c r="BR70" t="n" s="8">
        <v>0</v>
      </c>
      <c r="BS70" t="n" s="8">
        <v>0</v>
      </c>
      <c r="BT70" t="n" s="8">
        <v>0</v>
      </c>
      <c r="BU70" t="str" s="8">
        <v>匿汊口的普通遭遇。依托本区既有水土、岩隙和可达条件活动。</v>
      </c>
      <c r="BV70" t="n">
        <v>3</v>
      </c>
      <c r="BW70" t="n">
        <v>9</v>
      </c>
      <c r="BX70" t="str">
        <v>凡品</v>
      </c>
      <c r="BY70" t="str">
        <v>native</v>
      </c>
      <c r="BZ70" t="b">
        <v>0</v>
      </c>
    </row>
    <row r="71" ht="16.5" customHeight="1" spans="2:75">
      <c r="A71"/>
      <c r="B71" t="n" s="8">
        <f>60000000+INDEX(编号表!$B:$B,MATCH(J71,编号表!$A:$A,0))*10000+INDEX(编号表!$B:$B,MATCH(K71,编号表!$C:$C,0))*1000+L71</f>
        <v>60162080</v>
      </c>
      <c r="C71" t="str" s="8">
        <v>a010</v>
      </c>
      <c r="D71" t="str" s="5">
        <v>荷汊灵蛙·异种</v>
      </c>
      <c r="E71" t="str" s="5">
        <v>R03-S1-精英-80</v>
      </c>
      <c r="F71" t="n" s="8">
        <v>29</v>
      </c>
      <c r="G71" t="str" s="8">
        <f>INDEX(编号表!$E:$E,MATCH(K71,编号表!$C:$C,0))</f>
        <v>绿色</v>
      </c>
      <c r="H71" t="n" s="8">
        <v>3</v>
      </c>
      <c r="I71" t="str" s="8">
        <v>匿汊口</v>
      </c>
      <c r="J71" t="str" s="8">
        <v>匿汊口</v>
      </c>
      <c r="K71" t="str" s="8">
        <v>精英</v>
      </c>
      <c r="L71" t="n" s="8">
        <v>80</v>
      </c>
      <c r="M71" t="n" s="8">
        <v>80</v>
      </c>
      <c r="N71" t="n" s="8">
        <v>3</v>
      </c>
      <c r="O71" s="8"/>
      <c r="P71" t="n" s="8">
        <v>40</v>
      </c>
      <c r="Q71" t="n" s="8">
        <v>180000</v>
      </c>
      <c r="R71" t="str" s="8">
        <v>首击</v>
      </c>
      <c r="S71" t="n" s="8">
        <v>30000</v>
      </c>
      <c r="T71" t="n" s="8">
        <v>11</v>
      </c>
      <c r="U71" t="n" s="16">
        <v>40900301</v>
      </c>
      <c r="V71" t="n" s="8">
        <v>41120301</v>
      </c>
      <c r="W71" t="n" s="8">
        <v>41320305</v>
      </c>
      <c r="X71" t="n" s="8">
        <v>11000001</v>
      </c>
      <c r="Y71" s="8"/>
      <c r="Z71" s="8"/>
      <c r="AA71" t="str" s="8">
        <v>妖兽</v>
      </c>
      <c r="AB71" s="21">
        <v>20064</v>
      </c>
      <c r="AC71" t="n" s="8">
        <v>1.25</v>
      </c>
      <c r="AD71" t="n" s="8">
        <v>60</v>
      </c>
      <c r="AE71" t="n" s="8">
        <v>60</v>
      </c>
      <c r="AF71" t="n" s="8">
        <v>0</v>
      </c>
      <c r="AG71" t="n" s="8">
        <v>0</v>
      </c>
      <c r="AH71" t="str" s="8">
        <v>近战</v>
      </c>
      <c r="AI71"/>
      <c r="AJ71" s="17"/>
      <c r="AK71" s="8"/>
      <c r="AL71" s="18"/>
      <c r="AM71" t="str" s="8">
        <v>生命值</v>
      </c>
      <c r="AN71" t="n" s="19">
        <v>30643</v>
      </c>
      <c r="AO71" t="str" s="8">
        <v>灵力值</v>
      </c>
      <c r="AP71" t="n" s="8">
        <v>1808</v>
      </c>
      <c r="AQ71" t="str" s="8">
        <v>攻击下限</v>
      </c>
      <c r="AR71" t="n" s="8">
        <v>904</v>
      </c>
      <c r="AS71" t="str" s="8">
        <v>攻击上限</v>
      </c>
      <c r="AT71" t="n" s="8">
        <v>904</v>
      </c>
      <c r="AU71" t="str" s="8">
        <v>法力下限</v>
      </c>
      <c r="AV71" t="n" s="8">
        <v>904</v>
      </c>
      <c r="AW71" t="str" s="8">
        <v>法力上限</v>
      </c>
      <c r="AX71" t="n" s="8">
        <v>904</v>
      </c>
      <c r="AY71" t="str" s="8">
        <v>物防下限</v>
      </c>
      <c r="AZ71" t="n" s="8">
        <v>246</v>
      </c>
      <c r="BA71" t="str" s="8">
        <v>物防上限</v>
      </c>
      <c r="BB71" t="n" s="8">
        <v>246</v>
      </c>
      <c r="BC71" t="str" s="8">
        <v>法防下限</v>
      </c>
      <c r="BD71" t="n" s="8">
        <v>246</v>
      </c>
      <c r="BE71" t="str" s="8">
        <v>法防上限</v>
      </c>
      <c r="BF71" t="n" s="8">
        <v>246</v>
      </c>
      <c r="BG71" t="str" s="8">
        <v>移动速度</v>
      </c>
      <c r="BH71" t="n" s="8">
        <v>240</v>
      </c>
      <c r="BI71" t="str" s="8">
        <v>攻击范围</v>
      </c>
      <c r="BJ71" t="n" s="8">
        <v>160</v>
      </c>
      <c r="BK71" t="str" s="8">
        <v>警戒范围</v>
      </c>
      <c r="BL71" t="n" s="8">
        <v>550</v>
      </c>
      <c r="BM71" t="str" s="8">
        <v>攻击间隔</v>
      </c>
      <c r="BN71" t="n" s="8">
        <v>1800</v>
      </c>
      <c r="BO71" t="n" s="8">
        <v>0</v>
      </c>
      <c r="BP71" s="8"/>
      <c r="BQ71" t="n" s="8">
        <v>0</v>
      </c>
      <c r="BR71" t="n" s="8">
        <v>0</v>
      </c>
      <c r="BS71" t="n" s="8">
        <v>0</v>
      </c>
      <c r="BT71" t="n" s="8">
        <v>0</v>
      </c>
      <c r="BU71" t="str" s="8">
        <v>匿汊口的精英遭遇。依托本区既有水土、岩隙和可达条件活动。</v>
      </c>
      <c r="BV71" t="n">
        <v>3</v>
      </c>
      <c r="BW71" t="n">
        <v>9</v>
      </c>
      <c r="BX71" t="str">
        <v>玄品</v>
      </c>
      <c r="BY71" t="str">
        <v>native</v>
      </c>
      <c r="BZ71" t="b">
        <v>0</v>
      </c>
    </row>
    <row r="72" ht="16.5" customHeight="1" spans="2:75">
      <c r="A72"/>
      <c r="B72" t="n" s="8">
        <f>60000000+INDEX(编号表!$B:$B,MATCH(J72,编号表!$A:$A,0))*10000+INDEX(编号表!$B:$B,MATCH(K72,编号表!$C:$C,0))*1000+L72</f>
        <v>60164081</v>
      </c>
      <c r="C72" t="str" s="8">
        <v>a010</v>
      </c>
      <c r="D72" t="str" s="5">
        <v>水脉灵蛇·首领</v>
      </c>
      <c r="E72" t="str" s="5">
        <v>R03-S1-BOSS-81</v>
      </c>
      <c r="F72" t="n" s="8">
        <v>29</v>
      </c>
      <c r="G72" t="str" s="8">
        <f>INDEX(编号表!$E:$E,MATCH(K72,编号表!$C:$C,0))</f>
        <v>橙色</v>
      </c>
      <c r="H72" t="n" s="8">
        <v>3</v>
      </c>
      <c r="I72" t="str" s="8">
        <v>匿汊口</v>
      </c>
      <c r="J72" t="str" s="8">
        <v>匿汊口</v>
      </c>
      <c r="K72" t="str" s="8">
        <v>BOSS</v>
      </c>
      <c r="L72" t="n" s="8">
        <v>81</v>
      </c>
      <c r="M72" t="n" s="8">
        <v>81</v>
      </c>
      <c r="N72" t="n" s="8">
        <v>5</v>
      </c>
      <c r="O72" s="8"/>
      <c r="P72" t="n" s="8">
        <v>40</v>
      </c>
      <c r="Q72" t="n" s="8">
        <v>900000</v>
      </c>
      <c r="R72" t="str" s="8">
        <v>首击</v>
      </c>
      <c r="S72" t="n" s="8">
        <v>30000</v>
      </c>
      <c r="T72" t="n" s="8">
        <v>12</v>
      </c>
      <c r="U72" t="n" s="16">
        <v>40900302</v>
      </c>
      <c r="V72" t="n" s="8">
        <v>41130302</v>
      </c>
      <c r="W72" t="n" s="8">
        <v>41330306</v>
      </c>
      <c r="X72" t="n" s="8">
        <v>11000001</v>
      </c>
      <c r="Y72" s="8"/>
      <c r="Z72" s="8"/>
      <c r="AA72" t="str" s="8">
        <v>妖兽</v>
      </c>
      <c r="AB72" s="21">
        <v>20064</v>
      </c>
      <c r="AC72" t="n" s="8">
        <v>1.6</v>
      </c>
      <c r="AD72" t="n" s="8">
        <v>60</v>
      </c>
      <c r="AE72" t="n" s="8">
        <v>60</v>
      </c>
      <c r="AF72" t="n" s="8">
        <v>0</v>
      </c>
      <c r="AG72" t="n" s="8">
        <v>0</v>
      </c>
      <c r="AH72" t="str" s="8">
        <v>近战</v>
      </c>
      <c r="AI72"/>
      <c r="AJ72" s="17"/>
      <c r="AK72" s="8"/>
      <c r="AL72" s="18"/>
      <c r="AM72" t="str" s="8">
        <v>生命值</v>
      </c>
      <c r="AN72" t="n" s="19">
        <v>109440</v>
      </c>
      <c r="AO72" t="str" s="8">
        <v>灵力值</v>
      </c>
      <c r="AP72" t="n" s="8">
        <v>2618</v>
      </c>
      <c r="AQ72" t="str" s="8">
        <v>攻击下限</v>
      </c>
      <c r="AR72" t="n" s="8">
        <v>1309</v>
      </c>
      <c r="AS72" t="str" s="8">
        <v>攻击上限</v>
      </c>
      <c r="AT72" t="n" s="8">
        <v>1309</v>
      </c>
      <c r="AU72" t="str" s="8">
        <v>法力下限</v>
      </c>
      <c r="AV72" t="n" s="8">
        <v>1309</v>
      </c>
      <c r="AW72" t="str" s="8">
        <v>法力上限</v>
      </c>
      <c r="AX72" t="n" s="8">
        <v>1309</v>
      </c>
      <c r="AY72" t="str" s="8">
        <v>物防下限</v>
      </c>
      <c r="AZ72" t="n" s="8">
        <v>308</v>
      </c>
      <c r="BA72" t="str" s="8">
        <v>物防上限</v>
      </c>
      <c r="BB72" t="n" s="8">
        <v>308</v>
      </c>
      <c r="BC72" t="str" s="8">
        <v>法防下限</v>
      </c>
      <c r="BD72" t="n" s="8">
        <v>308</v>
      </c>
      <c r="BE72" t="str" s="8">
        <v>法防上限</v>
      </c>
      <c r="BF72" t="n" s="8">
        <v>308</v>
      </c>
      <c r="BG72" t="str" s="8">
        <v>移动速度</v>
      </c>
      <c r="BH72" t="n" s="8">
        <v>240</v>
      </c>
      <c r="BI72" t="str" s="8">
        <v>攻击范围</v>
      </c>
      <c r="BJ72" t="n" s="8">
        <v>160</v>
      </c>
      <c r="BK72" t="str" s="8">
        <v>警戒范围</v>
      </c>
      <c r="BL72" t="n" s="8">
        <v>700</v>
      </c>
      <c r="BM72" t="str" s="8">
        <v>攻击间隔</v>
      </c>
      <c r="BN72" t="n" s="8">
        <v>2200</v>
      </c>
      <c r="BO72" t="n" s="8">
        <v>0</v>
      </c>
      <c r="BP72" s="8"/>
      <c r="BQ72" t="n" s="8">
        <v>0</v>
      </c>
      <c r="BR72" t="n" s="8">
        <v>0</v>
      </c>
      <c r="BS72" t="n" s="8">
        <v>0</v>
      </c>
      <c r="BT72" t="n" s="8">
        <v>0</v>
      </c>
      <c r="BU72" t="str" s="8">
        <v>匿汊口的BOSS遭遇。依托本区既有水土、岩隙和可达条件活动。</v>
      </c>
      <c r="BV72" t="n">
        <v>3</v>
      </c>
      <c r="BW72" t="n">
        <v>9</v>
      </c>
      <c r="BX72" t="str">
        <v>仙品</v>
      </c>
      <c r="BY72" t="str">
        <v>native</v>
      </c>
      <c r="BZ72" t="b">
        <v>1</v>
      </c>
    </row>
    <row r="73" ht="16.5" customHeight="1" spans="2:75">
      <c r="A73"/>
      <c r="B73" t="n" s="8">
        <f>60000000+INDEX(编号表!$B:$B,MATCH(J73,编号表!$A:$A,0))*10000+INDEX(编号表!$B:$B,MATCH(K73,编号表!$C:$C,0))*1000+L73</f>
        <v>60171082</v>
      </c>
      <c r="C73" t="str" s="8">
        <v>a010</v>
      </c>
      <c r="D73" t="str" s="5">
        <v>低岛灵狼</v>
      </c>
      <c r="E73" t="str" s="5">
        <v>R03-S2-普通-82</v>
      </c>
      <c r="F73" t="n" s="8">
        <v>30</v>
      </c>
      <c r="G73" t="str" s="8">
        <f>INDEX(编号表!$E:$E,MATCH(K73,编号表!$C:$C,0))</f>
        <v>白色</v>
      </c>
      <c r="H73" t="n" s="8">
        <v>3</v>
      </c>
      <c r="I73" t="str" s="8">
        <v>砾藏岩</v>
      </c>
      <c r="J73" t="str" s="8">
        <v>砾藏岩</v>
      </c>
      <c r="K73" t="str" s="8">
        <v>普通</v>
      </c>
      <c r="L73" t="n" s="8">
        <v>82</v>
      </c>
      <c r="M73" t="n" s="8">
        <v>82</v>
      </c>
      <c r="N73" t="n" s="8">
        <v>1</v>
      </c>
      <c r="O73" s="8"/>
      <c r="P73" t="n" s="8">
        <v>24</v>
      </c>
      <c r="Q73" t="n" s="8">
        <v>30000</v>
      </c>
      <c r="R73" t="str" s="8">
        <v>首击</v>
      </c>
      <c r="S73" t="n" s="8">
        <v>30000</v>
      </c>
      <c r="T73" t="n" s="8">
        <v>10</v>
      </c>
      <c r="U73" t="n" s="16">
        <v>40900300</v>
      </c>
      <c r="V73" t="n" s="8">
        <v>40910303</v>
      </c>
      <c r="W73" t="n" s="8">
        <v>40920301</v>
      </c>
      <c r="X73" t="n" s="8">
        <v>11000001</v>
      </c>
      <c r="Y73" s="8"/>
      <c r="Z73" s="8"/>
      <c r="AA73" t="str" s="8">
        <v>妖兽</v>
      </c>
      <c r="AB73" s="21">
        <v>20065</v>
      </c>
      <c r="AC73" t="n" s="8">
        <v>1</v>
      </c>
      <c r="AD73" t="n" s="8">
        <v>60</v>
      </c>
      <c r="AE73" t="n" s="8">
        <v>60</v>
      </c>
      <c r="AF73" t="n" s="8">
        <v>0</v>
      </c>
      <c r="AG73" t="n" s="8">
        <v>0</v>
      </c>
      <c r="AH73" t="str" s="8">
        <v>近战</v>
      </c>
      <c r="AI73" s="8"/>
      <c r="AJ73" s="17"/>
      <c r="AK73" s="8"/>
      <c r="AL73" s="18"/>
      <c r="AM73" t="str" s="8">
        <v>生命值</v>
      </c>
      <c r="AN73" t="n" s="19">
        <v>11412</v>
      </c>
      <c r="AO73" t="str" s="8">
        <v>灵力值</v>
      </c>
      <c r="AP73" t="n" s="8">
        <v>1300</v>
      </c>
      <c r="AQ73" t="str" s="8">
        <v>攻击下限</v>
      </c>
      <c r="AR73" t="n" s="8">
        <v>650</v>
      </c>
      <c r="AS73" t="str" s="8">
        <v>攻击上限</v>
      </c>
      <c r="AT73" t="n" s="8">
        <v>650</v>
      </c>
      <c r="AU73" t="str" s="8">
        <v>法力下限</v>
      </c>
      <c r="AV73" t="n" s="8">
        <v>650</v>
      </c>
      <c r="AW73" t="str" s="8">
        <v>法力上限</v>
      </c>
      <c r="AX73" t="n" s="8">
        <v>650</v>
      </c>
      <c r="AY73" t="str" s="8">
        <v>物防下限</v>
      </c>
      <c r="AZ73" t="n" s="8">
        <v>214</v>
      </c>
      <c r="BA73" t="str" s="8">
        <v>物防上限</v>
      </c>
      <c r="BB73" t="n" s="8">
        <v>214</v>
      </c>
      <c r="BC73" t="str" s="8">
        <v>法防下限</v>
      </c>
      <c r="BD73" t="n" s="8">
        <v>214</v>
      </c>
      <c r="BE73" t="str" s="8">
        <v>法防上限</v>
      </c>
      <c r="BF73" t="n" s="8">
        <v>214</v>
      </c>
      <c r="BG73" t="str" s="8">
        <v>移动速度</v>
      </c>
      <c r="BH73" t="n" s="8">
        <v>240</v>
      </c>
      <c r="BI73" t="str" s="8">
        <v>攻击范围</v>
      </c>
      <c r="BJ73" t="n" s="8">
        <v>160</v>
      </c>
      <c r="BK73" t="str" s="8">
        <v>警戒范围</v>
      </c>
      <c r="BL73" t="n" s="8">
        <v>550</v>
      </c>
      <c r="BM73" t="str" s="8">
        <v>攻击间隔</v>
      </c>
      <c r="BN73" t="n" s="8">
        <v>1800</v>
      </c>
      <c r="BO73" t="n" s="8">
        <v>0</v>
      </c>
      <c r="BP73" s="8"/>
      <c r="BQ73" t="n" s="8">
        <v>0</v>
      </c>
      <c r="BR73" t="n" s="8">
        <v>0</v>
      </c>
      <c r="BS73" t="n" s="8">
        <v>0</v>
      </c>
      <c r="BT73" t="n" s="8">
        <v>0</v>
      </c>
      <c r="BU73" t="str" s="8">
        <v>砾藏岩的普通遭遇。依托本区既有水土、岩隙和可达条件活动。</v>
      </c>
      <c r="BV73" t="n">
        <v>3</v>
      </c>
      <c r="BW73" t="n">
        <v>10</v>
      </c>
      <c r="BX73" t="str">
        <v>凡品</v>
      </c>
      <c r="BY73" t="str">
        <v>native</v>
      </c>
      <c r="BZ73" t="b">
        <v>0</v>
      </c>
    </row>
    <row r="74" ht="16.5" customHeight="1" spans="2:75">
      <c r="A74"/>
      <c r="B74" t="n" s="8">
        <f>60000000+INDEX(编号表!$B:$B,MATCH(J74,编号表!$A:$A,0))*10000+INDEX(编号表!$B:$B,MATCH(K74,编号表!$C:$C,0))*1000+L74</f>
        <v>60172083</v>
      </c>
      <c r="C74" t="str" s="8">
        <v>a010</v>
      </c>
      <c r="D74" t="str" s="5">
        <v>末分岩蟹·异种</v>
      </c>
      <c r="E74" t="str" s="5">
        <v>R03-S2-精英-83</v>
      </c>
      <c r="F74" t="n" s="8">
        <v>30</v>
      </c>
      <c r="G74" t="str" s="8">
        <f>INDEX(编号表!$E:$E,MATCH(K74,编号表!$C:$C,0))</f>
        <v>绿色</v>
      </c>
      <c r="H74" t="n" s="8">
        <v>3</v>
      </c>
      <c r="I74" t="str" s="8">
        <v>砾藏岩</v>
      </c>
      <c r="J74" t="str" s="8">
        <v>砾藏岩</v>
      </c>
      <c r="K74" t="str" s="8">
        <v>精英</v>
      </c>
      <c r="L74" t="n" s="8">
        <v>83</v>
      </c>
      <c r="M74" t="n" s="8">
        <v>83</v>
      </c>
      <c r="N74" t="n" s="8">
        <v>3</v>
      </c>
      <c r="O74" s="8"/>
      <c r="P74" t="n" s="8">
        <v>40</v>
      </c>
      <c r="Q74" t="n" s="8">
        <v>180000</v>
      </c>
      <c r="R74" t="str" s="8">
        <v>首击</v>
      </c>
      <c r="S74" t="n" s="8">
        <v>30000</v>
      </c>
      <c r="T74" t="n" s="8">
        <v>11</v>
      </c>
      <c r="U74" t="n" s="16">
        <v>40900301</v>
      </c>
      <c r="V74" t="n" s="8">
        <v>41120304</v>
      </c>
      <c r="W74" t="n" s="8">
        <v>41320300</v>
      </c>
      <c r="X74" t="n" s="8">
        <v>11000001</v>
      </c>
      <c r="Y74" s="8"/>
      <c r="Z74" s="8"/>
      <c r="AA74" t="str" s="8">
        <v>妖兽</v>
      </c>
      <c r="AB74" s="21">
        <v>20066</v>
      </c>
      <c r="AC74" t="n" s="8">
        <v>1.25</v>
      </c>
      <c r="AD74" t="n" s="8">
        <v>60</v>
      </c>
      <c r="AE74" t="n" s="8">
        <v>60</v>
      </c>
      <c r="AF74" t="n" s="8">
        <v>0</v>
      </c>
      <c r="AG74" t="n" s="8">
        <v>0</v>
      </c>
      <c r="AH74" t="str" s="8">
        <v>近战</v>
      </c>
      <c r="AI74" s="8"/>
      <c r="AJ74" s="17"/>
      <c r="AK74" s="8"/>
      <c r="AL74" s="18"/>
      <c r="AM74" t="str" s="8">
        <v>生命值</v>
      </c>
      <c r="AN74" t="n" s="19">
        <v>31954</v>
      </c>
      <c r="AO74" t="str" s="8">
        <v>灵力值</v>
      </c>
      <c r="AP74" t="n" s="8">
        <v>1884</v>
      </c>
      <c r="AQ74" t="str" s="8">
        <v>攻击下限</v>
      </c>
      <c r="AR74" t="n" s="8">
        <v>942</v>
      </c>
      <c r="AS74" t="str" s="8">
        <v>攻击上限</v>
      </c>
      <c r="AT74" t="n" s="8">
        <v>942</v>
      </c>
      <c r="AU74" t="str" s="8">
        <v>法力下限</v>
      </c>
      <c r="AV74" t="n" s="8">
        <v>942</v>
      </c>
      <c r="AW74" t="str" s="8">
        <v>法力上限</v>
      </c>
      <c r="AX74" t="n" s="8">
        <v>942</v>
      </c>
      <c r="AY74" t="str" s="8">
        <v>物防下限</v>
      </c>
      <c r="AZ74" t="n" s="8">
        <v>257</v>
      </c>
      <c r="BA74" t="str" s="8">
        <v>物防上限</v>
      </c>
      <c r="BB74" t="n" s="8">
        <v>257</v>
      </c>
      <c r="BC74" t="str" s="8">
        <v>法防下限</v>
      </c>
      <c r="BD74" t="n" s="8">
        <v>257</v>
      </c>
      <c r="BE74" t="str" s="8">
        <v>法防上限</v>
      </c>
      <c r="BF74" t="n" s="8">
        <v>257</v>
      </c>
      <c r="BG74" t="str" s="8">
        <v>移动速度</v>
      </c>
      <c r="BH74" t="n" s="8">
        <v>240</v>
      </c>
      <c r="BI74" t="str" s="8">
        <v>攻击范围</v>
      </c>
      <c r="BJ74" t="n" s="8">
        <v>160</v>
      </c>
      <c r="BK74" t="str" s="8">
        <v>警戒范围</v>
      </c>
      <c r="BL74" t="n" s="8">
        <v>550</v>
      </c>
      <c r="BM74" t="str" s="8">
        <v>攻击间隔</v>
      </c>
      <c r="BN74" t="n" s="8">
        <v>1800</v>
      </c>
      <c r="BO74" t="n" s="8">
        <v>0</v>
      </c>
      <c r="BP74" s="8"/>
      <c r="BQ74" t="n" s="8">
        <v>0</v>
      </c>
      <c r="BR74" t="n" s="8">
        <v>0</v>
      </c>
      <c r="BS74" t="n" s="8">
        <v>0</v>
      </c>
      <c r="BT74" t="n" s="8">
        <v>0</v>
      </c>
      <c r="BU74" t="str" s="8">
        <v>砾藏岩的精英遭遇。依托本区既有水土、岩隙和可达条件活动。</v>
      </c>
      <c r="BV74" t="n">
        <v>3</v>
      </c>
      <c r="BW74" t="n">
        <v>10</v>
      </c>
      <c r="BX74" t="str">
        <v>玄品</v>
      </c>
      <c r="BY74" t="str">
        <v>native</v>
      </c>
      <c r="BZ74" t="b">
        <v>0</v>
      </c>
    </row>
    <row r="75" ht="16.5" customHeight="1" spans="2:75">
      <c r="A75"/>
      <c r="B75" t="n" s="8">
        <f>60000000+INDEX(编号表!$B:$B,MATCH(J75,编号表!$A:$A,0))*10000+INDEX(编号表!$B:$B,MATCH(K75,编号表!$C:$C,0))*1000+L75</f>
        <v>60171084</v>
      </c>
      <c r="C75" t="str" s="8">
        <v>a010</v>
      </c>
      <c r="D75" t="str" s="5">
        <v>荷汊灵蛙</v>
      </c>
      <c r="E75" t="str" s="5">
        <v>R03-S2-普通-84</v>
      </c>
      <c r="F75" t="n" s="8">
        <v>30</v>
      </c>
      <c r="G75" t="str" s="8">
        <f>INDEX(编号表!$E:$E,MATCH(K75,编号表!$C:$C,0))</f>
        <v>白色</v>
      </c>
      <c r="H75" t="n" s="8">
        <v>3</v>
      </c>
      <c r="I75" t="str" s="8">
        <v>砾藏岩</v>
      </c>
      <c r="J75" t="str" s="8">
        <v>砾藏岩</v>
      </c>
      <c r="K75" t="str" s="8">
        <v>普通</v>
      </c>
      <c r="L75" t="n" s="8">
        <v>84</v>
      </c>
      <c r="M75" t="n" s="8">
        <v>84</v>
      </c>
      <c r="N75" t="n" s="8">
        <v>1</v>
      </c>
      <c r="O75" s="8"/>
      <c r="P75" t="n" s="8">
        <v>24</v>
      </c>
      <c r="Q75" t="n" s="8">
        <v>30000</v>
      </c>
      <c r="R75" t="str" s="8">
        <v>首击</v>
      </c>
      <c r="S75" t="n" s="8">
        <v>30000</v>
      </c>
      <c r="T75" t="n" s="8">
        <v>10</v>
      </c>
      <c r="U75" t="n" s="16">
        <v>40900300</v>
      </c>
      <c r="V75" t="n" s="8">
        <v>40910305</v>
      </c>
      <c r="W75" t="n" s="8">
        <v>40920301</v>
      </c>
      <c r="X75" t="n" s="8">
        <v>11000001</v>
      </c>
      <c r="Y75" s="8"/>
      <c r="Z75" s="8"/>
      <c r="AA75" t="str" s="8">
        <v>妖兽</v>
      </c>
      <c r="AB75" s="21">
        <v>20067</v>
      </c>
      <c r="AC75" t="n" s="8">
        <v>1</v>
      </c>
      <c r="AD75" t="n" s="8">
        <v>60</v>
      </c>
      <c r="AE75" t="n" s="8">
        <v>60</v>
      </c>
      <c r="AF75" t="n" s="8">
        <v>0</v>
      </c>
      <c r="AG75" t="n" s="8">
        <v>0</v>
      </c>
      <c r="AH75" t="str" s="8">
        <v>近战</v>
      </c>
      <c r="AI75"/>
      <c r="AJ75" s="17"/>
      <c r="AK75" s="8"/>
      <c r="AL75" s="18"/>
      <c r="AM75" t="str" s="8">
        <v>生命值</v>
      </c>
      <c r="AN75" t="n" s="19">
        <v>11412</v>
      </c>
      <c r="AO75" t="str" s="8">
        <v>灵力值</v>
      </c>
      <c r="AP75" t="n" s="8">
        <v>1300</v>
      </c>
      <c r="AQ75" t="str" s="8">
        <v>攻击下限</v>
      </c>
      <c r="AR75" t="n" s="8">
        <v>650</v>
      </c>
      <c r="AS75" t="str" s="8">
        <v>攻击上限</v>
      </c>
      <c r="AT75" t="n" s="8">
        <v>650</v>
      </c>
      <c r="AU75" t="str" s="8">
        <v>法力下限</v>
      </c>
      <c r="AV75" t="n" s="8">
        <v>650</v>
      </c>
      <c r="AW75" t="str" s="8">
        <v>法力上限</v>
      </c>
      <c r="AX75" t="n" s="8">
        <v>650</v>
      </c>
      <c r="AY75" t="str" s="8">
        <v>物防下限</v>
      </c>
      <c r="AZ75" t="n" s="8">
        <v>214</v>
      </c>
      <c r="BA75" t="str" s="8">
        <v>物防上限</v>
      </c>
      <c r="BB75" t="n" s="8">
        <v>214</v>
      </c>
      <c r="BC75" t="str" s="8">
        <v>法防下限</v>
      </c>
      <c r="BD75" t="n" s="8">
        <v>214</v>
      </c>
      <c r="BE75" t="str" s="8">
        <v>法防上限</v>
      </c>
      <c r="BF75" t="n" s="8">
        <v>214</v>
      </c>
      <c r="BG75" t="str" s="8">
        <v>移动速度</v>
      </c>
      <c r="BH75" t="n" s="8">
        <v>240</v>
      </c>
      <c r="BI75" t="str" s="8">
        <v>攻击范围</v>
      </c>
      <c r="BJ75" t="n" s="8">
        <v>160</v>
      </c>
      <c r="BK75" t="str" s="8">
        <v>警戒范围</v>
      </c>
      <c r="BL75" t="n" s="8">
        <v>550</v>
      </c>
      <c r="BM75" t="str" s="8">
        <v>攻击间隔</v>
      </c>
      <c r="BN75" t="n" s="8">
        <v>1800</v>
      </c>
      <c r="BO75" t="n" s="8">
        <v>0</v>
      </c>
      <c r="BP75" s="8"/>
      <c r="BQ75" t="n" s="8">
        <v>0</v>
      </c>
      <c r="BR75" t="n" s="8">
        <v>0</v>
      </c>
      <c r="BS75" t="n" s="8">
        <v>0</v>
      </c>
      <c r="BT75" t="n" s="8">
        <v>0</v>
      </c>
      <c r="BU75" t="str" s="8">
        <v>砾藏岩的普通遭遇。依托本区既有水土、岩隙和可达条件活动。</v>
      </c>
      <c r="BV75" t="n">
        <v>3</v>
      </c>
      <c r="BW75" t="n">
        <v>10</v>
      </c>
      <c r="BX75" t="str">
        <v>凡品</v>
      </c>
      <c r="BY75" t="str">
        <v>native</v>
      </c>
      <c r="BZ75" t="b">
        <v>0</v>
      </c>
    </row>
    <row r="76" ht="16.5" customHeight="1" spans="2:75">
      <c r="A76"/>
      <c r="B76" t="n" s="8">
        <f>60000000+INDEX(编号表!$B:$B,MATCH(J76,编号表!$A:$A,0))*10000+INDEX(编号表!$B:$B,MATCH(K76,编号表!$C:$C,0))*1000+L76</f>
        <v>60174085</v>
      </c>
      <c r="C76" t="str" s="8">
        <v>a010</v>
      </c>
      <c r="D76" t="str" s="5">
        <v>水脉灵蛇·首领</v>
      </c>
      <c r="E76" t="str" s="5">
        <v>R03-S2-BOSS-85</v>
      </c>
      <c r="F76" t="n" s="8">
        <v>30</v>
      </c>
      <c r="G76" t="str" s="8">
        <f>INDEX(编号表!$E:$E,MATCH(K76,编号表!$C:$C,0))</f>
        <v>橙色</v>
      </c>
      <c r="H76" t="n" s="8">
        <v>3</v>
      </c>
      <c r="I76" t="str" s="8">
        <v>砾藏岩</v>
      </c>
      <c r="J76" t="str" s="8">
        <v>砾藏岩</v>
      </c>
      <c r="K76" t="str" s="8">
        <v>BOSS</v>
      </c>
      <c r="L76" t="n" s="8">
        <v>85</v>
      </c>
      <c r="M76" t="n" s="8">
        <v>85</v>
      </c>
      <c r="N76" t="n" s="8">
        <v>5</v>
      </c>
      <c r="O76" s="8"/>
      <c r="P76" t="n" s="8">
        <v>40</v>
      </c>
      <c r="Q76" t="n" s="8">
        <v>900000</v>
      </c>
      <c r="R76" t="str" s="8">
        <v>首击</v>
      </c>
      <c r="S76" t="n" s="8">
        <v>30000</v>
      </c>
      <c r="T76" t="n" s="8">
        <v>12</v>
      </c>
      <c r="U76" t="n" s="16">
        <v>40900302</v>
      </c>
      <c r="V76" t="n" s="8">
        <v>41130306</v>
      </c>
      <c r="W76" t="n" s="8">
        <v>41330301</v>
      </c>
      <c r="X76" t="n" s="8">
        <v>11000001</v>
      </c>
      <c r="Y76" s="8"/>
      <c r="Z76" s="8"/>
      <c r="AA76" t="str" s="8">
        <v>妖兽</v>
      </c>
      <c r="AB76" s="21">
        <v>20068</v>
      </c>
      <c r="AC76" t="n" s="8">
        <v>1.6</v>
      </c>
      <c r="AD76" t="n" s="8">
        <v>60</v>
      </c>
      <c r="AE76" t="n" s="8">
        <v>60</v>
      </c>
      <c r="AF76" t="n" s="8">
        <v>0</v>
      </c>
      <c r="AG76" t="n" s="8">
        <v>0</v>
      </c>
      <c r="AH76" t="str" s="8">
        <v>近战</v>
      </c>
      <c r="AI76" s="8"/>
      <c r="AJ76" s="17"/>
      <c r="AK76" s="8"/>
      <c r="AL76" s="18"/>
      <c r="AM76" t="str" s="8">
        <v>生命值</v>
      </c>
      <c r="AN76" t="n" s="19">
        <v>114120</v>
      </c>
      <c r="AO76" t="str" s="8">
        <v>灵力值</v>
      </c>
      <c r="AP76" t="n" s="8">
        <v>2730</v>
      </c>
      <c r="AQ76" t="str" s="8">
        <v>攻击下限</v>
      </c>
      <c r="AR76" t="n" s="8">
        <v>1365</v>
      </c>
      <c r="AS76" t="str" s="8">
        <v>攻击上限</v>
      </c>
      <c r="AT76" t="n" s="8">
        <v>1365</v>
      </c>
      <c r="AU76" t="str" s="8">
        <v>法力下限</v>
      </c>
      <c r="AV76" t="n" s="8">
        <v>1365</v>
      </c>
      <c r="AW76" t="str" s="8">
        <v>法力上限</v>
      </c>
      <c r="AX76" t="n" s="8">
        <v>1365</v>
      </c>
      <c r="AY76" t="str" s="8">
        <v>物防下限</v>
      </c>
      <c r="AZ76" t="n" s="8">
        <v>321</v>
      </c>
      <c r="BA76" t="str" s="8">
        <v>物防上限</v>
      </c>
      <c r="BB76" t="n" s="8">
        <v>321</v>
      </c>
      <c r="BC76" t="str" s="8">
        <v>法防下限</v>
      </c>
      <c r="BD76" t="n" s="8">
        <v>321</v>
      </c>
      <c r="BE76" t="str" s="8">
        <v>法防上限</v>
      </c>
      <c r="BF76" t="n" s="8">
        <v>321</v>
      </c>
      <c r="BG76" t="str" s="8">
        <v>移动速度</v>
      </c>
      <c r="BH76" t="n" s="8">
        <v>240</v>
      </c>
      <c r="BI76" t="str" s="8">
        <v>攻击范围</v>
      </c>
      <c r="BJ76" t="n" s="8">
        <v>160</v>
      </c>
      <c r="BK76" t="str" s="8">
        <v>警戒范围</v>
      </c>
      <c r="BL76" t="n" s="8">
        <v>700</v>
      </c>
      <c r="BM76" t="str" s="8">
        <v>攻击间隔</v>
      </c>
      <c r="BN76" t="n" s="8">
        <v>2200</v>
      </c>
      <c r="BO76" t="n" s="8">
        <v>0</v>
      </c>
      <c r="BP76" s="8"/>
      <c r="BQ76" t="n" s="8">
        <v>0</v>
      </c>
      <c r="BR76" t="n" s="8">
        <v>0</v>
      </c>
      <c r="BS76" t="n" s="8">
        <v>0</v>
      </c>
      <c r="BT76" t="n" s="8">
        <v>0</v>
      </c>
      <c r="BU76" t="str" s="8">
        <v>砾藏岩的BOSS遭遇。依托本区既有水土、岩隙和可达条件活动。</v>
      </c>
      <c r="BV76" t="n">
        <v>3</v>
      </c>
      <c r="BW76" t="n">
        <v>10</v>
      </c>
      <c r="BX76" t="str">
        <v>仙品</v>
      </c>
      <c r="BY76" t="str">
        <v>native</v>
      </c>
      <c r="BZ76" t="b">
        <v>1</v>
      </c>
    </row>
    <row r="77" ht="16.5" customHeight="1" spans="2:75">
      <c r="A77"/>
      <c r="B77" t="n" s="8">
        <f>60000000+INDEX(编号表!$B:$B,MATCH(J77,编号表!$A:$A,0))*10000+INDEX(编号表!$B:$B,MATCH(K77,编号表!$C:$C,0))*1000+L77</f>
        <v>60261086</v>
      </c>
      <c r="C77" t="str" s="8">
        <v>a010</v>
      </c>
      <c r="D77" t="str" s="5">
        <v>魔化沟底石蟹</v>
      </c>
      <c r="E77" t="str" s="5">
        <v>R04-D1-普通-86</v>
      </c>
      <c r="F77" t="n" s="8">
        <v>38</v>
      </c>
      <c r="G77" t="str" s="8">
        <f>INDEX(编号表!$E:$E,MATCH(K77,编号表!$C:$C,0))</f>
        <v>白色</v>
      </c>
      <c r="H77" t="n" s="8">
        <v>4</v>
      </c>
      <c r="I77" t="str" s="8">
        <v>风背余晦</v>
      </c>
      <c r="J77" t="str" s="8">
        <v>风背余晦</v>
      </c>
      <c r="K77" t="str" s="8">
        <v>普通</v>
      </c>
      <c r="L77" t="n" s="8">
        <v>86</v>
      </c>
      <c r="M77" t="n" s="8">
        <v>86</v>
      </c>
      <c r="N77" t="n" s="8">
        <v>1</v>
      </c>
      <c r="O77" s="8"/>
      <c r="P77" t="n" s="8">
        <v>24</v>
      </c>
      <c r="Q77" t="n" s="8">
        <v>30000</v>
      </c>
      <c r="R77" t="str" s="8">
        <v>首击</v>
      </c>
      <c r="S77" t="n" s="8">
        <v>30000</v>
      </c>
      <c r="T77" t="n" s="8">
        <v>10</v>
      </c>
      <c r="U77" t="n" s="16">
        <v>40900400</v>
      </c>
      <c r="V77" t="n" s="8">
        <v>40910400</v>
      </c>
      <c r="W77" t="n" s="8">
        <v>40920400</v>
      </c>
      <c r="X77" t="n" s="8">
        <v>11000001</v>
      </c>
      <c r="Y77" s="8"/>
      <c r="Z77" s="8"/>
      <c r="AA77" t="str" s="8">
        <v>妖兽</v>
      </c>
      <c r="AB77" s="21">
        <v>20091</v>
      </c>
      <c r="AC77" t="n" s="8">
        <v>1</v>
      </c>
      <c r="AD77" t="n" s="8">
        <v>60</v>
      </c>
      <c r="AE77" t="n" s="8">
        <v>60</v>
      </c>
      <c r="AF77" t="n" s="8">
        <v>0</v>
      </c>
      <c r="AG77" t="n" s="8">
        <v>0</v>
      </c>
      <c r="AH77" t="str" s="8">
        <v>近战</v>
      </c>
      <c r="AI77" s="8"/>
      <c r="AJ77" s="17"/>
      <c r="AK77" s="8"/>
      <c r="AL77" s="18"/>
      <c r="AM77" t="str" s="8">
        <v>生命值</v>
      </c>
      <c r="AN77" t="n" s="19">
        <v>50925</v>
      </c>
      <c r="AO77" t="str" s="8">
        <v>灵力值</v>
      </c>
      <c r="AP77" t="n" s="8">
        <v>4948</v>
      </c>
      <c r="AQ77" t="str" s="8">
        <v>攻击下限</v>
      </c>
      <c r="AR77" t="n" s="8">
        <v>2474</v>
      </c>
      <c r="AS77" t="str" s="8">
        <v>攻击上限</v>
      </c>
      <c r="AT77" t="n" s="8">
        <v>2474</v>
      </c>
      <c r="AU77" t="str" s="8">
        <v>法力下限</v>
      </c>
      <c r="AV77" t="n" s="8">
        <v>2474</v>
      </c>
      <c r="AW77" t="str" s="8">
        <v>法力上限</v>
      </c>
      <c r="AX77" t="n" s="8">
        <v>2474</v>
      </c>
      <c r="AY77" t="str" s="8">
        <v>物防下限</v>
      </c>
      <c r="AZ77" t="n" s="8">
        <v>844</v>
      </c>
      <c r="BA77" t="str" s="8">
        <v>物防上限</v>
      </c>
      <c r="BB77" t="n" s="8">
        <v>844</v>
      </c>
      <c r="BC77" t="str" s="8">
        <v>法防下限</v>
      </c>
      <c r="BD77" t="n" s="8">
        <v>844</v>
      </c>
      <c r="BE77" t="str" s="8">
        <v>法防上限</v>
      </c>
      <c r="BF77" t="n" s="8">
        <v>844</v>
      </c>
      <c r="BG77" t="str" s="8">
        <v>移动速度</v>
      </c>
      <c r="BH77" t="n" s="8">
        <v>240</v>
      </c>
      <c r="BI77" t="str" s="8">
        <v>攻击范围</v>
      </c>
      <c r="BJ77" t="n" s="8">
        <v>160</v>
      </c>
      <c r="BK77" t="str" s="8">
        <v>警戒范围</v>
      </c>
      <c r="BL77" t="n" s="8">
        <v>550</v>
      </c>
      <c r="BM77" t="str" s="8">
        <v>攻击间隔</v>
      </c>
      <c r="BN77" t="n" s="8">
        <v>1800</v>
      </c>
      <c r="BO77" t="n" s="8">
        <v>0</v>
      </c>
      <c r="BP77" s="8"/>
      <c r="BQ77" t="n" s="8">
        <v>0</v>
      </c>
      <c r="BR77" t="n" s="8">
        <v>0</v>
      </c>
      <c r="BS77" t="n" s="8">
        <v>0</v>
      </c>
      <c r="BT77" t="n" s="8">
        <v>0</v>
      </c>
      <c r="BU77" t="str" s="8">
        <v>风背余晦的普通遭遇。裂隙渗漏造成的短时魔化，非本区新增裂隙。</v>
      </c>
      <c r="BV77" t="n">
        <v>4</v>
      </c>
      <c r="BW77" t="n">
        <v>8</v>
      </c>
      <c r="BX77" t="str">
        <v>凡品</v>
      </c>
      <c r="BY77" t="str">
        <v>corrupted</v>
      </c>
      <c r="BZ77" t="b">
        <v>0</v>
      </c>
    </row>
    <row r="78" ht="16.5" customHeight="1" spans="2:75">
      <c r="A78"/>
      <c r="B78" t="n" s="8">
        <f>60000000+INDEX(编号表!$B:$B,MATCH(J78,编号表!$A:$A,0))*10000+INDEX(编号表!$B:$B,MATCH(K78,编号表!$C:$C,0))*1000+L78</f>
        <v>60261087</v>
      </c>
      <c r="C78" t="str" s="8">
        <v>a010</v>
      </c>
      <c r="D78" t="str" s="5">
        <v>魔化瘠地灵蛇</v>
      </c>
      <c r="E78" t="str" s="5">
        <v>R04-D1-普通-87</v>
      </c>
      <c r="F78" t="n" s="8">
        <v>38</v>
      </c>
      <c r="G78" t="str" s="8">
        <f>INDEX(编号表!$E:$E,MATCH(K78,编号表!$C:$C,0))</f>
        <v>白色</v>
      </c>
      <c r="H78" t="n" s="8">
        <v>4</v>
      </c>
      <c r="I78" t="str" s="8">
        <v>风背余晦</v>
      </c>
      <c r="J78" t="str" s="8">
        <v>风背余晦</v>
      </c>
      <c r="K78" t="str" s="8">
        <v>普通</v>
      </c>
      <c r="L78" t="n" s="8">
        <v>87</v>
      </c>
      <c r="M78" t="n" s="8">
        <v>87</v>
      </c>
      <c r="N78" t="n" s="8">
        <v>1</v>
      </c>
      <c r="O78" s="8"/>
      <c r="P78" t="n" s="8">
        <v>24</v>
      </c>
      <c r="Q78" t="n" s="8">
        <v>30000</v>
      </c>
      <c r="R78" t="str" s="8">
        <v>首击</v>
      </c>
      <c r="S78" t="n" s="8">
        <v>30000</v>
      </c>
      <c r="T78" t="n" s="8">
        <v>10</v>
      </c>
      <c r="U78" t="n" s="16">
        <v>40900400</v>
      </c>
      <c r="V78" t="n" s="8">
        <v>40910401</v>
      </c>
      <c r="W78" t="n" s="8">
        <v>40920401</v>
      </c>
      <c r="X78" t="n" s="8">
        <v>11000001</v>
      </c>
      <c r="Y78" s="8"/>
      <c r="Z78" s="8"/>
      <c r="AA78" t="str" s="8">
        <v>妖兽</v>
      </c>
      <c r="AB78" s="21">
        <v>20092</v>
      </c>
      <c r="AC78" t="n" s="8">
        <v>1</v>
      </c>
      <c r="AD78" t="n" s="8">
        <v>60</v>
      </c>
      <c r="AE78" t="n" s="8">
        <v>60</v>
      </c>
      <c r="AF78" t="n" s="8">
        <v>0</v>
      </c>
      <c r="AG78" t="n" s="8">
        <v>0</v>
      </c>
      <c r="AH78" t="str" s="8">
        <v>近战</v>
      </c>
      <c r="AI78"/>
      <c r="AJ78" s="17"/>
      <c r="AK78" s="8"/>
      <c r="AL78" s="18"/>
      <c r="AM78" t="str" s="8">
        <v>生命值</v>
      </c>
      <c r="AN78" t="n" s="19">
        <v>50925</v>
      </c>
      <c r="AO78" t="str" s="8">
        <v>灵力值</v>
      </c>
      <c r="AP78" t="n" s="8">
        <v>4948</v>
      </c>
      <c r="AQ78" t="str" s="8">
        <v>攻击下限</v>
      </c>
      <c r="AR78" t="n" s="8">
        <v>2474</v>
      </c>
      <c r="AS78" t="str" s="8">
        <v>攻击上限</v>
      </c>
      <c r="AT78" t="n" s="8">
        <v>2474</v>
      </c>
      <c r="AU78" t="str" s="8">
        <v>法力下限</v>
      </c>
      <c r="AV78" t="n" s="8">
        <v>2474</v>
      </c>
      <c r="AW78" t="str" s="8">
        <v>法力上限</v>
      </c>
      <c r="AX78" t="n" s="8">
        <v>2474</v>
      </c>
      <c r="AY78" t="str" s="8">
        <v>物防下限</v>
      </c>
      <c r="AZ78" t="n" s="8">
        <v>844</v>
      </c>
      <c r="BA78" t="str" s="8">
        <v>物防上限</v>
      </c>
      <c r="BB78" t="n" s="8">
        <v>844</v>
      </c>
      <c r="BC78" t="str" s="8">
        <v>法防下限</v>
      </c>
      <c r="BD78" t="n" s="8">
        <v>844</v>
      </c>
      <c r="BE78" t="str" s="8">
        <v>法防上限</v>
      </c>
      <c r="BF78" t="n" s="8">
        <v>844</v>
      </c>
      <c r="BG78" t="str" s="8">
        <v>移动速度</v>
      </c>
      <c r="BH78" t="n" s="8">
        <v>240</v>
      </c>
      <c r="BI78" t="str" s="8">
        <v>攻击范围</v>
      </c>
      <c r="BJ78" t="n" s="8">
        <v>160</v>
      </c>
      <c r="BK78" t="str" s="8">
        <v>警戒范围</v>
      </c>
      <c r="BL78" t="n" s="8">
        <v>550</v>
      </c>
      <c r="BM78" t="str" s="8">
        <v>攻击间隔</v>
      </c>
      <c r="BN78" t="n" s="8">
        <v>1800</v>
      </c>
      <c r="BO78" t="n" s="8">
        <v>0</v>
      </c>
      <c r="BP78" s="8"/>
      <c r="BQ78" t="n" s="8">
        <v>0</v>
      </c>
      <c r="BR78" t="n" s="8">
        <v>0</v>
      </c>
      <c r="BS78" t="n" s="8">
        <v>0</v>
      </c>
      <c r="BT78" t="n" s="8">
        <v>0</v>
      </c>
      <c r="BU78" t="str" s="8">
        <v>风背余晦的普通遭遇。裂隙渗漏造成的短时魔化，非本区新增裂隙。</v>
      </c>
      <c r="BV78" t="n">
        <v>4</v>
      </c>
      <c r="BW78" t="n">
        <v>8</v>
      </c>
      <c r="BX78" t="str">
        <v>凡品</v>
      </c>
      <c r="BY78" t="str">
        <v>corrupted</v>
      </c>
      <c r="BZ78" t="b">
        <v>0</v>
      </c>
    </row>
    <row r="79" ht="16.5" customHeight="1" spans="2:75">
      <c r="A79"/>
      <c r="B79" t="n" s="8">
        <f>60000000+INDEX(编号表!$B:$B,MATCH(J79,编号表!$A:$A,0))*10000+INDEX(编号表!$B:$B,MATCH(K79,编号表!$C:$C,0))*1000+L79</f>
        <v>60261088</v>
      </c>
      <c r="C79" t="str" s="8">
        <v>a010</v>
      </c>
      <c r="D79" t="str" s="5">
        <v>魔化赭坡岩狼</v>
      </c>
      <c r="E79" t="str" s="5">
        <v>R04-D1-普通-88</v>
      </c>
      <c r="F79" t="n" s="8">
        <v>38</v>
      </c>
      <c r="G79" t="str" s="8">
        <f>INDEX(编号表!$E:$E,MATCH(K79,编号表!$C:$C,0))</f>
        <v>白色</v>
      </c>
      <c r="H79" t="n" s="8">
        <v>4</v>
      </c>
      <c r="I79" t="str" s="8">
        <v>风背余晦</v>
      </c>
      <c r="J79" t="str" s="8">
        <v>风背余晦</v>
      </c>
      <c r="K79" t="str" s="8">
        <v>普通</v>
      </c>
      <c r="L79" t="n" s="8">
        <v>88</v>
      </c>
      <c r="M79" t="n" s="8">
        <v>88</v>
      </c>
      <c r="N79" t="n" s="8">
        <v>1</v>
      </c>
      <c r="O79" s="8"/>
      <c r="P79" t="n" s="8">
        <v>24</v>
      </c>
      <c r="Q79" t="n" s="8">
        <v>30000</v>
      </c>
      <c r="R79" t="str" s="8">
        <v>首击</v>
      </c>
      <c r="S79" t="n" s="8">
        <v>30000</v>
      </c>
      <c r="T79" t="n" s="8">
        <v>10</v>
      </c>
      <c r="U79" t="n" s="16">
        <v>40900400</v>
      </c>
      <c r="V79" t="n" s="8">
        <v>40910402</v>
      </c>
      <c r="W79" t="n" s="8">
        <v>40920400</v>
      </c>
      <c r="X79" t="n" s="8">
        <v>11000001</v>
      </c>
      <c r="Y79" s="8"/>
      <c r="Z79" s="8"/>
      <c r="AA79" t="str" s="8">
        <v>妖兽</v>
      </c>
      <c r="AB79" s="21">
        <v>20091</v>
      </c>
      <c r="AC79" t="n" s="8">
        <v>1</v>
      </c>
      <c r="AD79" t="n" s="8">
        <v>60</v>
      </c>
      <c r="AE79" t="n" s="8">
        <v>60</v>
      </c>
      <c r="AF79" t="n" s="8">
        <v>0</v>
      </c>
      <c r="AG79" t="n" s="8">
        <v>0</v>
      </c>
      <c r="AH79" t="str" s="8">
        <v>近战</v>
      </c>
      <c r="AI79" s="8"/>
      <c r="AJ79" s="17"/>
      <c r="AK79" s="8"/>
      <c r="AL79" s="18"/>
      <c r="AM79" t="str" s="8">
        <v>生命值</v>
      </c>
      <c r="AN79" t="n" s="19">
        <v>50925</v>
      </c>
      <c r="AO79" t="str" s="8">
        <v>灵力值</v>
      </c>
      <c r="AP79" t="n" s="8">
        <v>4948</v>
      </c>
      <c r="AQ79" t="str" s="8">
        <v>攻击下限</v>
      </c>
      <c r="AR79" t="n" s="8">
        <v>2474</v>
      </c>
      <c r="AS79" t="str" s="8">
        <v>攻击上限</v>
      </c>
      <c r="AT79" t="n" s="8">
        <v>2474</v>
      </c>
      <c r="AU79" t="str" s="8">
        <v>法力下限</v>
      </c>
      <c r="AV79" t="n" s="8">
        <v>2474</v>
      </c>
      <c r="AW79" t="str" s="8">
        <v>法力上限</v>
      </c>
      <c r="AX79" t="n" s="8">
        <v>2474</v>
      </c>
      <c r="AY79" t="str" s="8">
        <v>物防下限</v>
      </c>
      <c r="AZ79" t="n" s="8">
        <v>844</v>
      </c>
      <c r="BA79" t="str" s="8">
        <v>物防上限</v>
      </c>
      <c r="BB79" t="n" s="8">
        <v>844</v>
      </c>
      <c r="BC79" t="str" s="8">
        <v>法防下限</v>
      </c>
      <c r="BD79" t="n" s="8">
        <v>844</v>
      </c>
      <c r="BE79" t="str" s="8">
        <v>法防上限</v>
      </c>
      <c r="BF79" t="n" s="8">
        <v>844</v>
      </c>
      <c r="BG79" t="str" s="8">
        <v>移动速度</v>
      </c>
      <c r="BH79" t="n" s="8">
        <v>240</v>
      </c>
      <c r="BI79" t="str" s="8">
        <v>攻击范围</v>
      </c>
      <c r="BJ79" t="n" s="8">
        <v>160</v>
      </c>
      <c r="BK79" t="str" s="8">
        <v>警戒范围</v>
      </c>
      <c r="BL79" t="n" s="8">
        <v>550</v>
      </c>
      <c r="BM79" t="str" s="8">
        <v>攻击间隔</v>
      </c>
      <c r="BN79" t="n" s="8">
        <v>1800</v>
      </c>
      <c r="BO79" t="n" s="8">
        <v>0</v>
      </c>
      <c r="BP79" s="8"/>
      <c r="BQ79" t="n" s="8">
        <v>0</v>
      </c>
      <c r="BR79" t="n" s="8">
        <v>0</v>
      </c>
      <c r="BS79" t="n" s="8">
        <v>0</v>
      </c>
      <c r="BT79" t="n" s="8">
        <v>0</v>
      </c>
      <c r="BU79" t="str" s="8">
        <v>风背余晦的普通遭遇。裂隙渗漏造成的短时魔化，非本区新增裂隙。</v>
      </c>
      <c r="BV79" t="n">
        <v>4</v>
      </c>
      <c r="BW79" t="n">
        <v>8</v>
      </c>
      <c r="BX79" t="str">
        <v>凡品</v>
      </c>
      <c r="BY79" t="str">
        <v>corrupted</v>
      </c>
      <c r="BZ79" t="b">
        <v>0</v>
      </c>
    </row>
    <row r="80" ht="16.5" customHeight="1" spans="2:75">
      <c r="A80"/>
      <c r="B80" t="n" s="8">
        <f>60000000+INDEX(编号表!$B:$B,MATCH(J80,编号表!$A:$A,0))*10000+INDEX(编号表!$B:$B,MATCH(K80,编号表!$C:$C,0))*1000+L80</f>
        <v>60264089</v>
      </c>
      <c r="C80" t="str" s="8">
        <v>a010</v>
      </c>
      <c r="D80" t="str" s="5">
        <v>魔化褐苔灵蜈·首领</v>
      </c>
      <c r="E80" t="str" s="5">
        <v>R04-D1-BOSS-89</v>
      </c>
      <c r="F80" t="n" s="8">
        <v>38</v>
      </c>
      <c r="G80" t="str" s="8">
        <f>INDEX(编号表!$E:$E,MATCH(K80,编号表!$C:$C,0))</f>
        <v>橙色</v>
      </c>
      <c r="H80" t="n" s="8">
        <v>4</v>
      </c>
      <c r="I80" t="str" s="8">
        <v>风背余晦</v>
      </c>
      <c r="J80" t="str" s="8">
        <v>风背余晦</v>
      </c>
      <c r="K80" t="str" s="8">
        <v>BOSS</v>
      </c>
      <c r="L80" t="n" s="8">
        <v>89</v>
      </c>
      <c r="M80" t="n" s="8">
        <v>89</v>
      </c>
      <c r="N80" t="n" s="8">
        <v>5</v>
      </c>
      <c r="O80" s="8"/>
      <c r="P80" t="n" s="8">
        <v>40</v>
      </c>
      <c r="Q80" t="n" s="8">
        <v>900000</v>
      </c>
      <c r="R80" t="str" s="8">
        <v>首击</v>
      </c>
      <c r="S80" t="n" s="8">
        <v>30000</v>
      </c>
      <c r="T80" t="n" s="8">
        <v>12</v>
      </c>
      <c r="U80" t="n" s="16">
        <v>40900402</v>
      </c>
      <c r="V80" t="n" s="8">
        <v>41130403</v>
      </c>
      <c r="W80" t="n" s="8">
        <v>41230401</v>
      </c>
      <c r="X80" t="n" s="8">
        <v>11000001</v>
      </c>
      <c r="Y80" s="8"/>
      <c r="Z80" s="8"/>
      <c r="AA80" t="str" s="8">
        <v>妖兽</v>
      </c>
      <c r="AB80" s="21">
        <v>20093</v>
      </c>
      <c r="AC80" t="n" s="8">
        <v>1.6</v>
      </c>
      <c r="AD80" t="n" s="8">
        <v>60</v>
      </c>
      <c r="AE80" t="n" s="8">
        <v>60</v>
      </c>
      <c r="AF80" t="n" s="8">
        <v>0</v>
      </c>
      <c r="AG80" t="n" s="8">
        <v>0</v>
      </c>
      <c r="AH80" t="str" s="8">
        <v>近战</v>
      </c>
      <c r="AI80" s="8"/>
      <c r="AJ80" s="17"/>
      <c r="AK80" s="8"/>
      <c r="AL80" s="18"/>
      <c r="AM80" t="str" s="8">
        <v>生命值</v>
      </c>
      <c r="AN80" t="n" s="19">
        <v>509250</v>
      </c>
      <c r="AO80" t="str" s="8">
        <v>灵力值</v>
      </c>
      <c r="AP80" t="n" s="8">
        <v>10388</v>
      </c>
      <c r="AQ80" t="str" s="8">
        <v>攻击下限</v>
      </c>
      <c r="AR80" t="n" s="8">
        <v>5194</v>
      </c>
      <c r="AS80" t="str" s="8">
        <v>攻击上限</v>
      </c>
      <c r="AT80" t="n" s="8">
        <v>5194</v>
      </c>
      <c r="AU80" t="str" s="8">
        <v>法力下限</v>
      </c>
      <c r="AV80" t="n" s="8">
        <v>5194</v>
      </c>
      <c r="AW80" t="str" s="8">
        <v>法力上限</v>
      </c>
      <c r="AX80" t="n" s="8">
        <v>5194</v>
      </c>
      <c r="AY80" t="str" s="8">
        <v>物防下限</v>
      </c>
      <c r="AZ80" t="n" s="8">
        <v>1266</v>
      </c>
      <c r="BA80" t="str" s="8">
        <v>物防上限</v>
      </c>
      <c r="BB80" t="n" s="8">
        <v>1266</v>
      </c>
      <c r="BC80" t="str" s="8">
        <v>法防下限</v>
      </c>
      <c r="BD80" t="n" s="8">
        <v>1266</v>
      </c>
      <c r="BE80" t="str" s="8">
        <v>法防上限</v>
      </c>
      <c r="BF80" t="n" s="8">
        <v>1266</v>
      </c>
      <c r="BG80" t="str" s="8">
        <v>移动速度</v>
      </c>
      <c r="BH80" t="n" s="8">
        <v>240</v>
      </c>
      <c r="BI80" t="str" s="8">
        <v>攻击范围</v>
      </c>
      <c r="BJ80" t="n" s="8">
        <v>160</v>
      </c>
      <c r="BK80" t="str" s="8">
        <v>警戒范围</v>
      </c>
      <c r="BL80" t="n" s="8">
        <v>700</v>
      </c>
      <c r="BM80" t="str" s="8">
        <v>攻击间隔</v>
      </c>
      <c r="BN80" t="n" s="8">
        <v>2200</v>
      </c>
      <c r="BO80" t="n" s="8">
        <v>0</v>
      </c>
      <c r="BP80" s="8"/>
      <c r="BQ80" t="n" s="8">
        <v>0</v>
      </c>
      <c r="BR80" t="n" s="8">
        <v>0</v>
      </c>
      <c r="BS80" t="n" s="8">
        <v>0</v>
      </c>
      <c r="BT80" t="n" s="8">
        <v>0</v>
      </c>
      <c r="BU80" t="str" s="8">
        <v>风背余晦的BOSS遭遇。裂隙渗漏造成的短时魔化，非本区新增裂隙。</v>
      </c>
      <c r="BV80" t="n">
        <v>4</v>
      </c>
      <c r="BW80" t="n">
        <v>8</v>
      </c>
      <c r="BX80" t="str">
        <v>仙品</v>
      </c>
      <c r="BY80" t="str">
        <v>corrupted</v>
      </c>
      <c r="BZ80" t="b">
        <v>1</v>
      </c>
    </row>
    <row r="81" ht="16.5" customHeight="1" spans="2:75">
      <c r="A81"/>
      <c r="B81" t="n" s="8">
        <f>60000000+INDEX(编号表!$B:$B,MATCH(J81,编号表!$A:$A,0))*10000+INDEX(编号表!$B:$B,MATCH(K81,编号表!$C:$C,0))*1000+L81</f>
        <v>60191090</v>
      </c>
      <c r="C81" t="str" s="8">
        <v>a010</v>
      </c>
      <c r="D81" t="str" s="5">
        <v>沟底石蟹</v>
      </c>
      <c r="E81" t="str" s="5">
        <v>R04-M1-普通-90</v>
      </c>
      <c r="F81" t="n" s="8">
        <v>32</v>
      </c>
      <c r="G81" t="str" s="8">
        <f>INDEX(编号表!$E:$E,MATCH(K81,编号表!$C:$C,0))</f>
        <v>白色</v>
      </c>
      <c r="H81" t="n" s="8">
        <v>4</v>
      </c>
      <c r="I81" t="str" s="8">
        <v>砺赭坂</v>
      </c>
      <c r="J81" t="str" s="8">
        <v>砺赭坂</v>
      </c>
      <c r="K81" t="str" s="8">
        <v>普通</v>
      </c>
      <c r="L81" t="n" s="8">
        <v>90</v>
      </c>
      <c r="M81" t="n" s="8">
        <v>90</v>
      </c>
      <c r="N81" t="n" s="8">
        <v>1</v>
      </c>
      <c r="O81" s="8"/>
      <c r="P81" t="n" s="8">
        <v>24</v>
      </c>
      <c r="Q81" t="n" s="8">
        <v>30000</v>
      </c>
      <c r="R81" t="str" s="8">
        <v>首击</v>
      </c>
      <c r="S81" t="n" s="8">
        <v>30000</v>
      </c>
      <c r="T81" t="n" s="8">
        <v>10</v>
      </c>
      <c r="U81" t="n" s="16">
        <v>40900400</v>
      </c>
      <c r="V81" t="n" s="8">
        <v>40910404</v>
      </c>
      <c r="W81" t="n" s="8">
        <v>40920400</v>
      </c>
      <c r="X81" t="n" s="8">
        <v>11000001</v>
      </c>
      <c r="Y81" s="8"/>
      <c r="Z81" s="8"/>
      <c r="AA81" t="str" s="8">
        <v>妖兽</v>
      </c>
      <c r="AB81" s="21">
        <v>20069</v>
      </c>
      <c r="AC81" t="n" s="8">
        <v>1</v>
      </c>
      <c r="AD81" t="n" s="8">
        <v>60</v>
      </c>
      <c r="AE81" t="n" s="8">
        <v>60</v>
      </c>
      <c r="AF81" t="n" s="8">
        <v>0</v>
      </c>
      <c r="AG81" t="n" s="8">
        <v>0</v>
      </c>
      <c r="AH81" t="str" s="8">
        <v>近战</v>
      </c>
      <c r="AI81" s="8"/>
      <c r="AJ81" s="17"/>
      <c r="AK81" s="8"/>
      <c r="AL81" s="18"/>
      <c r="AM81" t="str" s="8">
        <v>生命值</v>
      </c>
      <c r="AN81" t="n" s="19">
        <v>37275</v>
      </c>
      <c r="AO81" t="str" s="8">
        <v>灵力值</v>
      </c>
      <c r="AP81" t="n" s="8">
        <v>3620</v>
      </c>
      <c r="AQ81" t="str" s="8">
        <v>攻击下限</v>
      </c>
      <c r="AR81" t="n" s="8">
        <v>1810</v>
      </c>
      <c r="AS81" t="str" s="8">
        <v>攻击上限</v>
      </c>
      <c r="AT81" t="n" s="8">
        <v>1810</v>
      </c>
      <c r="AU81" t="str" s="8">
        <v>法力下限</v>
      </c>
      <c r="AV81" t="n" s="8">
        <v>1810</v>
      </c>
      <c r="AW81" t="str" s="8">
        <v>法力上限</v>
      </c>
      <c r="AX81" t="n" s="8">
        <v>1810</v>
      </c>
      <c r="AY81" t="str" s="8">
        <v>物防下限</v>
      </c>
      <c r="AZ81" t="n" s="8">
        <v>618</v>
      </c>
      <c r="BA81" t="str" s="8">
        <v>物防上限</v>
      </c>
      <c r="BB81" t="n" s="8">
        <v>618</v>
      </c>
      <c r="BC81" t="str" s="8">
        <v>法防下限</v>
      </c>
      <c r="BD81" t="n" s="8">
        <v>618</v>
      </c>
      <c r="BE81" t="str" s="8">
        <v>法防上限</v>
      </c>
      <c r="BF81" t="n" s="8">
        <v>618</v>
      </c>
      <c r="BG81" t="str" s="8">
        <v>移动速度</v>
      </c>
      <c r="BH81" t="n" s="8">
        <v>240</v>
      </c>
      <c r="BI81" t="str" s="8">
        <v>攻击范围</v>
      </c>
      <c r="BJ81" t="n" s="8">
        <v>160</v>
      </c>
      <c r="BK81" t="str" s="8">
        <v>警戒范围</v>
      </c>
      <c r="BL81" t="n" s="8">
        <v>550</v>
      </c>
      <c r="BM81" t="str" s="8">
        <v>攻击间隔</v>
      </c>
      <c r="BN81" t="n" s="8">
        <v>1800</v>
      </c>
      <c r="BO81" t="n" s="8">
        <v>0</v>
      </c>
      <c r="BP81" s="8"/>
      <c r="BQ81" t="n" s="8">
        <v>0</v>
      </c>
      <c r="BR81" t="n" s="8">
        <v>0</v>
      </c>
      <c r="BS81" t="n" s="8">
        <v>0</v>
      </c>
      <c r="BT81" t="n" s="8">
        <v>0</v>
      </c>
      <c r="BU81" t="str" s="8">
        <v>砺赭坂的普通遭遇。依托本区既有水土、岩隙和可达条件活动。</v>
      </c>
      <c r="BV81" t="n">
        <v>4</v>
      </c>
      <c r="BW81" t="n">
        <v>2</v>
      </c>
      <c r="BX81" t="str">
        <v>凡品</v>
      </c>
      <c r="BY81" t="str">
        <v>native</v>
      </c>
      <c r="BZ81" t="b">
        <v>0</v>
      </c>
    </row>
    <row r="82" ht="16.5" customHeight="1" spans="2:75">
      <c r="A82"/>
      <c r="B82" t="n" s="8">
        <f>60000000+INDEX(编号表!$B:$B,MATCH(J82,编号表!$A:$A,0))*10000+INDEX(编号表!$B:$B,MATCH(K82,编号表!$C:$C,0))*1000+L82</f>
        <v>60191091</v>
      </c>
      <c r="C82" t="str" s="8">
        <v>a010</v>
      </c>
      <c r="D82" t="str" s="5">
        <v>瘠地灵蛇</v>
      </c>
      <c r="E82" t="str" s="5">
        <v>R04-M1-普通-91</v>
      </c>
      <c r="F82" t="n" s="8">
        <v>32</v>
      </c>
      <c r="G82" t="str" s="8">
        <f>INDEX(编号表!$E:$E,MATCH(K82,编号表!$C:$C,0))</f>
        <v>白色</v>
      </c>
      <c r="H82" t="n" s="8">
        <v>4</v>
      </c>
      <c r="I82" t="str" s="8">
        <v>砺赭坂</v>
      </c>
      <c r="J82" t="str" s="8">
        <v>砺赭坂</v>
      </c>
      <c r="K82" t="str" s="8">
        <v>普通</v>
      </c>
      <c r="L82" t="n" s="8">
        <v>91</v>
      </c>
      <c r="M82" t="n" s="8">
        <v>91</v>
      </c>
      <c r="N82" t="n" s="8">
        <v>1</v>
      </c>
      <c r="O82" s="8"/>
      <c r="P82" t="n" s="8">
        <v>24</v>
      </c>
      <c r="Q82" t="n" s="8">
        <v>30000</v>
      </c>
      <c r="R82" t="str" s="8">
        <v>首击</v>
      </c>
      <c r="S82" t="n" s="8">
        <v>30000</v>
      </c>
      <c r="T82" t="n" s="8">
        <v>10</v>
      </c>
      <c r="U82" t="n" s="16">
        <v>40900400</v>
      </c>
      <c r="V82" t="n" s="8">
        <v>40910405</v>
      </c>
      <c r="W82" t="n" s="8">
        <v>40920401</v>
      </c>
      <c r="X82" t="n" s="8">
        <v>11000001</v>
      </c>
      <c r="Y82" s="8"/>
      <c r="Z82" s="8"/>
      <c r="AA82" t="str" s="8">
        <v>妖兽</v>
      </c>
      <c r="AB82" s="21">
        <v>20070</v>
      </c>
      <c r="AC82" t="n" s="8">
        <v>1</v>
      </c>
      <c r="AD82" t="n" s="8">
        <v>60</v>
      </c>
      <c r="AE82" t="n" s="8">
        <v>60</v>
      </c>
      <c r="AF82" t="n" s="8">
        <v>0</v>
      </c>
      <c r="AG82" t="n" s="8">
        <v>0</v>
      </c>
      <c r="AH82" t="str" s="8">
        <v>近战</v>
      </c>
      <c r="AI82" s="8"/>
      <c r="AJ82" s="17"/>
      <c r="AK82" s="8"/>
      <c r="AL82" s="18"/>
      <c r="AM82" t="str" s="8">
        <v>生命值</v>
      </c>
      <c r="AN82" t="n" s="19">
        <v>37275</v>
      </c>
      <c r="AO82" t="str" s="8">
        <v>灵力值</v>
      </c>
      <c r="AP82" t="n" s="8">
        <v>3620</v>
      </c>
      <c r="AQ82" t="str" s="8">
        <v>攻击下限</v>
      </c>
      <c r="AR82" t="n" s="8">
        <v>1810</v>
      </c>
      <c r="AS82" t="str" s="8">
        <v>攻击上限</v>
      </c>
      <c r="AT82" t="n" s="8">
        <v>1810</v>
      </c>
      <c r="AU82" t="str" s="8">
        <v>法力下限</v>
      </c>
      <c r="AV82" t="n" s="8">
        <v>1810</v>
      </c>
      <c r="AW82" t="str" s="8">
        <v>法力上限</v>
      </c>
      <c r="AX82" t="n" s="8">
        <v>1810</v>
      </c>
      <c r="AY82" t="str" s="8">
        <v>物防下限</v>
      </c>
      <c r="AZ82" t="n" s="8">
        <v>618</v>
      </c>
      <c r="BA82" t="str" s="8">
        <v>物防上限</v>
      </c>
      <c r="BB82" t="n" s="8">
        <v>618</v>
      </c>
      <c r="BC82" t="str" s="8">
        <v>法防下限</v>
      </c>
      <c r="BD82" t="n" s="8">
        <v>618</v>
      </c>
      <c r="BE82" t="str" s="8">
        <v>法防上限</v>
      </c>
      <c r="BF82" t="n" s="8">
        <v>618</v>
      </c>
      <c r="BG82" t="str" s="8">
        <v>移动速度</v>
      </c>
      <c r="BH82" t="n" s="8">
        <v>240</v>
      </c>
      <c r="BI82" t="str" s="8">
        <v>攻击范围</v>
      </c>
      <c r="BJ82" t="n" s="8">
        <v>160</v>
      </c>
      <c r="BK82" t="str" s="8">
        <v>警戒范围</v>
      </c>
      <c r="BL82" t="n" s="8">
        <v>550</v>
      </c>
      <c r="BM82" t="str" s="8">
        <v>攻击间隔</v>
      </c>
      <c r="BN82" t="n" s="8">
        <v>1800</v>
      </c>
      <c r="BO82" t="n" s="8">
        <v>0</v>
      </c>
      <c r="BP82" s="8"/>
      <c r="BQ82" t="n" s="8">
        <v>0</v>
      </c>
      <c r="BR82" t="n" s="8">
        <v>0</v>
      </c>
      <c r="BS82" t="n" s="8">
        <v>0</v>
      </c>
      <c r="BT82" t="n" s="8">
        <v>0</v>
      </c>
      <c r="BU82" t="str" s="8">
        <v>砺赭坂的普通遭遇。依托本区既有水土、岩隙和可达条件活动。</v>
      </c>
      <c r="BV82" t="n">
        <v>4</v>
      </c>
      <c r="BW82" t="n">
        <v>2</v>
      </c>
      <c r="BX82" t="str">
        <v>凡品</v>
      </c>
      <c r="BY82" t="str">
        <v>native</v>
      </c>
      <c r="BZ82" t="b">
        <v>0</v>
      </c>
    </row>
    <row r="83" ht="16.5" customHeight="1" spans="2:75">
      <c r="A83"/>
      <c r="B83" t="n" s="8">
        <f>60000000+INDEX(编号表!$B:$B,MATCH(J83,编号表!$A:$A,0))*10000+INDEX(编号表!$B:$B,MATCH(K83,编号表!$C:$C,0))*1000+L83</f>
        <v>60191092</v>
      </c>
      <c r="C83" t="str" s="8">
        <v>a010</v>
      </c>
      <c r="D83" t="str" s="5">
        <v>赭坡岩狼</v>
      </c>
      <c r="E83" t="str" s="5">
        <v>R04-M1-普通-92</v>
      </c>
      <c r="F83" t="n" s="8">
        <v>32</v>
      </c>
      <c r="G83" t="str" s="8">
        <f>INDEX(编号表!$E:$E,MATCH(K83,编号表!$C:$C,0))</f>
        <v>白色</v>
      </c>
      <c r="H83" t="n" s="8">
        <v>4</v>
      </c>
      <c r="I83" t="str" s="8">
        <v>砺赭坂</v>
      </c>
      <c r="J83" t="str" s="8">
        <v>砺赭坂</v>
      </c>
      <c r="K83" t="str" s="8">
        <v>普通</v>
      </c>
      <c r="L83" t="n" s="8">
        <v>92</v>
      </c>
      <c r="M83" t="n" s="8">
        <v>92</v>
      </c>
      <c r="N83" t="n" s="8">
        <v>1</v>
      </c>
      <c r="O83" s="8"/>
      <c r="P83" t="n" s="8">
        <v>24</v>
      </c>
      <c r="Q83" t="n" s="8">
        <v>30000</v>
      </c>
      <c r="R83" t="str" s="8">
        <v>首击</v>
      </c>
      <c r="S83" t="n" s="8">
        <v>30000</v>
      </c>
      <c r="T83" t="n" s="8">
        <v>10</v>
      </c>
      <c r="U83" t="n" s="16">
        <v>40900400</v>
      </c>
      <c r="V83" t="n" s="8">
        <v>40910406</v>
      </c>
      <c r="W83" t="n" s="8">
        <v>40920400</v>
      </c>
      <c r="X83" t="n" s="8">
        <v>11000001</v>
      </c>
      <c r="Y83" s="8"/>
      <c r="Z83" s="8"/>
      <c r="AA83" t="str" s="8">
        <v>妖兽</v>
      </c>
      <c r="AB83" s="21">
        <v>20071</v>
      </c>
      <c r="AC83" t="n" s="8">
        <v>1</v>
      </c>
      <c r="AD83" t="n" s="8">
        <v>60</v>
      </c>
      <c r="AE83" t="n" s="8">
        <v>60</v>
      </c>
      <c r="AF83" t="n" s="8">
        <v>0</v>
      </c>
      <c r="AG83" t="n" s="8">
        <v>0</v>
      </c>
      <c r="AH83" t="str" s="8">
        <v>近战</v>
      </c>
      <c r="AI83" s="8"/>
      <c r="AJ83" s="17"/>
      <c r="AK83" s="8"/>
      <c r="AL83" s="18"/>
      <c r="AM83" t="str" s="8">
        <v>生命值</v>
      </c>
      <c r="AN83" t="n" s="19">
        <v>37275</v>
      </c>
      <c r="AO83" t="str" s="8">
        <v>灵力值</v>
      </c>
      <c r="AP83" t="n" s="8">
        <v>3620</v>
      </c>
      <c r="AQ83" t="str" s="8">
        <v>攻击下限</v>
      </c>
      <c r="AR83" t="n" s="8">
        <v>1810</v>
      </c>
      <c r="AS83" t="str" s="8">
        <v>攻击上限</v>
      </c>
      <c r="AT83" t="n" s="8">
        <v>1810</v>
      </c>
      <c r="AU83" t="str" s="8">
        <v>法力下限</v>
      </c>
      <c r="AV83" t="n" s="8">
        <v>1810</v>
      </c>
      <c r="AW83" t="str" s="8">
        <v>法力上限</v>
      </c>
      <c r="AX83" t="n" s="8">
        <v>1810</v>
      </c>
      <c r="AY83" t="str" s="8">
        <v>物防下限</v>
      </c>
      <c r="AZ83" t="n" s="8">
        <v>618</v>
      </c>
      <c r="BA83" t="str" s="8">
        <v>物防上限</v>
      </c>
      <c r="BB83" t="n" s="8">
        <v>618</v>
      </c>
      <c r="BC83" t="str" s="8">
        <v>法防下限</v>
      </c>
      <c r="BD83" t="n" s="8">
        <v>618</v>
      </c>
      <c r="BE83" t="str" s="8">
        <v>法防上限</v>
      </c>
      <c r="BF83" t="n" s="8">
        <v>618</v>
      </c>
      <c r="BG83" t="str" s="8">
        <v>移动速度</v>
      </c>
      <c r="BH83" t="n" s="8">
        <v>240</v>
      </c>
      <c r="BI83" t="str" s="8">
        <v>攻击范围</v>
      </c>
      <c r="BJ83" t="n" s="8">
        <v>160</v>
      </c>
      <c r="BK83" t="str" s="8">
        <v>警戒范围</v>
      </c>
      <c r="BL83" t="n" s="8">
        <v>550</v>
      </c>
      <c r="BM83" t="str" s="8">
        <v>攻击间隔</v>
      </c>
      <c r="BN83" t="n" s="8">
        <v>1800</v>
      </c>
      <c r="BO83" t="n" s="8">
        <v>0</v>
      </c>
      <c r="BP83" s="8"/>
      <c r="BQ83" t="n" s="8">
        <v>0</v>
      </c>
      <c r="BR83" t="n" s="8">
        <v>0</v>
      </c>
      <c r="BS83" t="n" s="8">
        <v>0</v>
      </c>
      <c r="BT83" t="n" s="8">
        <v>0</v>
      </c>
      <c r="BU83" t="str" s="8">
        <v>砺赭坂的普通遭遇。依托本区既有水土、岩隙和可达条件活动。</v>
      </c>
      <c r="BV83" t="n">
        <v>4</v>
      </c>
      <c r="BW83" t="n">
        <v>2</v>
      </c>
      <c r="BX83" t="str">
        <v>凡品</v>
      </c>
      <c r="BY83" t="str">
        <v>native</v>
      </c>
      <c r="BZ83" t="b">
        <v>0</v>
      </c>
    </row>
    <row r="84" ht="16.5" customHeight="1" spans="2:75">
      <c r="A84"/>
      <c r="B84" t="n" s="8">
        <f>60000000+INDEX(编号表!$B:$B,MATCH(J84,编号表!$A:$A,0))*10000+INDEX(编号表!$B:$B,MATCH(K84,编号表!$C:$C,0))*1000+L84</f>
        <v>60191093</v>
      </c>
      <c r="C84" t="str" s="8">
        <v>a010</v>
      </c>
      <c r="D84" t="str" s="5">
        <v>褐苔灵蜈</v>
      </c>
      <c r="E84" t="str" s="5">
        <v>R04-M1-普通-93</v>
      </c>
      <c r="F84" t="n" s="8">
        <v>32</v>
      </c>
      <c r="G84" t="str" s="8">
        <f>INDEX(编号表!$E:$E,MATCH(K84,编号表!$C:$C,0))</f>
        <v>白色</v>
      </c>
      <c r="H84" t="n" s="8">
        <v>4</v>
      </c>
      <c r="I84" t="str" s="8">
        <v>砺赭坂</v>
      </c>
      <c r="J84" t="str" s="8">
        <v>砺赭坂</v>
      </c>
      <c r="K84" t="str" s="8">
        <v>普通</v>
      </c>
      <c r="L84" t="n" s="8">
        <v>93</v>
      </c>
      <c r="M84" t="n" s="8">
        <v>93</v>
      </c>
      <c r="N84" t="n" s="8">
        <v>1</v>
      </c>
      <c r="O84" s="8"/>
      <c r="P84" t="n" s="8">
        <v>24</v>
      </c>
      <c r="Q84" t="n" s="8">
        <v>30000</v>
      </c>
      <c r="R84" t="str" s="8">
        <v>首击</v>
      </c>
      <c r="S84" t="n" s="8">
        <v>30000</v>
      </c>
      <c r="T84" t="n" s="8">
        <v>10</v>
      </c>
      <c r="U84" t="n" s="16">
        <v>40900400</v>
      </c>
      <c r="V84" t="n" s="8">
        <v>40910407</v>
      </c>
      <c r="W84" t="n" s="8">
        <v>40920401</v>
      </c>
      <c r="X84" t="n" s="8">
        <v>11000001</v>
      </c>
      <c r="Y84" s="8"/>
      <c r="Z84" s="8"/>
      <c r="AA84" t="str" s="8">
        <v>妖兽</v>
      </c>
      <c r="AB84" s="21">
        <v>20072</v>
      </c>
      <c r="AC84" t="n" s="8">
        <v>1</v>
      </c>
      <c r="AD84" t="n" s="8">
        <v>60</v>
      </c>
      <c r="AE84" t="n" s="8">
        <v>60</v>
      </c>
      <c r="AF84" t="n" s="8">
        <v>0</v>
      </c>
      <c r="AG84" t="n" s="8">
        <v>0</v>
      </c>
      <c r="AH84" t="str" s="8">
        <v>近战</v>
      </c>
      <c r="AI84" s="8"/>
      <c r="AJ84" s="17"/>
      <c r="AK84" s="8"/>
      <c r="AL84" s="18"/>
      <c r="AM84" t="str" s="8">
        <v>生命值</v>
      </c>
      <c r="AN84" t="n" s="19">
        <v>37275</v>
      </c>
      <c r="AO84" t="str" s="8">
        <v>灵力值</v>
      </c>
      <c r="AP84" t="n" s="8">
        <v>3620</v>
      </c>
      <c r="AQ84" t="str" s="8">
        <v>攻击下限</v>
      </c>
      <c r="AR84" t="n" s="8">
        <v>1810</v>
      </c>
      <c r="AS84" t="str" s="8">
        <v>攻击上限</v>
      </c>
      <c r="AT84" t="n" s="8">
        <v>1810</v>
      </c>
      <c r="AU84" t="str" s="8">
        <v>法力下限</v>
      </c>
      <c r="AV84" t="n" s="8">
        <v>1810</v>
      </c>
      <c r="AW84" t="str" s="8">
        <v>法力上限</v>
      </c>
      <c r="AX84" t="n" s="8">
        <v>1810</v>
      </c>
      <c r="AY84" t="str" s="8">
        <v>物防下限</v>
      </c>
      <c r="AZ84" t="n" s="8">
        <v>618</v>
      </c>
      <c r="BA84" t="str" s="8">
        <v>物防上限</v>
      </c>
      <c r="BB84" t="n" s="8">
        <v>618</v>
      </c>
      <c r="BC84" t="str" s="8">
        <v>法防下限</v>
      </c>
      <c r="BD84" t="n" s="8">
        <v>618</v>
      </c>
      <c r="BE84" t="str" s="8">
        <v>法防上限</v>
      </c>
      <c r="BF84" t="n" s="8">
        <v>618</v>
      </c>
      <c r="BG84" t="str" s="8">
        <v>移动速度</v>
      </c>
      <c r="BH84" t="n" s="8">
        <v>240</v>
      </c>
      <c r="BI84" t="str" s="8">
        <v>攻击范围</v>
      </c>
      <c r="BJ84" t="n" s="8">
        <v>160</v>
      </c>
      <c r="BK84" t="str" s="8">
        <v>警戒范围</v>
      </c>
      <c r="BL84" t="n" s="8">
        <v>550</v>
      </c>
      <c r="BM84" t="str" s="8">
        <v>攻击间隔</v>
      </c>
      <c r="BN84" t="n" s="8">
        <v>1800</v>
      </c>
      <c r="BO84" t="n" s="8">
        <v>0</v>
      </c>
      <c r="BP84" s="8"/>
      <c r="BQ84" t="n" s="8">
        <v>0</v>
      </c>
      <c r="BR84" t="n" s="8">
        <v>0</v>
      </c>
      <c r="BS84" t="n" s="8">
        <v>0</v>
      </c>
      <c r="BT84" t="n" s="8">
        <v>0</v>
      </c>
      <c r="BU84" t="str" s="8">
        <v>砺赭坂的普通遭遇。依托本区既有水土、岩隙和可达条件活动。</v>
      </c>
      <c r="BV84" t="n">
        <v>4</v>
      </c>
      <c r="BW84" t="n">
        <v>2</v>
      </c>
      <c r="BX84" t="str">
        <v>凡品</v>
      </c>
      <c r="BY84" t="str">
        <v>native</v>
      </c>
      <c r="BZ84" t="b">
        <v>0</v>
      </c>
    </row>
    <row r="85" ht="16.5" customHeight="1" spans="2:75">
      <c r="A85"/>
      <c r="B85" t="n" s="8">
        <f>60000000+INDEX(编号表!$B:$B,MATCH(J85,编号表!$A:$A,0))*10000+INDEX(编号表!$B:$B,MATCH(K85,编号表!$C:$C,0))*1000+L85</f>
        <v>60192094</v>
      </c>
      <c r="C85" t="str" s="8">
        <v>a010</v>
      </c>
      <c r="D85" t="str" s="5">
        <v>沟底石蟹·异种</v>
      </c>
      <c r="E85" t="str" s="5">
        <v>R04-M1-精英-94</v>
      </c>
      <c r="F85" t="n" s="8">
        <v>32</v>
      </c>
      <c r="G85" t="str" s="8">
        <f>INDEX(编号表!$E:$E,MATCH(K85,编号表!$C:$C,0))</f>
        <v>绿色</v>
      </c>
      <c r="H85" t="n" s="8">
        <v>4</v>
      </c>
      <c r="I85" t="str" s="8">
        <v>砺赭坂</v>
      </c>
      <c r="J85" t="str" s="8">
        <v>砺赭坂</v>
      </c>
      <c r="K85" t="str" s="8">
        <v>精英</v>
      </c>
      <c r="L85" t="n" s="8">
        <v>94</v>
      </c>
      <c r="M85" t="n" s="8">
        <v>94</v>
      </c>
      <c r="N85" t="n" s="8">
        <v>3</v>
      </c>
      <c r="O85" s="8"/>
      <c r="P85" t="n" s="8">
        <v>40</v>
      </c>
      <c r="Q85" t="n" s="8">
        <v>180000</v>
      </c>
      <c r="R85" t="str" s="8">
        <v>首击</v>
      </c>
      <c r="S85" t="n" s="8">
        <v>30000</v>
      </c>
      <c r="T85" t="n" s="8">
        <v>11</v>
      </c>
      <c r="U85" t="n" s="16">
        <v>40900401</v>
      </c>
      <c r="V85" t="n" s="8">
        <v>41120408</v>
      </c>
      <c r="W85" t="n" s="8">
        <v>41220400</v>
      </c>
      <c r="X85" t="n" s="8">
        <v>11000001</v>
      </c>
      <c r="Y85" s="8"/>
      <c r="Z85" s="8"/>
      <c r="AA85" t="str" s="8">
        <v>妖兽</v>
      </c>
      <c r="AB85" s="21">
        <v>20072</v>
      </c>
      <c r="AC85" t="n" s="8">
        <v>1.25</v>
      </c>
      <c r="AD85" t="n" s="8">
        <v>60</v>
      </c>
      <c r="AE85" t="n" s="8">
        <v>60</v>
      </c>
      <c r="AF85" t="n" s="8">
        <v>0</v>
      </c>
      <c r="AG85" t="n" s="8">
        <v>0</v>
      </c>
      <c r="AH85" t="str" s="8">
        <v>近战</v>
      </c>
      <c r="AI85" s="8"/>
      <c r="AJ85" s="17"/>
      <c r="AK85" s="8"/>
      <c r="AL85" s="18"/>
      <c r="AM85" t="str" s="8">
        <v>生命值</v>
      </c>
      <c r="AN85" t="n" s="19">
        <v>104370</v>
      </c>
      <c r="AO85" t="str" s="8">
        <v>灵力值</v>
      </c>
      <c r="AP85" t="n" s="8">
        <v>5250</v>
      </c>
      <c r="AQ85" t="str" s="8">
        <v>攻击下限</v>
      </c>
      <c r="AR85" t="n" s="8">
        <v>2625</v>
      </c>
      <c r="AS85" t="str" s="8">
        <v>攻击上限</v>
      </c>
      <c r="AT85" t="n" s="8">
        <v>2625</v>
      </c>
      <c r="AU85" t="str" s="8">
        <v>法力下限</v>
      </c>
      <c r="AV85" t="n" s="8">
        <v>2625</v>
      </c>
      <c r="AW85" t="str" s="8">
        <v>法力上限</v>
      </c>
      <c r="AX85" t="n" s="8">
        <v>2625</v>
      </c>
      <c r="AY85" t="str" s="8">
        <v>物防下限</v>
      </c>
      <c r="AZ85" t="n" s="8">
        <v>741</v>
      </c>
      <c r="BA85" t="str" s="8">
        <v>物防上限</v>
      </c>
      <c r="BB85" t="n" s="8">
        <v>741</v>
      </c>
      <c r="BC85" t="str" s="8">
        <v>法防下限</v>
      </c>
      <c r="BD85" t="n" s="8">
        <v>741</v>
      </c>
      <c r="BE85" t="str" s="8">
        <v>法防上限</v>
      </c>
      <c r="BF85" t="n" s="8">
        <v>741</v>
      </c>
      <c r="BG85" t="str" s="8">
        <v>移动速度</v>
      </c>
      <c r="BH85" t="n" s="8">
        <v>240</v>
      </c>
      <c r="BI85" t="str" s="8">
        <v>攻击范围</v>
      </c>
      <c r="BJ85" t="n" s="8">
        <v>160</v>
      </c>
      <c r="BK85" t="str" s="8">
        <v>警戒范围</v>
      </c>
      <c r="BL85" t="n" s="8">
        <v>550</v>
      </c>
      <c r="BM85" t="str" s="8">
        <v>攻击间隔</v>
      </c>
      <c r="BN85" t="n" s="8">
        <v>1800</v>
      </c>
      <c r="BO85" t="n" s="8">
        <v>0</v>
      </c>
      <c r="BP85" s="8"/>
      <c r="BQ85" t="n" s="8">
        <v>0</v>
      </c>
      <c r="BR85" t="n" s="8">
        <v>0</v>
      </c>
      <c r="BS85" t="n" s="8">
        <v>0</v>
      </c>
      <c r="BT85" t="n" s="8">
        <v>0</v>
      </c>
      <c r="BU85" t="str" s="8">
        <v>砺赭坂的精英遭遇。依托本区既有水土、岩隙和可达条件活动。</v>
      </c>
      <c r="BV85" t="n">
        <v>4</v>
      </c>
      <c r="BW85" t="n">
        <v>2</v>
      </c>
      <c r="BX85" t="str">
        <v>玄品</v>
      </c>
      <c r="BY85" t="str">
        <v>native</v>
      </c>
      <c r="BZ85" t="b">
        <v>0</v>
      </c>
    </row>
    <row r="86" ht="16.5" customHeight="1" spans="2:75">
      <c r="A86"/>
      <c r="B86" t="n" s="8">
        <f>60000000+INDEX(编号表!$B:$B,MATCH(J86,编号表!$A:$A,0))*10000+INDEX(编号表!$B:$B,MATCH(K86,编号表!$C:$C,0))*1000+L86</f>
        <v>60201095</v>
      </c>
      <c r="C86" t="str" s="8">
        <v>a010</v>
      </c>
      <c r="D86" t="str" s="5">
        <v>瘠地灵蛇</v>
      </c>
      <c r="E86" t="str" s="5">
        <v>R04-M2-普通-95</v>
      </c>
      <c r="F86" t="n" s="8">
        <v>35</v>
      </c>
      <c r="G86" t="str" s="8">
        <f>INDEX(编号表!$E:$E,MATCH(K86,编号表!$C:$C,0))</f>
        <v>白色</v>
      </c>
      <c r="H86" t="n" s="8">
        <v>4</v>
      </c>
      <c r="I86" t="str" s="8">
        <v>铁色横侵</v>
      </c>
      <c r="J86" t="str" s="8">
        <v>铁色横侵</v>
      </c>
      <c r="K86" t="str" s="8">
        <v>普通</v>
      </c>
      <c r="L86" t="n" s="8">
        <v>95</v>
      </c>
      <c r="M86" t="n" s="8">
        <v>95</v>
      </c>
      <c r="N86" t="n" s="8">
        <v>1</v>
      </c>
      <c r="O86" s="8"/>
      <c r="P86" t="n" s="8">
        <v>24</v>
      </c>
      <c r="Q86" t="n" s="8">
        <v>30000</v>
      </c>
      <c r="R86" t="str" s="8">
        <v>首击</v>
      </c>
      <c r="S86" t="n" s="8">
        <v>30000</v>
      </c>
      <c r="T86" t="n" s="8">
        <v>10</v>
      </c>
      <c r="U86" t="n" s="16">
        <v>40900400</v>
      </c>
      <c r="V86" t="n" s="8">
        <v>40910409</v>
      </c>
      <c r="W86" t="n" s="8">
        <v>40920401</v>
      </c>
      <c r="X86" t="n" s="8">
        <v>11000001</v>
      </c>
      <c r="Y86" s="8"/>
      <c r="Z86" s="8"/>
      <c r="AA86" t="str" s="8">
        <v>妖兽</v>
      </c>
      <c r="AB86" s="21">
        <v>20073</v>
      </c>
      <c r="AC86" t="n" s="8">
        <v>1</v>
      </c>
      <c r="AD86" t="n" s="8">
        <v>60</v>
      </c>
      <c r="AE86" t="n" s="8">
        <v>60</v>
      </c>
      <c r="AF86" t="n" s="8">
        <v>0</v>
      </c>
      <c r="AG86" t="n" s="8">
        <v>0</v>
      </c>
      <c r="AH86" t="str" s="8">
        <v>近战</v>
      </c>
      <c r="AI86" s="8"/>
      <c r="AJ86" s="17"/>
      <c r="AK86" s="8"/>
      <c r="AL86" s="18"/>
      <c r="AM86" t="str" s="8">
        <v>生命值</v>
      </c>
      <c r="AN86" t="n" s="19">
        <v>44100</v>
      </c>
      <c r="AO86" t="str" s="8">
        <v>灵力值</v>
      </c>
      <c r="AP86" t="n" s="8">
        <v>4284</v>
      </c>
      <c r="AQ86" t="str" s="8">
        <v>攻击下限</v>
      </c>
      <c r="AR86" t="n" s="8">
        <v>2142</v>
      </c>
      <c r="AS86" t="str" s="8">
        <v>攻击上限</v>
      </c>
      <c r="AT86" t="n" s="8">
        <v>2142</v>
      </c>
      <c r="AU86" t="str" s="8">
        <v>法力下限</v>
      </c>
      <c r="AV86" t="n" s="8">
        <v>2142</v>
      </c>
      <c r="AW86" t="str" s="8">
        <v>法力上限</v>
      </c>
      <c r="AX86" t="n" s="8">
        <v>2142</v>
      </c>
      <c r="AY86" t="str" s="8">
        <v>物防下限</v>
      </c>
      <c r="AZ86" t="n" s="8">
        <v>731</v>
      </c>
      <c r="BA86" t="str" s="8">
        <v>物防上限</v>
      </c>
      <c r="BB86" t="n" s="8">
        <v>731</v>
      </c>
      <c r="BC86" t="str" s="8">
        <v>法防下限</v>
      </c>
      <c r="BD86" t="n" s="8">
        <v>731</v>
      </c>
      <c r="BE86" t="str" s="8">
        <v>法防上限</v>
      </c>
      <c r="BF86" t="n" s="8">
        <v>731</v>
      </c>
      <c r="BG86" t="str" s="8">
        <v>移动速度</v>
      </c>
      <c r="BH86" t="n" s="8">
        <v>240</v>
      </c>
      <c r="BI86" t="str" s="8">
        <v>攻击范围</v>
      </c>
      <c r="BJ86" t="n" s="8">
        <v>160</v>
      </c>
      <c r="BK86" t="str" s="8">
        <v>警戒范围</v>
      </c>
      <c r="BL86" t="n" s="8">
        <v>550</v>
      </c>
      <c r="BM86" t="str" s="8">
        <v>攻击间隔</v>
      </c>
      <c r="BN86" t="n" s="8">
        <v>1800</v>
      </c>
      <c r="BO86" t="n" s="8">
        <v>0</v>
      </c>
      <c r="BP86" s="8"/>
      <c r="BQ86" t="n" s="8">
        <v>0</v>
      </c>
      <c r="BR86" t="n" s="8">
        <v>0</v>
      </c>
      <c r="BS86" t="n" s="8">
        <v>0</v>
      </c>
      <c r="BT86" t="n" s="8">
        <v>0</v>
      </c>
      <c r="BU86" t="str" s="8">
        <v>铁色横侵的普通遭遇。依托本区既有水土、岩隙和可达条件活动。</v>
      </c>
      <c r="BV86" t="n">
        <v>4</v>
      </c>
      <c r="BW86" t="n">
        <v>5</v>
      </c>
      <c r="BX86" t="str">
        <v>凡品</v>
      </c>
      <c r="BY86" t="str">
        <v>native</v>
      </c>
      <c r="BZ86" t="b">
        <v>0</v>
      </c>
    </row>
    <row r="87" ht="16.5" customHeight="1" spans="2:75">
      <c r="A87"/>
      <c r="B87" t="n" s="8">
        <f>60000000+INDEX(编号表!$B:$B,MATCH(J87,编号表!$A:$A,0))*10000+INDEX(编号表!$B:$B,MATCH(K87,编号表!$C:$C,0))*1000+L87</f>
        <v>60201096</v>
      </c>
      <c r="C87" t="str" s="8">
        <v>a010</v>
      </c>
      <c r="D87" t="str" s="5">
        <v>赭坡岩狼</v>
      </c>
      <c r="E87" t="str" s="5">
        <v>R04-M2-普通-96</v>
      </c>
      <c r="F87" t="n" s="8">
        <v>35</v>
      </c>
      <c r="G87" t="str" s="8">
        <f>INDEX(编号表!$E:$E,MATCH(K87,编号表!$C:$C,0))</f>
        <v>白色</v>
      </c>
      <c r="H87" t="n" s="8">
        <v>4</v>
      </c>
      <c r="I87" t="str" s="8">
        <v>铁色横侵</v>
      </c>
      <c r="J87" t="str" s="8">
        <v>铁色横侵</v>
      </c>
      <c r="K87" t="str" s="8">
        <v>普通</v>
      </c>
      <c r="L87" t="n" s="8">
        <v>96</v>
      </c>
      <c r="M87" t="n" s="8">
        <v>96</v>
      </c>
      <c r="N87" t="n" s="8">
        <v>1</v>
      </c>
      <c r="O87" s="8"/>
      <c r="P87" t="n" s="8">
        <v>24</v>
      </c>
      <c r="Q87" t="n" s="8">
        <v>30000</v>
      </c>
      <c r="R87" t="str" s="8">
        <v>首击</v>
      </c>
      <c r="S87" t="n" s="8">
        <v>30000</v>
      </c>
      <c r="T87" t="n" s="8">
        <v>10</v>
      </c>
      <c r="U87" t="n" s="16">
        <v>40900400</v>
      </c>
      <c r="V87" t="n" s="8">
        <v>40910410</v>
      </c>
      <c r="W87" t="n" s="8">
        <v>40920400</v>
      </c>
      <c r="X87" t="n" s="8">
        <v>11000001</v>
      </c>
      <c r="Y87" s="8"/>
      <c r="Z87" s="8"/>
      <c r="AA87" t="str" s="8">
        <v>妖兽</v>
      </c>
      <c r="AB87" s="21">
        <v>20074</v>
      </c>
      <c r="AC87" t="n" s="8">
        <v>1</v>
      </c>
      <c r="AD87" t="n" s="8">
        <v>60</v>
      </c>
      <c r="AE87" t="n" s="8">
        <v>60</v>
      </c>
      <c r="AF87" t="n" s="8">
        <v>0</v>
      </c>
      <c r="AG87" t="n" s="8">
        <v>0</v>
      </c>
      <c r="AH87" t="str" s="8">
        <v>近战</v>
      </c>
      <c r="AI87"/>
      <c r="AJ87" s="17"/>
      <c r="AK87" s="8"/>
      <c r="AL87" s="18"/>
      <c r="AM87" t="str" s="8">
        <v>生命值</v>
      </c>
      <c r="AN87" t="n" s="19">
        <v>44100</v>
      </c>
      <c r="AO87" t="str" s="8">
        <v>灵力值</v>
      </c>
      <c r="AP87" t="n" s="8">
        <v>4284</v>
      </c>
      <c r="AQ87" t="str" s="8">
        <v>攻击下限</v>
      </c>
      <c r="AR87" t="n" s="8">
        <v>2142</v>
      </c>
      <c r="AS87" t="str" s="8">
        <v>攻击上限</v>
      </c>
      <c r="AT87" t="n" s="8">
        <v>2142</v>
      </c>
      <c r="AU87" t="str" s="8">
        <v>法力下限</v>
      </c>
      <c r="AV87" t="n" s="8">
        <v>2142</v>
      </c>
      <c r="AW87" t="str" s="8">
        <v>法力上限</v>
      </c>
      <c r="AX87" t="n" s="8">
        <v>2142</v>
      </c>
      <c r="AY87" t="str" s="8">
        <v>物防下限</v>
      </c>
      <c r="AZ87" t="n" s="8">
        <v>731</v>
      </c>
      <c r="BA87" t="str" s="8">
        <v>物防上限</v>
      </c>
      <c r="BB87" t="n" s="8">
        <v>731</v>
      </c>
      <c r="BC87" t="str" s="8">
        <v>法防下限</v>
      </c>
      <c r="BD87" t="n" s="8">
        <v>731</v>
      </c>
      <c r="BE87" t="str" s="8">
        <v>法防上限</v>
      </c>
      <c r="BF87" t="n" s="8">
        <v>731</v>
      </c>
      <c r="BG87" t="str" s="8">
        <v>移动速度</v>
      </c>
      <c r="BH87" t="n" s="8">
        <v>240</v>
      </c>
      <c r="BI87" t="str" s="8">
        <v>攻击范围</v>
      </c>
      <c r="BJ87" t="n" s="8">
        <v>160</v>
      </c>
      <c r="BK87" t="str" s="8">
        <v>警戒范围</v>
      </c>
      <c r="BL87" t="n" s="8">
        <v>550</v>
      </c>
      <c r="BM87" t="str" s="8">
        <v>攻击间隔</v>
      </c>
      <c r="BN87" t="n" s="8">
        <v>1800</v>
      </c>
      <c r="BO87" t="n" s="8">
        <v>0</v>
      </c>
      <c r="BP87" s="8"/>
      <c r="BQ87" t="n" s="8">
        <v>0</v>
      </c>
      <c r="BR87" t="n" s="8">
        <v>0</v>
      </c>
      <c r="BS87" t="n" s="8">
        <v>0</v>
      </c>
      <c r="BT87" t="n" s="8">
        <v>0</v>
      </c>
      <c r="BU87" t="str" s="8">
        <v>铁色横侵的普通遭遇。依托本区既有水土、岩隙和可达条件活动。</v>
      </c>
      <c r="BV87" t="n">
        <v>4</v>
      </c>
      <c r="BW87" t="n">
        <v>5</v>
      </c>
      <c r="BX87" t="str">
        <v>凡品</v>
      </c>
      <c r="BY87" t="str">
        <v>native</v>
      </c>
      <c r="BZ87" t="b">
        <v>0</v>
      </c>
    </row>
    <row r="88" ht="16.5" customHeight="1" spans="2:75">
      <c r="A88"/>
      <c r="B88" t="n" s="8">
        <f>60000000+INDEX(编号表!$B:$B,MATCH(J88,编号表!$A:$A,0))*10000+INDEX(编号表!$B:$B,MATCH(K88,编号表!$C:$C,0))*1000+L88</f>
        <v>60201097</v>
      </c>
      <c r="C88" t="str" s="8">
        <v>a010</v>
      </c>
      <c r="D88" t="str" s="5">
        <v>褐苔灵蜈</v>
      </c>
      <c r="E88" t="str" s="5">
        <v>R04-M2-普通-97</v>
      </c>
      <c r="F88" t="n" s="8">
        <v>35</v>
      </c>
      <c r="G88" t="str" s="8">
        <f>INDEX(编号表!$E:$E,MATCH(K88,编号表!$C:$C,0))</f>
        <v>白色</v>
      </c>
      <c r="H88" t="n" s="8">
        <v>4</v>
      </c>
      <c r="I88" t="str" s="8">
        <v>铁色横侵</v>
      </c>
      <c r="J88" t="str" s="8">
        <v>铁色横侵</v>
      </c>
      <c r="K88" t="str" s="8">
        <v>普通</v>
      </c>
      <c r="L88" t="n" s="8">
        <v>97</v>
      </c>
      <c r="M88" t="n" s="8">
        <v>97</v>
      </c>
      <c r="N88" t="n" s="8">
        <v>1</v>
      </c>
      <c r="O88" s="8"/>
      <c r="P88" t="n" s="8">
        <v>24</v>
      </c>
      <c r="Q88" t="n" s="8">
        <v>30000</v>
      </c>
      <c r="R88" t="str" s="8">
        <v>首击</v>
      </c>
      <c r="S88" t="n" s="8">
        <v>30000</v>
      </c>
      <c r="T88" t="n" s="8">
        <v>10</v>
      </c>
      <c r="U88" t="n" s="16">
        <v>40900400</v>
      </c>
      <c r="V88" t="n" s="8">
        <v>40910411</v>
      </c>
      <c r="W88" t="n" s="8">
        <v>40920401</v>
      </c>
      <c r="X88" t="n" s="8">
        <v>11000001</v>
      </c>
      <c r="Y88" s="8"/>
      <c r="Z88" s="8"/>
      <c r="AA88" t="str" s="8">
        <v>妖兽</v>
      </c>
      <c r="AB88" s="21">
        <v>20075</v>
      </c>
      <c r="AC88" t="n" s="8">
        <v>1</v>
      </c>
      <c r="AD88" t="n" s="8">
        <v>60</v>
      </c>
      <c r="AE88" t="n" s="8">
        <v>60</v>
      </c>
      <c r="AF88" t="n" s="8">
        <v>0</v>
      </c>
      <c r="AG88" t="n" s="8">
        <v>0</v>
      </c>
      <c r="AH88" t="str" s="8">
        <v>近战</v>
      </c>
      <c r="AI88" s="8"/>
      <c r="AJ88" s="17"/>
      <c r="AK88" s="8"/>
      <c r="AL88" s="18"/>
      <c r="AM88" t="str" s="8">
        <v>生命值</v>
      </c>
      <c r="AN88" t="n" s="19">
        <v>44100</v>
      </c>
      <c r="AO88" t="str" s="8">
        <v>灵力值</v>
      </c>
      <c r="AP88" t="n" s="8">
        <v>4284</v>
      </c>
      <c r="AQ88" t="str" s="8">
        <v>攻击下限</v>
      </c>
      <c r="AR88" t="n" s="8">
        <v>2142</v>
      </c>
      <c r="AS88" t="str" s="8">
        <v>攻击上限</v>
      </c>
      <c r="AT88" t="n" s="8">
        <v>2142</v>
      </c>
      <c r="AU88" t="str" s="8">
        <v>法力下限</v>
      </c>
      <c r="AV88" t="n" s="8">
        <v>2142</v>
      </c>
      <c r="AW88" t="str" s="8">
        <v>法力上限</v>
      </c>
      <c r="AX88" t="n" s="8">
        <v>2142</v>
      </c>
      <c r="AY88" t="str" s="8">
        <v>物防下限</v>
      </c>
      <c r="AZ88" t="n" s="8">
        <v>731</v>
      </c>
      <c r="BA88" t="str" s="8">
        <v>物防上限</v>
      </c>
      <c r="BB88" t="n" s="8">
        <v>731</v>
      </c>
      <c r="BC88" t="str" s="8">
        <v>法防下限</v>
      </c>
      <c r="BD88" t="n" s="8">
        <v>731</v>
      </c>
      <c r="BE88" t="str" s="8">
        <v>法防上限</v>
      </c>
      <c r="BF88" t="n" s="8">
        <v>731</v>
      </c>
      <c r="BG88" t="str" s="8">
        <v>移动速度</v>
      </c>
      <c r="BH88" t="n" s="8">
        <v>240</v>
      </c>
      <c r="BI88" t="str" s="8">
        <v>攻击范围</v>
      </c>
      <c r="BJ88" t="n" s="8">
        <v>160</v>
      </c>
      <c r="BK88" t="str" s="8">
        <v>警戒范围</v>
      </c>
      <c r="BL88" t="n" s="8">
        <v>550</v>
      </c>
      <c r="BM88" t="str" s="8">
        <v>攻击间隔</v>
      </c>
      <c r="BN88" t="n" s="8">
        <v>1800</v>
      </c>
      <c r="BO88" t="n" s="8">
        <v>0</v>
      </c>
      <c r="BP88" s="8"/>
      <c r="BQ88" t="n" s="8">
        <v>0</v>
      </c>
      <c r="BR88" t="n" s="8">
        <v>0</v>
      </c>
      <c r="BS88" t="n" s="8">
        <v>0</v>
      </c>
      <c r="BT88" t="n" s="8">
        <v>0</v>
      </c>
      <c r="BU88" t="str" s="8">
        <v>铁色横侵的普通遭遇。依托本区既有水土、岩隙和可达条件活动。</v>
      </c>
      <c r="BV88" t="n">
        <v>4</v>
      </c>
      <c r="BW88" t="n">
        <v>5</v>
      </c>
      <c r="BX88" t="str">
        <v>凡品</v>
      </c>
      <c r="BY88" t="str">
        <v>native</v>
      </c>
      <c r="BZ88" t="b">
        <v>0</v>
      </c>
    </row>
    <row r="89" ht="16.5" customHeight="1" spans="2:75">
      <c r="A89"/>
      <c r="B89" t="n" s="8">
        <f>60000000+INDEX(编号表!$B:$B,MATCH(J89,编号表!$A:$A,0))*10000+INDEX(编号表!$B:$B,MATCH(K89,编号表!$C:$C,0))*1000+L89</f>
        <v>60202098</v>
      </c>
      <c r="C89" t="str" s="8">
        <v>a010</v>
      </c>
      <c r="D89" t="str" s="5">
        <v>沟底石蟹·异种</v>
      </c>
      <c r="E89" t="str" s="5">
        <v>R04-M2-精英-98</v>
      </c>
      <c r="F89" t="n" s="8">
        <v>35</v>
      </c>
      <c r="G89" t="str" s="8">
        <f>INDEX(编号表!$E:$E,MATCH(K89,编号表!$C:$C,0))</f>
        <v>绿色</v>
      </c>
      <c r="H89" t="n" s="8">
        <v>4</v>
      </c>
      <c r="I89" t="str" s="8">
        <v>铁色横侵</v>
      </c>
      <c r="J89" t="str" s="8">
        <v>铁色横侵</v>
      </c>
      <c r="K89" t="str" s="8">
        <v>精英</v>
      </c>
      <c r="L89" t="n" s="8">
        <v>98</v>
      </c>
      <c r="M89" t="n" s="8">
        <v>98</v>
      </c>
      <c r="N89" t="n" s="8">
        <v>3</v>
      </c>
      <c r="O89" s="8"/>
      <c r="P89" t="n" s="8">
        <v>40</v>
      </c>
      <c r="Q89" t="n" s="8">
        <v>180000</v>
      </c>
      <c r="R89" t="str" s="8">
        <v>首击</v>
      </c>
      <c r="S89" t="n" s="8">
        <v>30000</v>
      </c>
      <c r="T89" t="n" s="8">
        <v>11</v>
      </c>
      <c r="U89" t="n" s="16">
        <v>40900401</v>
      </c>
      <c r="V89" t="n" s="8">
        <v>41120412</v>
      </c>
      <c r="W89" t="n" s="8">
        <v>41220400</v>
      </c>
      <c r="X89" t="n" s="8">
        <v>11000001</v>
      </c>
      <c r="Y89" s="8"/>
      <c r="Z89" s="8"/>
      <c r="AA89" t="str" s="8">
        <v>妖兽</v>
      </c>
      <c r="AB89" s="21">
        <v>20075</v>
      </c>
      <c r="AC89" t="n" s="8">
        <v>1.25</v>
      </c>
      <c r="AD89" t="n" s="8">
        <v>60</v>
      </c>
      <c r="AE89" t="n" s="8">
        <v>60</v>
      </c>
      <c r="AF89" t="n" s="8">
        <v>0</v>
      </c>
      <c r="AG89" t="n" s="8">
        <v>0</v>
      </c>
      <c r="AH89" t="str" s="8">
        <v>近战</v>
      </c>
      <c r="AI89" s="8"/>
      <c r="AJ89" s="17"/>
      <c r="AK89" s="8"/>
      <c r="AL89" s="18"/>
      <c r="AM89" t="str" s="8">
        <v>生命值</v>
      </c>
      <c r="AN89" t="n" s="19">
        <v>123480</v>
      </c>
      <c r="AO89" t="str" s="8">
        <v>灵力值</v>
      </c>
      <c r="AP89" t="n" s="8">
        <v>6212</v>
      </c>
      <c r="AQ89" t="str" s="8">
        <v>攻击下限</v>
      </c>
      <c r="AR89" t="n" s="8">
        <v>3106</v>
      </c>
      <c r="AS89" t="str" s="8">
        <v>攻击上限</v>
      </c>
      <c r="AT89" t="n" s="8">
        <v>3106</v>
      </c>
      <c r="AU89" t="str" s="8">
        <v>法力下限</v>
      </c>
      <c r="AV89" t="n" s="8">
        <v>3106</v>
      </c>
      <c r="AW89" t="str" s="8">
        <v>法力上限</v>
      </c>
      <c r="AX89" t="n" s="8">
        <v>3106</v>
      </c>
      <c r="AY89" t="str" s="8">
        <v>物防下限</v>
      </c>
      <c r="AZ89" t="n" s="8">
        <v>877</v>
      </c>
      <c r="BA89" t="str" s="8">
        <v>物防上限</v>
      </c>
      <c r="BB89" t="n" s="8">
        <v>877</v>
      </c>
      <c r="BC89" t="str" s="8">
        <v>法防下限</v>
      </c>
      <c r="BD89" t="n" s="8">
        <v>877</v>
      </c>
      <c r="BE89" t="str" s="8">
        <v>法防上限</v>
      </c>
      <c r="BF89" t="n" s="8">
        <v>877</v>
      </c>
      <c r="BG89" t="str" s="8">
        <v>移动速度</v>
      </c>
      <c r="BH89" t="n" s="8">
        <v>240</v>
      </c>
      <c r="BI89" t="str" s="8">
        <v>攻击范围</v>
      </c>
      <c r="BJ89" t="n" s="8">
        <v>160</v>
      </c>
      <c r="BK89" t="str" s="8">
        <v>警戒范围</v>
      </c>
      <c r="BL89" t="n" s="8">
        <v>550</v>
      </c>
      <c r="BM89" t="str" s="8">
        <v>攻击间隔</v>
      </c>
      <c r="BN89" t="n" s="8">
        <v>1800</v>
      </c>
      <c r="BO89" t="n" s="8">
        <v>0</v>
      </c>
      <c r="BP89" s="8"/>
      <c r="BQ89" t="n" s="8">
        <v>0</v>
      </c>
      <c r="BR89" t="n" s="8">
        <v>0</v>
      </c>
      <c r="BS89" t="n" s="8">
        <v>0</v>
      </c>
      <c r="BT89" t="n" s="8">
        <v>0</v>
      </c>
      <c r="BU89" t="str" s="8">
        <v>铁色横侵的精英遭遇。依托本区既有水土、岩隙和可达条件活动。</v>
      </c>
      <c r="BV89" t="n">
        <v>4</v>
      </c>
      <c r="BW89" t="n">
        <v>5</v>
      </c>
      <c r="BX89" t="str">
        <v>玄品</v>
      </c>
      <c r="BY89" t="str">
        <v>native</v>
      </c>
      <c r="BZ89" t="b">
        <v>0</v>
      </c>
    </row>
    <row r="90" ht="16.5" customHeight="1" spans="2:75">
      <c r="A90"/>
      <c r="B90" t="n" s="8">
        <f>60000000+INDEX(编号表!$B:$B,MATCH(J90,编号表!$A:$A,0))*10000+INDEX(编号表!$B:$B,MATCH(K90,编号表!$C:$C,0))*1000+L90</f>
        <v>60204099</v>
      </c>
      <c r="C90" t="str" s="8">
        <v>a010</v>
      </c>
      <c r="D90" t="str" s="5">
        <v>瘠地灵蛇·首领</v>
      </c>
      <c r="E90" t="str" s="5">
        <v>R04-M2-BOSS-99</v>
      </c>
      <c r="F90" t="n" s="8">
        <v>35</v>
      </c>
      <c r="G90" t="str" s="8">
        <f>INDEX(编号表!$E:$E,MATCH(K90,编号表!$C:$C,0))</f>
        <v>橙色</v>
      </c>
      <c r="H90" t="n" s="8">
        <v>4</v>
      </c>
      <c r="I90" t="str" s="8">
        <v>铁色横侵</v>
      </c>
      <c r="J90" t="str" s="8">
        <v>铁色横侵</v>
      </c>
      <c r="K90" t="str" s="8">
        <v>BOSS</v>
      </c>
      <c r="L90" t="n" s="8">
        <v>99</v>
      </c>
      <c r="M90" t="n" s="8">
        <v>99</v>
      </c>
      <c r="N90" t="n" s="8">
        <v>5</v>
      </c>
      <c r="O90" s="8"/>
      <c r="P90" t="n" s="8">
        <v>40</v>
      </c>
      <c r="Q90" t="n" s="8">
        <v>900000</v>
      </c>
      <c r="R90" t="str" s="8">
        <v>首击</v>
      </c>
      <c r="S90" t="n" s="8">
        <v>30000</v>
      </c>
      <c r="T90" t="n" s="8">
        <v>12</v>
      </c>
      <c r="U90" t="n" s="16">
        <v>40900402</v>
      </c>
      <c r="V90" t="n" s="8">
        <v>41130400</v>
      </c>
      <c r="W90" t="n" s="8">
        <v>41230401</v>
      </c>
      <c r="X90" t="n" s="8">
        <v>11000001</v>
      </c>
      <c r="Y90" s="8"/>
      <c r="Z90" s="8"/>
      <c r="AA90" t="str" s="8">
        <v>妖兽</v>
      </c>
      <c r="AB90" s="21">
        <v>20076</v>
      </c>
      <c r="AC90" t="n" s="8">
        <v>1.6</v>
      </c>
      <c r="AD90" t="n" s="8">
        <v>60</v>
      </c>
      <c r="AE90" t="n" s="8">
        <v>60</v>
      </c>
      <c r="AF90" t="n" s="8">
        <v>0</v>
      </c>
      <c r="AG90" t="n" s="8">
        <v>0</v>
      </c>
      <c r="AH90" t="str" s="8">
        <v>近战</v>
      </c>
      <c r="AI90" s="8"/>
      <c r="AJ90" s="17"/>
      <c r="AK90" s="8"/>
      <c r="AL90" s="18"/>
      <c r="AM90" t="str" s="8">
        <v>生命值</v>
      </c>
      <c r="AN90" t="n" s="19">
        <v>441000</v>
      </c>
      <c r="AO90" t="str" s="8">
        <v>灵力值</v>
      </c>
      <c r="AP90" t="n" s="8">
        <v>8996</v>
      </c>
      <c r="AQ90" t="str" s="8">
        <v>攻击下限</v>
      </c>
      <c r="AR90" t="n" s="8">
        <v>4498</v>
      </c>
      <c r="AS90" t="str" s="8">
        <v>攻击上限</v>
      </c>
      <c r="AT90" t="n" s="8">
        <v>4498</v>
      </c>
      <c r="AU90" t="str" s="8">
        <v>法力下限</v>
      </c>
      <c r="AV90" t="n" s="8">
        <v>4498</v>
      </c>
      <c r="AW90" t="str" s="8">
        <v>法力上限</v>
      </c>
      <c r="AX90" t="n" s="8">
        <v>4498</v>
      </c>
      <c r="AY90" t="str" s="8">
        <v>物防下限</v>
      </c>
      <c r="AZ90" t="n" s="8">
        <v>1096</v>
      </c>
      <c r="BA90" t="str" s="8">
        <v>物防上限</v>
      </c>
      <c r="BB90" t="n" s="8">
        <v>1096</v>
      </c>
      <c r="BC90" t="str" s="8">
        <v>法防下限</v>
      </c>
      <c r="BD90" t="n" s="8">
        <v>1096</v>
      </c>
      <c r="BE90" t="str" s="8">
        <v>法防上限</v>
      </c>
      <c r="BF90" t="n" s="8">
        <v>1096</v>
      </c>
      <c r="BG90" t="str" s="8">
        <v>移动速度</v>
      </c>
      <c r="BH90" t="n" s="8">
        <v>240</v>
      </c>
      <c r="BI90" t="str" s="8">
        <v>攻击范围</v>
      </c>
      <c r="BJ90" t="n" s="8">
        <v>160</v>
      </c>
      <c r="BK90" t="str" s="8">
        <v>警戒范围</v>
      </c>
      <c r="BL90" t="n" s="8">
        <v>700</v>
      </c>
      <c r="BM90" t="str" s="8">
        <v>攻击间隔</v>
      </c>
      <c r="BN90" t="n" s="8">
        <v>2200</v>
      </c>
      <c r="BO90" t="n" s="8">
        <v>0</v>
      </c>
      <c r="BP90" s="8"/>
      <c r="BQ90" t="n" s="8">
        <v>0</v>
      </c>
      <c r="BR90" t="n" s="8">
        <v>0</v>
      </c>
      <c r="BS90" t="n" s="8">
        <v>0</v>
      </c>
      <c r="BT90" t="n" s="8">
        <v>0</v>
      </c>
      <c r="BU90" t="str" s="8">
        <v>铁色横侵的BOSS遭遇。依托本区既有水土、岩隙和可达条件活动。</v>
      </c>
      <c r="BV90" t="n">
        <v>4</v>
      </c>
      <c r="BW90" t="n">
        <v>5</v>
      </c>
      <c r="BX90" t="str">
        <v>仙品</v>
      </c>
      <c r="BY90" t="str">
        <v>native</v>
      </c>
      <c r="BZ90" t="b">
        <v>1</v>
      </c>
    </row>
    <row r="91" ht="16.5" customHeight="1" spans="2:75">
      <c r="A91"/>
      <c r="B91" t="n" s="8">
        <f>60000000+INDEX(编号表!$B:$B,MATCH(J91,编号表!$A:$A,0))*10000+INDEX(编号表!$B:$B,MATCH(K91,编号表!$C:$C,0))*1000+L91</f>
        <v>60211100</v>
      </c>
      <c r="C91" t="str" s="8">
        <v>a010</v>
      </c>
      <c r="D91" t="str" s="5">
        <v>赭坡岩狼</v>
      </c>
      <c r="E91" t="str" s="5">
        <v>R04-M3-普通-100</v>
      </c>
      <c r="F91" t="n" s="8">
        <v>38</v>
      </c>
      <c r="G91" t="str" s="8">
        <f>INDEX(编号表!$E:$E,MATCH(K91,编号表!$C:$C,0))</f>
        <v>白色</v>
      </c>
      <c r="H91" t="n" s="8">
        <v>4</v>
      </c>
      <c r="I91" t="str" s="8">
        <v>伏沟鸣石</v>
      </c>
      <c r="J91" t="str" s="8">
        <v>伏沟鸣石</v>
      </c>
      <c r="K91" t="str" s="8">
        <v>普通</v>
      </c>
      <c r="L91" t="n" s="8">
        <v>100</v>
      </c>
      <c r="M91" t="n" s="8">
        <v>100</v>
      </c>
      <c r="N91" t="n" s="8">
        <v>1</v>
      </c>
      <c r="O91" s="8"/>
      <c r="P91" t="n" s="8">
        <v>24</v>
      </c>
      <c r="Q91" t="n" s="8">
        <v>30000</v>
      </c>
      <c r="R91" t="str" s="8">
        <v>首击</v>
      </c>
      <c r="S91" t="n" s="8">
        <v>30000</v>
      </c>
      <c r="T91" t="n" s="8">
        <v>10</v>
      </c>
      <c r="U91" t="n" s="16">
        <v>40900400</v>
      </c>
      <c r="V91" t="n" s="8">
        <v>40910401</v>
      </c>
      <c r="W91" t="n" s="8">
        <v>40920400</v>
      </c>
      <c r="X91" t="n" s="8">
        <v>11000001</v>
      </c>
      <c r="Y91" s="8"/>
      <c r="Z91" s="8"/>
      <c r="AA91" t="str" s="8">
        <v>妖兽</v>
      </c>
      <c r="AB91" s="21">
        <v>20077</v>
      </c>
      <c r="AC91" t="n" s="8">
        <v>1</v>
      </c>
      <c r="AD91" t="n" s="8">
        <v>60</v>
      </c>
      <c r="AE91" t="n" s="8">
        <v>60</v>
      </c>
      <c r="AF91" t="n" s="8">
        <v>0</v>
      </c>
      <c r="AG91" t="n" s="8">
        <v>0</v>
      </c>
      <c r="AH91" t="str" s="8">
        <v>近战</v>
      </c>
      <c r="AI91" s="8"/>
      <c r="AJ91" s="17"/>
      <c r="AK91" s="8"/>
      <c r="AL91" s="18"/>
      <c r="AM91" t="str" s="8">
        <v>生命值</v>
      </c>
      <c r="AN91" t="n" s="19">
        <v>50925</v>
      </c>
      <c r="AO91" t="str" s="8">
        <v>灵力值</v>
      </c>
      <c r="AP91" t="n" s="8">
        <v>4948</v>
      </c>
      <c r="AQ91" t="str" s="8">
        <v>攻击下限</v>
      </c>
      <c r="AR91" t="n" s="8">
        <v>2474</v>
      </c>
      <c r="AS91" t="str" s="8">
        <v>攻击上限</v>
      </c>
      <c r="AT91" t="n" s="8">
        <v>2474</v>
      </c>
      <c r="AU91" t="str" s="8">
        <v>法力下限</v>
      </c>
      <c r="AV91" t="n" s="8">
        <v>2474</v>
      </c>
      <c r="AW91" t="str" s="8">
        <v>法力上限</v>
      </c>
      <c r="AX91" t="n" s="8">
        <v>2474</v>
      </c>
      <c r="AY91" t="str" s="8">
        <v>物防下限</v>
      </c>
      <c r="AZ91" t="n" s="8">
        <v>844</v>
      </c>
      <c r="BA91" t="str" s="8">
        <v>物防上限</v>
      </c>
      <c r="BB91" t="n" s="8">
        <v>844</v>
      </c>
      <c r="BC91" t="str" s="8">
        <v>法防下限</v>
      </c>
      <c r="BD91" t="n" s="8">
        <v>844</v>
      </c>
      <c r="BE91" t="str" s="8">
        <v>法防上限</v>
      </c>
      <c r="BF91" t="n" s="8">
        <v>844</v>
      </c>
      <c r="BG91" t="str" s="8">
        <v>移动速度</v>
      </c>
      <c r="BH91" t="n" s="8">
        <v>240</v>
      </c>
      <c r="BI91" t="str" s="8">
        <v>攻击范围</v>
      </c>
      <c r="BJ91" t="n" s="8">
        <v>160</v>
      </c>
      <c r="BK91" t="str" s="8">
        <v>警戒范围</v>
      </c>
      <c r="BL91" t="n" s="8">
        <v>550</v>
      </c>
      <c r="BM91" t="str" s="8">
        <v>攻击间隔</v>
      </c>
      <c r="BN91" t="n" s="8">
        <v>1800</v>
      </c>
      <c r="BO91" t="n" s="8">
        <v>0</v>
      </c>
      <c r="BP91" s="8"/>
      <c r="BQ91" t="n" s="8">
        <v>0</v>
      </c>
      <c r="BR91" t="n" s="8">
        <v>0</v>
      </c>
      <c r="BS91" t="n" s="8">
        <v>0</v>
      </c>
      <c r="BT91" t="n" s="8">
        <v>0</v>
      </c>
      <c r="BU91" t="str" s="8">
        <v>伏沟鸣石的普通遭遇。依托本区既有水土、岩隙和可达条件活动。</v>
      </c>
      <c r="BV91" t="n">
        <v>4</v>
      </c>
      <c r="BW91" t="n">
        <v>8</v>
      </c>
      <c r="BX91" t="str">
        <v>凡品</v>
      </c>
      <c r="BY91" t="str">
        <v>native</v>
      </c>
      <c r="BZ91" t="b">
        <v>0</v>
      </c>
    </row>
    <row r="92" ht="16.5" customHeight="1" spans="2:75">
      <c r="A92"/>
      <c r="B92" t="n" s="8">
        <f>60000000+INDEX(编号表!$B:$B,MATCH(J92,编号表!$A:$A,0))*10000+INDEX(编号表!$B:$B,MATCH(K92,编号表!$C:$C,0))*1000+L92</f>
        <v>60211101</v>
      </c>
      <c r="C92" t="str" s="8">
        <v>a010</v>
      </c>
      <c r="D92" t="str" s="5">
        <v>褐苔灵蜈</v>
      </c>
      <c r="E92" t="str" s="5">
        <v>R04-M3-普通-101</v>
      </c>
      <c r="F92" t="n" s="8">
        <v>38</v>
      </c>
      <c r="G92" t="str" s="8">
        <f>INDEX(编号表!$E:$E,MATCH(K92,编号表!$C:$C,0))</f>
        <v>白色</v>
      </c>
      <c r="H92" t="n" s="8">
        <v>4</v>
      </c>
      <c r="I92" t="str" s="8">
        <v>伏沟鸣石</v>
      </c>
      <c r="J92" t="str" s="8">
        <v>伏沟鸣石</v>
      </c>
      <c r="K92" t="str" s="8">
        <v>普通</v>
      </c>
      <c r="L92" t="n" s="8">
        <v>101</v>
      </c>
      <c r="M92" t="n" s="8">
        <v>101</v>
      </c>
      <c r="N92" t="n" s="8">
        <v>1</v>
      </c>
      <c r="O92" s="8"/>
      <c r="P92" t="n" s="8">
        <v>24</v>
      </c>
      <c r="Q92" t="n" s="8">
        <v>30000</v>
      </c>
      <c r="R92" t="str" s="8">
        <v>首击</v>
      </c>
      <c r="S92" t="n" s="8">
        <v>30000</v>
      </c>
      <c r="T92" t="n" s="8">
        <v>10</v>
      </c>
      <c r="U92" t="n" s="16">
        <v>40900400</v>
      </c>
      <c r="V92" t="n" s="8">
        <v>40910402</v>
      </c>
      <c r="W92" t="n" s="8">
        <v>40920401</v>
      </c>
      <c r="X92" t="n" s="8">
        <v>11000001</v>
      </c>
      <c r="Y92" s="8"/>
      <c r="Z92" s="8"/>
      <c r="AA92" t="str" s="8">
        <v>妖兽</v>
      </c>
      <c r="AB92" s="21">
        <v>20078</v>
      </c>
      <c r="AC92" t="n" s="8">
        <v>1</v>
      </c>
      <c r="AD92" t="n" s="8">
        <v>60</v>
      </c>
      <c r="AE92" t="n" s="8">
        <v>60</v>
      </c>
      <c r="AF92" t="n" s="8">
        <v>0</v>
      </c>
      <c r="AG92" t="n" s="8">
        <v>0</v>
      </c>
      <c r="AH92" t="str" s="8">
        <v>近战</v>
      </c>
      <c r="AI92" s="8"/>
      <c r="AJ92" s="17"/>
      <c r="AK92" s="8"/>
      <c r="AL92" s="18"/>
      <c r="AM92" t="str" s="8">
        <v>生命值</v>
      </c>
      <c r="AN92" t="n" s="19">
        <v>50925</v>
      </c>
      <c r="AO92" t="str" s="8">
        <v>灵力值</v>
      </c>
      <c r="AP92" t="n" s="8">
        <v>4948</v>
      </c>
      <c r="AQ92" t="str" s="8">
        <v>攻击下限</v>
      </c>
      <c r="AR92" t="n" s="8">
        <v>2474</v>
      </c>
      <c r="AS92" t="str" s="8">
        <v>攻击上限</v>
      </c>
      <c r="AT92" t="n" s="8">
        <v>2474</v>
      </c>
      <c r="AU92" t="str" s="8">
        <v>法力下限</v>
      </c>
      <c r="AV92" t="n" s="8">
        <v>2474</v>
      </c>
      <c r="AW92" t="str" s="8">
        <v>法力上限</v>
      </c>
      <c r="AX92" t="n" s="8">
        <v>2474</v>
      </c>
      <c r="AY92" t="str" s="8">
        <v>物防下限</v>
      </c>
      <c r="AZ92" t="n" s="8">
        <v>844</v>
      </c>
      <c r="BA92" t="str" s="8">
        <v>物防上限</v>
      </c>
      <c r="BB92" t="n" s="8">
        <v>844</v>
      </c>
      <c r="BC92" t="str" s="8">
        <v>法防下限</v>
      </c>
      <c r="BD92" t="n" s="8">
        <v>844</v>
      </c>
      <c r="BE92" t="str" s="8">
        <v>法防上限</v>
      </c>
      <c r="BF92" t="n" s="8">
        <v>844</v>
      </c>
      <c r="BG92" t="str" s="8">
        <v>移动速度</v>
      </c>
      <c r="BH92" t="n" s="8">
        <v>240</v>
      </c>
      <c r="BI92" t="str" s="8">
        <v>攻击范围</v>
      </c>
      <c r="BJ92" t="n" s="8">
        <v>160</v>
      </c>
      <c r="BK92" t="str" s="8">
        <v>警戒范围</v>
      </c>
      <c r="BL92" t="n" s="8">
        <v>550</v>
      </c>
      <c r="BM92" t="str" s="8">
        <v>攻击间隔</v>
      </c>
      <c r="BN92" t="n" s="8">
        <v>1800</v>
      </c>
      <c r="BO92" t="n" s="8">
        <v>0</v>
      </c>
      <c r="BP92" s="8"/>
      <c r="BQ92" t="n" s="8">
        <v>0</v>
      </c>
      <c r="BR92" t="n" s="8">
        <v>0</v>
      </c>
      <c r="BS92" t="n" s="8">
        <v>0</v>
      </c>
      <c r="BT92" t="n" s="8">
        <v>0</v>
      </c>
      <c r="BU92" t="str" s="8">
        <v>伏沟鸣石的普通遭遇。依托本区既有水土、岩隙和可达条件活动。</v>
      </c>
      <c r="BV92" t="n">
        <v>4</v>
      </c>
      <c r="BW92" t="n">
        <v>8</v>
      </c>
      <c r="BX92" t="str">
        <v>凡品</v>
      </c>
      <c r="BY92" t="str">
        <v>native</v>
      </c>
      <c r="BZ92" t="b">
        <v>0</v>
      </c>
    </row>
    <row r="93" ht="16.5" customHeight="1" spans="2:75">
      <c r="A93"/>
      <c r="B93" t="n" s="8">
        <f>60000000+INDEX(编号表!$B:$B,MATCH(J93,编号表!$A:$A,0))*10000+INDEX(编号表!$B:$B,MATCH(K93,编号表!$C:$C,0))*1000+L93</f>
        <v>60212102</v>
      </c>
      <c r="C93" t="str" s="8">
        <v>a010</v>
      </c>
      <c r="D93" t="str" s="5">
        <v>沟底石蟹·异种</v>
      </c>
      <c r="E93" t="str" s="5">
        <v>R04-M3-精英-102</v>
      </c>
      <c r="F93" t="n" s="8">
        <v>38</v>
      </c>
      <c r="G93" t="str" s="8">
        <f>INDEX(编号表!$E:$E,MATCH(K93,编号表!$C:$C,0))</f>
        <v>绿色</v>
      </c>
      <c r="H93" t="n" s="8">
        <v>4</v>
      </c>
      <c r="I93" t="str" s="8">
        <v>伏沟鸣石</v>
      </c>
      <c r="J93" t="str" s="8">
        <v>伏沟鸣石</v>
      </c>
      <c r="K93" t="str" s="8">
        <v>精英</v>
      </c>
      <c r="L93" t="n" s="8">
        <v>102</v>
      </c>
      <c r="M93" t="n" s="8">
        <v>102</v>
      </c>
      <c r="N93" t="n" s="8">
        <v>3</v>
      </c>
      <c r="O93" s="8"/>
      <c r="P93" t="n" s="8">
        <v>40</v>
      </c>
      <c r="Q93" t="n" s="8">
        <v>180000</v>
      </c>
      <c r="R93" t="str" s="8">
        <v>首击</v>
      </c>
      <c r="S93" t="n" s="8">
        <v>30000</v>
      </c>
      <c r="T93" t="n" s="8">
        <v>11</v>
      </c>
      <c r="U93" t="n" s="16">
        <v>40900401</v>
      </c>
      <c r="V93" t="n" s="8">
        <v>41120403</v>
      </c>
      <c r="W93" t="n" s="8">
        <v>41220400</v>
      </c>
      <c r="X93" t="n" s="8">
        <v>11000001</v>
      </c>
      <c r="Y93" s="8"/>
      <c r="Z93" s="8"/>
      <c r="AA93" t="str" s="8">
        <v>妖兽</v>
      </c>
      <c r="AB93" s="21">
        <v>20078</v>
      </c>
      <c r="AC93" t="n" s="8">
        <v>1.25</v>
      </c>
      <c r="AD93" t="n" s="8">
        <v>60</v>
      </c>
      <c r="AE93" t="n" s="8">
        <v>60</v>
      </c>
      <c r="AF93" t="n" s="8">
        <v>0</v>
      </c>
      <c r="AG93" t="n" s="8">
        <v>0</v>
      </c>
      <c r="AH93" t="str" s="8">
        <v>近战</v>
      </c>
      <c r="AI93" s="8"/>
      <c r="AJ93" s="17"/>
      <c r="AK93" s="8"/>
      <c r="AL93" s="18"/>
      <c r="AM93" t="str" s="8">
        <v>生命值</v>
      </c>
      <c r="AN93" t="n" s="19">
        <v>142590</v>
      </c>
      <c r="AO93" t="str" s="8">
        <v>灵力值</v>
      </c>
      <c r="AP93" t="n" s="8">
        <v>7174</v>
      </c>
      <c r="AQ93" t="str" s="8">
        <v>攻击下限</v>
      </c>
      <c r="AR93" t="n" s="8">
        <v>3587</v>
      </c>
      <c r="AS93" t="str" s="8">
        <v>攻击上限</v>
      </c>
      <c r="AT93" t="n" s="8">
        <v>3587</v>
      </c>
      <c r="AU93" t="str" s="8">
        <v>法力下限</v>
      </c>
      <c r="AV93" t="n" s="8">
        <v>3587</v>
      </c>
      <c r="AW93" t="str" s="8">
        <v>法力上限</v>
      </c>
      <c r="AX93" t="n" s="8">
        <v>3587</v>
      </c>
      <c r="AY93" t="str" s="8">
        <v>物防下限</v>
      </c>
      <c r="AZ93" t="n" s="8">
        <v>1013</v>
      </c>
      <c r="BA93" t="str" s="8">
        <v>物防上限</v>
      </c>
      <c r="BB93" t="n" s="8">
        <v>1013</v>
      </c>
      <c r="BC93" t="str" s="8">
        <v>法防下限</v>
      </c>
      <c r="BD93" t="n" s="8">
        <v>1013</v>
      </c>
      <c r="BE93" t="str" s="8">
        <v>法防上限</v>
      </c>
      <c r="BF93" t="n" s="8">
        <v>1013</v>
      </c>
      <c r="BG93" t="str" s="8">
        <v>移动速度</v>
      </c>
      <c r="BH93" t="n" s="8">
        <v>240</v>
      </c>
      <c r="BI93" t="str" s="8">
        <v>攻击范围</v>
      </c>
      <c r="BJ93" t="n" s="8">
        <v>160</v>
      </c>
      <c r="BK93" t="str" s="8">
        <v>警戒范围</v>
      </c>
      <c r="BL93" t="n" s="8">
        <v>550</v>
      </c>
      <c r="BM93" t="str" s="8">
        <v>攻击间隔</v>
      </c>
      <c r="BN93" t="n" s="8">
        <v>1800</v>
      </c>
      <c r="BO93" t="n" s="8">
        <v>0</v>
      </c>
      <c r="BP93" s="8"/>
      <c r="BQ93" t="n" s="8">
        <v>0</v>
      </c>
      <c r="BR93" t="n" s="8">
        <v>0</v>
      </c>
      <c r="BS93" t="n" s="8">
        <v>0</v>
      </c>
      <c r="BT93" t="n" s="8">
        <v>0</v>
      </c>
      <c r="BU93" t="str" s="8">
        <v>伏沟鸣石的精英遭遇。依托本区既有水土、岩隙和可达条件活动。</v>
      </c>
      <c r="BV93" t="n">
        <v>4</v>
      </c>
      <c r="BW93" t="n">
        <v>8</v>
      </c>
      <c r="BX93" t="str">
        <v>玄品</v>
      </c>
      <c r="BY93" t="str">
        <v>native</v>
      </c>
      <c r="BZ93" t="b">
        <v>0</v>
      </c>
    </row>
    <row r="94" ht="16.5" customHeight="1" spans="2:75">
      <c r="A94"/>
      <c r="B94" t="n" s="8">
        <f>60000000+INDEX(编号表!$B:$B,MATCH(J94,编号表!$A:$A,0))*10000+INDEX(编号表!$B:$B,MATCH(K94,编号表!$C:$C,0))*1000+L94</f>
        <v>60214103</v>
      </c>
      <c r="C94" t="str" s="8">
        <v>a010</v>
      </c>
      <c r="D94" t="str" s="5">
        <v>瘠地灵蛇·首领</v>
      </c>
      <c r="E94" t="str" s="5">
        <v>R04-M3-BOSS-103</v>
      </c>
      <c r="F94" t="n" s="8">
        <v>38</v>
      </c>
      <c r="G94" t="str" s="8">
        <f>INDEX(编号表!$E:$E,MATCH(K94,编号表!$C:$C,0))</f>
        <v>橙色</v>
      </c>
      <c r="H94" t="n" s="8">
        <v>4</v>
      </c>
      <c r="I94" t="str" s="8">
        <v>伏沟鸣石</v>
      </c>
      <c r="J94" t="str" s="8">
        <v>伏沟鸣石</v>
      </c>
      <c r="K94" t="str" s="8">
        <v>BOSS</v>
      </c>
      <c r="L94" t="n" s="8">
        <v>103</v>
      </c>
      <c r="M94" t="n" s="8">
        <v>103</v>
      </c>
      <c r="N94" t="n" s="8">
        <v>5</v>
      </c>
      <c r="O94" s="8"/>
      <c r="P94" t="n" s="8">
        <v>40</v>
      </c>
      <c r="Q94" t="n" s="8">
        <v>900000</v>
      </c>
      <c r="R94" t="str" s="8">
        <v>首击</v>
      </c>
      <c r="S94" t="n" s="8">
        <v>30000</v>
      </c>
      <c r="T94" t="n" s="8">
        <v>12</v>
      </c>
      <c r="U94" t="n" s="16">
        <v>40900402</v>
      </c>
      <c r="V94" t="n" s="8">
        <v>41130404</v>
      </c>
      <c r="W94" t="n" s="8">
        <v>41230401</v>
      </c>
      <c r="X94" t="n" s="8">
        <v>11000001</v>
      </c>
      <c r="Y94" s="8"/>
      <c r="Z94" s="8"/>
      <c r="AA94" t="str" s="8">
        <v>妖兽</v>
      </c>
      <c r="AB94" s="21">
        <v>20079</v>
      </c>
      <c r="AC94" t="n" s="8">
        <v>1.6</v>
      </c>
      <c r="AD94" t="n" s="8">
        <v>60</v>
      </c>
      <c r="AE94" t="n" s="8">
        <v>60</v>
      </c>
      <c r="AF94" t="n" s="8">
        <v>0</v>
      </c>
      <c r="AG94" t="n" s="8">
        <v>0</v>
      </c>
      <c r="AH94" t="str" s="8">
        <v>近战</v>
      </c>
      <c r="AI94" s="8"/>
      <c r="AJ94" s="17"/>
      <c r="AK94" s="8"/>
      <c r="AL94" s="18"/>
      <c r="AM94" t="str" s="8">
        <v>生命值</v>
      </c>
      <c r="AN94" t="n" s="19">
        <v>509250</v>
      </c>
      <c r="AO94" t="str" s="8">
        <v>灵力值</v>
      </c>
      <c r="AP94" t="n" s="8">
        <v>10388</v>
      </c>
      <c r="AQ94" t="str" s="8">
        <v>攻击下限</v>
      </c>
      <c r="AR94" t="n" s="8">
        <v>5194</v>
      </c>
      <c r="AS94" t="str" s="8">
        <v>攻击上限</v>
      </c>
      <c r="AT94" t="n" s="8">
        <v>5194</v>
      </c>
      <c r="AU94" t="str" s="8">
        <v>法力下限</v>
      </c>
      <c r="AV94" t="n" s="8">
        <v>5194</v>
      </c>
      <c r="AW94" t="str" s="8">
        <v>法力上限</v>
      </c>
      <c r="AX94" t="n" s="8">
        <v>5194</v>
      </c>
      <c r="AY94" t="str" s="8">
        <v>物防下限</v>
      </c>
      <c r="AZ94" t="n" s="8">
        <v>1266</v>
      </c>
      <c r="BA94" t="str" s="8">
        <v>物防上限</v>
      </c>
      <c r="BB94" t="n" s="8">
        <v>1266</v>
      </c>
      <c r="BC94" t="str" s="8">
        <v>法防下限</v>
      </c>
      <c r="BD94" t="n" s="8">
        <v>1266</v>
      </c>
      <c r="BE94" t="str" s="8">
        <v>法防上限</v>
      </c>
      <c r="BF94" t="n" s="8">
        <v>1266</v>
      </c>
      <c r="BG94" t="str" s="8">
        <v>移动速度</v>
      </c>
      <c r="BH94" t="n" s="8">
        <v>240</v>
      </c>
      <c r="BI94" t="str" s="8">
        <v>攻击范围</v>
      </c>
      <c r="BJ94" t="n" s="8">
        <v>160</v>
      </c>
      <c r="BK94" t="str" s="8">
        <v>警戒范围</v>
      </c>
      <c r="BL94" t="n" s="8">
        <v>700</v>
      </c>
      <c r="BM94" t="str" s="8">
        <v>攻击间隔</v>
      </c>
      <c r="BN94" t="n" s="8">
        <v>2200</v>
      </c>
      <c r="BO94" t="n" s="8">
        <v>0</v>
      </c>
      <c r="BP94" s="8"/>
      <c r="BQ94" t="n" s="8">
        <v>0</v>
      </c>
      <c r="BR94" t="n" s="8">
        <v>0</v>
      </c>
      <c r="BS94" t="n" s="8">
        <v>0</v>
      </c>
      <c r="BT94" t="n" s="8">
        <v>0</v>
      </c>
      <c r="BU94" t="str" s="8">
        <v>伏沟鸣石的BOSS遭遇。依托本区既有水土、岩隙和可达条件活动。</v>
      </c>
      <c r="BV94" t="n">
        <v>4</v>
      </c>
      <c r="BW94" t="n">
        <v>8</v>
      </c>
      <c r="BX94" t="str">
        <v>仙品</v>
      </c>
      <c r="BY94" t="str">
        <v>native</v>
      </c>
      <c r="BZ94" t="b">
        <v>1</v>
      </c>
    </row>
    <row r="95" ht="16.5" customHeight="1" spans="2:75">
      <c r="A95"/>
      <c r="B95" t="n" s="8">
        <f>60000000+INDEX(编号表!$B:$B,MATCH(J95,编号表!$A:$A,0))*10000+INDEX(编号表!$B:$B,MATCH(K95,编号表!$C:$C,0))*1000+L95</f>
        <v>60221104</v>
      </c>
      <c r="C95" t="str" s="8">
        <v>a010</v>
      </c>
      <c r="D95" t="str" s="5">
        <v>赭坡岩狼</v>
      </c>
      <c r="E95" t="str" s="5">
        <v>R04-P1-普通-104</v>
      </c>
      <c r="F95" t="n" s="8">
        <v>33</v>
      </c>
      <c r="G95" t="str" s="8">
        <f>INDEX(编号表!$E:$E,MATCH(K95,编号表!$C:$C,0))</f>
        <v>白色</v>
      </c>
      <c r="H95" t="n" s="8">
        <v>4</v>
      </c>
      <c r="I95" t="str" s="8">
        <v>褐苔含润</v>
      </c>
      <c r="J95" t="str" s="8">
        <v>褐苔含润</v>
      </c>
      <c r="K95" t="str" s="8">
        <v>普通</v>
      </c>
      <c r="L95" t="n" s="8">
        <v>104</v>
      </c>
      <c r="M95" t="n" s="8">
        <v>104</v>
      </c>
      <c r="N95" t="n" s="8">
        <v>1</v>
      </c>
      <c r="O95" s="8"/>
      <c r="P95" t="n" s="8">
        <v>24</v>
      </c>
      <c r="Q95" t="n" s="8">
        <v>30000</v>
      </c>
      <c r="R95" t="str" s="8">
        <v>首击</v>
      </c>
      <c r="S95" t="n" s="8">
        <v>30000</v>
      </c>
      <c r="T95" t="n" s="8">
        <v>10</v>
      </c>
      <c r="U95" t="n" s="16">
        <v>40900400</v>
      </c>
      <c r="V95" t="n" s="8">
        <v>40910405</v>
      </c>
      <c r="W95" t="n" s="8">
        <v>40920400</v>
      </c>
      <c r="X95" t="n" s="8">
        <v>11000001</v>
      </c>
      <c r="Y95" s="8"/>
      <c r="Z95" s="8"/>
      <c r="AA95" t="str" s="8">
        <v>妖兽</v>
      </c>
      <c r="AB95" s="21">
        <v>20080</v>
      </c>
      <c r="AC95" t="n" s="8">
        <v>1</v>
      </c>
      <c r="AD95" t="n" s="8">
        <v>60</v>
      </c>
      <c r="AE95" t="n" s="8">
        <v>60</v>
      </c>
      <c r="AF95" t="n" s="8">
        <v>0</v>
      </c>
      <c r="AG95" t="n" s="8">
        <v>0</v>
      </c>
      <c r="AH95" t="str" s="8">
        <v>近战</v>
      </c>
      <c r="AI95" s="8"/>
      <c r="AJ95" s="17"/>
      <c r="AK95" s="8"/>
      <c r="AL95" s="18"/>
      <c r="AM95" t="str" s="8">
        <v>生命值</v>
      </c>
      <c r="AN95" t="n" s="19">
        <v>39550</v>
      </c>
      <c r="AO95" t="str" s="8">
        <v>灵力值</v>
      </c>
      <c r="AP95" t="n" s="8">
        <v>3842</v>
      </c>
      <c r="AQ95" t="str" s="8">
        <v>攻击下限</v>
      </c>
      <c r="AR95" t="n" s="8">
        <v>1921</v>
      </c>
      <c r="AS95" t="str" s="8">
        <v>攻击上限</v>
      </c>
      <c r="AT95" t="n" s="8">
        <v>1921</v>
      </c>
      <c r="AU95" t="str" s="8">
        <v>法力下限</v>
      </c>
      <c r="AV95" t="n" s="8">
        <v>1921</v>
      </c>
      <c r="AW95" t="str" s="8">
        <v>法力上限</v>
      </c>
      <c r="AX95" t="n" s="8">
        <v>1921</v>
      </c>
      <c r="AY95" t="str" s="8">
        <v>物防下限</v>
      </c>
      <c r="AZ95" t="n" s="8">
        <v>655</v>
      </c>
      <c r="BA95" t="str" s="8">
        <v>物防上限</v>
      </c>
      <c r="BB95" t="n" s="8">
        <v>655</v>
      </c>
      <c r="BC95" t="str" s="8">
        <v>法防下限</v>
      </c>
      <c r="BD95" t="n" s="8">
        <v>655</v>
      </c>
      <c r="BE95" t="str" s="8">
        <v>法防上限</v>
      </c>
      <c r="BF95" t="n" s="8">
        <v>655</v>
      </c>
      <c r="BG95" t="str" s="8">
        <v>移动速度</v>
      </c>
      <c r="BH95" t="n" s="8">
        <v>240</v>
      </c>
      <c r="BI95" t="str" s="8">
        <v>攻击范围</v>
      </c>
      <c r="BJ95" t="n" s="8">
        <v>160</v>
      </c>
      <c r="BK95" t="str" s="8">
        <v>警戒范围</v>
      </c>
      <c r="BL95" t="n" s="8">
        <v>550</v>
      </c>
      <c r="BM95" t="str" s="8">
        <v>攻击间隔</v>
      </c>
      <c r="BN95" t="n" s="8">
        <v>1800</v>
      </c>
      <c r="BO95" t="n" s="8">
        <v>0</v>
      </c>
      <c r="BP95" s="8"/>
      <c r="BQ95" t="n" s="8">
        <v>0</v>
      </c>
      <c r="BR95" t="n" s="8">
        <v>0</v>
      </c>
      <c r="BS95" t="n" s="8">
        <v>0</v>
      </c>
      <c r="BT95" t="n" s="8">
        <v>0</v>
      </c>
      <c r="BU95" t="str" s="8">
        <v>褐苔含润的普通遭遇。依托本区既有水土、岩隙和可达条件活动。</v>
      </c>
      <c r="BV95" t="n">
        <v>4</v>
      </c>
      <c r="BW95" t="n">
        <v>3</v>
      </c>
      <c r="BX95" t="str">
        <v>凡品</v>
      </c>
      <c r="BY95" t="str">
        <v>native</v>
      </c>
      <c r="BZ95" t="b">
        <v>0</v>
      </c>
    </row>
    <row r="96" ht="16.5" customHeight="1" spans="2:75">
      <c r="A96"/>
      <c r="B96" t="n" s="8">
        <f>60000000+INDEX(编号表!$B:$B,MATCH(J96,编号表!$A:$A,0))*10000+INDEX(编号表!$B:$B,MATCH(K96,编号表!$C:$C,0))*1000+L96</f>
        <v>60221105</v>
      </c>
      <c r="C96" t="str" s="8">
        <v>a010</v>
      </c>
      <c r="D96" t="str" s="5">
        <v>褐苔灵蜈</v>
      </c>
      <c r="E96" t="str" s="5">
        <v>R04-P1-普通-105</v>
      </c>
      <c r="F96" t="n" s="8">
        <v>33</v>
      </c>
      <c r="G96" t="str" s="8">
        <f>INDEX(编号表!$E:$E,MATCH(K96,编号表!$C:$C,0))</f>
        <v>白色</v>
      </c>
      <c r="H96" t="n" s="8">
        <v>4</v>
      </c>
      <c r="I96" t="str" s="8">
        <v>褐苔含润</v>
      </c>
      <c r="J96" t="str" s="8">
        <v>褐苔含润</v>
      </c>
      <c r="K96" t="str" s="8">
        <v>普通</v>
      </c>
      <c r="L96" t="n" s="8">
        <v>105</v>
      </c>
      <c r="M96" t="n" s="8">
        <v>105</v>
      </c>
      <c r="N96" t="n" s="8">
        <v>1</v>
      </c>
      <c r="O96" s="8"/>
      <c r="P96" t="n" s="8">
        <v>24</v>
      </c>
      <c r="Q96" t="n" s="8">
        <v>30000</v>
      </c>
      <c r="R96" t="str" s="8">
        <v>首击</v>
      </c>
      <c r="S96" t="n" s="8">
        <v>30000</v>
      </c>
      <c r="T96" t="n" s="8">
        <v>10</v>
      </c>
      <c r="U96" t="n" s="16">
        <v>40900400</v>
      </c>
      <c r="V96" t="n" s="8">
        <v>40910406</v>
      </c>
      <c r="W96" t="n" s="8">
        <v>40920401</v>
      </c>
      <c r="X96" t="n" s="8">
        <v>11000001</v>
      </c>
      <c r="Y96" s="8"/>
      <c r="Z96" s="8"/>
      <c r="AA96" t="str" s="8">
        <v>妖兽</v>
      </c>
      <c r="AB96" s="21">
        <v>20081</v>
      </c>
      <c r="AC96" t="n" s="8">
        <v>1</v>
      </c>
      <c r="AD96" t="n" s="8">
        <v>60</v>
      </c>
      <c r="AE96" t="n" s="8">
        <v>60</v>
      </c>
      <c r="AF96" t="n" s="8">
        <v>0</v>
      </c>
      <c r="AG96" t="n" s="8">
        <v>0</v>
      </c>
      <c r="AH96" t="str" s="8">
        <v>近战</v>
      </c>
      <c r="AI96"/>
      <c r="AJ96" s="17"/>
      <c r="AK96" s="8"/>
      <c r="AL96" s="18"/>
      <c r="AM96" t="str" s="8">
        <v>生命值</v>
      </c>
      <c r="AN96" t="n" s="19">
        <v>39550</v>
      </c>
      <c r="AO96" t="str" s="8">
        <v>灵力值</v>
      </c>
      <c r="AP96" t="n" s="8">
        <v>3842</v>
      </c>
      <c r="AQ96" t="str" s="8">
        <v>攻击下限</v>
      </c>
      <c r="AR96" t="n" s="8">
        <v>1921</v>
      </c>
      <c r="AS96" t="str" s="8">
        <v>攻击上限</v>
      </c>
      <c r="AT96" t="n" s="8">
        <v>1921</v>
      </c>
      <c r="AU96" t="str" s="8">
        <v>法力下限</v>
      </c>
      <c r="AV96" t="n" s="8">
        <v>1921</v>
      </c>
      <c r="AW96" t="str" s="8">
        <v>法力上限</v>
      </c>
      <c r="AX96" t="n" s="8">
        <v>1921</v>
      </c>
      <c r="AY96" t="str" s="8">
        <v>物防下限</v>
      </c>
      <c r="AZ96" t="n" s="8">
        <v>655</v>
      </c>
      <c r="BA96" t="str" s="8">
        <v>物防上限</v>
      </c>
      <c r="BB96" t="n" s="8">
        <v>655</v>
      </c>
      <c r="BC96" t="str" s="8">
        <v>法防下限</v>
      </c>
      <c r="BD96" t="n" s="8">
        <v>655</v>
      </c>
      <c r="BE96" t="str" s="8">
        <v>法防上限</v>
      </c>
      <c r="BF96" t="n" s="8">
        <v>655</v>
      </c>
      <c r="BG96" t="str" s="8">
        <v>移动速度</v>
      </c>
      <c r="BH96" t="n" s="8">
        <v>240</v>
      </c>
      <c r="BI96" t="str" s="8">
        <v>攻击范围</v>
      </c>
      <c r="BJ96" t="n" s="8">
        <v>160</v>
      </c>
      <c r="BK96" t="str" s="8">
        <v>警戒范围</v>
      </c>
      <c r="BL96" t="n" s="8">
        <v>550</v>
      </c>
      <c r="BM96" t="str" s="8">
        <v>攻击间隔</v>
      </c>
      <c r="BN96" t="n" s="8">
        <v>1800</v>
      </c>
      <c r="BO96" t="n" s="8">
        <v>0</v>
      </c>
      <c r="BP96" s="8"/>
      <c r="BQ96" t="n" s="8">
        <v>0</v>
      </c>
      <c r="BR96" t="n" s="8">
        <v>0</v>
      </c>
      <c r="BS96" t="n" s="8">
        <v>0</v>
      </c>
      <c r="BT96" t="n" s="8">
        <v>0</v>
      </c>
      <c r="BU96" t="str" s="8">
        <v>褐苔含润的普通遭遇。依托本区既有水土、岩隙和可达条件活动。</v>
      </c>
      <c r="BV96" t="n">
        <v>4</v>
      </c>
      <c r="BW96" t="n">
        <v>3</v>
      </c>
      <c r="BX96" t="str">
        <v>凡品</v>
      </c>
      <c r="BY96" t="str">
        <v>native</v>
      </c>
      <c r="BZ96" t="b">
        <v>0</v>
      </c>
    </row>
    <row r="97" ht="16.5" customHeight="1" spans="2:75">
      <c r="A97"/>
      <c r="B97" t="n" s="8">
        <f>60000000+INDEX(编号表!$B:$B,MATCH(J97,编号表!$A:$A,0))*10000+INDEX(编号表!$B:$B,MATCH(K97,编号表!$C:$C,0))*1000+L97</f>
        <v>60231106</v>
      </c>
      <c r="C97" t="str" s="8">
        <v>a010</v>
      </c>
      <c r="D97" t="str" s="5">
        <v>沟底石蟹</v>
      </c>
      <c r="E97" t="str" s="5">
        <v>R04-P2-普通-106</v>
      </c>
      <c r="F97" t="n" s="8">
        <v>36</v>
      </c>
      <c r="G97" t="str" s="8">
        <f>INDEX(编号表!$E:$E,MATCH(K97,编号表!$C:$C,0))</f>
        <v>白色</v>
      </c>
      <c r="H97" t="n" s="8">
        <v>4</v>
      </c>
      <c r="I97" t="str" s="8">
        <v>肩生瘠芽</v>
      </c>
      <c r="J97" t="str" s="8">
        <v>肩生瘠芽</v>
      </c>
      <c r="K97" t="str" s="8">
        <v>普通</v>
      </c>
      <c r="L97" t="n" s="8">
        <v>106</v>
      </c>
      <c r="M97" t="n" s="8">
        <v>106</v>
      </c>
      <c r="N97" t="n" s="8">
        <v>1</v>
      </c>
      <c r="O97" s="8"/>
      <c r="P97" t="n" s="8">
        <v>24</v>
      </c>
      <c r="Q97" t="n" s="8">
        <v>30000</v>
      </c>
      <c r="R97" t="str" s="8">
        <v>首击</v>
      </c>
      <c r="S97" t="n" s="8">
        <v>30000</v>
      </c>
      <c r="T97" t="n" s="8">
        <v>10</v>
      </c>
      <c r="U97" t="n" s="16">
        <v>40900400</v>
      </c>
      <c r="V97" t="n" s="8">
        <v>40910407</v>
      </c>
      <c r="W97" t="n" s="8">
        <v>40920400</v>
      </c>
      <c r="X97" t="n" s="8">
        <v>11000001</v>
      </c>
      <c r="Y97" s="8"/>
      <c r="Z97" s="8"/>
      <c r="AA97" t="str" s="8">
        <v>妖兽</v>
      </c>
      <c r="AB97" s="21">
        <v>20082</v>
      </c>
      <c r="AC97" t="n" s="8">
        <v>1</v>
      </c>
      <c r="AD97" t="n" s="8">
        <v>60</v>
      </c>
      <c r="AE97" t="n" s="8">
        <v>60</v>
      </c>
      <c r="AF97" t="n" s="8">
        <v>0</v>
      </c>
      <c r="AG97" t="n" s="8">
        <v>0</v>
      </c>
      <c r="AH97" t="str" s="8">
        <v>近战</v>
      </c>
      <c r="AI97" s="8"/>
      <c r="AJ97" s="17"/>
      <c r="AK97" s="8"/>
      <c r="AL97" s="18"/>
      <c r="AM97" t="str" s="8">
        <v>生命值</v>
      </c>
      <c r="AN97" t="n" s="19">
        <v>46375</v>
      </c>
      <c r="AO97" t="str" s="8">
        <v>灵力值</v>
      </c>
      <c r="AP97" t="n" s="8">
        <v>4504</v>
      </c>
      <c r="AQ97" t="str" s="8">
        <v>攻击下限</v>
      </c>
      <c r="AR97" t="n" s="8">
        <v>2252</v>
      </c>
      <c r="AS97" t="str" s="8">
        <v>攻击上限</v>
      </c>
      <c r="AT97" t="n" s="8">
        <v>2252</v>
      </c>
      <c r="AU97" t="str" s="8">
        <v>法力下限</v>
      </c>
      <c r="AV97" t="n" s="8">
        <v>2252</v>
      </c>
      <c r="AW97" t="str" s="8">
        <v>法力上限</v>
      </c>
      <c r="AX97" t="n" s="8">
        <v>2252</v>
      </c>
      <c r="AY97" t="str" s="8">
        <v>物防下限</v>
      </c>
      <c r="AZ97" t="n" s="8">
        <v>768</v>
      </c>
      <c r="BA97" t="str" s="8">
        <v>物防上限</v>
      </c>
      <c r="BB97" t="n" s="8">
        <v>768</v>
      </c>
      <c r="BC97" t="str" s="8">
        <v>法防下限</v>
      </c>
      <c r="BD97" t="n" s="8">
        <v>768</v>
      </c>
      <c r="BE97" t="str" s="8">
        <v>法防上限</v>
      </c>
      <c r="BF97" t="n" s="8">
        <v>768</v>
      </c>
      <c r="BG97" t="str" s="8">
        <v>移动速度</v>
      </c>
      <c r="BH97" t="n" s="8">
        <v>240</v>
      </c>
      <c r="BI97" t="str" s="8">
        <v>攻击范围</v>
      </c>
      <c r="BJ97" t="n" s="8">
        <v>160</v>
      </c>
      <c r="BK97" t="str" s="8">
        <v>警戒范围</v>
      </c>
      <c r="BL97" t="n" s="8">
        <v>550</v>
      </c>
      <c r="BM97" t="str" s="8">
        <v>攻击间隔</v>
      </c>
      <c r="BN97" t="n" s="8">
        <v>1800</v>
      </c>
      <c r="BO97" t="n" s="8">
        <v>0</v>
      </c>
      <c r="BP97" s="8"/>
      <c r="BQ97" t="n" s="8">
        <v>0</v>
      </c>
      <c r="BR97" t="n" s="8">
        <v>0</v>
      </c>
      <c r="BS97" t="n" s="8">
        <v>0</v>
      </c>
      <c r="BT97" t="n" s="8">
        <v>0</v>
      </c>
      <c r="BU97" t="str" s="8">
        <v>肩生瘠芽的普通遭遇。依托本区既有水土、岩隙和可达条件活动。</v>
      </c>
      <c r="BV97" t="n">
        <v>4</v>
      </c>
      <c r="BW97" t="n">
        <v>6</v>
      </c>
      <c r="BX97" t="str">
        <v>凡品</v>
      </c>
      <c r="BY97" t="str">
        <v>native</v>
      </c>
      <c r="BZ97" t="b">
        <v>0</v>
      </c>
    </row>
    <row r="98" ht="16.5" customHeight="1" spans="2:75">
      <c r="A98"/>
      <c r="B98" t="n" s="8">
        <f>60000000+INDEX(编号表!$B:$B,MATCH(J98,编号表!$A:$A,0))*10000+INDEX(编号表!$B:$B,MATCH(K98,编号表!$C:$C,0))*1000+L98</f>
        <v>60231107</v>
      </c>
      <c r="C98" t="str" s="8">
        <v>a010</v>
      </c>
      <c r="D98" t="str" s="5">
        <v>瘠地灵蛇</v>
      </c>
      <c r="E98" t="str" s="5">
        <v>R04-P2-普通-107</v>
      </c>
      <c r="F98" t="n" s="8">
        <v>36</v>
      </c>
      <c r="G98" t="str" s="8">
        <f>INDEX(编号表!$E:$E,MATCH(K98,编号表!$C:$C,0))</f>
        <v>白色</v>
      </c>
      <c r="H98" t="n" s="8">
        <v>4</v>
      </c>
      <c r="I98" t="str" s="8">
        <v>肩生瘠芽</v>
      </c>
      <c r="J98" t="str" s="8">
        <v>肩生瘠芽</v>
      </c>
      <c r="K98" t="str" s="8">
        <v>普通</v>
      </c>
      <c r="L98" t="n" s="8">
        <v>107</v>
      </c>
      <c r="M98" t="n" s="8">
        <v>107</v>
      </c>
      <c r="N98" t="n" s="8">
        <v>1</v>
      </c>
      <c r="O98" s="8"/>
      <c r="P98" t="n" s="8">
        <v>24</v>
      </c>
      <c r="Q98" t="n" s="8">
        <v>30000</v>
      </c>
      <c r="R98" t="str" s="8">
        <v>首击</v>
      </c>
      <c r="S98" t="n" s="8">
        <v>30000</v>
      </c>
      <c r="T98" t="n" s="8">
        <v>10</v>
      </c>
      <c r="U98" t="n" s="16">
        <v>40900400</v>
      </c>
      <c r="V98" t="n" s="8">
        <v>40910408</v>
      </c>
      <c r="W98" t="n" s="8">
        <v>40920401</v>
      </c>
      <c r="X98" t="n" s="8">
        <v>11000001</v>
      </c>
      <c r="Y98" s="8"/>
      <c r="Z98" s="8"/>
      <c r="AA98" t="str" s="8">
        <v>妖兽</v>
      </c>
      <c r="AB98" s="21">
        <v>20083</v>
      </c>
      <c r="AC98" t="n" s="8">
        <v>1</v>
      </c>
      <c r="AD98" t="n" s="8">
        <v>60</v>
      </c>
      <c r="AE98" t="n" s="8">
        <v>60</v>
      </c>
      <c r="AF98" t="n" s="8">
        <v>0</v>
      </c>
      <c r="AG98" t="n" s="8">
        <v>0</v>
      </c>
      <c r="AH98" t="str" s="8">
        <v>近战</v>
      </c>
      <c r="AI98" s="8"/>
      <c r="AJ98" s="17"/>
      <c r="AK98" s="8"/>
      <c r="AL98" s="18"/>
      <c r="AM98" t="str" s="8">
        <v>生命值</v>
      </c>
      <c r="AN98" t="n" s="19">
        <v>46375</v>
      </c>
      <c r="AO98" t="str" s="8">
        <v>灵力值</v>
      </c>
      <c r="AP98" t="n" s="8">
        <v>4504</v>
      </c>
      <c r="AQ98" t="str" s="8">
        <v>攻击下限</v>
      </c>
      <c r="AR98" t="n" s="8">
        <v>2252</v>
      </c>
      <c r="AS98" t="str" s="8">
        <v>攻击上限</v>
      </c>
      <c r="AT98" t="n" s="8">
        <v>2252</v>
      </c>
      <c r="AU98" t="str" s="8">
        <v>法力下限</v>
      </c>
      <c r="AV98" t="n" s="8">
        <v>2252</v>
      </c>
      <c r="AW98" t="str" s="8">
        <v>法力上限</v>
      </c>
      <c r="AX98" t="n" s="8">
        <v>2252</v>
      </c>
      <c r="AY98" t="str" s="8">
        <v>物防下限</v>
      </c>
      <c r="AZ98" t="n" s="8">
        <v>768</v>
      </c>
      <c r="BA98" t="str" s="8">
        <v>物防上限</v>
      </c>
      <c r="BB98" t="n" s="8">
        <v>768</v>
      </c>
      <c r="BC98" t="str" s="8">
        <v>法防下限</v>
      </c>
      <c r="BD98" t="n" s="8">
        <v>768</v>
      </c>
      <c r="BE98" t="str" s="8">
        <v>法防上限</v>
      </c>
      <c r="BF98" t="n" s="8">
        <v>768</v>
      </c>
      <c r="BG98" t="str" s="8">
        <v>移动速度</v>
      </c>
      <c r="BH98" t="n" s="8">
        <v>240</v>
      </c>
      <c r="BI98" t="str" s="8">
        <v>攻击范围</v>
      </c>
      <c r="BJ98" t="n" s="8">
        <v>160</v>
      </c>
      <c r="BK98" t="str" s="8">
        <v>警戒范围</v>
      </c>
      <c r="BL98" t="n" s="8">
        <v>550</v>
      </c>
      <c r="BM98" t="str" s="8">
        <v>攻击间隔</v>
      </c>
      <c r="BN98" t="n" s="8">
        <v>1800</v>
      </c>
      <c r="BO98" t="n" s="8">
        <v>0</v>
      </c>
      <c r="BP98" s="8"/>
      <c r="BQ98" t="n" s="8">
        <v>0</v>
      </c>
      <c r="BR98" t="n" s="8">
        <v>0</v>
      </c>
      <c r="BS98" t="n" s="8">
        <v>0</v>
      </c>
      <c r="BT98" t="n" s="8">
        <v>0</v>
      </c>
      <c r="BU98" t="str" s="8">
        <v>肩生瘠芽的普通遭遇。依托本区既有水土、岩隙和可达条件活动。</v>
      </c>
      <c r="BV98" t="n">
        <v>4</v>
      </c>
      <c r="BW98" t="n">
        <v>6</v>
      </c>
      <c r="BX98" t="str">
        <v>凡品</v>
      </c>
      <c r="BY98" t="str">
        <v>native</v>
      </c>
      <c r="BZ98" t="b">
        <v>0</v>
      </c>
    </row>
    <row r="99" ht="16.5" customHeight="1" spans="2:75">
      <c r="A99"/>
      <c r="B99" t="n" s="8">
        <f>60000000+INDEX(编号表!$B:$B,MATCH(J99,编号表!$A:$A,0))*10000+INDEX(编号表!$B:$B,MATCH(K99,编号表!$C:$C,0))*1000+L99</f>
        <v>60241108</v>
      </c>
      <c r="C99" t="str" s="8">
        <v>a010</v>
      </c>
      <c r="D99" t="str" s="5">
        <v>赭坡岩狼</v>
      </c>
      <c r="E99" t="str" s="5">
        <v>R04-S1-普通-108</v>
      </c>
      <c r="F99" t="n" s="8">
        <v>39</v>
      </c>
      <c r="G99" t="str" s="8">
        <f>INDEX(编号表!$E:$E,MATCH(K99,编号表!$C:$C,0))</f>
        <v>白色</v>
      </c>
      <c r="H99" t="n" s="8">
        <v>4</v>
      </c>
      <c r="I99" t="str" s="8">
        <v>岩腹潜龛</v>
      </c>
      <c r="J99" t="str" s="8">
        <v>岩腹潜龛</v>
      </c>
      <c r="K99" t="str" s="8">
        <v>普通</v>
      </c>
      <c r="L99" t="n" s="8">
        <v>108</v>
      </c>
      <c r="M99" t="n" s="8">
        <v>108</v>
      </c>
      <c r="N99" t="n" s="8">
        <v>1</v>
      </c>
      <c r="O99" s="8"/>
      <c r="P99" t="n" s="8">
        <v>24</v>
      </c>
      <c r="Q99" t="n" s="8">
        <v>30000</v>
      </c>
      <c r="R99" t="str" s="8">
        <v>首击</v>
      </c>
      <c r="S99" t="n" s="8">
        <v>30000</v>
      </c>
      <c r="T99" t="n" s="8">
        <v>10</v>
      </c>
      <c r="U99" t="n" s="16">
        <v>40900400</v>
      </c>
      <c r="V99" t="n" s="8">
        <v>40910409</v>
      </c>
      <c r="W99" t="n" s="8">
        <v>40920400</v>
      </c>
      <c r="X99" t="n" s="8">
        <v>11000001</v>
      </c>
      <c r="Y99" s="8"/>
      <c r="Z99" s="8"/>
      <c r="AA99" t="str" s="8">
        <v>妖兽</v>
      </c>
      <c r="AB99" s="21">
        <v>20084</v>
      </c>
      <c r="AC99" t="n" s="8">
        <v>1</v>
      </c>
      <c r="AD99" t="n" s="8">
        <v>60</v>
      </c>
      <c r="AE99" t="n" s="8">
        <v>60</v>
      </c>
      <c r="AF99" t="n" s="8">
        <v>0</v>
      </c>
      <c r="AG99" t="n" s="8">
        <v>0</v>
      </c>
      <c r="AH99" t="str" s="8">
        <v>近战</v>
      </c>
      <c r="AI99" s="8"/>
      <c r="AJ99" s="17"/>
      <c r="AK99" s="8"/>
      <c r="AL99" s="18"/>
      <c r="AM99" t="str" s="8">
        <v>生命值</v>
      </c>
      <c r="AN99" t="n" s="19">
        <v>53200</v>
      </c>
      <c r="AO99" t="str" s="8">
        <v>灵力值</v>
      </c>
      <c r="AP99" t="n" s="8">
        <v>5168</v>
      </c>
      <c r="AQ99" t="str" s="8">
        <v>攻击下限</v>
      </c>
      <c r="AR99" t="n" s="8">
        <v>2584</v>
      </c>
      <c r="AS99" t="str" s="8">
        <v>攻击上限</v>
      </c>
      <c r="AT99" t="n" s="8">
        <v>2584</v>
      </c>
      <c r="AU99" t="str" s="8">
        <v>法力下限</v>
      </c>
      <c r="AV99" t="n" s="8">
        <v>2584</v>
      </c>
      <c r="AW99" t="str" s="8">
        <v>法力上限</v>
      </c>
      <c r="AX99" t="n" s="8">
        <v>2584</v>
      </c>
      <c r="AY99" t="str" s="8">
        <v>物防下限</v>
      </c>
      <c r="AZ99" t="n" s="8">
        <v>882</v>
      </c>
      <c r="BA99" t="str" s="8">
        <v>物防上限</v>
      </c>
      <c r="BB99" t="n" s="8">
        <v>882</v>
      </c>
      <c r="BC99" t="str" s="8">
        <v>法防下限</v>
      </c>
      <c r="BD99" t="n" s="8">
        <v>882</v>
      </c>
      <c r="BE99" t="str" s="8">
        <v>法防上限</v>
      </c>
      <c r="BF99" t="n" s="8">
        <v>882</v>
      </c>
      <c r="BG99" t="str" s="8">
        <v>移动速度</v>
      </c>
      <c r="BH99" t="n" s="8">
        <v>240</v>
      </c>
      <c r="BI99" t="str" s="8">
        <v>攻击范围</v>
      </c>
      <c r="BJ99" t="n" s="8">
        <v>160</v>
      </c>
      <c r="BK99" t="str" s="8">
        <v>警戒范围</v>
      </c>
      <c r="BL99" t="n" s="8">
        <v>550</v>
      </c>
      <c r="BM99" t="str" s="8">
        <v>攻击间隔</v>
      </c>
      <c r="BN99" t="n" s="8">
        <v>1800</v>
      </c>
      <c r="BO99" t="n" s="8">
        <v>0</v>
      </c>
      <c r="BP99" s="8"/>
      <c r="BQ99" t="n" s="8">
        <v>0</v>
      </c>
      <c r="BR99" t="n" s="8">
        <v>0</v>
      </c>
      <c r="BS99" t="n" s="8">
        <v>0</v>
      </c>
      <c r="BT99" t="n" s="8">
        <v>0</v>
      </c>
      <c r="BU99" t="str" s="8">
        <v>岩腹潜龛的普通遭遇。依托本区既有水土、岩隙和可达条件活动。</v>
      </c>
      <c r="BV99" t="n">
        <v>4</v>
      </c>
      <c r="BW99" t="n">
        <v>9</v>
      </c>
      <c r="BX99" t="str">
        <v>凡品</v>
      </c>
      <c r="BY99" t="str">
        <v>native</v>
      </c>
      <c r="BZ99" t="b">
        <v>0</v>
      </c>
    </row>
    <row r="100" ht="16.5" customHeight="1" spans="2:75">
      <c r="A100"/>
      <c r="B100" t="n" s="8">
        <f>60000000+INDEX(编号表!$B:$B,MATCH(J100,编号表!$A:$A,0))*10000+INDEX(编号表!$B:$B,MATCH(K100,编号表!$C:$C,0))*1000+L100</f>
        <v>60241109</v>
      </c>
      <c r="C100" t="str" s="8">
        <v>a010</v>
      </c>
      <c r="D100" t="str" s="5">
        <v>褐苔灵蜈</v>
      </c>
      <c r="E100" t="str" s="5">
        <v>R04-S1-普通-109</v>
      </c>
      <c r="F100" t="n" s="8">
        <v>39</v>
      </c>
      <c r="G100" t="str" s="8">
        <f>INDEX(编号表!$E:$E,MATCH(K100,编号表!$C:$C,0))</f>
        <v>白色</v>
      </c>
      <c r="H100" t="n" s="8">
        <v>4</v>
      </c>
      <c r="I100" t="str" s="8">
        <v>岩腹潜龛</v>
      </c>
      <c r="J100" t="str" s="8">
        <v>岩腹潜龛</v>
      </c>
      <c r="K100" t="str" s="8">
        <v>普通</v>
      </c>
      <c r="L100" t="n" s="8">
        <v>109</v>
      </c>
      <c r="M100" t="n" s="8">
        <v>109</v>
      </c>
      <c r="N100" t="n" s="8">
        <v>1</v>
      </c>
      <c r="O100" s="8"/>
      <c r="P100" t="n" s="8">
        <v>24</v>
      </c>
      <c r="Q100" t="n" s="8">
        <v>30000</v>
      </c>
      <c r="R100" t="str" s="8">
        <v>首击</v>
      </c>
      <c r="S100" t="n" s="8">
        <v>30000</v>
      </c>
      <c r="T100" t="n" s="8">
        <v>10</v>
      </c>
      <c r="U100" t="n" s="16">
        <v>40900400</v>
      </c>
      <c r="V100" t="n" s="8">
        <v>40910410</v>
      </c>
      <c r="W100" t="n" s="8">
        <v>40920401</v>
      </c>
      <c r="X100" t="n" s="8">
        <v>11000001</v>
      </c>
      <c r="Y100" s="8"/>
      <c r="Z100" s="8"/>
      <c r="AA100" t="str" s="8">
        <v>妖兽</v>
      </c>
      <c r="AB100" s="21">
        <v>20085</v>
      </c>
      <c r="AC100" t="n" s="8">
        <v>1</v>
      </c>
      <c r="AD100" t="n" s="8">
        <v>60</v>
      </c>
      <c r="AE100" t="n" s="8">
        <v>60</v>
      </c>
      <c r="AF100" t="n" s="8">
        <v>0</v>
      </c>
      <c r="AG100" t="n" s="8">
        <v>0</v>
      </c>
      <c r="AH100" t="str" s="8">
        <v>近战</v>
      </c>
      <c r="AI100"/>
      <c r="AJ100" s="17"/>
      <c r="AK100" s="8"/>
      <c r="AL100" s="18"/>
      <c r="AM100" t="str" s="8">
        <v>生命值</v>
      </c>
      <c r="AN100" t="n" s="19">
        <v>53200</v>
      </c>
      <c r="AO100" t="str" s="8">
        <v>灵力值</v>
      </c>
      <c r="AP100" t="n" s="8">
        <v>5168</v>
      </c>
      <c r="AQ100" t="str" s="8">
        <v>攻击下限</v>
      </c>
      <c r="AR100" t="n" s="8">
        <v>2584</v>
      </c>
      <c r="AS100" t="str" s="8">
        <v>攻击上限</v>
      </c>
      <c r="AT100" t="n" s="8">
        <v>2584</v>
      </c>
      <c r="AU100" t="str" s="8">
        <v>法力下限</v>
      </c>
      <c r="AV100" t="n" s="8">
        <v>2584</v>
      </c>
      <c r="AW100" t="str" s="8">
        <v>法力上限</v>
      </c>
      <c r="AX100" t="n" s="8">
        <v>2584</v>
      </c>
      <c r="AY100" t="str" s="8">
        <v>物防下限</v>
      </c>
      <c r="AZ100" t="n" s="8">
        <v>882</v>
      </c>
      <c r="BA100" t="str" s="8">
        <v>物防上限</v>
      </c>
      <c r="BB100" t="n" s="8">
        <v>882</v>
      </c>
      <c r="BC100" t="str" s="8">
        <v>法防下限</v>
      </c>
      <c r="BD100" t="n" s="8">
        <v>882</v>
      </c>
      <c r="BE100" t="str" s="8">
        <v>法防上限</v>
      </c>
      <c r="BF100" t="n" s="8">
        <v>882</v>
      </c>
      <c r="BG100" t="str" s="8">
        <v>移动速度</v>
      </c>
      <c r="BH100" t="n" s="8">
        <v>240</v>
      </c>
      <c r="BI100" t="str" s="8">
        <v>攻击范围</v>
      </c>
      <c r="BJ100" t="n" s="8">
        <v>160</v>
      </c>
      <c r="BK100" t="str" s="8">
        <v>警戒范围</v>
      </c>
      <c r="BL100" t="n" s="8">
        <v>550</v>
      </c>
      <c r="BM100" t="str" s="8">
        <v>攻击间隔</v>
      </c>
      <c r="BN100" t="n" s="8">
        <v>1800</v>
      </c>
      <c r="BO100" t="n" s="8">
        <v>0</v>
      </c>
      <c r="BP100" s="8"/>
      <c r="BQ100" t="n" s="8">
        <v>0</v>
      </c>
      <c r="BR100" t="n" s="8">
        <v>0</v>
      </c>
      <c r="BS100" t="n" s="8">
        <v>0</v>
      </c>
      <c r="BT100" t="n" s="8">
        <v>0</v>
      </c>
      <c r="BU100" t="str" s="8">
        <v>岩腹潜龛的普通遭遇。依托本区既有水土、岩隙和可达条件活动。</v>
      </c>
      <c r="BV100" t="n">
        <v>4</v>
      </c>
      <c r="BW100" t="n">
        <v>9</v>
      </c>
      <c r="BX100" t="str">
        <v>凡品</v>
      </c>
      <c r="BY100" t="str">
        <v>native</v>
      </c>
      <c r="BZ100" t="b">
        <v>0</v>
      </c>
    </row>
    <row r="101" ht="16.5" customHeight="1" spans="2:75">
      <c r="A101"/>
      <c r="B101" t="n" s="8">
        <f>60000000+INDEX(编号表!$B:$B,MATCH(J101,编号表!$A:$A,0))*10000+INDEX(编号表!$B:$B,MATCH(K101,编号表!$C:$C,0))*1000+L101</f>
        <v>60241110</v>
      </c>
      <c r="C101" t="str" s="8">
        <v>a010</v>
      </c>
      <c r="D101" t="str" s="5">
        <v>沟底石蟹</v>
      </c>
      <c r="E101" t="str" s="5">
        <v>R04-S1-普通-110</v>
      </c>
      <c r="F101" t="n" s="8">
        <v>39</v>
      </c>
      <c r="G101" t="str" s="8">
        <f>INDEX(编号表!$E:$E,MATCH(K101,编号表!$C:$C,0))</f>
        <v>白色</v>
      </c>
      <c r="H101" t="n" s="8">
        <v>4</v>
      </c>
      <c r="I101" t="str" s="8">
        <v>岩腹潜龛</v>
      </c>
      <c r="J101" t="str" s="8">
        <v>岩腹潜龛</v>
      </c>
      <c r="K101" t="str" s="8">
        <v>普通</v>
      </c>
      <c r="L101" t="n" s="8">
        <v>110</v>
      </c>
      <c r="M101" t="n" s="8">
        <v>110</v>
      </c>
      <c r="N101" t="n" s="8">
        <v>1</v>
      </c>
      <c r="O101" s="8"/>
      <c r="P101" t="n" s="8">
        <v>24</v>
      </c>
      <c r="Q101" t="n" s="8">
        <v>30000</v>
      </c>
      <c r="R101" t="str" s="8">
        <v>首击</v>
      </c>
      <c r="S101" t="n" s="8">
        <v>30000</v>
      </c>
      <c r="T101" t="n" s="8">
        <v>10</v>
      </c>
      <c r="U101" t="n" s="16">
        <v>40900400</v>
      </c>
      <c r="V101" t="n" s="8">
        <v>40910411</v>
      </c>
      <c r="W101" t="n" s="8">
        <v>40920400</v>
      </c>
      <c r="X101" t="n" s="8">
        <v>11000001</v>
      </c>
      <c r="Y101" s="8"/>
      <c r="Z101" s="8"/>
      <c r="AA101" t="str" s="8">
        <v>妖兽</v>
      </c>
      <c r="AB101" s="21">
        <v>20086</v>
      </c>
      <c r="AC101" t="n" s="8">
        <v>1</v>
      </c>
      <c r="AD101" t="n" s="8">
        <v>60</v>
      </c>
      <c r="AE101" t="n" s="8">
        <v>60</v>
      </c>
      <c r="AF101" t="n" s="8">
        <v>0</v>
      </c>
      <c r="AG101" t="n" s="8">
        <v>0</v>
      </c>
      <c r="AH101" t="str" s="8">
        <v>近战</v>
      </c>
      <c r="AI101" s="8"/>
      <c r="AJ101" s="17"/>
      <c r="AK101" s="8"/>
      <c r="AL101" s="18"/>
      <c r="AM101" t="str" s="8">
        <v>生命值</v>
      </c>
      <c r="AN101" t="n" s="19">
        <v>53200</v>
      </c>
      <c r="AO101" t="str" s="8">
        <v>灵力值</v>
      </c>
      <c r="AP101" t="n" s="8">
        <v>5168</v>
      </c>
      <c r="AQ101" t="str" s="8">
        <v>攻击下限</v>
      </c>
      <c r="AR101" t="n" s="8">
        <v>2584</v>
      </c>
      <c r="AS101" t="str" s="8">
        <v>攻击上限</v>
      </c>
      <c r="AT101" t="n" s="8">
        <v>2584</v>
      </c>
      <c r="AU101" t="str" s="8">
        <v>法力下限</v>
      </c>
      <c r="AV101" t="n" s="8">
        <v>2584</v>
      </c>
      <c r="AW101" t="str" s="8">
        <v>法力上限</v>
      </c>
      <c r="AX101" t="n" s="8">
        <v>2584</v>
      </c>
      <c r="AY101" t="str" s="8">
        <v>物防下限</v>
      </c>
      <c r="AZ101" t="n" s="8">
        <v>882</v>
      </c>
      <c r="BA101" t="str" s="8">
        <v>物防上限</v>
      </c>
      <c r="BB101" t="n" s="8">
        <v>882</v>
      </c>
      <c r="BC101" t="str" s="8">
        <v>法防下限</v>
      </c>
      <c r="BD101" t="n" s="8">
        <v>882</v>
      </c>
      <c r="BE101" t="str" s="8">
        <v>法防上限</v>
      </c>
      <c r="BF101" t="n" s="8">
        <v>882</v>
      </c>
      <c r="BG101" t="str" s="8">
        <v>移动速度</v>
      </c>
      <c r="BH101" t="n" s="8">
        <v>240</v>
      </c>
      <c r="BI101" t="str" s="8">
        <v>攻击范围</v>
      </c>
      <c r="BJ101" t="n" s="8">
        <v>160</v>
      </c>
      <c r="BK101" t="str" s="8">
        <v>警戒范围</v>
      </c>
      <c r="BL101" t="n" s="8">
        <v>550</v>
      </c>
      <c r="BM101" t="str" s="8">
        <v>攻击间隔</v>
      </c>
      <c r="BN101" t="n" s="8">
        <v>1800</v>
      </c>
      <c r="BO101" t="n" s="8">
        <v>0</v>
      </c>
      <c r="BP101" s="8"/>
      <c r="BQ101" t="n" s="8">
        <v>0</v>
      </c>
      <c r="BR101" t="n" s="8">
        <v>0</v>
      </c>
      <c r="BS101" t="n" s="8">
        <v>0</v>
      </c>
      <c r="BT101" t="n" s="8">
        <v>0</v>
      </c>
      <c r="BU101" t="str" s="8">
        <v>岩腹潜龛的普通遭遇。依托本区既有水土、岩隙和可达条件活动。</v>
      </c>
      <c r="BV101" t="n">
        <v>4</v>
      </c>
      <c r="BW101" t="n">
        <v>9</v>
      </c>
      <c r="BX101" t="str">
        <v>凡品</v>
      </c>
      <c r="BY101" t="str">
        <v>native</v>
      </c>
      <c r="BZ101" t="b">
        <v>0</v>
      </c>
    </row>
    <row r="102" ht="16.5" customHeight="1" spans="2:75">
      <c r="A102"/>
      <c r="B102" t="n" s="8">
        <f>60000000+INDEX(编号表!$B:$B,MATCH(J102,编号表!$A:$A,0))*10000+INDEX(编号表!$B:$B,MATCH(K102,编号表!$C:$C,0))*1000+L102</f>
        <v>60242111</v>
      </c>
      <c r="C102" t="str" s="8">
        <v>a010</v>
      </c>
      <c r="D102" t="str" s="5">
        <v>瘠地灵蛇·异种</v>
      </c>
      <c r="E102" t="str" s="5">
        <v>R04-S1-精英-111</v>
      </c>
      <c r="F102" t="n" s="8">
        <v>39</v>
      </c>
      <c r="G102" t="str" s="8">
        <f>INDEX(编号表!$E:$E,MATCH(K102,编号表!$C:$C,0))</f>
        <v>绿色</v>
      </c>
      <c r="H102" t="n" s="8">
        <v>4</v>
      </c>
      <c r="I102" t="str" s="8">
        <v>岩腹潜龛</v>
      </c>
      <c r="J102" t="str" s="8">
        <v>岩腹潜龛</v>
      </c>
      <c r="K102" t="str" s="8">
        <v>精英</v>
      </c>
      <c r="L102" t="n" s="8">
        <v>111</v>
      </c>
      <c r="M102" t="n" s="8">
        <v>111</v>
      </c>
      <c r="N102" t="n" s="8">
        <v>3</v>
      </c>
      <c r="O102" s="8"/>
      <c r="P102" t="n" s="8">
        <v>40</v>
      </c>
      <c r="Q102" t="n" s="8">
        <v>180000</v>
      </c>
      <c r="R102" t="str" s="8">
        <v>首击</v>
      </c>
      <c r="S102" t="n" s="8">
        <v>30000</v>
      </c>
      <c r="T102" t="n" s="8">
        <v>11</v>
      </c>
      <c r="U102" t="n" s="16">
        <v>40900401</v>
      </c>
      <c r="V102" t="n" s="8">
        <v>41120412</v>
      </c>
      <c r="W102" t="n" s="8">
        <v>41220401</v>
      </c>
      <c r="X102" t="n" s="8">
        <v>11000001</v>
      </c>
      <c r="Y102" s="8"/>
      <c r="Z102" s="8"/>
      <c r="AA102" t="str" s="8">
        <v>妖兽</v>
      </c>
      <c r="AB102" s="21">
        <v>20084</v>
      </c>
      <c r="AC102" t="n" s="8">
        <v>1.25</v>
      </c>
      <c r="AD102" t="n" s="8">
        <v>60</v>
      </c>
      <c r="AE102" t="n" s="8">
        <v>60</v>
      </c>
      <c r="AF102" t="n" s="8">
        <v>0</v>
      </c>
      <c r="AG102" t="n" s="8">
        <v>0</v>
      </c>
      <c r="AH102" t="str" s="8">
        <v>近战</v>
      </c>
      <c r="AI102" s="8"/>
      <c r="AJ102" s="17"/>
      <c r="AK102" s="8"/>
      <c r="AL102" s="18"/>
      <c r="AM102" t="str" s="8">
        <v>生命值</v>
      </c>
      <c r="AN102" t="n" s="19">
        <v>148960</v>
      </c>
      <c r="AO102" t="str" s="8">
        <v>灵力值</v>
      </c>
      <c r="AP102" t="n" s="8">
        <v>7494</v>
      </c>
      <c r="AQ102" t="str" s="8">
        <v>攻击下限</v>
      </c>
      <c r="AR102" t="n" s="8">
        <v>3747</v>
      </c>
      <c r="AS102" t="str" s="8">
        <v>攻击上限</v>
      </c>
      <c r="AT102" t="n" s="8">
        <v>3747</v>
      </c>
      <c r="AU102" t="str" s="8">
        <v>法力下限</v>
      </c>
      <c r="AV102" t="n" s="8">
        <v>3747</v>
      </c>
      <c r="AW102" t="str" s="8">
        <v>法力上限</v>
      </c>
      <c r="AX102" t="n" s="8">
        <v>3747</v>
      </c>
      <c r="AY102" t="str" s="8">
        <v>物防下限</v>
      </c>
      <c r="AZ102" t="n" s="8">
        <v>1058</v>
      </c>
      <c r="BA102" t="str" s="8">
        <v>物防上限</v>
      </c>
      <c r="BB102" t="n" s="8">
        <v>1058</v>
      </c>
      <c r="BC102" t="str" s="8">
        <v>法防下限</v>
      </c>
      <c r="BD102" t="n" s="8">
        <v>1058</v>
      </c>
      <c r="BE102" t="str" s="8">
        <v>法防上限</v>
      </c>
      <c r="BF102" t="n" s="8">
        <v>1058</v>
      </c>
      <c r="BG102" t="str" s="8">
        <v>移动速度</v>
      </c>
      <c r="BH102" t="n" s="8">
        <v>240</v>
      </c>
      <c r="BI102" t="str" s="8">
        <v>攻击范围</v>
      </c>
      <c r="BJ102" t="n" s="8">
        <v>160</v>
      </c>
      <c r="BK102" t="str" s="8">
        <v>警戒范围</v>
      </c>
      <c r="BL102" t="n" s="8">
        <v>550</v>
      </c>
      <c r="BM102" t="str" s="8">
        <v>攻击间隔</v>
      </c>
      <c r="BN102" t="n" s="8">
        <v>1800</v>
      </c>
      <c r="BO102" t="n" s="8">
        <v>0</v>
      </c>
      <c r="BP102" s="8"/>
      <c r="BQ102" t="n" s="8">
        <v>0</v>
      </c>
      <c r="BR102" t="n" s="8">
        <v>0</v>
      </c>
      <c r="BS102" t="n" s="8">
        <v>0</v>
      </c>
      <c r="BT102" t="n" s="8">
        <v>0</v>
      </c>
      <c r="BU102" t="str" s="8">
        <v>岩腹潜龛的精英遭遇。依托本区既有水土、岩隙和可达条件活动。</v>
      </c>
      <c r="BV102" t="n">
        <v>4</v>
      </c>
      <c r="BW102" t="n">
        <v>9</v>
      </c>
      <c r="BX102" t="str">
        <v>玄品</v>
      </c>
      <c r="BY102" t="str">
        <v>native</v>
      </c>
      <c r="BZ102" t="b">
        <v>0</v>
      </c>
    </row>
    <row r="103" ht="16.5" customHeight="1" spans="2:75">
      <c r="A103"/>
      <c r="B103" t="n" s="8">
        <f>60000000+INDEX(编号表!$B:$B,MATCH(J103,编号表!$A:$A,0))*10000+INDEX(编号表!$B:$B,MATCH(K103,编号表!$C:$C,0))*1000+L103</f>
        <v>60251112</v>
      </c>
      <c r="C103" t="str" s="8">
        <v>a010</v>
      </c>
      <c r="D103" t="str" s="5">
        <v>赭坡岩狼</v>
      </c>
      <c r="E103" t="str" s="5">
        <v>R04-S2-普通-112</v>
      </c>
      <c r="F103" t="n" s="8">
        <v>40</v>
      </c>
      <c r="G103" t="str" s="8">
        <f>INDEX(编号表!$E:$E,MATCH(K103,编号表!$C:$C,0))</f>
        <v>白色</v>
      </c>
      <c r="H103" t="n" s="8">
        <v>4</v>
      </c>
      <c r="I103" t="str" s="8">
        <v>水息留痕</v>
      </c>
      <c r="J103" t="str" s="8">
        <v>水息留痕</v>
      </c>
      <c r="K103" t="str" s="8">
        <v>普通</v>
      </c>
      <c r="L103" t="n" s="8">
        <v>112</v>
      </c>
      <c r="M103" t="n" s="8">
        <v>112</v>
      </c>
      <c r="N103" t="n" s="8">
        <v>1</v>
      </c>
      <c r="O103" s="8"/>
      <c r="P103" t="n" s="8">
        <v>24</v>
      </c>
      <c r="Q103" t="n" s="8">
        <v>30000</v>
      </c>
      <c r="R103" t="str" s="8">
        <v>首击</v>
      </c>
      <c r="S103" t="n" s="8">
        <v>30000</v>
      </c>
      <c r="T103" t="n" s="8">
        <v>10</v>
      </c>
      <c r="U103" t="n" s="16">
        <v>40900400</v>
      </c>
      <c r="V103" t="n" s="8">
        <v>40910400</v>
      </c>
      <c r="W103" t="n" s="8">
        <v>40920400</v>
      </c>
      <c r="X103" t="n" s="8">
        <v>11000001</v>
      </c>
      <c r="Y103" s="8"/>
      <c r="Z103" s="8"/>
      <c r="AA103" t="str" s="8">
        <v>妖兽</v>
      </c>
      <c r="AB103" s="21">
        <v>20087</v>
      </c>
      <c r="AC103" t="n" s="8">
        <v>1</v>
      </c>
      <c r="AD103" t="n" s="8">
        <v>60</v>
      </c>
      <c r="AE103" t="n" s="8">
        <v>60</v>
      </c>
      <c r="AF103" t="n" s="8">
        <v>0</v>
      </c>
      <c r="AG103" t="n" s="8">
        <v>0</v>
      </c>
      <c r="AH103" t="str" s="8">
        <v>近战</v>
      </c>
      <c r="AI103" s="8"/>
      <c r="AJ103" s="17"/>
      <c r="AK103" s="8"/>
      <c r="AL103" s="18"/>
      <c r="AM103" t="str" s="8">
        <v>生命值</v>
      </c>
      <c r="AN103" t="n" s="19">
        <v>55475</v>
      </c>
      <c r="AO103" t="str" s="8">
        <v>灵力值</v>
      </c>
      <c r="AP103" t="n" s="8">
        <v>5388</v>
      </c>
      <c r="AQ103" t="str" s="8">
        <v>攻击下限</v>
      </c>
      <c r="AR103" t="n" s="8">
        <v>2694</v>
      </c>
      <c r="AS103" t="str" s="8">
        <v>攻击上限</v>
      </c>
      <c r="AT103" t="n" s="8">
        <v>2694</v>
      </c>
      <c r="AU103" t="str" s="8">
        <v>法力下限</v>
      </c>
      <c r="AV103" t="n" s="8">
        <v>2694</v>
      </c>
      <c r="AW103" t="str" s="8">
        <v>法力上限</v>
      </c>
      <c r="AX103" t="n" s="8">
        <v>2694</v>
      </c>
      <c r="AY103" t="str" s="8">
        <v>物防下限</v>
      </c>
      <c r="AZ103" t="n" s="8">
        <v>919</v>
      </c>
      <c r="BA103" t="str" s="8">
        <v>物防上限</v>
      </c>
      <c r="BB103" t="n" s="8">
        <v>919</v>
      </c>
      <c r="BC103" t="str" s="8">
        <v>法防下限</v>
      </c>
      <c r="BD103" t="n" s="8">
        <v>919</v>
      </c>
      <c r="BE103" t="str" s="8">
        <v>法防上限</v>
      </c>
      <c r="BF103" t="n" s="8">
        <v>919</v>
      </c>
      <c r="BG103" t="str" s="8">
        <v>移动速度</v>
      </c>
      <c r="BH103" t="n" s="8">
        <v>240</v>
      </c>
      <c r="BI103" t="str" s="8">
        <v>攻击范围</v>
      </c>
      <c r="BJ103" t="n" s="8">
        <v>160</v>
      </c>
      <c r="BK103" t="str" s="8">
        <v>警戒范围</v>
      </c>
      <c r="BL103" t="n" s="8">
        <v>550</v>
      </c>
      <c r="BM103" t="str" s="8">
        <v>攻击间隔</v>
      </c>
      <c r="BN103" t="n" s="8">
        <v>1800</v>
      </c>
      <c r="BO103" t="n" s="8">
        <v>0</v>
      </c>
      <c r="BP103" s="8"/>
      <c r="BQ103" t="n" s="8">
        <v>0</v>
      </c>
      <c r="BR103" t="n" s="8">
        <v>0</v>
      </c>
      <c r="BS103" t="n" s="8">
        <v>0</v>
      </c>
      <c r="BT103" t="n" s="8">
        <v>0</v>
      </c>
      <c r="BU103" t="str" s="8">
        <v>水息留痕的普通遭遇。依托本区既有水土、岩隙和可达条件活动。</v>
      </c>
      <c r="BV103" t="n">
        <v>4</v>
      </c>
      <c r="BW103" t="n">
        <v>10</v>
      </c>
      <c r="BX103" t="str">
        <v>凡品</v>
      </c>
      <c r="BY103" t="str">
        <v>native</v>
      </c>
      <c r="BZ103" t="b">
        <v>0</v>
      </c>
    </row>
    <row r="104" ht="16.5" customHeight="1" spans="2:75">
      <c r="A104"/>
      <c r="B104" t="n" s="8">
        <f>60000000+INDEX(编号表!$B:$B,MATCH(J104,编号表!$A:$A,0))*10000+INDEX(编号表!$B:$B,MATCH(K104,编号表!$C:$C,0))*1000+L104</f>
        <v>60251113</v>
      </c>
      <c r="C104" t="str" s="8">
        <v>a010</v>
      </c>
      <c r="D104" t="str" s="5">
        <v>褐苔灵蜈</v>
      </c>
      <c r="E104" t="str" s="5">
        <v>R04-S2-普通-113</v>
      </c>
      <c r="F104" t="n" s="8">
        <v>40</v>
      </c>
      <c r="G104" t="str" s="8">
        <f>INDEX(编号表!$E:$E,MATCH(K104,编号表!$C:$C,0))</f>
        <v>白色</v>
      </c>
      <c r="H104" t="n" s="8">
        <v>4</v>
      </c>
      <c r="I104" t="str" s="8">
        <v>水息留痕</v>
      </c>
      <c r="J104" t="str" s="8">
        <v>水息留痕</v>
      </c>
      <c r="K104" t="str" s="8">
        <v>普通</v>
      </c>
      <c r="L104" t="n" s="8">
        <v>113</v>
      </c>
      <c r="M104" t="n" s="8">
        <v>113</v>
      </c>
      <c r="N104" t="n" s="8">
        <v>1</v>
      </c>
      <c r="O104" s="8"/>
      <c r="P104" t="n" s="8">
        <v>24</v>
      </c>
      <c r="Q104" t="n" s="8">
        <v>30000</v>
      </c>
      <c r="R104" t="str" s="8">
        <v>首击</v>
      </c>
      <c r="S104" t="n" s="8">
        <v>30000</v>
      </c>
      <c r="T104" t="n" s="8">
        <v>10</v>
      </c>
      <c r="U104" t="n" s="16">
        <v>40900400</v>
      </c>
      <c r="V104" t="n" s="8">
        <v>40910401</v>
      </c>
      <c r="W104" t="n" s="8">
        <v>40920401</v>
      </c>
      <c r="X104" t="n" s="8">
        <v>11000001</v>
      </c>
      <c r="Y104" s="8"/>
      <c r="Z104" s="8"/>
      <c r="AA104" t="str" s="8">
        <v>妖兽</v>
      </c>
      <c r="AB104" s="21">
        <v>20089</v>
      </c>
      <c r="AC104" t="n" s="8">
        <v>1</v>
      </c>
      <c r="AD104" t="n" s="8">
        <v>60</v>
      </c>
      <c r="AE104" t="n" s="8">
        <v>60</v>
      </c>
      <c r="AF104" t="n" s="8">
        <v>0</v>
      </c>
      <c r="AG104" t="n" s="8">
        <v>0</v>
      </c>
      <c r="AH104" t="str" s="8">
        <v>近战</v>
      </c>
      <c r="AI104"/>
      <c r="AJ104" s="17"/>
      <c r="AK104" s="8"/>
      <c r="AL104" s="18"/>
      <c r="AM104" t="str" s="8">
        <v>生命值</v>
      </c>
      <c r="AN104" t="n" s="19">
        <v>55475</v>
      </c>
      <c r="AO104" t="str" s="8">
        <v>灵力值</v>
      </c>
      <c r="AP104" t="n" s="8">
        <v>5388</v>
      </c>
      <c r="AQ104" t="str" s="8">
        <v>攻击下限</v>
      </c>
      <c r="AR104" t="n" s="8">
        <v>2694</v>
      </c>
      <c r="AS104" t="str" s="8">
        <v>攻击上限</v>
      </c>
      <c r="AT104" t="n" s="8">
        <v>2694</v>
      </c>
      <c r="AU104" t="str" s="8">
        <v>法力下限</v>
      </c>
      <c r="AV104" t="n" s="8">
        <v>2694</v>
      </c>
      <c r="AW104" t="str" s="8">
        <v>法力上限</v>
      </c>
      <c r="AX104" t="n" s="8">
        <v>2694</v>
      </c>
      <c r="AY104" t="str" s="8">
        <v>物防下限</v>
      </c>
      <c r="AZ104" t="n" s="8">
        <v>919</v>
      </c>
      <c r="BA104" t="str" s="8">
        <v>物防上限</v>
      </c>
      <c r="BB104" t="n" s="8">
        <v>919</v>
      </c>
      <c r="BC104" t="str" s="8">
        <v>法防下限</v>
      </c>
      <c r="BD104" t="n" s="8">
        <v>919</v>
      </c>
      <c r="BE104" t="str" s="8">
        <v>法防上限</v>
      </c>
      <c r="BF104" t="n" s="8">
        <v>919</v>
      </c>
      <c r="BG104" t="str" s="8">
        <v>移动速度</v>
      </c>
      <c r="BH104" t="n" s="8">
        <v>240</v>
      </c>
      <c r="BI104" t="str" s="8">
        <v>攻击范围</v>
      </c>
      <c r="BJ104" t="n" s="8">
        <v>160</v>
      </c>
      <c r="BK104" t="str" s="8">
        <v>警戒范围</v>
      </c>
      <c r="BL104" t="n" s="8">
        <v>550</v>
      </c>
      <c r="BM104" t="str" s="8">
        <v>攻击间隔</v>
      </c>
      <c r="BN104" t="n" s="8">
        <v>1800</v>
      </c>
      <c r="BO104" t="n" s="8">
        <v>0</v>
      </c>
      <c r="BP104" s="8"/>
      <c r="BQ104" t="n" s="8">
        <v>0</v>
      </c>
      <c r="BR104" t="n" s="8">
        <v>0</v>
      </c>
      <c r="BS104" t="n" s="8">
        <v>0</v>
      </c>
      <c r="BT104" t="n" s="8">
        <v>0</v>
      </c>
      <c r="BU104" t="str" s="8">
        <v>水息留痕的普通遭遇。依托本区既有水土、岩隙和可达条件活动。</v>
      </c>
      <c r="BV104" t="n">
        <v>4</v>
      </c>
      <c r="BW104" t="n">
        <v>10</v>
      </c>
      <c r="BX104" t="str">
        <v>凡品</v>
      </c>
      <c r="BY104" t="str">
        <v>native</v>
      </c>
      <c r="BZ104" t="b">
        <v>0</v>
      </c>
    </row>
    <row r="105" ht="16.5" customHeight="1" spans="2:75">
      <c r="A105"/>
      <c r="B105" t="n" s="8">
        <f>60000000+INDEX(编号表!$B:$B,MATCH(J105,编号表!$A:$A,0))*10000+INDEX(编号表!$B:$B,MATCH(K105,编号表!$C:$C,0))*1000+L105</f>
        <v>60252114</v>
      </c>
      <c r="C105" t="str" s="8">
        <v>a010</v>
      </c>
      <c r="D105" t="str" s="5">
        <v>沟底石蟹·异种</v>
      </c>
      <c r="E105" t="str" s="5">
        <v>R04-S2-精英-114</v>
      </c>
      <c r="F105" t="n" s="8">
        <v>40</v>
      </c>
      <c r="G105" t="str" s="8">
        <f>INDEX(编号表!$E:$E,MATCH(K105,编号表!$C:$C,0))</f>
        <v>绿色</v>
      </c>
      <c r="H105" t="n" s="8">
        <v>4</v>
      </c>
      <c r="I105" t="str" s="8">
        <v>水息留痕</v>
      </c>
      <c r="J105" t="str" s="8">
        <v>水息留痕</v>
      </c>
      <c r="K105" t="str" s="8">
        <v>精英</v>
      </c>
      <c r="L105" t="n" s="8">
        <v>114</v>
      </c>
      <c r="M105" t="n" s="8">
        <v>114</v>
      </c>
      <c r="N105" t="n" s="8">
        <v>3</v>
      </c>
      <c r="O105" s="8"/>
      <c r="P105" t="n" s="8">
        <v>40</v>
      </c>
      <c r="Q105" t="n" s="8">
        <v>180000</v>
      </c>
      <c r="R105" t="str" s="8">
        <v>首击</v>
      </c>
      <c r="S105" t="n" s="8">
        <v>30000</v>
      </c>
      <c r="T105" t="n" s="8">
        <v>11</v>
      </c>
      <c r="U105" t="n" s="16">
        <v>40900401</v>
      </c>
      <c r="V105" t="n" s="8">
        <v>41120402</v>
      </c>
      <c r="W105" t="n" s="8">
        <v>41220400</v>
      </c>
      <c r="X105" t="n" s="8">
        <v>11000001</v>
      </c>
      <c r="Y105" s="8"/>
      <c r="Z105" s="8"/>
      <c r="AA105" t="str" s="8">
        <v>妖兽</v>
      </c>
      <c r="AB105" s="21">
        <v>20089</v>
      </c>
      <c r="AC105" t="n" s="8">
        <v>1.25</v>
      </c>
      <c r="AD105" t="n" s="8">
        <v>60</v>
      </c>
      <c r="AE105" t="n" s="8">
        <v>60</v>
      </c>
      <c r="AF105" t="n" s="8">
        <v>0</v>
      </c>
      <c r="AG105" t="n" s="8">
        <v>0</v>
      </c>
      <c r="AH105" t="str" s="8">
        <v>近战</v>
      </c>
      <c r="AI105"/>
      <c r="AJ105" s="17"/>
      <c r="AK105" s="8"/>
      <c r="AL105" s="18"/>
      <c r="AM105" t="str" s="8">
        <v>生命值</v>
      </c>
      <c r="AN105" t="n" s="19">
        <v>155330</v>
      </c>
      <c r="AO105" t="str" s="8">
        <v>灵力值</v>
      </c>
      <c r="AP105" t="n" s="8">
        <v>7814</v>
      </c>
      <c r="AQ105" t="str" s="8">
        <v>攻击下限</v>
      </c>
      <c r="AR105" t="n" s="8">
        <v>3907</v>
      </c>
      <c r="AS105" t="str" s="8">
        <v>攻击上限</v>
      </c>
      <c r="AT105" t="n" s="8">
        <v>3907</v>
      </c>
      <c r="AU105" t="str" s="8">
        <v>法力下限</v>
      </c>
      <c r="AV105" t="n" s="8">
        <v>3907</v>
      </c>
      <c r="AW105" t="str" s="8">
        <v>法力上限</v>
      </c>
      <c r="AX105" t="n" s="8">
        <v>3907</v>
      </c>
      <c r="AY105" t="str" s="8">
        <v>物防下限</v>
      </c>
      <c r="AZ105" t="n" s="8">
        <v>1103</v>
      </c>
      <c r="BA105" t="str" s="8">
        <v>物防上限</v>
      </c>
      <c r="BB105" t="n" s="8">
        <v>1103</v>
      </c>
      <c r="BC105" t="str" s="8">
        <v>法防下限</v>
      </c>
      <c r="BD105" t="n" s="8">
        <v>1103</v>
      </c>
      <c r="BE105" t="str" s="8">
        <v>法防上限</v>
      </c>
      <c r="BF105" t="n" s="8">
        <v>1103</v>
      </c>
      <c r="BG105" t="str" s="8">
        <v>移动速度</v>
      </c>
      <c r="BH105" t="n" s="8">
        <v>240</v>
      </c>
      <c r="BI105" t="str" s="8">
        <v>攻击范围</v>
      </c>
      <c r="BJ105" t="n" s="8">
        <v>160</v>
      </c>
      <c r="BK105" t="str" s="8">
        <v>警戒范围</v>
      </c>
      <c r="BL105" t="n" s="8">
        <v>550</v>
      </c>
      <c r="BM105" t="str" s="8">
        <v>攻击间隔</v>
      </c>
      <c r="BN105" t="n" s="8">
        <v>1800</v>
      </c>
      <c r="BO105" t="n" s="8">
        <v>0</v>
      </c>
      <c r="BP105" s="8"/>
      <c r="BQ105" t="n" s="8">
        <v>0</v>
      </c>
      <c r="BR105" t="n" s="8">
        <v>0</v>
      </c>
      <c r="BS105" t="n" s="8">
        <v>0</v>
      </c>
      <c r="BT105" t="n" s="8">
        <v>0</v>
      </c>
      <c r="BU105" t="str" s="8">
        <v>水息留痕的精英遭遇。依托本区既有水土、岩隙和可达条件活动。</v>
      </c>
      <c r="BV105" t="n">
        <v>4</v>
      </c>
      <c r="BW105" t="n">
        <v>10</v>
      </c>
      <c r="BX105" t="str">
        <v>玄品</v>
      </c>
      <c r="BY105" t="str">
        <v>native</v>
      </c>
      <c r="BZ105" t="b">
        <v>0</v>
      </c>
    </row>
    <row r="106" ht="16.5" customHeight="1" spans="2:75">
      <c r="A106"/>
      <c r="B106" t="n" s="8">
        <f>60000000+INDEX(编号表!$B:$B,MATCH(J106,编号表!$A:$A,0))*10000+INDEX(编号表!$B:$B,MATCH(K106,编号表!$C:$C,0))*1000+L106</f>
        <v>60254115</v>
      </c>
      <c r="C106" t="str" s="8">
        <v>a010</v>
      </c>
      <c r="D106" t="str" s="5">
        <v>瘠地灵蛇·首领</v>
      </c>
      <c r="E106" t="str" s="5">
        <v>R04-S2-BOSS-115</v>
      </c>
      <c r="F106" t="n" s="8">
        <v>40</v>
      </c>
      <c r="G106" t="str" s="8">
        <f>INDEX(编号表!$E:$E,MATCH(K106,编号表!$C:$C,0))</f>
        <v>橙色</v>
      </c>
      <c r="H106" t="n" s="8">
        <v>4</v>
      </c>
      <c r="I106" t="str" s="8">
        <v>水息留痕</v>
      </c>
      <c r="J106" t="str" s="8">
        <v>水息留痕</v>
      </c>
      <c r="K106" t="str" s="8">
        <v>BOSS</v>
      </c>
      <c r="L106" t="n" s="8">
        <v>115</v>
      </c>
      <c r="M106" t="n" s="8">
        <v>115</v>
      </c>
      <c r="N106" t="n" s="8">
        <v>5</v>
      </c>
      <c r="O106" s="8"/>
      <c r="P106" t="n" s="8">
        <v>40</v>
      </c>
      <c r="Q106" t="n" s="8">
        <v>900000</v>
      </c>
      <c r="R106" t="str" s="8">
        <v>首击</v>
      </c>
      <c r="S106" t="n" s="8">
        <v>30000</v>
      </c>
      <c r="T106" t="n" s="8">
        <v>12</v>
      </c>
      <c r="U106" t="n" s="16">
        <v>40900402</v>
      </c>
      <c r="V106" t="n" s="8">
        <v>41130403</v>
      </c>
      <c r="W106" t="n" s="8">
        <v>41230401</v>
      </c>
      <c r="X106" t="n" s="8">
        <v>11000001</v>
      </c>
      <c r="Y106" s="8"/>
      <c r="Z106" s="8"/>
      <c r="AA106" t="str" s="8">
        <v>妖兽</v>
      </c>
      <c r="AB106" s="21">
        <v>20090</v>
      </c>
      <c r="AC106" t="n" s="8">
        <v>1.6</v>
      </c>
      <c r="AD106" t="n" s="8">
        <v>60</v>
      </c>
      <c r="AE106" t="n" s="8">
        <v>60</v>
      </c>
      <c r="AF106" t="n" s="8">
        <v>0</v>
      </c>
      <c r="AG106" t="n" s="8">
        <v>0</v>
      </c>
      <c r="AH106" t="str" s="8">
        <v>近战</v>
      </c>
      <c r="AI106" s="8"/>
      <c r="AJ106" s="17"/>
      <c r="AK106" s="8"/>
      <c r="AL106" s="18"/>
      <c r="AM106" t="str" s="8">
        <v>生命值</v>
      </c>
      <c r="AN106" t="n" s="19">
        <v>554750</v>
      </c>
      <c r="AO106" t="str" s="8">
        <v>灵力值</v>
      </c>
      <c r="AP106" t="n" s="8">
        <v>11316</v>
      </c>
      <c r="AQ106" t="str" s="8">
        <v>攻击下限</v>
      </c>
      <c r="AR106" t="n" s="8">
        <v>5658</v>
      </c>
      <c r="AS106" t="str" s="8">
        <v>攻击上限</v>
      </c>
      <c r="AT106" t="n" s="8">
        <v>5658</v>
      </c>
      <c r="AU106" t="str" s="8">
        <v>法力下限</v>
      </c>
      <c r="AV106" t="n" s="8">
        <v>5658</v>
      </c>
      <c r="AW106" t="str" s="8">
        <v>法力上限</v>
      </c>
      <c r="AX106" t="n" s="8">
        <v>5658</v>
      </c>
      <c r="AY106" t="str" s="8">
        <v>物防下限</v>
      </c>
      <c r="AZ106" t="n" s="8">
        <v>1379</v>
      </c>
      <c r="BA106" t="str" s="8">
        <v>物防上限</v>
      </c>
      <c r="BB106" t="n" s="8">
        <v>1379</v>
      </c>
      <c r="BC106" t="str" s="8">
        <v>法防下限</v>
      </c>
      <c r="BD106" t="n" s="8">
        <v>1379</v>
      </c>
      <c r="BE106" t="str" s="8">
        <v>法防上限</v>
      </c>
      <c r="BF106" t="n" s="8">
        <v>1379</v>
      </c>
      <c r="BG106" t="str" s="8">
        <v>移动速度</v>
      </c>
      <c r="BH106" t="n" s="8">
        <v>240</v>
      </c>
      <c r="BI106" t="str" s="8">
        <v>攻击范围</v>
      </c>
      <c r="BJ106" t="n" s="8">
        <v>160</v>
      </c>
      <c r="BK106" t="str" s="8">
        <v>警戒范围</v>
      </c>
      <c r="BL106" t="n" s="8">
        <v>700</v>
      </c>
      <c r="BM106" t="str" s="8">
        <v>攻击间隔</v>
      </c>
      <c r="BN106" t="n" s="8">
        <v>2200</v>
      </c>
      <c r="BO106" t="n" s="8">
        <v>0</v>
      </c>
      <c r="BP106" s="8"/>
      <c r="BQ106" t="n" s="8">
        <v>0</v>
      </c>
      <c r="BR106" t="n" s="8">
        <v>0</v>
      </c>
      <c r="BS106" t="n" s="8">
        <v>0</v>
      </c>
      <c r="BT106" t="n" s="8">
        <v>0</v>
      </c>
      <c r="BU106" t="str" s="8">
        <v>水息留痕的BOSS遭遇。依托本区既有水土、岩隙和可达条件活动。</v>
      </c>
      <c r="BV106" t="n">
        <v>4</v>
      </c>
      <c r="BW106" t="n">
        <v>10</v>
      </c>
      <c r="BX106" t="str">
        <v>仙品</v>
      </c>
      <c r="BY106" t="str">
        <v>native</v>
      </c>
      <c r="BZ106" t="b">
        <v>1</v>
      </c>
    </row>
    <row r="107" ht="16.5" customHeight="1" spans="2:75">
      <c r="A107"/>
      <c r="B107" t="n" s="8">
        <f>60000000+INDEX(编号表!$B:$B,MATCH(J107,编号表!$A:$A,0))*10000+INDEX(编号表!$B:$B,MATCH(K107,编号表!$C:$C,0))*1000+L107</f>
        <v>60421116</v>
      </c>
      <c r="C107" t="str" s="8">
        <v>a010</v>
      </c>
      <c r="D107" t="str" s="5">
        <v>碎堑岩狼</v>
      </c>
      <c r="E107" t="str" s="5">
        <v>R05-M1-普通-116</v>
      </c>
      <c r="F107" t="n" s="8">
        <v>42</v>
      </c>
      <c r="G107" t="str" s="8">
        <f>INDEX(编号表!$E:$E,MATCH(K107,编号表!$C:$C,0))</f>
        <v>白色</v>
      </c>
      <c r="H107" t="n" s="8">
        <v>5</v>
      </c>
      <c r="I107" t="str" s="8">
        <v>泻砾堑</v>
      </c>
      <c r="J107" t="str" s="8">
        <v>泻砾堑</v>
      </c>
      <c r="K107" t="str" s="8">
        <v>普通</v>
      </c>
      <c r="L107" t="n" s="8">
        <v>116</v>
      </c>
      <c r="M107" t="n" s="8">
        <v>116</v>
      </c>
      <c r="N107" t="n" s="8">
        <v>1</v>
      </c>
      <c r="O107" s="8"/>
      <c r="P107" t="n" s="8">
        <v>24</v>
      </c>
      <c r="Q107" t="n" s="8">
        <v>30000</v>
      </c>
      <c r="R107" t="str" s="8">
        <v>首击</v>
      </c>
      <c r="S107" t="n" s="8">
        <v>30000</v>
      </c>
      <c r="T107" t="n" s="8">
        <v>10</v>
      </c>
      <c r="U107" t="n" s="16">
        <v>40900500</v>
      </c>
      <c r="V107" t="n" s="8">
        <v>40910500</v>
      </c>
      <c r="W107" t="n" s="8">
        <v>40920500</v>
      </c>
      <c r="X107" t="n" s="8">
        <v>11000001</v>
      </c>
      <c r="Y107" s="8"/>
      <c r="Z107" s="8"/>
      <c r="AA107" t="str" s="8">
        <v>妖兽</v>
      </c>
      <c r="AB107" s="21">
        <v>20094</v>
      </c>
      <c r="AC107" t="n" s="8">
        <v>1</v>
      </c>
      <c r="AD107" t="n" s="8">
        <v>60</v>
      </c>
      <c r="AE107" t="n" s="8">
        <v>60</v>
      </c>
      <c r="AF107" t="n" s="8">
        <v>0</v>
      </c>
      <c r="AG107" t="n" s="8">
        <v>0</v>
      </c>
      <c r="AH107" t="str" s="8">
        <v>近战</v>
      </c>
      <c r="AI107"/>
      <c r="AJ107" s="17"/>
      <c r="AK107" s="8"/>
      <c r="AL107" s="18"/>
      <c r="AM107" t="str" s="8">
        <v>生命值</v>
      </c>
      <c r="AN107" t="n" s="19">
        <v>170400</v>
      </c>
      <c r="AO107" t="str" s="8">
        <v>灵力值</v>
      </c>
      <c r="AP107" t="n" s="8">
        <v>15336</v>
      </c>
      <c r="AQ107" t="str" s="8">
        <v>攻击下限</v>
      </c>
      <c r="AR107" t="n" s="8">
        <v>7668</v>
      </c>
      <c r="AS107" t="str" s="8">
        <v>攻击上限</v>
      </c>
      <c r="AT107" t="n" s="8">
        <v>7668</v>
      </c>
      <c r="AU107" t="str" s="8">
        <v>法力下限</v>
      </c>
      <c r="AV107" t="n" s="8">
        <v>7668</v>
      </c>
      <c r="AW107" t="str" s="8">
        <v>法力上限</v>
      </c>
      <c r="AX107" t="n" s="8">
        <v>7668</v>
      </c>
      <c r="AY107" t="str" s="8">
        <v>物防下限</v>
      </c>
      <c r="AZ107" t="n" s="8">
        <v>2609</v>
      </c>
      <c r="BA107" t="str" s="8">
        <v>物防上限</v>
      </c>
      <c r="BB107" t="n" s="8">
        <v>2609</v>
      </c>
      <c r="BC107" t="str" s="8">
        <v>法防下限</v>
      </c>
      <c r="BD107" t="n" s="8">
        <v>2609</v>
      </c>
      <c r="BE107" t="str" s="8">
        <v>法防上限</v>
      </c>
      <c r="BF107" t="n" s="8">
        <v>2609</v>
      </c>
      <c r="BG107" t="str" s="8">
        <v>移动速度</v>
      </c>
      <c r="BH107" t="n" s="8">
        <v>270</v>
      </c>
      <c r="BI107" t="str" s="8">
        <v>攻击范围</v>
      </c>
      <c r="BJ107" t="n" s="8">
        <v>160</v>
      </c>
      <c r="BK107" t="str" s="8">
        <v>警戒范围</v>
      </c>
      <c r="BL107" t="n" s="8">
        <v>550</v>
      </c>
      <c r="BM107" t="str" s="8">
        <v>攻击间隔</v>
      </c>
      <c r="BN107" t="n" s="8">
        <v>1800</v>
      </c>
      <c r="BO107" t="n" s="8">
        <v>0</v>
      </c>
      <c r="BP107" s="8"/>
      <c r="BQ107" t="n" s="8">
        <v>0</v>
      </c>
      <c r="BR107" t="n" s="8">
        <v>0</v>
      </c>
      <c r="BS107" t="n" s="8">
        <v>0</v>
      </c>
      <c r="BT107" t="n" s="8">
        <v>0</v>
      </c>
      <c r="BU107" t="str" s="8">
        <v>泻砾堑的普通遭遇。依托本区既有水土、岩隙和可达条件活动。</v>
      </c>
      <c r="BV107" t="n">
        <v>5</v>
      </c>
      <c r="BW107" t="n">
        <v>2</v>
      </c>
      <c r="BX107" t="str">
        <v>凡品</v>
      </c>
      <c r="BY107" t="str">
        <v>native</v>
      </c>
      <c r="BZ107" t="b">
        <v>0</v>
      </c>
    </row>
    <row r="108" ht="16.5" customHeight="1" spans="2:75">
      <c r="A108"/>
      <c r="B108" t="n" s="8">
        <f>60000000+INDEX(编号表!$B:$B,MATCH(J108,编号表!$A:$A,0))*10000+INDEX(编号表!$B:$B,MATCH(K108,编号表!$C:$C,0))*1000+L108</f>
        <v>60421117</v>
      </c>
      <c r="C108" t="str" s="8">
        <v>a010</v>
      </c>
      <c r="D108" t="str" s="5">
        <v>断谷灵蝠</v>
      </c>
      <c r="E108" t="str" s="5">
        <v>R05-M1-普通-117</v>
      </c>
      <c r="F108" t="n" s="8">
        <v>42</v>
      </c>
      <c r="G108" t="str" s="8">
        <f>INDEX(编号表!$E:$E,MATCH(K108,编号表!$C:$C,0))</f>
        <v>白色</v>
      </c>
      <c r="H108" t="n" s="8">
        <v>5</v>
      </c>
      <c r="I108" t="str" s="8">
        <v>泻砾堑</v>
      </c>
      <c r="J108" t="str" s="8">
        <v>泻砾堑</v>
      </c>
      <c r="K108" t="str" s="8">
        <v>普通</v>
      </c>
      <c r="L108" t="n" s="8">
        <v>117</v>
      </c>
      <c r="M108" t="n" s="8">
        <v>117</v>
      </c>
      <c r="N108" t="n" s="8">
        <v>1</v>
      </c>
      <c r="O108" s="8"/>
      <c r="P108" t="n" s="8">
        <v>24</v>
      </c>
      <c r="Q108" t="n" s="8">
        <v>30000</v>
      </c>
      <c r="R108" t="str" s="8">
        <v>首击</v>
      </c>
      <c r="S108" t="n" s="8">
        <v>30000</v>
      </c>
      <c r="T108" t="n" s="8">
        <v>10</v>
      </c>
      <c r="U108" t="n" s="16">
        <v>40900500</v>
      </c>
      <c r="V108" t="n" s="8">
        <v>40910501</v>
      </c>
      <c r="W108" t="n" s="8">
        <v>40920501</v>
      </c>
      <c r="X108" t="n" s="8">
        <v>11000001</v>
      </c>
      <c r="Y108" s="8"/>
      <c r="Z108" s="8"/>
      <c r="AA108" t="str" s="8">
        <v>妖兽</v>
      </c>
      <c r="AB108" s="21">
        <v>20095</v>
      </c>
      <c r="AC108" t="n" s="8">
        <v>1</v>
      </c>
      <c r="AD108" t="n" s="8">
        <v>60</v>
      </c>
      <c r="AE108" t="n" s="8">
        <v>60</v>
      </c>
      <c r="AF108" t="n" s="8">
        <v>0</v>
      </c>
      <c r="AG108" t="n" s="8">
        <v>0</v>
      </c>
      <c r="AH108" t="str" s="8">
        <v>近战</v>
      </c>
      <c r="AI108" s="8"/>
      <c r="AJ108" s="17"/>
      <c r="AK108" s="8"/>
      <c r="AL108" s="18"/>
      <c r="AM108" t="str" s="8">
        <v>生命值</v>
      </c>
      <c r="AN108" t="n" s="19">
        <v>170400</v>
      </c>
      <c r="AO108" t="str" s="8">
        <v>灵力值</v>
      </c>
      <c r="AP108" t="n" s="8">
        <v>15336</v>
      </c>
      <c r="AQ108" t="str" s="8">
        <v>攻击下限</v>
      </c>
      <c r="AR108" t="n" s="8">
        <v>7668</v>
      </c>
      <c r="AS108" t="str" s="8">
        <v>攻击上限</v>
      </c>
      <c r="AT108" t="n" s="8">
        <v>7668</v>
      </c>
      <c r="AU108" t="str" s="8">
        <v>法力下限</v>
      </c>
      <c r="AV108" t="n" s="8">
        <v>7668</v>
      </c>
      <c r="AW108" t="str" s="8">
        <v>法力上限</v>
      </c>
      <c r="AX108" t="n" s="8">
        <v>7668</v>
      </c>
      <c r="AY108" t="str" s="8">
        <v>物防下限</v>
      </c>
      <c r="AZ108" t="n" s="8">
        <v>2609</v>
      </c>
      <c r="BA108" t="str" s="8">
        <v>物防上限</v>
      </c>
      <c r="BB108" t="n" s="8">
        <v>2609</v>
      </c>
      <c r="BC108" t="str" s="8">
        <v>法防下限</v>
      </c>
      <c r="BD108" t="n" s="8">
        <v>2609</v>
      </c>
      <c r="BE108" t="str" s="8">
        <v>法防上限</v>
      </c>
      <c r="BF108" t="n" s="8">
        <v>2609</v>
      </c>
      <c r="BG108" t="str" s="8">
        <v>移动速度</v>
      </c>
      <c r="BH108" t="n" s="8">
        <v>270</v>
      </c>
      <c r="BI108" t="str" s="8">
        <v>攻击范围</v>
      </c>
      <c r="BJ108" t="n" s="8">
        <v>160</v>
      </c>
      <c r="BK108" t="str" s="8">
        <v>警戒范围</v>
      </c>
      <c r="BL108" t="n" s="8">
        <v>550</v>
      </c>
      <c r="BM108" t="str" s="8">
        <v>攻击间隔</v>
      </c>
      <c r="BN108" t="n" s="8">
        <v>1800</v>
      </c>
      <c r="BO108" t="n" s="8">
        <v>0</v>
      </c>
      <c r="BP108" s="8"/>
      <c r="BQ108" t="n" s="8">
        <v>0</v>
      </c>
      <c r="BR108" t="n" s="8">
        <v>0</v>
      </c>
      <c r="BS108" t="n" s="8">
        <v>0</v>
      </c>
      <c r="BT108" t="n" s="8">
        <v>0</v>
      </c>
      <c r="BU108" t="str" s="8">
        <v>泻砾堑的普通遭遇。依托本区既有水土、岩隙和可达条件活动。</v>
      </c>
      <c r="BV108" t="n">
        <v>5</v>
      </c>
      <c r="BW108" t="n">
        <v>2</v>
      </c>
      <c r="BX108" t="str">
        <v>凡品</v>
      </c>
      <c r="BY108" t="str">
        <v>native</v>
      </c>
      <c r="BZ108" t="b">
        <v>0</v>
      </c>
    </row>
    <row r="109" ht="16.5" customHeight="1" spans="2:75">
      <c r="A109"/>
      <c r="B109" t="n" s="8">
        <f>60000000+INDEX(编号表!$B:$B,MATCH(J109,编号表!$A:$A,0))*10000+INDEX(编号表!$B:$B,MATCH(K109,编号表!$C:$C,0))*1000+L109</f>
        <v>60421118</v>
      </c>
      <c r="C109" t="str" s="8">
        <v>a010</v>
      </c>
      <c r="D109" t="str" s="5">
        <v>截风灵蛇</v>
      </c>
      <c r="E109" t="str" s="5">
        <v>R05-M1-普通-118</v>
      </c>
      <c r="F109" t="n" s="8">
        <v>42</v>
      </c>
      <c r="G109" t="str" s="8">
        <f>INDEX(编号表!$E:$E,MATCH(K109,编号表!$C:$C,0))</f>
        <v>白色</v>
      </c>
      <c r="H109" t="n" s="8">
        <v>5</v>
      </c>
      <c r="I109" t="str" s="8">
        <v>泻砾堑</v>
      </c>
      <c r="J109" t="str" s="8">
        <v>泻砾堑</v>
      </c>
      <c r="K109" t="str" s="8">
        <v>普通</v>
      </c>
      <c r="L109" t="n" s="8">
        <v>118</v>
      </c>
      <c r="M109" t="n" s="8">
        <v>118</v>
      </c>
      <c r="N109" t="n" s="8">
        <v>1</v>
      </c>
      <c r="O109" s="8"/>
      <c r="P109" t="n" s="8">
        <v>24</v>
      </c>
      <c r="Q109" t="n" s="8">
        <v>30000</v>
      </c>
      <c r="R109" t="str" s="8">
        <v>首击</v>
      </c>
      <c r="S109" t="n" s="8">
        <v>30000</v>
      </c>
      <c r="T109" t="n" s="8">
        <v>10</v>
      </c>
      <c r="U109" t="n" s="16">
        <v>40900500</v>
      </c>
      <c r="V109" t="n" s="8">
        <v>40910502</v>
      </c>
      <c r="W109" t="n" s="8">
        <v>40920500</v>
      </c>
      <c r="X109" t="n" s="8">
        <v>11000001</v>
      </c>
      <c r="Y109" s="8"/>
      <c r="Z109" s="8"/>
      <c r="AA109" t="str" s="8">
        <v>妖兽</v>
      </c>
      <c r="AB109" s="21">
        <v>20096</v>
      </c>
      <c r="AC109" t="n" s="8">
        <v>1</v>
      </c>
      <c r="AD109" t="n" s="8">
        <v>60</v>
      </c>
      <c r="AE109" t="n" s="8">
        <v>60</v>
      </c>
      <c r="AF109" t="n" s="8">
        <v>0</v>
      </c>
      <c r="AG109" t="n" s="8">
        <v>0</v>
      </c>
      <c r="AH109" t="str" s="8">
        <v>近战</v>
      </c>
      <c r="AI109"/>
      <c r="AJ109" s="17"/>
      <c r="AK109" s="8"/>
      <c r="AL109" s="18"/>
      <c r="AM109" t="str" s="8">
        <v>生命值</v>
      </c>
      <c r="AN109" t="n" s="19">
        <v>170400</v>
      </c>
      <c r="AO109" t="str" s="8">
        <v>灵力值</v>
      </c>
      <c r="AP109" t="n" s="8">
        <v>15336</v>
      </c>
      <c r="AQ109" t="str" s="8">
        <v>攻击下限</v>
      </c>
      <c r="AR109" t="n" s="8">
        <v>7668</v>
      </c>
      <c r="AS109" t="str" s="8">
        <v>攻击上限</v>
      </c>
      <c r="AT109" t="n" s="8">
        <v>7668</v>
      </c>
      <c r="AU109" t="str" s="8">
        <v>法力下限</v>
      </c>
      <c r="AV109" t="n" s="8">
        <v>7668</v>
      </c>
      <c r="AW109" t="str" s="8">
        <v>法力上限</v>
      </c>
      <c r="AX109" t="n" s="8">
        <v>7668</v>
      </c>
      <c r="AY109" t="str" s="8">
        <v>物防下限</v>
      </c>
      <c r="AZ109" t="n" s="8">
        <v>2609</v>
      </c>
      <c r="BA109" t="str" s="8">
        <v>物防上限</v>
      </c>
      <c r="BB109" t="n" s="8">
        <v>2609</v>
      </c>
      <c r="BC109" t="str" s="8">
        <v>法防下限</v>
      </c>
      <c r="BD109" t="n" s="8">
        <v>2609</v>
      </c>
      <c r="BE109" t="str" s="8">
        <v>法防上限</v>
      </c>
      <c r="BF109" t="n" s="8">
        <v>2609</v>
      </c>
      <c r="BG109" t="str" s="8">
        <v>移动速度</v>
      </c>
      <c r="BH109" t="n" s="8">
        <v>270</v>
      </c>
      <c r="BI109" t="str" s="8">
        <v>攻击范围</v>
      </c>
      <c r="BJ109" t="n" s="8">
        <v>160</v>
      </c>
      <c r="BK109" t="str" s="8">
        <v>警戒范围</v>
      </c>
      <c r="BL109" t="n" s="8">
        <v>550</v>
      </c>
      <c r="BM109" t="str" s="8">
        <v>攻击间隔</v>
      </c>
      <c r="BN109" t="n" s="8">
        <v>1800</v>
      </c>
      <c r="BO109" t="n" s="8">
        <v>0</v>
      </c>
      <c r="BP109" s="8"/>
      <c r="BQ109" t="n" s="8">
        <v>0</v>
      </c>
      <c r="BR109" t="n" s="8">
        <v>0</v>
      </c>
      <c r="BS109" t="n" s="8">
        <v>0</v>
      </c>
      <c r="BT109" t="n" s="8">
        <v>0</v>
      </c>
      <c r="BU109" t="str" s="8">
        <v>泻砾堑的普通遭遇。依托本区既有水土、岩隙和可达条件活动。</v>
      </c>
      <c r="BV109" t="n">
        <v>5</v>
      </c>
      <c r="BW109" t="n">
        <v>2</v>
      </c>
      <c r="BX109" t="str">
        <v>凡品</v>
      </c>
      <c r="BY109" t="str">
        <v>native</v>
      </c>
      <c r="BZ109" t="b">
        <v>0</v>
      </c>
    </row>
    <row r="110" ht="16.5" customHeight="1" spans="2:75">
      <c r="A110"/>
      <c r="B110" t="n" s="8">
        <f>60000000+INDEX(编号表!$B:$B,MATCH(J110,编号表!$A:$A,0))*10000+INDEX(编号表!$B:$B,MATCH(K110,编号表!$C:$C,0))*1000+L110</f>
        <v>60422119</v>
      </c>
      <c r="C110" t="str" s="8">
        <v>a010</v>
      </c>
      <c r="D110" t="str" s="5">
        <v>崩石灵蜈·异种</v>
      </c>
      <c r="E110" t="str" s="5">
        <v>R05-M1-精英-119</v>
      </c>
      <c r="F110" t="n" s="8">
        <v>42</v>
      </c>
      <c r="G110" t="str" s="8">
        <f>INDEX(编号表!$E:$E,MATCH(K110,编号表!$C:$C,0))</f>
        <v>绿色</v>
      </c>
      <c r="H110" t="n" s="8">
        <v>5</v>
      </c>
      <c r="I110" t="str" s="8">
        <v>泻砾堑</v>
      </c>
      <c r="J110" t="str" s="8">
        <v>泻砾堑</v>
      </c>
      <c r="K110" t="str" s="8">
        <v>精英</v>
      </c>
      <c r="L110" t="n" s="8">
        <v>119</v>
      </c>
      <c r="M110" t="n" s="8">
        <v>119</v>
      </c>
      <c r="N110" t="n" s="8">
        <v>3</v>
      </c>
      <c r="O110" s="8"/>
      <c r="P110" t="n" s="8">
        <v>40</v>
      </c>
      <c r="Q110" t="n" s="8">
        <v>180000</v>
      </c>
      <c r="R110" t="str" s="8">
        <v>首击</v>
      </c>
      <c r="S110" t="n" s="8">
        <v>30000</v>
      </c>
      <c r="T110" t="n" s="8">
        <v>11</v>
      </c>
      <c r="U110" t="n" s="16">
        <v>40900501</v>
      </c>
      <c r="V110" t="n" s="8">
        <v>41120503</v>
      </c>
      <c r="W110" t="n" s="8">
        <v>41320500</v>
      </c>
      <c r="X110" t="n" s="8">
        <v>11000001</v>
      </c>
      <c r="Y110" s="8"/>
      <c r="Z110" s="8"/>
      <c r="AA110" t="str" s="8">
        <v>妖兽</v>
      </c>
      <c r="AB110" s="21">
        <v>20097</v>
      </c>
      <c r="AC110" t="n" s="8">
        <v>1.25</v>
      </c>
      <c r="AD110" t="n" s="8">
        <v>60</v>
      </c>
      <c r="AE110" t="n" s="8">
        <v>60</v>
      </c>
      <c r="AF110" t="n" s="8">
        <v>0</v>
      </c>
      <c r="AG110" t="n" s="8">
        <v>0</v>
      </c>
      <c r="AH110" t="str" s="8">
        <v>近战</v>
      </c>
      <c r="AI110" s="8"/>
      <c r="AJ110" s="17"/>
      <c r="AK110" s="8"/>
      <c r="AL110" s="18"/>
      <c r="AM110" t="str" s="8">
        <v>生命值</v>
      </c>
      <c r="AN110" t="n" s="19">
        <v>477120</v>
      </c>
      <c r="AO110" t="str" s="8">
        <v>灵力值</v>
      </c>
      <c r="AP110" t="n" s="8">
        <v>22238</v>
      </c>
      <c r="AQ110" t="str" s="8">
        <v>攻击下限</v>
      </c>
      <c r="AR110" t="n" s="8">
        <v>11119</v>
      </c>
      <c r="AS110" t="str" s="8">
        <v>攻击上限</v>
      </c>
      <c r="AT110" t="n" s="8">
        <v>11119</v>
      </c>
      <c r="AU110" t="str" s="8">
        <v>法力下限</v>
      </c>
      <c r="AV110" t="n" s="8">
        <v>11119</v>
      </c>
      <c r="AW110" t="str" s="8">
        <v>法力上限</v>
      </c>
      <c r="AX110" t="n" s="8">
        <v>11119</v>
      </c>
      <c r="AY110" t="str" s="8">
        <v>物防下限</v>
      </c>
      <c r="AZ110" t="n" s="8">
        <v>3131</v>
      </c>
      <c r="BA110" t="str" s="8">
        <v>物防上限</v>
      </c>
      <c r="BB110" t="n" s="8">
        <v>3131</v>
      </c>
      <c r="BC110" t="str" s="8">
        <v>法防下限</v>
      </c>
      <c r="BD110" t="n" s="8">
        <v>3131</v>
      </c>
      <c r="BE110" t="str" s="8">
        <v>法防上限</v>
      </c>
      <c r="BF110" t="n" s="8">
        <v>3131</v>
      </c>
      <c r="BG110" t="str" s="8">
        <v>移动速度</v>
      </c>
      <c r="BH110" t="n" s="8">
        <v>270</v>
      </c>
      <c r="BI110" t="str" s="8">
        <v>攻击范围</v>
      </c>
      <c r="BJ110" t="n" s="8">
        <v>160</v>
      </c>
      <c r="BK110" t="str" s="8">
        <v>警戒范围</v>
      </c>
      <c r="BL110" t="n" s="8">
        <v>550</v>
      </c>
      <c r="BM110" t="str" s="8">
        <v>攻击间隔</v>
      </c>
      <c r="BN110" t="n" s="8">
        <v>1800</v>
      </c>
      <c r="BO110" t="n" s="8">
        <v>0</v>
      </c>
      <c r="BP110" s="8"/>
      <c r="BQ110" t="n" s="8">
        <v>0</v>
      </c>
      <c r="BR110" t="n" s="8">
        <v>0</v>
      </c>
      <c r="BS110" t="n" s="8">
        <v>0</v>
      </c>
      <c r="BT110" t="n" s="8">
        <v>0</v>
      </c>
      <c r="BU110" t="str" s="8">
        <v>泻砾堑的精英遭遇。依托本区既有水土、岩隙和可达条件活动。</v>
      </c>
      <c r="BV110" t="n">
        <v>5</v>
      </c>
      <c r="BW110" t="n">
        <v>2</v>
      </c>
      <c r="BX110" t="str">
        <v>玄品</v>
      </c>
      <c r="BY110" t="str">
        <v>native</v>
      </c>
      <c r="BZ110" t="b">
        <v>0</v>
      </c>
    </row>
    <row r="111" ht="16.5" customHeight="1" spans="2:75">
      <c r="A111"/>
      <c r="B111" t="n" s="8">
        <f>60000000+INDEX(编号表!$B:$B,MATCH(J111,编号表!$A:$A,0))*10000+INDEX(编号表!$B:$B,MATCH(K111,编号表!$C:$C,0))*1000+L111</f>
        <v>60431120</v>
      </c>
      <c r="C111" t="str" s="8">
        <v>a010</v>
      </c>
      <c r="D111" t="str" s="5">
        <v>碎堑岩狼</v>
      </c>
      <c r="E111" t="str" s="5">
        <v>R05-M2-普通-120</v>
      </c>
      <c r="F111" t="n" s="8">
        <v>45</v>
      </c>
      <c r="G111" t="str" s="8">
        <f>INDEX(编号表!$E:$E,MATCH(K111,编号表!$C:$C,0))</f>
        <v>白色</v>
      </c>
      <c r="H111" t="n" s="8">
        <v>5</v>
      </c>
      <c r="I111" t="str" s="8">
        <v>幽崩谷</v>
      </c>
      <c r="J111" t="str" s="8">
        <v>幽崩谷</v>
      </c>
      <c r="K111" t="str" s="8">
        <v>普通</v>
      </c>
      <c r="L111" t="n" s="8">
        <v>120</v>
      </c>
      <c r="M111" t="n" s="8">
        <v>120</v>
      </c>
      <c r="N111" t="n" s="8">
        <v>1</v>
      </c>
      <c r="O111" s="8"/>
      <c r="P111" t="n" s="8">
        <v>24</v>
      </c>
      <c r="Q111" t="n" s="8">
        <v>30000</v>
      </c>
      <c r="R111" t="str" s="8">
        <v>首击</v>
      </c>
      <c r="S111" t="n" s="8">
        <v>30000</v>
      </c>
      <c r="T111" t="n" s="8">
        <v>10</v>
      </c>
      <c r="U111" t="n" s="16">
        <v>40900500</v>
      </c>
      <c r="V111" t="n" s="8">
        <v>40910504</v>
      </c>
      <c r="W111" t="n" s="8">
        <v>40920500</v>
      </c>
      <c r="X111" t="n" s="8">
        <v>11000001</v>
      </c>
      <c r="Y111" s="8"/>
      <c r="Z111" s="8"/>
      <c r="AA111" t="str" s="8">
        <v>妖兽</v>
      </c>
      <c r="AB111" s="21">
        <v>20098</v>
      </c>
      <c r="AC111" t="n" s="8">
        <v>1</v>
      </c>
      <c r="AD111" t="n" s="8">
        <v>60</v>
      </c>
      <c r="AE111" t="n" s="8">
        <v>60</v>
      </c>
      <c r="AF111" t="n" s="8">
        <v>0</v>
      </c>
      <c r="AG111" t="n" s="8">
        <v>0</v>
      </c>
      <c r="AH111" t="str" s="8">
        <v>近战</v>
      </c>
      <c r="AI111"/>
      <c r="AJ111" s="17"/>
      <c r="AK111" s="8"/>
      <c r="AL111" s="18"/>
      <c r="AM111" t="str" s="8">
        <v>生命值</v>
      </c>
      <c r="AN111" t="n" s="19">
        <v>201600</v>
      </c>
      <c r="AO111" t="str" s="8">
        <v>灵力值</v>
      </c>
      <c r="AP111" t="n" s="8">
        <v>18144</v>
      </c>
      <c r="AQ111" t="str" s="8">
        <v>攻击下限</v>
      </c>
      <c r="AR111" t="n" s="8">
        <v>9072</v>
      </c>
      <c r="AS111" t="str" s="8">
        <v>攻击上限</v>
      </c>
      <c r="AT111" t="n" s="8">
        <v>9072</v>
      </c>
      <c r="AU111" t="str" s="8">
        <v>法力下限</v>
      </c>
      <c r="AV111" t="n" s="8">
        <v>9072</v>
      </c>
      <c r="AW111" t="str" s="8">
        <v>法力上限</v>
      </c>
      <c r="AX111" t="n" s="8">
        <v>9072</v>
      </c>
      <c r="AY111" t="str" s="8">
        <v>物防下限</v>
      </c>
      <c r="AZ111" t="n" s="8">
        <v>3087</v>
      </c>
      <c r="BA111" t="str" s="8">
        <v>物防上限</v>
      </c>
      <c r="BB111" t="n" s="8">
        <v>3087</v>
      </c>
      <c r="BC111" t="str" s="8">
        <v>法防下限</v>
      </c>
      <c r="BD111" t="n" s="8">
        <v>3087</v>
      </c>
      <c r="BE111" t="str" s="8">
        <v>法防上限</v>
      </c>
      <c r="BF111" t="n" s="8">
        <v>3087</v>
      </c>
      <c r="BG111" t="str" s="8">
        <v>移动速度</v>
      </c>
      <c r="BH111" t="n" s="8">
        <v>270</v>
      </c>
      <c r="BI111" t="str" s="8">
        <v>攻击范围</v>
      </c>
      <c r="BJ111" t="n" s="8">
        <v>160</v>
      </c>
      <c r="BK111" t="str" s="8">
        <v>警戒范围</v>
      </c>
      <c r="BL111" t="n" s="8">
        <v>550</v>
      </c>
      <c r="BM111" t="str" s="8">
        <v>攻击间隔</v>
      </c>
      <c r="BN111" t="n" s="8">
        <v>1800</v>
      </c>
      <c r="BO111" t="n" s="8">
        <v>0</v>
      </c>
      <c r="BP111" s="8"/>
      <c r="BQ111" t="n" s="8">
        <v>0</v>
      </c>
      <c r="BR111" t="n" s="8">
        <v>0</v>
      </c>
      <c r="BS111" t="n" s="8">
        <v>0</v>
      </c>
      <c r="BT111" t="n" s="8">
        <v>0</v>
      </c>
      <c r="BU111" t="str" s="8">
        <v>幽崩谷的普通遭遇。依托本区既有水土、岩隙和可达条件活动。</v>
      </c>
      <c r="BV111" t="n">
        <v>5</v>
      </c>
      <c r="BW111" t="n">
        <v>5</v>
      </c>
      <c r="BX111" t="str">
        <v>凡品</v>
      </c>
      <c r="BY111" t="str">
        <v>native</v>
      </c>
      <c r="BZ111" t="b">
        <v>0</v>
      </c>
    </row>
    <row r="112" ht="16.5" customHeight="1" spans="2:75">
      <c r="A112"/>
      <c r="B112" t="n" s="8">
        <f>60000000+INDEX(编号表!$B:$B,MATCH(J112,编号表!$A:$A,0))*10000+INDEX(编号表!$B:$B,MATCH(K112,编号表!$C:$C,0))*1000+L112</f>
        <v>60431121</v>
      </c>
      <c r="C112" t="str" s="8">
        <v>a010</v>
      </c>
      <c r="D112" t="str" s="5">
        <v>断谷灵蝠</v>
      </c>
      <c r="E112" t="str" s="5">
        <v>R05-M2-普通-121</v>
      </c>
      <c r="F112" t="n" s="8">
        <v>45</v>
      </c>
      <c r="G112" t="str" s="8">
        <f>INDEX(编号表!$E:$E,MATCH(K112,编号表!$C:$C,0))</f>
        <v>白色</v>
      </c>
      <c r="H112" t="n" s="8">
        <v>5</v>
      </c>
      <c r="I112" t="str" s="8">
        <v>幽崩谷</v>
      </c>
      <c r="J112" t="str" s="8">
        <v>幽崩谷</v>
      </c>
      <c r="K112" t="str" s="8">
        <v>普通</v>
      </c>
      <c r="L112" t="n" s="8">
        <v>121</v>
      </c>
      <c r="M112" t="n" s="8">
        <v>121</v>
      </c>
      <c r="N112" t="n" s="8">
        <v>1</v>
      </c>
      <c r="O112" s="8"/>
      <c r="P112" t="n" s="8">
        <v>24</v>
      </c>
      <c r="Q112" t="n" s="8">
        <v>30000</v>
      </c>
      <c r="R112" t="str" s="8">
        <v>首击</v>
      </c>
      <c r="S112" t="n" s="8">
        <v>30000</v>
      </c>
      <c r="T112" t="n" s="8">
        <v>10</v>
      </c>
      <c r="U112" t="n" s="16">
        <v>40900500</v>
      </c>
      <c r="V112" t="n" s="8">
        <v>40910505</v>
      </c>
      <c r="W112" t="n" s="8">
        <v>40920501</v>
      </c>
      <c r="X112" t="n" s="8">
        <v>11000001</v>
      </c>
      <c r="Y112" s="8"/>
      <c r="Z112" s="8"/>
      <c r="AA112" t="str" s="8">
        <v>妖兽</v>
      </c>
      <c r="AB112" s="21">
        <v>20099</v>
      </c>
      <c r="AC112" t="n" s="8">
        <v>1</v>
      </c>
      <c r="AD112" t="n" s="8">
        <v>60</v>
      </c>
      <c r="AE112" t="n" s="8">
        <v>60</v>
      </c>
      <c r="AF112" t="n" s="8">
        <v>0</v>
      </c>
      <c r="AG112" t="n" s="8">
        <v>0</v>
      </c>
      <c r="AH112" t="str" s="8">
        <v>近战</v>
      </c>
      <c r="AI112" s="8"/>
      <c r="AJ112" s="17"/>
      <c r="AK112" s="8"/>
      <c r="AL112" s="18"/>
      <c r="AM112" t="str" s="8">
        <v>生命值</v>
      </c>
      <c r="AN112" t="n" s="19">
        <v>201600</v>
      </c>
      <c r="AO112" t="str" s="8">
        <v>灵力值</v>
      </c>
      <c r="AP112" t="n" s="8">
        <v>18144</v>
      </c>
      <c r="AQ112" t="str" s="8">
        <v>攻击下限</v>
      </c>
      <c r="AR112" t="n" s="8">
        <v>9072</v>
      </c>
      <c r="AS112" t="str" s="8">
        <v>攻击上限</v>
      </c>
      <c r="AT112" t="n" s="8">
        <v>9072</v>
      </c>
      <c r="AU112" t="str" s="8">
        <v>法力下限</v>
      </c>
      <c r="AV112" t="n" s="8">
        <v>9072</v>
      </c>
      <c r="AW112" t="str" s="8">
        <v>法力上限</v>
      </c>
      <c r="AX112" t="n" s="8">
        <v>9072</v>
      </c>
      <c r="AY112" t="str" s="8">
        <v>物防下限</v>
      </c>
      <c r="AZ112" t="n" s="8">
        <v>3087</v>
      </c>
      <c r="BA112" t="str" s="8">
        <v>物防上限</v>
      </c>
      <c r="BB112" t="n" s="8">
        <v>3087</v>
      </c>
      <c r="BC112" t="str" s="8">
        <v>法防下限</v>
      </c>
      <c r="BD112" t="n" s="8">
        <v>3087</v>
      </c>
      <c r="BE112" t="str" s="8">
        <v>法防上限</v>
      </c>
      <c r="BF112" t="n" s="8">
        <v>3087</v>
      </c>
      <c r="BG112" t="str" s="8">
        <v>移动速度</v>
      </c>
      <c r="BH112" t="n" s="8">
        <v>270</v>
      </c>
      <c r="BI112" t="str" s="8">
        <v>攻击范围</v>
      </c>
      <c r="BJ112" t="n" s="8">
        <v>160</v>
      </c>
      <c r="BK112" t="str" s="8">
        <v>警戒范围</v>
      </c>
      <c r="BL112" t="n" s="8">
        <v>550</v>
      </c>
      <c r="BM112" t="str" s="8">
        <v>攻击间隔</v>
      </c>
      <c r="BN112" t="n" s="8">
        <v>1800</v>
      </c>
      <c r="BO112" t="n" s="8">
        <v>0</v>
      </c>
      <c r="BP112" s="8"/>
      <c r="BQ112" t="n" s="8">
        <v>0</v>
      </c>
      <c r="BR112" t="n" s="8">
        <v>0</v>
      </c>
      <c r="BS112" t="n" s="8">
        <v>0</v>
      </c>
      <c r="BT112" t="n" s="8">
        <v>0</v>
      </c>
      <c r="BU112" t="str" s="8">
        <v>幽崩谷的普通遭遇。依托本区既有水土、岩隙和可达条件活动。</v>
      </c>
      <c r="BV112" t="n">
        <v>5</v>
      </c>
      <c r="BW112" t="n">
        <v>5</v>
      </c>
      <c r="BX112" t="str">
        <v>凡品</v>
      </c>
      <c r="BY112" t="str">
        <v>native</v>
      </c>
      <c r="BZ112" t="b">
        <v>0</v>
      </c>
    </row>
    <row r="113" ht="16.5" customHeight="1" spans="2:75">
      <c r="A113"/>
      <c r="B113" t="n" s="8">
        <f>60000000+INDEX(编号表!$B:$B,MATCH(J113,编号表!$A:$A,0))*10000+INDEX(编号表!$B:$B,MATCH(K113,编号表!$C:$C,0))*1000+L113</f>
        <v>60432122</v>
      </c>
      <c r="C113" t="str" s="8">
        <v>a010</v>
      </c>
      <c r="D113" t="str" s="5">
        <v>截风灵蛇·异种</v>
      </c>
      <c r="E113" t="str" s="5">
        <v>R05-M2-精英-122</v>
      </c>
      <c r="F113" t="n" s="8">
        <v>45</v>
      </c>
      <c r="G113" t="str" s="8">
        <f>INDEX(编号表!$E:$E,MATCH(K113,编号表!$C:$C,0))</f>
        <v>绿色</v>
      </c>
      <c r="H113" t="n" s="8">
        <v>5</v>
      </c>
      <c r="I113" t="str" s="8">
        <v>幽崩谷</v>
      </c>
      <c r="J113" t="str" s="8">
        <v>幽崩谷</v>
      </c>
      <c r="K113" t="str" s="8">
        <v>精英</v>
      </c>
      <c r="L113" t="n" s="8">
        <v>122</v>
      </c>
      <c r="M113" t="n" s="8">
        <v>122</v>
      </c>
      <c r="N113" t="n" s="8">
        <v>3</v>
      </c>
      <c r="O113" s="8"/>
      <c r="P113" t="n" s="8">
        <v>40</v>
      </c>
      <c r="Q113" t="n" s="8">
        <v>180000</v>
      </c>
      <c r="R113" t="str" s="8">
        <v>首击</v>
      </c>
      <c r="S113" t="n" s="8">
        <v>30000</v>
      </c>
      <c r="T113" t="n" s="8">
        <v>11</v>
      </c>
      <c r="U113" t="n" s="16">
        <v>40900501</v>
      </c>
      <c r="V113" t="n" s="8">
        <v>41120506</v>
      </c>
      <c r="W113" t="n" s="8">
        <v>41320501</v>
      </c>
      <c r="X113" t="n" s="8">
        <v>11000001</v>
      </c>
      <c r="Y113" s="8"/>
      <c r="Z113" s="8"/>
      <c r="AA113" t="str" s="8">
        <v>妖兽</v>
      </c>
      <c r="AB113" s="21">
        <v>20100</v>
      </c>
      <c r="AC113" t="n" s="8">
        <v>1.25</v>
      </c>
      <c r="AD113" t="n" s="8">
        <v>60</v>
      </c>
      <c r="AE113" t="n" s="8">
        <v>60</v>
      </c>
      <c r="AF113" t="n" s="8">
        <v>0</v>
      </c>
      <c r="AG113" t="n" s="8">
        <v>0</v>
      </c>
      <c r="AH113" t="str" s="8">
        <v>近战</v>
      </c>
      <c r="AI113"/>
      <c r="AJ113" s="17"/>
      <c r="AK113" s="8"/>
      <c r="AL113" s="18"/>
      <c r="AM113" t="str" s="8">
        <v>生命值</v>
      </c>
      <c r="AN113" t="n" s="19">
        <v>564480</v>
      </c>
      <c r="AO113" t="str" s="8">
        <v>灵力值</v>
      </c>
      <c r="AP113" t="n" s="8">
        <v>26308</v>
      </c>
      <c r="AQ113" t="str" s="8">
        <v>攻击下限</v>
      </c>
      <c r="AR113" t="n" s="8">
        <v>13154</v>
      </c>
      <c r="AS113" t="str" s="8">
        <v>攻击上限</v>
      </c>
      <c r="AT113" t="n" s="8">
        <v>13154</v>
      </c>
      <c r="AU113" t="str" s="8">
        <v>法力下限</v>
      </c>
      <c r="AV113" t="n" s="8">
        <v>13154</v>
      </c>
      <c r="AW113" t="str" s="8">
        <v>法力上限</v>
      </c>
      <c r="AX113" t="n" s="8">
        <v>13154</v>
      </c>
      <c r="AY113" t="str" s="8">
        <v>物防下限</v>
      </c>
      <c r="AZ113" t="n" s="8">
        <v>3704</v>
      </c>
      <c r="BA113" t="str" s="8">
        <v>物防上限</v>
      </c>
      <c r="BB113" t="n" s="8">
        <v>3704</v>
      </c>
      <c r="BC113" t="str" s="8">
        <v>法防下限</v>
      </c>
      <c r="BD113" t="n" s="8">
        <v>3704</v>
      </c>
      <c r="BE113" t="str" s="8">
        <v>法防上限</v>
      </c>
      <c r="BF113" t="n" s="8">
        <v>3704</v>
      </c>
      <c r="BG113" t="str" s="8">
        <v>移动速度</v>
      </c>
      <c r="BH113" t="n" s="8">
        <v>270</v>
      </c>
      <c r="BI113" t="str" s="8">
        <v>攻击范围</v>
      </c>
      <c r="BJ113" t="n" s="8">
        <v>160</v>
      </c>
      <c r="BK113" t="str" s="8">
        <v>警戒范围</v>
      </c>
      <c r="BL113" t="n" s="8">
        <v>550</v>
      </c>
      <c r="BM113" t="str" s="8">
        <v>攻击间隔</v>
      </c>
      <c r="BN113" t="n" s="8">
        <v>1800</v>
      </c>
      <c r="BO113" t="n" s="8">
        <v>0</v>
      </c>
      <c r="BP113" s="8"/>
      <c r="BQ113" t="n" s="8">
        <v>0</v>
      </c>
      <c r="BR113" t="n" s="8">
        <v>0</v>
      </c>
      <c r="BS113" t="n" s="8">
        <v>0</v>
      </c>
      <c r="BT113" t="n" s="8">
        <v>0</v>
      </c>
      <c r="BU113" t="str" s="8">
        <v>幽崩谷的精英遭遇。依托本区既有水土、岩隙和可达条件活动。</v>
      </c>
      <c r="BV113" t="n">
        <v>5</v>
      </c>
      <c r="BW113" t="n">
        <v>5</v>
      </c>
      <c r="BX113" t="str">
        <v>玄品</v>
      </c>
      <c r="BY113" t="str">
        <v>native</v>
      </c>
      <c r="BZ113" t="b">
        <v>0</v>
      </c>
    </row>
    <row r="114" ht="16.5" customHeight="1" spans="2:75">
      <c r="A114"/>
      <c r="B114" t="n" s="8">
        <f>60000000+INDEX(编号表!$B:$B,MATCH(J114,编号表!$A:$A,0))*10000+INDEX(编号表!$B:$B,MATCH(K114,编号表!$C:$C,0))*1000+L114</f>
        <v>60434123</v>
      </c>
      <c r="C114" t="str" s="8">
        <v>a010</v>
      </c>
      <c r="D114" t="str" s="5">
        <v>崩石灵蜈·首领</v>
      </c>
      <c r="E114" t="str" s="5">
        <v>R05-M2-BOSS-123</v>
      </c>
      <c r="F114" t="n" s="8">
        <v>45</v>
      </c>
      <c r="G114" t="str" s="8">
        <f>INDEX(编号表!$E:$E,MATCH(K114,编号表!$C:$C,0))</f>
        <v>橙色</v>
      </c>
      <c r="H114" t="n" s="8">
        <v>5</v>
      </c>
      <c r="I114" t="str" s="8">
        <v>幽崩谷</v>
      </c>
      <c r="J114" t="str" s="8">
        <v>幽崩谷</v>
      </c>
      <c r="K114" t="str" s="8">
        <v>BOSS</v>
      </c>
      <c r="L114" t="n" s="8">
        <v>123</v>
      </c>
      <c r="M114" t="n" s="8">
        <v>123</v>
      </c>
      <c r="N114" t="n" s="8">
        <v>5</v>
      </c>
      <c r="O114" s="8"/>
      <c r="P114" t="n" s="8">
        <v>40</v>
      </c>
      <c r="Q114" t="n" s="8">
        <v>900000</v>
      </c>
      <c r="R114" t="str" s="8">
        <v>首击</v>
      </c>
      <c r="S114" t="n" s="8">
        <v>30000</v>
      </c>
      <c r="T114" t="n" s="8">
        <v>12</v>
      </c>
      <c r="U114" t="n" s="16">
        <v>40900502</v>
      </c>
      <c r="V114" t="n" s="8">
        <v>41130507</v>
      </c>
      <c r="W114" t="n" s="8">
        <v>41330502</v>
      </c>
      <c r="X114" t="n" s="8">
        <v>11000001</v>
      </c>
      <c r="Y114" s="8"/>
      <c r="Z114" s="8"/>
      <c r="AA114" t="str" s="8">
        <v>妖兽</v>
      </c>
      <c r="AB114" s="21">
        <v>20101</v>
      </c>
      <c r="AC114" t="n" s="8">
        <v>1.6</v>
      </c>
      <c r="AD114" t="n" s="8">
        <v>60</v>
      </c>
      <c r="AE114" t="n" s="8">
        <v>60</v>
      </c>
      <c r="AF114" t="n" s="8">
        <v>0</v>
      </c>
      <c r="AG114" t="n" s="8">
        <v>0</v>
      </c>
      <c r="AH114" t="str" s="8">
        <v>近战</v>
      </c>
      <c r="AI114" s="8"/>
      <c r="AJ114" s="17"/>
      <c r="AK114" s="8"/>
      <c r="AL114" s="18"/>
      <c r="AM114" t="str" s="8">
        <v>生命值</v>
      </c>
      <c r="AN114" t="n" s="19">
        <v>2016000</v>
      </c>
      <c r="AO114" t="str" s="8">
        <v>灵力值</v>
      </c>
      <c r="AP114" t="n" s="8">
        <v>38102</v>
      </c>
      <c r="AQ114" t="str" s="8">
        <v>攻击下限</v>
      </c>
      <c r="AR114" t="n" s="8">
        <v>19051</v>
      </c>
      <c r="AS114" t="str" s="8">
        <v>攻击上限</v>
      </c>
      <c r="AT114" t="n" s="8">
        <v>19051</v>
      </c>
      <c r="AU114" t="str" s="8">
        <v>法力下限</v>
      </c>
      <c r="AV114" t="n" s="8">
        <v>19051</v>
      </c>
      <c r="AW114" t="str" s="8">
        <v>法力上限</v>
      </c>
      <c r="AX114" t="n" s="8">
        <v>19051</v>
      </c>
      <c r="AY114" t="str" s="8">
        <v>物防下限</v>
      </c>
      <c r="AZ114" t="n" s="8">
        <v>4630</v>
      </c>
      <c r="BA114" t="str" s="8">
        <v>物防上限</v>
      </c>
      <c r="BB114" t="n" s="8">
        <v>4630</v>
      </c>
      <c r="BC114" t="str" s="8">
        <v>法防下限</v>
      </c>
      <c r="BD114" t="n" s="8">
        <v>4630</v>
      </c>
      <c r="BE114" t="str" s="8">
        <v>法防上限</v>
      </c>
      <c r="BF114" t="n" s="8">
        <v>4630</v>
      </c>
      <c r="BG114" t="str" s="8">
        <v>移动速度</v>
      </c>
      <c r="BH114" t="n" s="8">
        <v>270</v>
      </c>
      <c r="BI114" t="str" s="8">
        <v>攻击范围</v>
      </c>
      <c r="BJ114" t="n" s="8">
        <v>160</v>
      </c>
      <c r="BK114" t="str" s="8">
        <v>警戒范围</v>
      </c>
      <c r="BL114" t="n" s="8">
        <v>700</v>
      </c>
      <c r="BM114" t="str" s="8">
        <v>攻击间隔</v>
      </c>
      <c r="BN114" t="n" s="8">
        <v>2200</v>
      </c>
      <c r="BO114" t="n" s="8">
        <v>0</v>
      </c>
      <c r="BP114" s="8"/>
      <c r="BQ114" t="n" s="8">
        <v>0</v>
      </c>
      <c r="BR114" t="n" s="8">
        <v>0</v>
      </c>
      <c r="BS114" t="n" s="8">
        <v>0</v>
      </c>
      <c r="BT114" t="n" s="8">
        <v>0</v>
      </c>
      <c r="BU114" t="str" s="8">
        <v>幽崩谷的BOSS遭遇。依托本区既有水土、岩隙和可达条件活动。</v>
      </c>
      <c r="BV114" t="n">
        <v>5</v>
      </c>
      <c r="BW114" t="n">
        <v>5</v>
      </c>
      <c r="BX114" t="str">
        <v>仙品</v>
      </c>
      <c r="BY114" t="str">
        <v>native</v>
      </c>
      <c r="BZ114" t="b">
        <v>1</v>
      </c>
    </row>
    <row r="115" ht="16.5" customHeight="1" spans="2:75">
      <c r="A115"/>
      <c r="B115" t="n" s="8">
        <f>60000000+INDEX(编号表!$B:$B,MATCH(J115,编号表!$A:$A,0))*10000+INDEX(编号表!$B:$B,MATCH(K115,编号表!$C:$C,0))*1000+L115</f>
        <v>60441124</v>
      </c>
      <c r="C115" t="str" s="8">
        <v>a010</v>
      </c>
      <c r="D115" t="str" s="5">
        <v>碎堑岩狼</v>
      </c>
      <c r="E115" t="str" s="5">
        <v>R05-M3-普通-124</v>
      </c>
      <c r="F115" t="n" s="8">
        <v>48</v>
      </c>
      <c r="G115" t="str" s="8">
        <f>INDEX(编号表!$E:$E,MATCH(K115,编号表!$C:$C,0))</f>
        <v>白色</v>
      </c>
      <c r="H115" t="n" s="8">
        <v>5</v>
      </c>
      <c r="I115" t="str" s="8">
        <v>截风坡</v>
      </c>
      <c r="J115" t="str" s="8">
        <v>截风坡</v>
      </c>
      <c r="K115" t="str" s="8">
        <v>普通</v>
      </c>
      <c r="L115" t="n" s="8">
        <v>124</v>
      </c>
      <c r="M115" t="n" s="8">
        <v>124</v>
      </c>
      <c r="N115" t="n" s="8">
        <v>1</v>
      </c>
      <c r="O115" s="8"/>
      <c r="P115" t="n" s="8">
        <v>24</v>
      </c>
      <c r="Q115" t="n" s="8">
        <v>30000</v>
      </c>
      <c r="R115" t="str" s="8">
        <v>首击</v>
      </c>
      <c r="S115" t="n" s="8">
        <v>30000</v>
      </c>
      <c r="T115" t="n" s="8">
        <v>10</v>
      </c>
      <c r="U115" t="n" s="16">
        <v>40900500</v>
      </c>
      <c r="V115" t="n" s="8">
        <v>40910508</v>
      </c>
      <c r="W115" t="n" s="8">
        <v>40920500</v>
      </c>
      <c r="X115" t="n" s="8">
        <v>11000001</v>
      </c>
      <c r="Y115" s="8"/>
      <c r="Z115" s="8"/>
      <c r="AA115" t="str" s="8">
        <v>妖兽</v>
      </c>
      <c r="AB115" s="21">
        <v>20102</v>
      </c>
      <c r="AC115" t="n" s="8">
        <v>1</v>
      </c>
      <c r="AD115" t="n" s="8">
        <v>60</v>
      </c>
      <c r="AE115" t="n" s="8">
        <v>60</v>
      </c>
      <c r="AF115" t="n" s="8">
        <v>0</v>
      </c>
      <c r="AG115" t="n" s="8">
        <v>0</v>
      </c>
      <c r="AH115" t="str" s="8">
        <v>近战</v>
      </c>
      <c r="AI115"/>
      <c r="AJ115" s="17"/>
      <c r="AK115" s="8"/>
      <c r="AL115" s="18"/>
      <c r="AM115" t="str" s="8">
        <v>生命值</v>
      </c>
      <c r="AN115" t="n" s="19">
        <v>232800</v>
      </c>
      <c r="AO115" t="str" s="8">
        <v>灵力值</v>
      </c>
      <c r="AP115" t="n" s="8">
        <v>20952</v>
      </c>
      <c r="AQ115" t="str" s="8">
        <v>攻击下限</v>
      </c>
      <c r="AR115" t="n" s="8">
        <v>10476</v>
      </c>
      <c r="AS115" t="str" s="8">
        <v>攻击上限</v>
      </c>
      <c r="AT115" t="n" s="8">
        <v>10476</v>
      </c>
      <c r="AU115" t="str" s="8">
        <v>法力下限</v>
      </c>
      <c r="AV115" t="n" s="8">
        <v>10476</v>
      </c>
      <c r="AW115" t="str" s="8">
        <v>法力上限</v>
      </c>
      <c r="AX115" t="n" s="8">
        <v>10476</v>
      </c>
      <c r="AY115" t="str" s="8">
        <v>物防下限</v>
      </c>
      <c r="AZ115" t="n" s="8">
        <v>3565</v>
      </c>
      <c r="BA115" t="str" s="8">
        <v>物防上限</v>
      </c>
      <c r="BB115" t="n" s="8">
        <v>3565</v>
      </c>
      <c r="BC115" t="str" s="8">
        <v>法防下限</v>
      </c>
      <c r="BD115" t="n" s="8">
        <v>3565</v>
      </c>
      <c r="BE115" t="str" s="8">
        <v>法防上限</v>
      </c>
      <c r="BF115" t="n" s="8">
        <v>3565</v>
      </c>
      <c r="BG115" t="str" s="8">
        <v>移动速度</v>
      </c>
      <c r="BH115" t="n" s="8">
        <v>270</v>
      </c>
      <c r="BI115" t="str" s="8">
        <v>攻击范围</v>
      </c>
      <c r="BJ115" t="n" s="8">
        <v>160</v>
      </c>
      <c r="BK115" t="str" s="8">
        <v>警戒范围</v>
      </c>
      <c r="BL115" t="n" s="8">
        <v>550</v>
      </c>
      <c r="BM115" t="str" s="8">
        <v>攻击间隔</v>
      </c>
      <c r="BN115" t="n" s="8">
        <v>1800</v>
      </c>
      <c r="BO115" t="n" s="8">
        <v>0</v>
      </c>
      <c r="BP115" s="8"/>
      <c r="BQ115" t="n" s="8">
        <v>0</v>
      </c>
      <c r="BR115" t="n" s="8">
        <v>0</v>
      </c>
      <c r="BS115" t="n" s="8">
        <v>0</v>
      </c>
      <c r="BT115" t="n" s="8">
        <v>0</v>
      </c>
      <c r="BU115" t="str" s="8">
        <v>截风坡的普通遭遇。依托本区既有水土、岩隙和可达条件活动。</v>
      </c>
      <c r="BV115" t="n">
        <v>5</v>
      </c>
      <c r="BW115" t="n">
        <v>8</v>
      </c>
      <c r="BX115" t="str">
        <v>凡品</v>
      </c>
      <c r="BY115" t="str">
        <v>native</v>
      </c>
      <c r="BZ115" t="b">
        <v>0</v>
      </c>
    </row>
    <row r="116" ht="16.5" customHeight="1" spans="2:75">
      <c r="A116"/>
      <c r="B116" t="n" s="8">
        <f>60000000+INDEX(编号表!$B:$B,MATCH(J116,编号表!$A:$A,0))*10000+INDEX(编号表!$B:$B,MATCH(K116,编号表!$C:$C,0))*1000+L116</f>
        <v>60441125</v>
      </c>
      <c r="C116" t="str" s="8">
        <v>a010</v>
      </c>
      <c r="D116" t="str" s="5">
        <v>断谷灵蝠</v>
      </c>
      <c r="E116" t="str" s="5">
        <v>R05-M3-普通-125</v>
      </c>
      <c r="F116" t="n" s="8">
        <v>48</v>
      </c>
      <c r="G116" t="str" s="8">
        <f>INDEX(编号表!$E:$E,MATCH(K116,编号表!$C:$C,0))</f>
        <v>白色</v>
      </c>
      <c r="H116" t="n" s="8">
        <v>5</v>
      </c>
      <c r="I116" t="str" s="8">
        <v>截风坡</v>
      </c>
      <c r="J116" t="str" s="8">
        <v>截风坡</v>
      </c>
      <c r="K116" t="str" s="8">
        <v>普通</v>
      </c>
      <c r="L116" t="n" s="8">
        <v>125</v>
      </c>
      <c r="M116" t="n" s="8">
        <v>125</v>
      </c>
      <c r="N116" t="n" s="8">
        <v>1</v>
      </c>
      <c r="O116" s="8"/>
      <c r="P116" t="n" s="8">
        <v>24</v>
      </c>
      <c r="Q116" t="n" s="8">
        <v>30000</v>
      </c>
      <c r="R116" t="str" s="8">
        <v>首击</v>
      </c>
      <c r="S116" t="n" s="8">
        <v>30000</v>
      </c>
      <c r="T116" t="n" s="8">
        <v>10</v>
      </c>
      <c r="U116" t="n" s="16">
        <v>40900500</v>
      </c>
      <c r="V116" t="n" s="8">
        <v>40910509</v>
      </c>
      <c r="W116" t="n" s="8">
        <v>40920501</v>
      </c>
      <c r="X116" t="n" s="8">
        <v>11000001</v>
      </c>
      <c r="Y116" s="8"/>
      <c r="Z116" s="8"/>
      <c r="AA116" t="str" s="8">
        <v>妖兽</v>
      </c>
      <c r="AB116" s="21">
        <v>20103</v>
      </c>
      <c r="AC116" t="n" s="8">
        <v>1</v>
      </c>
      <c r="AD116" t="n" s="8">
        <v>60</v>
      </c>
      <c r="AE116" t="n" s="8">
        <v>60</v>
      </c>
      <c r="AF116" t="n" s="8">
        <v>0</v>
      </c>
      <c r="AG116" t="n" s="8">
        <v>0</v>
      </c>
      <c r="AH116" t="str" s="8">
        <v>近战</v>
      </c>
      <c r="AI116" s="8"/>
      <c r="AJ116" s="17"/>
      <c r="AK116" s="8"/>
      <c r="AL116" s="18"/>
      <c r="AM116" t="str" s="8">
        <v>生命值</v>
      </c>
      <c r="AN116" t="n" s="19">
        <v>232800</v>
      </c>
      <c r="AO116" t="str" s="8">
        <v>灵力值</v>
      </c>
      <c r="AP116" t="n" s="8">
        <v>20952</v>
      </c>
      <c r="AQ116" t="str" s="8">
        <v>攻击下限</v>
      </c>
      <c r="AR116" t="n" s="8">
        <v>10476</v>
      </c>
      <c r="AS116" t="str" s="8">
        <v>攻击上限</v>
      </c>
      <c r="AT116" t="n" s="8">
        <v>10476</v>
      </c>
      <c r="AU116" t="str" s="8">
        <v>法力下限</v>
      </c>
      <c r="AV116" t="n" s="8">
        <v>10476</v>
      </c>
      <c r="AW116" t="str" s="8">
        <v>法力上限</v>
      </c>
      <c r="AX116" t="n" s="8">
        <v>10476</v>
      </c>
      <c r="AY116" t="str" s="8">
        <v>物防下限</v>
      </c>
      <c r="AZ116" t="n" s="8">
        <v>3565</v>
      </c>
      <c r="BA116" t="str" s="8">
        <v>物防上限</v>
      </c>
      <c r="BB116" t="n" s="8">
        <v>3565</v>
      </c>
      <c r="BC116" t="str" s="8">
        <v>法防下限</v>
      </c>
      <c r="BD116" t="n" s="8">
        <v>3565</v>
      </c>
      <c r="BE116" t="str" s="8">
        <v>法防上限</v>
      </c>
      <c r="BF116" t="n" s="8">
        <v>3565</v>
      </c>
      <c r="BG116" t="str" s="8">
        <v>移动速度</v>
      </c>
      <c r="BH116" t="n" s="8">
        <v>270</v>
      </c>
      <c r="BI116" t="str" s="8">
        <v>攻击范围</v>
      </c>
      <c r="BJ116" t="n" s="8">
        <v>160</v>
      </c>
      <c r="BK116" t="str" s="8">
        <v>警戒范围</v>
      </c>
      <c r="BL116" t="n" s="8">
        <v>550</v>
      </c>
      <c r="BM116" t="str" s="8">
        <v>攻击间隔</v>
      </c>
      <c r="BN116" t="n" s="8">
        <v>1800</v>
      </c>
      <c r="BO116" t="n" s="8">
        <v>0</v>
      </c>
      <c r="BP116" s="8"/>
      <c r="BQ116" t="n" s="8">
        <v>0</v>
      </c>
      <c r="BR116" t="n" s="8">
        <v>0</v>
      </c>
      <c r="BS116" t="n" s="8">
        <v>0</v>
      </c>
      <c r="BT116" t="n" s="8">
        <v>0</v>
      </c>
      <c r="BU116" t="str" s="8">
        <v>截风坡的普通遭遇。依托本区既有水土、岩隙和可达条件活动。</v>
      </c>
      <c r="BV116" t="n">
        <v>5</v>
      </c>
      <c r="BW116" t="n">
        <v>8</v>
      </c>
      <c r="BX116" t="str">
        <v>凡品</v>
      </c>
      <c r="BY116" t="str">
        <v>native</v>
      </c>
      <c r="BZ116" t="b">
        <v>0</v>
      </c>
    </row>
    <row r="117" ht="16.5" customHeight="1" spans="2:75">
      <c r="A117"/>
      <c r="B117" t="n" s="8">
        <f>60000000+INDEX(编号表!$B:$B,MATCH(J117,编号表!$A:$A,0))*10000+INDEX(编号表!$B:$B,MATCH(K117,编号表!$C:$C,0))*1000+L117</f>
        <v>60442126</v>
      </c>
      <c r="C117" t="str" s="8">
        <v>a010</v>
      </c>
      <c r="D117" t="str" s="5">
        <v>截风灵蛇·异种</v>
      </c>
      <c r="E117" t="str" s="5">
        <v>R05-M3-精英-126</v>
      </c>
      <c r="F117" t="n" s="8">
        <v>48</v>
      </c>
      <c r="G117" t="str" s="8">
        <f>INDEX(编号表!$E:$E,MATCH(K117,编号表!$C:$C,0))</f>
        <v>绿色</v>
      </c>
      <c r="H117" t="n" s="8">
        <v>5</v>
      </c>
      <c r="I117" t="str" s="8">
        <v>截风坡</v>
      </c>
      <c r="J117" t="str" s="8">
        <v>截风坡</v>
      </c>
      <c r="K117" t="str" s="8">
        <v>精英</v>
      </c>
      <c r="L117" t="n" s="8">
        <v>126</v>
      </c>
      <c r="M117" t="n" s="8">
        <v>126</v>
      </c>
      <c r="N117" t="n" s="8">
        <v>3</v>
      </c>
      <c r="O117" s="8"/>
      <c r="P117" t="n" s="8">
        <v>40</v>
      </c>
      <c r="Q117" t="n" s="8">
        <v>180000</v>
      </c>
      <c r="R117" t="str" s="8">
        <v>首击</v>
      </c>
      <c r="S117" t="n" s="8">
        <v>30000</v>
      </c>
      <c r="T117" t="n" s="8">
        <v>11</v>
      </c>
      <c r="U117" t="n" s="16">
        <v>40900501</v>
      </c>
      <c r="V117" t="n" s="8">
        <v>41120510</v>
      </c>
      <c r="W117" t="n" s="8">
        <v>41320503</v>
      </c>
      <c r="X117" t="n" s="8">
        <v>11000001</v>
      </c>
      <c r="Y117" s="8"/>
      <c r="Z117" s="8"/>
      <c r="AA117" t="str" s="8">
        <v>妖兽</v>
      </c>
      <c r="AB117" s="21">
        <v>20104</v>
      </c>
      <c r="AC117" t="n" s="8">
        <v>1.25</v>
      </c>
      <c r="AD117" t="n" s="8">
        <v>60</v>
      </c>
      <c r="AE117" t="n" s="8">
        <v>60</v>
      </c>
      <c r="AF117" t="n" s="8">
        <v>0</v>
      </c>
      <c r="AG117" t="n" s="8">
        <v>0</v>
      </c>
      <c r="AH117" t="str" s="8">
        <v>近战</v>
      </c>
      <c r="AI117" s="8"/>
      <c r="AJ117" s="17"/>
      <c r="AK117" s="8"/>
      <c r="AL117" s="18"/>
      <c r="AM117" t="str" s="8">
        <v>生命值</v>
      </c>
      <c r="AN117" t="n" s="19">
        <v>651840</v>
      </c>
      <c r="AO117" t="str" s="8">
        <v>灵力值</v>
      </c>
      <c r="AP117" t="n" s="8">
        <v>30380</v>
      </c>
      <c r="AQ117" t="str" s="8">
        <v>攻击下限</v>
      </c>
      <c r="AR117" t="n" s="8">
        <v>15190</v>
      </c>
      <c r="AS117" t="str" s="8">
        <v>攻击上限</v>
      </c>
      <c r="AT117" t="n" s="8">
        <v>15190</v>
      </c>
      <c r="AU117" t="str" s="8">
        <v>法力下限</v>
      </c>
      <c r="AV117" t="n" s="8">
        <v>15190</v>
      </c>
      <c r="AW117" t="str" s="8">
        <v>法力上限</v>
      </c>
      <c r="AX117" t="n" s="8">
        <v>15190</v>
      </c>
      <c r="AY117" t="str" s="8">
        <v>物防下限</v>
      </c>
      <c r="AZ117" t="n" s="8">
        <v>4278</v>
      </c>
      <c r="BA117" t="str" s="8">
        <v>物防上限</v>
      </c>
      <c r="BB117" t="n" s="8">
        <v>4278</v>
      </c>
      <c r="BC117" t="str" s="8">
        <v>法防下限</v>
      </c>
      <c r="BD117" t="n" s="8">
        <v>4278</v>
      </c>
      <c r="BE117" t="str" s="8">
        <v>法防上限</v>
      </c>
      <c r="BF117" t="n" s="8">
        <v>4278</v>
      </c>
      <c r="BG117" t="str" s="8">
        <v>移动速度</v>
      </c>
      <c r="BH117" t="n" s="8">
        <v>270</v>
      </c>
      <c r="BI117" t="str" s="8">
        <v>攻击范围</v>
      </c>
      <c r="BJ117" t="n" s="8">
        <v>160</v>
      </c>
      <c r="BK117" t="str" s="8">
        <v>警戒范围</v>
      </c>
      <c r="BL117" t="n" s="8">
        <v>550</v>
      </c>
      <c r="BM117" t="str" s="8">
        <v>攻击间隔</v>
      </c>
      <c r="BN117" t="n" s="8">
        <v>1800</v>
      </c>
      <c r="BO117" t="n" s="8">
        <v>0</v>
      </c>
      <c r="BP117" s="8"/>
      <c r="BQ117" t="n" s="8">
        <v>0</v>
      </c>
      <c r="BR117" t="n" s="8">
        <v>0</v>
      </c>
      <c r="BS117" t="n" s="8">
        <v>0</v>
      </c>
      <c r="BT117" t="n" s="8">
        <v>0</v>
      </c>
      <c r="BU117" t="str" s="8">
        <v>截风坡的精英遭遇。依托本区既有水土、岩隙和可达条件活动。</v>
      </c>
      <c r="BV117" t="n">
        <v>5</v>
      </c>
      <c r="BW117" t="n">
        <v>8</v>
      </c>
      <c r="BX117" t="str">
        <v>玄品</v>
      </c>
      <c r="BY117" t="str">
        <v>native</v>
      </c>
      <c r="BZ117" t="b">
        <v>0</v>
      </c>
    </row>
    <row r="118" ht="16.5" customHeight="1" spans="2:75">
      <c r="A118"/>
      <c r="B118" t="n" s="8">
        <f>60000000+INDEX(编号表!$B:$B,MATCH(J118,编号表!$A:$A,0))*10000+INDEX(编号表!$B:$B,MATCH(K118,编号表!$C:$C,0))*1000+L118</f>
        <v>60444127</v>
      </c>
      <c r="C118" t="str" s="8">
        <v>a010</v>
      </c>
      <c r="D118" t="str" s="5">
        <v>崩石灵蜈·首领</v>
      </c>
      <c r="E118" t="str" s="5">
        <v>R05-M3-BOSS-127</v>
      </c>
      <c r="F118" t="n" s="8">
        <v>48</v>
      </c>
      <c r="G118" t="str" s="8">
        <f>INDEX(编号表!$E:$E,MATCH(K118,编号表!$C:$C,0))</f>
        <v>橙色</v>
      </c>
      <c r="H118" t="n" s="8">
        <v>5</v>
      </c>
      <c r="I118" t="str" s="8">
        <v>截风坡</v>
      </c>
      <c r="J118" t="str" s="8">
        <v>截风坡</v>
      </c>
      <c r="K118" t="str" s="8">
        <v>BOSS</v>
      </c>
      <c r="L118" t="n" s="8">
        <v>127</v>
      </c>
      <c r="M118" t="n" s="8">
        <v>127</v>
      </c>
      <c r="N118" t="n" s="8">
        <v>5</v>
      </c>
      <c r="O118" s="8"/>
      <c r="P118" t="n" s="8">
        <v>40</v>
      </c>
      <c r="Q118" t="n" s="8">
        <v>900000</v>
      </c>
      <c r="R118" t="str" s="8">
        <v>首击</v>
      </c>
      <c r="S118" t="n" s="8">
        <v>30000</v>
      </c>
      <c r="T118" t="n" s="8">
        <v>12</v>
      </c>
      <c r="U118" t="n" s="16">
        <v>40900502</v>
      </c>
      <c r="V118" t="n" s="8">
        <v>41130511</v>
      </c>
      <c r="W118" t="n" s="8">
        <v>41330504</v>
      </c>
      <c r="X118" t="n" s="8">
        <v>11000001</v>
      </c>
      <c r="Y118" s="8"/>
      <c r="Z118" s="8"/>
      <c r="AA118" t="str" s="8">
        <v>妖兽</v>
      </c>
      <c r="AB118" s="21">
        <v>20105</v>
      </c>
      <c r="AC118" t="n" s="8">
        <v>1.6</v>
      </c>
      <c r="AD118" t="n" s="8">
        <v>60</v>
      </c>
      <c r="AE118" t="n" s="8">
        <v>60</v>
      </c>
      <c r="AF118" t="n" s="8">
        <v>0</v>
      </c>
      <c r="AG118" t="n" s="8">
        <v>0</v>
      </c>
      <c r="AH118" t="str" s="8">
        <v>近战</v>
      </c>
      <c r="AI118" s="8"/>
      <c r="AJ118" s="17"/>
      <c r="AK118" s="8"/>
      <c r="AL118" s="18"/>
      <c r="AM118" t="str" s="8">
        <v>生命值</v>
      </c>
      <c r="AN118" t="n" s="19">
        <v>2328000</v>
      </c>
      <c r="AO118" t="str" s="8">
        <v>灵力值</v>
      </c>
      <c r="AP118" t="n" s="8">
        <v>44000</v>
      </c>
      <c r="AQ118" t="str" s="8">
        <v>攻击下限</v>
      </c>
      <c r="AR118" t="n" s="8">
        <v>22000</v>
      </c>
      <c r="AS118" t="str" s="8">
        <v>攻击上限</v>
      </c>
      <c r="AT118" t="n" s="8">
        <v>22000</v>
      </c>
      <c r="AU118" t="str" s="8">
        <v>法力下限</v>
      </c>
      <c r="AV118" t="n" s="8">
        <v>22000</v>
      </c>
      <c r="AW118" t="str" s="8">
        <v>法力上限</v>
      </c>
      <c r="AX118" t="n" s="8">
        <v>22000</v>
      </c>
      <c r="AY118" t="str" s="8">
        <v>物防下限</v>
      </c>
      <c r="AZ118" t="n" s="8">
        <v>5347</v>
      </c>
      <c r="BA118" t="str" s="8">
        <v>物防上限</v>
      </c>
      <c r="BB118" t="n" s="8">
        <v>5347</v>
      </c>
      <c r="BC118" t="str" s="8">
        <v>法防下限</v>
      </c>
      <c r="BD118" t="n" s="8">
        <v>5347</v>
      </c>
      <c r="BE118" t="str" s="8">
        <v>法防上限</v>
      </c>
      <c r="BF118" t="n" s="8">
        <v>5347</v>
      </c>
      <c r="BG118" t="str" s="8">
        <v>移动速度</v>
      </c>
      <c r="BH118" t="n" s="8">
        <v>270</v>
      </c>
      <c r="BI118" t="str" s="8">
        <v>攻击范围</v>
      </c>
      <c r="BJ118" t="n" s="8">
        <v>160</v>
      </c>
      <c r="BK118" t="str" s="8">
        <v>警戒范围</v>
      </c>
      <c r="BL118" t="n" s="8">
        <v>700</v>
      </c>
      <c r="BM118" t="str" s="8">
        <v>攻击间隔</v>
      </c>
      <c r="BN118" t="n" s="8">
        <v>2200</v>
      </c>
      <c r="BO118" t="n" s="8">
        <v>0</v>
      </c>
      <c r="BP118" s="8"/>
      <c r="BQ118" t="n" s="8">
        <v>0</v>
      </c>
      <c r="BR118" t="n" s="8">
        <v>0</v>
      </c>
      <c r="BS118" t="n" s="8">
        <v>0</v>
      </c>
      <c r="BT118" t="n" s="8">
        <v>0</v>
      </c>
      <c r="BU118" t="str" s="8">
        <v>截风坡的BOSS遭遇。依托本区既有水土、岩隙和可达条件活动。</v>
      </c>
      <c r="BV118" t="n">
        <v>5</v>
      </c>
      <c r="BW118" t="n">
        <v>8</v>
      </c>
      <c r="BX118" t="str">
        <v>仙品</v>
      </c>
      <c r="BY118" t="str">
        <v>native</v>
      </c>
      <c r="BZ118" t="b">
        <v>1</v>
      </c>
    </row>
    <row r="119" ht="16.5" customHeight="1" spans="2:75">
      <c r="A119"/>
      <c r="B119" t="n" s="8">
        <f>60000000+INDEX(编号表!$B:$B,MATCH(J119,编号表!$A:$A,0))*10000+INDEX(编号表!$B:$B,MATCH(K119,编号表!$C:$C,0))*1000+L119</f>
        <v>60451128</v>
      </c>
      <c r="C119" t="str" s="8">
        <v>a010</v>
      </c>
      <c r="D119" t="str" s="5">
        <v>碎堑岩狼</v>
      </c>
      <c r="E119" t="str" s="5">
        <v>R05-P1-普通-128</v>
      </c>
      <c r="F119" t="n" s="8">
        <v>43</v>
      </c>
      <c r="G119" t="str" s="8">
        <f>INDEX(编号表!$E:$E,MATCH(K119,编号表!$C:$C,0))</f>
        <v>白色</v>
      </c>
      <c r="H119" t="n" s="8">
        <v>5</v>
      </c>
      <c r="I119" t="str" s="8">
        <v>隙光苔</v>
      </c>
      <c r="J119" t="str" s="8">
        <v>隙光苔</v>
      </c>
      <c r="K119" t="str" s="8">
        <v>普通</v>
      </c>
      <c r="L119" t="n" s="8">
        <v>128</v>
      </c>
      <c r="M119" t="n" s="8">
        <v>128</v>
      </c>
      <c r="N119" t="n" s="8">
        <v>1</v>
      </c>
      <c r="O119" s="8"/>
      <c r="P119" t="n" s="8">
        <v>24</v>
      </c>
      <c r="Q119" t="n" s="8">
        <v>30000</v>
      </c>
      <c r="R119" t="str" s="8">
        <v>首击</v>
      </c>
      <c r="S119" t="n" s="8">
        <v>30000</v>
      </c>
      <c r="T119" t="n" s="8">
        <v>10</v>
      </c>
      <c r="U119" t="n" s="16">
        <v>40900500</v>
      </c>
      <c r="V119" t="n" s="8">
        <v>40910512</v>
      </c>
      <c r="W119" t="n" s="8">
        <v>40920500</v>
      </c>
      <c r="X119" t="n" s="8">
        <v>11000001</v>
      </c>
      <c r="Y119" s="8"/>
      <c r="Z119" s="8"/>
      <c r="AA119" t="str" s="8">
        <v>妖兽</v>
      </c>
      <c r="AB119" s="21">
        <v>20106</v>
      </c>
      <c r="AC119" t="n" s="8">
        <v>1</v>
      </c>
      <c r="AD119" t="n" s="8">
        <v>60</v>
      </c>
      <c r="AE119" t="n" s="8">
        <v>60</v>
      </c>
      <c r="AF119" t="n" s="8">
        <v>0</v>
      </c>
      <c r="AG119" t="n" s="8">
        <v>0</v>
      </c>
      <c r="AH119" t="str" s="8">
        <v>近战</v>
      </c>
      <c r="AI119" s="8"/>
      <c r="AJ119" s="17"/>
      <c r="AK119" s="8"/>
      <c r="AL119" s="18"/>
      <c r="AM119" t="str" s="8">
        <v>生命值</v>
      </c>
      <c r="AN119" t="n" s="19">
        <v>180800</v>
      </c>
      <c r="AO119" t="str" s="8">
        <v>灵力值</v>
      </c>
      <c r="AP119" t="n" s="8">
        <v>16272</v>
      </c>
      <c r="AQ119" t="str" s="8">
        <v>攻击下限</v>
      </c>
      <c r="AR119" t="n" s="8">
        <v>8136</v>
      </c>
      <c r="AS119" t="str" s="8">
        <v>攻击上限</v>
      </c>
      <c r="AT119" t="n" s="8">
        <v>8136</v>
      </c>
      <c r="AU119" t="str" s="8">
        <v>法力下限</v>
      </c>
      <c r="AV119" t="n" s="8">
        <v>8136</v>
      </c>
      <c r="AW119" t="str" s="8">
        <v>法力上限</v>
      </c>
      <c r="AX119" t="n" s="8">
        <v>8136</v>
      </c>
      <c r="AY119" t="str" s="8">
        <v>物防下限</v>
      </c>
      <c r="AZ119" t="n" s="8">
        <v>2768</v>
      </c>
      <c r="BA119" t="str" s="8">
        <v>物防上限</v>
      </c>
      <c r="BB119" t="n" s="8">
        <v>2768</v>
      </c>
      <c r="BC119" t="str" s="8">
        <v>法防下限</v>
      </c>
      <c r="BD119" t="n" s="8">
        <v>2768</v>
      </c>
      <c r="BE119" t="str" s="8">
        <v>法防上限</v>
      </c>
      <c r="BF119" t="n" s="8">
        <v>2768</v>
      </c>
      <c r="BG119" t="str" s="8">
        <v>移动速度</v>
      </c>
      <c r="BH119" t="n" s="8">
        <v>270</v>
      </c>
      <c r="BI119" t="str" s="8">
        <v>攻击范围</v>
      </c>
      <c r="BJ119" t="n" s="8">
        <v>160</v>
      </c>
      <c r="BK119" t="str" s="8">
        <v>警戒范围</v>
      </c>
      <c r="BL119" t="n" s="8">
        <v>550</v>
      </c>
      <c r="BM119" t="str" s="8">
        <v>攻击间隔</v>
      </c>
      <c r="BN119" t="n" s="8">
        <v>1800</v>
      </c>
      <c r="BO119" t="n" s="8">
        <v>0</v>
      </c>
      <c r="BP119" s="8"/>
      <c r="BQ119" t="n" s="8">
        <v>0</v>
      </c>
      <c r="BR119" t="n" s="8">
        <v>0</v>
      </c>
      <c r="BS119" t="n" s="8">
        <v>0</v>
      </c>
      <c r="BT119" t="n" s="8">
        <v>0</v>
      </c>
      <c r="BU119" t="str" s="8">
        <v>隙光苔的普通遭遇。依托本区既有水土、岩隙和可达条件活动。</v>
      </c>
      <c r="BV119" t="n">
        <v>5</v>
      </c>
      <c r="BW119" t="n">
        <v>3</v>
      </c>
      <c r="BX119" t="str">
        <v>凡品</v>
      </c>
      <c r="BY119" t="str">
        <v>native</v>
      </c>
      <c r="BZ119" t="b">
        <v>0</v>
      </c>
    </row>
    <row r="120" ht="16.5" customHeight="1" spans="2:75">
      <c r="A120"/>
      <c r="B120" t="n" s="8">
        <f>60000000+INDEX(编号表!$B:$B,MATCH(J120,编号表!$A:$A,0))*10000+INDEX(编号表!$B:$B,MATCH(K120,编号表!$C:$C,0))*1000+L120</f>
        <v>60461129</v>
      </c>
      <c r="C120" t="str" s="8">
        <v>a010</v>
      </c>
      <c r="D120" t="str" s="5">
        <v>断谷灵蝠</v>
      </c>
      <c r="E120" t="str" s="5">
        <v>R05-P2-普通-129</v>
      </c>
      <c r="F120" t="n" s="8">
        <v>46</v>
      </c>
      <c r="G120" t="str" s="8">
        <f>INDEX(编号表!$E:$E,MATCH(K120,编号表!$C:$C,0))</f>
        <v>白色</v>
      </c>
      <c r="H120" t="n" s="8">
        <v>5</v>
      </c>
      <c r="I120" t="str" s="8">
        <v>浸岩菖</v>
      </c>
      <c r="J120" t="str" s="8">
        <v>浸岩菖</v>
      </c>
      <c r="K120" t="str" s="8">
        <v>普通</v>
      </c>
      <c r="L120" t="n" s="8">
        <v>129</v>
      </c>
      <c r="M120" t="n" s="8">
        <v>129</v>
      </c>
      <c r="N120" t="n" s="8">
        <v>1</v>
      </c>
      <c r="O120" s="8"/>
      <c r="P120" t="n" s="8">
        <v>24</v>
      </c>
      <c r="Q120" t="n" s="8">
        <v>30000</v>
      </c>
      <c r="R120" t="str" s="8">
        <v>首击</v>
      </c>
      <c r="S120" t="n" s="8">
        <v>30000</v>
      </c>
      <c r="T120" t="n" s="8">
        <v>10</v>
      </c>
      <c r="U120" t="n" s="16">
        <v>40900500</v>
      </c>
      <c r="V120" t="n" s="8">
        <v>40910500</v>
      </c>
      <c r="W120" t="n" s="8">
        <v>40920501</v>
      </c>
      <c r="X120" t="n" s="8">
        <v>11000001</v>
      </c>
      <c r="Y120" s="8"/>
      <c r="Z120" s="8"/>
      <c r="AA120" t="str" s="8">
        <v>妖兽</v>
      </c>
      <c r="AB120" s="21">
        <v>20107</v>
      </c>
      <c r="AC120" t="n" s="8">
        <v>1</v>
      </c>
      <c r="AD120" t="n" s="8">
        <v>60</v>
      </c>
      <c r="AE120" t="n" s="8">
        <v>60</v>
      </c>
      <c r="AF120" t="n" s="8">
        <v>0</v>
      </c>
      <c r="AG120" t="n" s="8">
        <v>0</v>
      </c>
      <c r="AH120" t="str" s="8">
        <v>近战</v>
      </c>
      <c r="AI120" s="8"/>
      <c r="AJ120" s="17"/>
      <c r="AK120" s="8"/>
      <c r="AL120" s="18"/>
      <c r="AM120" t="str" s="8">
        <v>生命值</v>
      </c>
      <c r="AN120" t="n" s="19">
        <v>212000</v>
      </c>
      <c r="AO120" t="str" s="8">
        <v>灵力值</v>
      </c>
      <c r="AP120" t="n" s="8">
        <v>19080</v>
      </c>
      <c r="AQ120" t="str" s="8">
        <v>攻击下限</v>
      </c>
      <c r="AR120" t="n" s="8">
        <v>9540</v>
      </c>
      <c r="AS120" t="str" s="8">
        <v>攻击上限</v>
      </c>
      <c r="AT120" t="n" s="8">
        <v>9540</v>
      </c>
      <c r="AU120" t="str" s="8">
        <v>法力下限</v>
      </c>
      <c r="AV120" t="n" s="8">
        <v>9540</v>
      </c>
      <c r="AW120" t="str" s="8">
        <v>法力上限</v>
      </c>
      <c r="AX120" t="n" s="8">
        <v>9540</v>
      </c>
      <c r="AY120" t="str" s="8">
        <v>物防下限</v>
      </c>
      <c r="AZ120" t="n" s="8">
        <v>3246</v>
      </c>
      <c r="BA120" t="str" s="8">
        <v>物防上限</v>
      </c>
      <c r="BB120" t="n" s="8">
        <v>3246</v>
      </c>
      <c r="BC120" t="str" s="8">
        <v>法防下限</v>
      </c>
      <c r="BD120" t="n" s="8">
        <v>3246</v>
      </c>
      <c r="BE120" t="str" s="8">
        <v>法防上限</v>
      </c>
      <c r="BF120" t="n" s="8">
        <v>3246</v>
      </c>
      <c r="BG120" t="str" s="8">
        <v>移动速度</v>
      </c>
      <c r="BH120" t="n" s="8">
        <v>270</v>
      </c>
      <c r="BI120" t="str" s="8">
        <v>攻击范围</v>
      </c>
      <c r="BJ120" t="n" s="8">
        <v>160</v>
      </c>
      <c r="BK120" t="str" s="8">
        <v>警戒范围</v>
      </c>
      <c r="BL120" t="n" s="8">
        <v>550</v>
      </c>
      <c r="BM120" t="str" s="8">
        <v>攻击间隔</v>
      </c>
      <c r="BN120" t="n" s="8">
        <v>1800</v>
      </c>
      <c r="BO120" t="n" s="8">
        <v>0</v>
      </c>
      <c r="BP120" s="8"/>
      <c r="BQ120" t="n" s="8">
        <v>0</v>
      </c>
      <c r="BR120" t="n" s="8">
        <v>0</v>
      </c>
      <c r="BS120" t="n" s="8">
        <v>0</v>
      </c>
      <c r="BT120" t="n" s="8">
        <v>0</v>
      </c>
      <c r="BU120" t="str" s="8">
        <v>浸岩菖的普通遭遇。依托本区既有水土、岩隙和可达条件活动。</v>
      </c>
      <c r="BV120" t="n">
        <v>5</v>
      </c>
      <c r="BW120" t="n">
        <v>6</v>
      </c>
      <c r="BX120" t="str">
        <v>凡品</v>
      </c>
      <c r="BY120" t="str">
        <v>native</v>
      </c>
      <c r="BZ120" t="b">
        <v>0</v>
      </c>
    </row>
    <row r="121" ht="16.5" customHeight="1" spans="2:75">
      <c r="A121"/>
      <c r="B121" t="n" s="8">
        <f>60000000+INDEX(编号表!$B:$B,MATCH(J121,编号表!$A:$A,0))*10000+INDEX(编号表!$B:$B,MATCH(K121,编号表!$C:$C,0))*1000+L121</f>
        <v>60471130</v>
      </c>
      <c r="C121" t="str" s="8">
        <v>a010</v>
      </c>
      <c r="D121" t="str" s="5">
        <v>截风灵蛇</v>
      </c>
      <c r="E121" t="str" s="5">
        <v>R05-S1-普通-130</v>
      </c>
      <c r="F121" t="n" s="8">
        <v>49</v>
      </c>
      <c r="G121" t="str" s="8">
        <f>INDEX(编号表!$E:$E,MATCH(K121,编号表!$C:$C,0))</f>
        <v>白色</v>
      </c>
      <c r="H121" t="n" s="8">
        <v>5</v>
      </c>
      <c r="I121" t="str" s="8">
        <v>裂口</v>
      </c>
      <c r="J121" t="str" s="8">
        <v>裂口</v>
      </c>
      <c r="K121" t="str" s="8">
        <v>普通</v>
      </c>
      <c r="L121" t="n" s="8">
        <v>130</v>
      </c>
      <c r="M121" t="n" s="8">
        <v>130</v>
      </c>
      <c r="N121" t="n" s="8">
        <v>1</v>
      </c>
      <c r="O121" s="8"/>
      <c r="P121" t="n" s="8">
        <v>24</v>
      </c>
      <c r="Q121" t="n" s="8">
        <v>30000</v>
      </c>
      <c r="R121" t="str" s="8">
        <v>首击</v>
      </c>
      <c r="S121" t="n" s="8">
        <v>30000</v>
      </c>
      <c r="T121" t="n" s="8">
        <v>10</v>
      </c>
      <c r="U121" t="n" s="16">
        <v>40900500</v>
      </c>
      <c r="V121" t="n" s="8">
        <v>40910501</v>
      </c>
      <c r="W121" t="n" s="8">
        <v>40920500</v>
      </c>
      <c r="X121" t="n" s="8">
        <v>11000001</v>
      </c>
      <c r="Y121" s="8"/>
      <c r="Z121" s="8"/>
      <c r="AA121" t="str" s="8">
        <v>妖兽</v>
      </c>
      <c r="AB121" s="21">
        <v>20108</v>
      </c>
      <c r="AC121" t="n" s="8">
        <v>1</v>
      </c>
      <c r="AD121" t="n" s="8">
        <v>60</v>
      </c>
      <c r="AE121" t="n" s="8">
        <v>60</v>
      </c>
      <c r="AF121" t="n" s="8">
        <v>0</v>
      </c>
      <c r="AG121" t="n" s="8">
        <v>0</v>
      </c>
      <c r="AH121" t="str" s="8">
        <v>近战</v>
      </c>
      <c r="AI121" s="8"/>
      <c r="AJ121" s="17"/>
      <c r="AK121" s="8"/>
      <c r="AL121" s="18"/>
      <c r="AM121" t="str" s="8">
        <v>生命值</v>
      </c>
      <c r="AN121" t="n" s="19">
        <v>243200</v>
      </c>
      <c r="AO121" t="str" s="8">
        <v>灵力值</v>
      </c>
      <c r="AP121" t="n" s="8">
        <v>21888</v>
      </c>
      <c r="AQ121" t="str" s="8">
        <v>攻击下限</v>
      </c>
      <c r="AR121" t="n" s="8">
        <v>10944</v>
      </c>
      <c r="AS121" t="str" s="8">
        <v>攻击上限</v>
      </c>
      <c r="AT121" t="n" s="8">
        <v>10944</v>
      </c>
      <c r="AU121" t="str" s="8">
        <v>法力下限</v>
      </c>
      <c r="AV121" t="n" s="8">
        <v>10944</v>
      </c>
      <c r="AW121" t="str" s="8">
        <v>法力上限</v>
      </c>
      <c r="AX121" t="n" s="8">
        <v>10944</v>
      </c>
      <c r="AY121" t="str" s="8">
        <v>物防下限</v>
      </c>
      <c r="AZ121" t="n" s="8">
        <v>3724</v>
      </c>
      <c r="BA121" t="str" s="8">
        <v>物防上限</v>
      </c>
      <c r="BB121" t="n" s="8">
        <v>3724</v>
      </c>
      <c r="BC121" t="str" s="8">
        <v>法防下限</v>
      </c>
      <c r="BD121" t="n" s="8">
        <v>3724</v>
      </c>
      <c r="BE121" t="str" s="8">
        <v>法防上限</v>
      </c>
      <c r="BF121" t="n" s="8">
        <v>3724</v>
      </c>
      <c r="BG121" t="str" s="8">
        <v>移动速度</v>
      </c>
      <c r="BH121" t="n" s="8">
        <v>270</v>
      </c>
      <c r="BI121" t="str" s="8">
        <v>攻击范围</v>
      </c>
      <c r="BJ121" t="n" s="8">
        <v>160</v>
      </c>
      <c r="BK121" t="str" s="8">
        <v>警戒范围</v>
      </c>
      <c r="BL121" t="n" s="8">
        <v>550</v>
      </c>
      <c r="BM121" t="str" s="8">
        <v>攻击间隔</v>
      </c>
      <c r="BN121" t="n" s="8">
        <v>1800</v>
      </c>
      <c r="BO121" t="n" s="8">
        <v>0</v>
      </c>
      <c r="BP121" s="8"/>
      <c r="BQ121" t="n" s="8">
        <v>0</v>
      </c>
      <c r="BR121" t="n" s="8">
        <v>0</v>
      </c>
      <c r="BS121" t="n" s="8">
        <v>0</v>
      </c>
      <c r="BT121" t="n" s="8">
        <v>0</v>
      </c>
      <c r="BU121" t="str" s="8">
        <v>裂口的普通遭遇。依托本区既有水土、岩隙和可达条件活动。</v>
      </c>
      <c r="BV121" t="n">
        <v>5</v>
      </c>
      <c r="BW121" t="n">
        <v>9</v>
      </c>
      <c r="BX121" t="str">
        <v>凡品</v>
      </c>
      <c r="BY121" t="str">
        <v>native</v>
      </c>
      <c r="BZ121" t="b">
        <v>0</v>
      </c>
    </row>
    <row r="122" ht="16.5" customHeight="1" spans="2:75">
      <c r="A122"/>
      <c r="B122" t="n" s="8">
        <f>60000000+INDEX(编号表!$B:$B,MATCH(J122,编号表!$A:$A,0))*10000+INDEX(编号表!$B:$B,MATCH(K122,编号表!$C:$C,0))*1000+L122</f>
        <v>60471131</v>
      </c>
      <c r="C122" t="str" s="8">
        <v>a010</v>
      </c>
      <c r="D122" t="str" s="5">
        <v>崩石灵蜈</v>
      </c>
      <c r="E122" t="str" s="5">
        <v>R05-S1-普通-131</v>
      </c>
      <c r="F122" t="n" s="8">
        <v>49</v>
      </c>
      <c r="G122" t="str" s="8">
        <f>INDEX(编号表!$E:$E,MATCH(K122,编号表!$C:$C,0))</f>
        <v>白色</v>
      </c>
      <c r="H122" t="n" s="8">
        <v>5</v>
      </c>
      <c r="I122" t="str" s="8">
        <v>裂口</v>
      </c>
      <c r="J122" t="str" s="8">
        <v>裂口</v>
      </c>
      <c r="K122" t="str" s="8">
        <v>普通</v>
      </c>
      <c r="L122" t="n" s="8">
        <v>131</v>
      </c>
      <c r="M122" t="n" s="8">
        <v>131</v>
      </c>
      <c r="N122" t="n" s="8">
        <v>1</v>
      </c>
      <c r="O122" s="8"/>
      <c r="P122" t="n" s="8">
        <v>24</v>
      </c>
      <c r="Q122" t="n" s="8">
        <v>30000</v>
      </c>
      <c r="R122" t="str" s="8">
        <v>首击</v>
      </c>
      <c r="S122" t="n" s="8">
        <v>30000</v>
      </c>
      <c r="T122" t="n" s="8">
        <v>10</v>
      </c>
      <c r="U122" t="n" s="16">
        <v>40900500</v>
      </c>
      <c r="V122" t="n" s="8">
        <v>40910502</v>
      </c>
      <c r="W122" t="n" s="8">
        <v>40920501</v>
      </c>
      <c r="X122" t="n" s="8">
        <v>11000001</v>
      </c>
      <c r="Y122" s="8"/>
      <c r="Z122" s="8"/>
      <c r="AA122" t="str" s="8">
        <v>妖兽</v>
      </c>
      <c r="AB122" s="21">
        <v>20109</v>
      </c>
      <c r="AC122" t="n" s="8">
        <v>1</v>
      </c>
      <c r="AD122" t="n" s="8">
        <v>60</v>
      </c>
      <c r="AE122" t="n" s="8">
        <v>60</v>
      </c>
      <c r="AF122" t="n" s="8">
        <v>0</v>
      </c>
      <c r="AG122" t="n" s="8">
        <v>0</v>
      </c>
      <c r="AH122" t="str" s="8">
        <v>近战</v>
      </c>
      <c r="AI122" s="8"/>
      <c r="AJ122" s="17"/>
      <c r="AK122" s="8"/>
      <c r="AL122" s="18"/>
      <c r="AM122" t="str" s="8">
        <v>生命值</v>
      </c>
      <c r="AN122" t="n" s="19">
        <v>243200</v>
      </c>
      <c r="AO122" t="str" s="8">
        <v>灵力值</v>
      </c>
      <c r="AP122" t="n" s="8">
        <v>21888</v>
      </c>
      <c r="AQ122" t="str" s="8">
        <v>攻击下限</v>
      </c>
      <c r="AR122" t="n" s="8">
        <v>10944</v>
      </c>
      <c r="AS122" t="str" s="8">
        <v>攻击上限</v>
      </c>
      <c r="AT122" t="n" s="8">
        <v>10944</v>
      </c>
      <c r="AU122" t="str" s="8">
        <v>法力下限</v>
      </c>
      <c r="AV122" t="n" s="8">
        <v>10944</v>
      </c>
      <c r="AW122" t="str" s="8">
        <v>法力上限</v>
      </c>
      <c r="AX122" t="n" s="8">
        <v>10944</v>
      </c>
      <c r="AY122" t="str" s="8">
        <v>物防下限</v>
      </c>
      <c r="AZ122" t="n" s="8">
        <v>3724</v>
      </c>
      <c r="BA122" t="str" s="8">
        <v>物防上限</v>
      </c>
      <c r="BB122" t="n" s="8">
        <v>3724</v>
      </c>
      <c r="BC122" t="str" s="8">
        <v>法防下限</v>
      </c>
      <c r="BD122" t="n" s="8">
        <v>3724</v>
      </c>
      <c r="BE122" t="str" s="8">
        <v>法防上限</v>
      </c>
      <c r="BF122" t="n" s="8">
        <v>3724</v>
      </c>
      <c r="BG122" t="str" s="8">
        <v>移动速度</v>
      </c>
      <c r="BH122" t="n" s="8">
        <v>270</v>
      </c>
      <c r="BI122" t="str" s="8">
        <v>攻击范围</v>
      </c>
      <c r="BJ122" t="n" s="8">
        <v>160</v>
      </c>
      <c r="BK122" t="str" s="8">
        <v>警戒范围</v>
      </c>
      <c r="BL122" t="n" s="8">
        <v>550</v>
      </c>
      <c r="BM122" t="str" s="8">
        <v>攻击间隔</v>
      </c>
      <c r="BN122" t="n" s="8">
        <v>1800</v>
      </c>
      <c r="BO122" t="n" s="8">
        <v>0</v>
      </c>
      <c r="BP122" s="8"/>
      <c r="BQ122" t="n" s="8">
        <v>0</v>
      </c>
      <c r="BR122" t="n" s="8">
        <v>0</v>
      </c>
      <c r="BS122" t="n" s="8">
        <v>0</v>
      </c>
      <c r="BT122" t="n" s="8">
        <v>0</v>
      </c>
      <c r="BU122" t="str" s="8">
        <v>裂口的普通遭遇。依托本区既有水土、岩隙和可达条件活动。</v>
      </c>
      <c r="BV122" t="n">
        <v>5</v>
      </c>
      <c r="BW122" t="n">
        <v>9</v>
      </c>
      <c r="BX122" t="str">
        <v>凡品</v>
      </c>
      <c r="BY122" t="str">
        <v>native</v>
      </c>
      <c r="BZ122" t="b">
        <v>0</v>
      </c>
    </row>
    <row r="123" ht="16.5" customHeight="1" spans="2:75">
      <c r="A123"/>
      <c r="B123" t="n" s="8">
        <f>60000000+INDEX(编号表!$B:$B,MATCH(J123,编号表!$A:$A,0))*10000+INDEX(编号表!$B:$B,MATCH(K123,编号表!$C:$C,0))*1000+L123</f>
        <v>60471132</v>
      </c>
      <c r="C123" t="str" s="8">
        <v>a010</v>
      </c>
      <c r="D123" t="str" s="5">
        <v>碎堑岩狼</v>
      </c>
      <c r="E123" t="str" s="5">
        <v>R05-S1-普通-132</v>
      </c>
      <c r="F123" t="n" s="8">
        <v>49</v>
      </c>
      <c r="G123" t="str" s="8">
        <f>INDEX(编号表!$E:$E,MATCH(K123,编号表!$C:$C,0))</f>
        <v>白色</v>
      </c>
      <c r="H123" t="n" s="8">
        <v>5</v>
      </c>
      <c r="I123" t="str" s="8">
        <v>裂口</v>
      </c>
      <c r="J123" t="str" s="8">
        <v>裂口</v>
      </c>
      <c r="K123" t="str" s="8">
        <v>普通</v>
      </c>
      <c r="L123" t="n" s="8">
        <v>132</v>
      </c>
      <c r="M123" t="n" s="8">
        <v>132</v>
      </c>
      <c r="N123" t="n" s="8">
        <v>1</v>
      </c>
      <c r="O123" s="8"/>
      <c r="P123" t="n" s="8">
        <v>24</v>
      </c>
      <c r="Q123" t="n" s="8">
        <v>30000</v>
      </c>
      <c r="R123" t="str" s="8">
        <v>首击</v>
      </c>
      <c r="S123" t="n" s="8">
        <v>30000</v>
      </c>
      <c r="T123" t="n" s="8">
        <v>10</v>
      </c>
      <c r="U123" t="n" s="16">
        <v>40900500</v>
      </c>
      <c r="V123" t="n" s="8">
        <v>40910503</v>
      </c>
      <c r="W123" t="n" s="8">
        <v>40920500</v>
      </c>
      <c r="X123" t="n" s="8">
        <v>11000001</v>
      </c>
      <c r="Y123" s="8"/>
      <c r="Z123" s="8"/>
      <c r="AA123" t="str" s="8">
        <v>妖兽</v>
      </c>
      <c r="AB123" s="21">
        <v>20110</v>
      </c>
      <c r="AC123" t="n" s="8">
        <v>1</v>
      </c>
      <c r="AD123" t="n" s="8">
        <v>60</v>
      </c>
      <c r="AE123" t="n" s="8">
        <v>60</v>
      </c>
      <c r="AF123" t="n" s="8">
        <v>0</v>
      </c>
      <c r="AG123" t="n" s="8">
        <v>0</v>
      </c>
      <c r="AH123" t="str" s="8">
        <v>近战</v>
      </c>
      <c r="AI123"/>
      <c r="AJ123" s="17"/>
      <c r="AK123" s="8"/>
      <c r="AL123" s="18"/>
      <c r="AM123" t="str" s="8">
        <v>生命值</v>
      </c>
      <c r="AN123" t="n" s="19">
        <v>243200</v>
      </c>
      <c r="AO123" t="str" s="8">
        <v>灵力值</v>
      </c>
      <c r="AP123" t="n" s="8">
        <v>21888</v>
      </c>
      <c r="AQ123" t="str" s="8">
        <v>攻击下限</v>
      </c>
      <c r="AR123" t="n" s="8">
        <v>10944</v>
      </c>
      <c r="AS123" t="str" s="8">
        <v>攻击上限</v>
      </c>
      <c r="AT123" t="n" s="8">
        <v>10944</v>
      </c>
      <c r="AU123" t="str" s="8">
        <v>法力下限</v>
      </c>
      <c r="AV123" t="n" s="8">
        <v>10944</v>
      </c>
      <c r="AW123" t="str" s="8">
        <v>法力上限</v>
      </c>
      <c r="AX123" t="n" s="8">
        <v>10944</v>
      </c>
      <c r="AY123" t="str" s="8">
        <v>物防下限</v>
      </c>
      <c r="AZ123" t="n" s="8">
        <v>3724</v>
      </c>
      <c r="BA123" t="str" s="8">
        <v>物防上限</v>
      </c>
      <c r="BB123" t="n" s="8">
        <v>3724</v>
      </c>
      <c r="BC123" t="str" s="8">
        <v>法防下限</v>
      </c>
      <c r="BD123" t="n" s="8">
        <v>3724</v>
      </c>
      <c r="BE123" t="str" s="8">
        <v>法防上限</v>
      </c>
      <c r="BF123" t="n" s="8">
        <v>3724</v>
      </c>
      <c r="BG123" t="str" s="8">
        <v>移动速度</v>
      </c>
      <c r="BH123" t="n" s="8">
        <v>270</v>
      </c>
      <c r="BI123" t="str" s="8">
        <v>攻击范围</v>
      </c>
      <c r="BJ123" t="n" s="8">
        <v>160</v>
      </c>
      <c r="BK123" t="str" s="8">
        <v>警戒范围</v>
      </c>
      <c r="BL123" t="n" s="8">
        <v>550</v>
      </c>
      <c r="BM123" t="str" s="8">
        <v>攻击间隔</v>
      </c>
      <c r="BN123" t="n" s="8">
        <v>1800</v>
      </c>
      <c r="BO123" t="n" s="8">
        <v>0</v>
      </c>
      <c r="BP123" s="8"/>
      <c r="BQ123" t="n" s="8">
        <v>0</v>
      </c>
      <c r="BR123" t="n" s="8">
        <v>0</v>
      </c>
      <c r="BS123" t="n" s="8">
        <v>0</v>
      </c>
      <c r="BT123" t="n" s="8">
        <v>0</v>
      </c>
      <c r="BU123" t="str" s="8">
        <v>裂口的普通遭遇。依托本区既有水土、岩隙和可达条件活动。</v>
      </c>
      <c r="BV123" t="n">
        <v>5</v>
      </c>
      <c r="BW123" t="n">
        <v>9</v>
      </c>
      <c r="BX123" t="str">
        <v>凡品</v>
      </c>
      <c r="BY123" t="str">
        <v>native</v>
      </c>
      <c r="BZ123" t="b">
        <v>0</v>
      </c>
    </row>
    <row r="124" ht="16.5" customHeight="1" spans="2:75">
      <c r="A124"/>
      <c r="B124" t="n" s="8">
        <f>60000000+INDEX(编号表!$B:$B,MATCH(J124,编号表!$A:$A,0))*10000+INDEX(编号表!$B:$B,MATCH(K124,编号表!$C:$C,0))*1000+L124</f>
        <v>60481133</v>
      </c>
      <c r="C124" t="str" s="8">
        <v>a010</v>
      </c>
      <c r="D124" t="str" s="5">
        <v>断谷灵蝠</v>
      </c>
      <c r="E124" t="str" s="5">
        <v>R05-S2-普通-133</v>
      </c>
      <c r="F124" t="n" s="8">
        <v>50</v>
      </c>
      <c r="G124" t="str" s="8">
        <f>INDEX(编号表!$E:$E,MATCH(K124,编号表!$C:$C,0))</f>
        <v>白色</v>
      </c>
      <c r="H124" t="n" s="8">
        <v>5</v>
      </c>
      <c r="I124" t="str" s="8">
        <v>承影</v>
      </c>
      <c r="J124" t="str" s="8">
        <v>承影</v>
      </c>
      <c r="K124" t="str" s="8">
        <v>普通</v>
      </c>
      <c r="L124" t="n" s="8">
        <v>133</v>
      </c>
      <c r="M124" t="n" s="8">
        <v>133</v>
      </c>
      <c r="N124" t="n" s="8">
        <v>1</v>
      </c>
      <c r="O124" s="8"/>
      <c r="P124" t="n" s="8">
        <v>24</v>
      </c>
      <c r="Q124" t="n" s="8">
        <v>30000</v>
      </c>
      <c r="R124" t="str" s="8">
        <v>首击</v>
      </c>
      <c r="S124" t="n" s="8">
        <v>30000</v>
      </c>
      <c r="T124" t="n" s="8">
        <v>10</v>
      </c>
      <c r="U124" t="n" s="16">
        <v>40900500</v>
      </c>
      <c r="V124" t="n" s="8">
        <v>40910504</v>
      </c>
      <c r="W124" t="n" s="8">
        <v>40920501</v>
      </c>
      <c r="X124" t="n" s="8">
        <v>11000001</v>
      </c>
      <c r="Y124" s="8"/>
      <c r="Z124" s="8"/>
      <c r="AA124" t="str" s="8">
        <v>妖兽</v>
      </c>
      <c r="AB124" s="21">
        <v>20111</v>
      </c>
      <c r="AC124" t="n" s="8">
        <v>1</v>
      </c>
      <c r="AD124" t="n" s="8">
        <v>60</v>
      </c>
      <c r="AE124" t="n" s="8">
        <v>60</v>
      </c>
      <c r="AF124" t="n" s="8">
        <v>0</v>
      </c>
      <c r="AG124" t="n" s="8">
        <v>0</v>
      </c>
      <c r="AH124" t="str" s="8">
        <v>近战</v>
      </c>
      <c r="AI124"/>
      <c r="AJ124" s="17"/>
      <c r="AK124" s="8"/>
      <c r="AL124" s="18"/>
      <c r="AM124" t="str" s="8">
        <v>生命值</v>
      </c>
      <c r="AN124" t="n" s="19">
        <v>253600</v>
      </c>
      <c r="AO124" t="str" s="8">
        <v>灵力值</v>
      </c>
      <c r="AP124" t="n" s="8">
        <v>22824</v>
      </c>
      <c r="AQ124" t="str" s="8">
        <v>攻击下限</v>
      </c>
      <c r="AR124" t="n" s="8">
        <v>11412</v>
      </c>
      <c r="AS124" t="str" s="8">
        <v>攻击上限</v>
      </c>
      <c r="AT124" t="n" s="8">
        <v>11412</v>
      </c>
      <c r="AU124" t="str" s="8">
        <v>法力下限</v>
      </c>
      <c r="AV124" t="n" s="8">
        <v>11412</v>
      </c>
      <c r="AW124" t="str" s="8">
        <v>法力上限</v>
      </c>
      <c r="AX124" t="n" s="8">
        <v>11412</v>
      </c>
      <c r="AY124" t="str" s="8">
        <v>物防下限</v>
      </c>
      <c r="AZ124" t="n" s="8">
        <v>3883</v>
      </c>
      <c r="BA124" t="str" s="8">
        <v>物防上限</v>
      </c>
      <c r="BB124" t="n" s="8">
        <v>3883</v>
      </c>
      <c r="BC124" t="str" s="8">
        <v>法防下限</v>
      </c>
      <c r="BD124" t="n" s="8">
        <v>3883</v>
      </c>
      <c r="BE124" t="str" s="8">
        <v>法防上限</v>
      </c>
      <c r="BF124" t="n" s="8">
        <v>3883</v>
      </c>
      <c r="BG124" t="str" s="8">
        <v>移动速度</v>
      </c>
      <c r="BH124" t="n" s="8">
        <v>270</v>
      </c>
      <c r="BI124" t="str" s="8">
        <v>攻击范围</v>
      </c>
      <c r="BJ124" t="n" s="8">
        <v>160</v>
      </c>
      <c r="BK124" t="str" s="8">
        <v>警戒范围</v>
      </c>
      <c r="BL124" t="n" s="8">
        <v>550</v>
      </c>
      <c r="BM124" t="str" s="8">
        <v>攻击间隔</v>
      </c>
      <c r="BN124" t="n" s="8">
        <v>1800</v>
      </c>
      <c r="BO124" t="n" s="8">
        <v>0</v>
      </c>
      <c r="BP124" s="8"/>
      <c r="BQ124" t="n" s="8">
        <v>0</v>
      </c>
      <c r="BR124" t="n" s="8">
        <v>0</v>
      </c>
      <c r="BS124" t="n" s="8">
        <v>0</v>
      </c>
      <c r="BT124" t="n" s="8">
        <v>0</v>
      </c>
      <c r="BU124" t="str" s="8">
        <v>承影的普通遭遇。依托本区既有水土、岩隙和可达条件活动。</v>
      </c>
      <c r="BV124" t="n">
        <v>5</v>
      </c>
      <c r="BW124" t="n">
        <v>10</v>
      </c>
      <c r="BX124" t="str">
        <v>凡品</v>
      </c>
      <c r="BY124" t="str">
        <v>native</v>
      </c>
      <c r="BZ124" t="b">
        <v>0</v>
      </c>
    </row>
    <row r="125" ht="16.5" customHeight="1" spans="2:75">
      <c r="A125"/>
      <c r="B125" t="n" s="8">
        <f>60000000+INDEX(编号表!$B:$B,MATCH(J125,编号表!$A:$A,0))*10000+INDEX(编号表!$B:$B,MATCH(K125,编号表!$C:$C,0))*1000+L125</f>
        <v>60482134</v>
      </c>
      <c r="C125" t="str" s="8">
        <v>a010</v>
      </c>
      <c r="D125" t="str" s="5">
        <v>截风灵蛇·异种</v>
      </c>
      <c r="E125" t="str" s="5">
        <v>R05-S2-精英-134</v>
      </c>
      <c r="F125" t="n" s="8">
        <v>50</v>
      </c>
      <c r="G125" t="str" s="8">
        <f>INDEX(编号表!$E:$E,MATCH(K125,编号表!$C:$C,0))</f>
        <v>绿色</v>
      </c>
      <c r="H125" t="n" s="8">
        <v>5</v>
      </c>
      <c r="I125" t="str" s="8">
        <v>承影</v>
      </c>
      <c r="J125" t="str" s="8">
        <v>承影</v>
      </c>
      <c r="K125" t="str" s="8">
        <v>精英</v>
      </c>
      <c r="L125" t="n" s="8">
        <v>134</v>
      </c>
      <c r="M125" t="n" s="8">
        <v>134</v>
      </c>
      <c r="N125" t="n" s="8">
        <v>3</v>
      </c>
      <c r="O125" s="8"/>
      <c r="P125" t="n" s="8">
        <v>40</v>
      </c>
      <c r="Q125" t="n" s="8">
        <v>180000</v>
      </c>
      <c r="R125" t="str" s="8">
        <v>首击</v>
      </c>
      <c r="S125" t="n" s="8">
        <v>30000</v>
      </c>
      <c r="T125" t="n" s="8">
        <v>11</v>
      </c>
      <c r="U125" t="n" s="16">
        <v>40900501</v>
      </c>
      <c r="V125" t="n" s="8">
        <v>41120505</v>
      </c>
      <c r="W125" t="n" s="8">
        <v>41320505</v>
      </c>
      <c r="X125" t="n" s="8">
        <v>11000001</v>
      </c>
      <c r="Y125" s="8"/>
      <c r="Z125" s="8"/>
      <c r="AA125" t="str" s="8">
        <v>妖兽</v>
      </c>
      <c r="AB125" s="21">
        <v>20112</v>
      </c>
      <c r="AC125" t="n" s="8">
        <v>1.25</v>
      </c>
      <c r="AD125" t="n" s="8">
        <v>60</v>
      </c>
      <c r="AE125" t="n" s="8">
        <v>60</v>
      </c>
      <c r="AF125" t="n" s="8">
        <v>0</v>
      </c>
      <c r="AG125" t="n" s="8">
        <v>0</v>
      </c>
      <c r="AH125" t="str" s="8">
        <v>近战</v>
      </c>
      <c r="AI125" s="8"/>
      <c r="AJ125" s="17"/>
      <c r="AK125" s="8"/>
      <c r="AL125" s="18"/>
      <c r="AM125" t="str" s="8">
        <v>生命值</v>
      </c>
      <c r="AN125" t="n" s="19">
        <v>710080</v>
      </c>
      <c r="AO125" t="str" s="8">
        <v>灵力值</v>
      </c>
      <c r="AP125" t="n" s="8">
        <v>33094</v>
      </c>
      <c r="AQ125" t="str" s="8">
        <v>攻击下限</v>
      </c>
      <c r="AR125" t="n" s="8">
        <v>16547</v>
      </c>
      <c r="AS125" t="str" s="8">
        <v>攻击上限</v>
      </c>
      <c r="AT125" t="n" s="8">
        <v>16547</v>
      </c>
      <c r="AU125" t="str" s="8">
        <v>法力下限</v>
      </c>
      <c r="AV125" t="n" s="8">
        <v>16547</v>
      </c>
      <c r="AW125" t="str" s="8">
        <v>法力上限</v>
      </c>
      <c r="AX125" t="n" s="8">
        <v>16547</v>
      </c>
      <c r="AY125" t="str" s="8">
        <v>物防下限</v>
      </c>
      <c r="AZ125" t="n" s="8">
        <v>4660</v>
      </c>
      <c r="BA125" t="str" s="8">
        <v>物防上限</v>
      </c>
      <c r="BB125" t="n" s="8">
        <v>4660</v>
      </c>
      <c r="BC125" t="str" s="8">
        <v>法防下限</v>
      </c>
      <c r="BD125" t="n" s="8">
        <v>4660</v>
      </c>
      <c r="BE125" t="str" s="8">
        <v>法防上限</v>
      </c>
      <c r="BF125" t="n" s="8">
        <v>4660</v>
      </c>
      <c r="BG125" t="str" s="8">
        <v>移动速度</v>
      </c>
      <c r="BH125" t="n" s="8">
        <v>270</v>
      </c>
      <c r="BI125" t="str" s="8">
        <v>攻击范围</v>
      </c>
      <c r="BJ125" t="n" s="8">
        <v>160</v>
      </c>
      <c r="BK125" t="str" s="8">
        <v>警戒范围</v>
      </c>
      <c r="BL125" t="n" s="8">
        <v>550</v>
      </c>
      <c r="BM125" t="str" s="8">
        <v>攻击间隔</v>
      </c>
      <c r="BN125" t="n" s="8">
        <v>1800</v>
      </c>
      <c r="BO125" t="n" s="8">
        <v>0</v>
      </c>
      <c r="BP125" s="8"/>
      <c r="BQ125" t="n" s="8">
        <v>0</v>
      </c>
      <c r="BR125" t="n" s="8">
        <v>0</v>
      </c>
      <c r="BS125" t="n" s="8">
        <v>0</v>
      </c>
      <c r="BT125" t="n" s="8">
        <v>0</v>
      </c>
      <c r="BU125" t="str" s="8">
        <v>承影的精英遭遇。依托本区既有水土、岩隙和可达条件活动。</v>
      </c>
      <c r="BV125" t="n">
        <v>5</v>
      </c>
      <c r="BW125" t="n">
        <v>10</v>
      </c>
      <c r="BX125" t="str">
        <v>玄品</v>
      </c>
      <c r="BY125" t="str">
        <v>native</v>
      </c>
      <c r="BZ125" t="b">
        <v>0</v>
      </c>
    </row>
    <row r="126" ht="16.5" customHeight="1" spans="2:75">
      <c r="A126"/>
      <c r="B126" t="n" s="8">
        <f>60000000+INDEX(编号表!$B:$B,MATCH(J126,编号表!$A:$A,0))*10000+INDEX(编号表!$B:$B,MATCH(K126,编号表!$C:$C,0))*1000+L126</f>
        <v>60484135</v>
      </c>
      <c r="C126" t="str" s="8">
        <v>a010</v>
      </c>
      <c r="D126" t="str" s="5">
        <v>崩石灵蜈·首领</v>
      </c>
      <c r="E126" t="str" s="5">
        <v>R05-S2-BOSS-135</v>
      </c>
      <c r="F126" t="n" s="8">
        <v>50</v>
      </c>
      <c r="G126" t="str" s="8">
        <f>INDEX(编号表!$E:$E,MATCH(K126,编号表!$C:$C,0))</f>
        <v>橙色</v>
      </c>
      <c r="H126" t="n" s="8">
        <v>5</v>
      </c>
      <c r="I126" t="str" s="8">
        <v>承影</v>
      </c>
      <c r="J126" t="str" s="8">
        <v>承影</v>
      </c>
      <c r="K126" t="str" s="8">
        <v>BOSS</v>
      </c>
      <c r="L126" t="n" s="8">
        <v>135</v>
      </c>
      <c r="M126" t="n" s="8">
        <v>135</v>
      </c>
      <c r="N126" t="n" s="8">
        <v>5</v>
      </c>
      <c r="O126" s="8"/>
      <c r="P126" t="n" s="8">
        <v>40</v>
      </c>
      <c r="Q126" t="n" s="8">
        <v>900000</v>
      </c>
      <c r="R126" t="str" s="8">
        <v>首击</v>
      </c>
      <c r="S126" t="n" s="8">
        <v>30000</v>
      </c>
      <c r="T126" t="n" s="8">
        <v>12</v>
      </c>
      <c r="U126" t="n" s="16">
        <v>40900502</v>
      </c>
      <c r="V126" t="n" s="8">
        <v>41130506</v>
      </c>
      <c r="W126" t="n" s="8">
        <v>41330506</v>
      </c>
      <c r="X126" t="n" s="8">
        <v>11000001</v>
      </c>
      <c r="Y126" s="8"/>
      <c r="Z126" s="8"/>
      <c r="AA126" t="str" s="8">
        <v>妖兽</v>
      </c>
      <c r="AB126" s="21">
        <v>20113</v>
      </c>
      <c r="AC126" t="n" s="8">
        <v>1.6</v>
      </c>
      <c r="AD126" t="n" s="8">
        <v>60</v>
      </c>
      <c r="AE126" t="n" s="8">
        <v>60</v>
      </c>
      <c r="AF126" t="n" s="8">
        <v>0</v>
      </c>
      <c r="AG126" t="n" s="8">
        <v>0</v>
      </c>
      <c r="AH126" t="str" s="8">
        <v>近战</v>
      </c>
      <c r="AI126" s="8"/>
      <c r="AJ126" s="17"/>
      <c r="AK126" s="8"/>
      <c r="AL126" s="18"/>
      <c r="AM126" t="str" s="8">
        <v>生命值</v>
      </c>
      <c r="AN126" t="n" s="19">
        <v>2536000</v>
      </c>
      <c r="AO126" t="str" s="8">
        <v>灵力值</v>
      </c>
      <c r="AP126" t="n" s="8">
        <v>47930</v>
      </c>
      <c r="AQ126" t="str" s="8">
        <v>攻击下限</v>
      </c>
      <c r="AR126" t="n" s="8">
        <v>23965</v>
      </c>
      <c r="AS126" t="str" s="8">
        <v>攻击上限</v>
      </c>
      <c r="AT126" t="n" s="8">
        <v>23965</v>
      </c>
      <c r="AU126" t="str" s="8">
        <v>法力下限</v>
      </c>
      <c r="AV126" t="n" s="8">
        <v>23965</v>
      </c>
      <c r="AW126" t="str" s="8">
        <v>法力上限</v>
      </c>
      <c r="AX126" t="n" s="8">
        <v>23965</v>
      </c>
      <c r="AY126" t="str" s="8">
        <v>物防下限</v>
      </c>
      <c r="AZ126" t="n" s="8">
        <v>5825</v>
      </c>
      <c r="BA126" t="str" s="8">
        <v>物防上限</v>
      </c>
      <c r="BB126" t="n" s="8">
        <v>5825</v>
      </c>
      <c r="BC126" t="str" s="8">
        <v>法防下限</v>
      </c>
      <c r="BD126" t="n" s="8">
        <v>5825</v>
      </c>
      <c r="BE126" t="str" s="8">
        <v>法防上限</v>
      </c>
      <c r="BF126" t="n" s="8">
        <v>5825</v>
      </c>
      <c r="BG126" t="str" s="8">
        <v>移动速度</v>
      </c>
      <c r="BH126" t="n" s="8">
        <v>270</v>
      </c>
      <c r="BI126" t="str" s="8">
        <v>攻击范围</v>
      </c>
      <c r="BJ126" t="n" s="8">
        <v>160</v>
      </c>
      <c r="BK126" t="str" s="8">
        <v>警戒范围</v>
      </c>
      <c r="BL126" t="n" s="8">
        <v>700</v>
      </c>
      <c r="BM126" t="str" s="8">
        <v>攻击间隔</v>
      </c>
      <c r="BN126" t="n" s="8">
        <v>2200</v>
      </c>
      <c r="BO126" t="n" s="8">
        <v>0</v>
      </c>
      <c r="BP126" s="8"/>
      <c r="BQ126" t="n" s="8">
        <v>0</v>
      </c>
      <c r="BR126" t="n" s="8">
        <v>0</v>
      </c>
      <c r="BS126" t="n" s="8">
        <v>0</v>
      </c>
      <c r="BT126" t="n" s="8">
        <v>0</v>
      </c>
      <c r="BU126" t="str" s="8">
        <v>承影的BOSS遭遇。依托本区既有水土、岩隙和可达条件活动。</v>
      </c>
      <c r="BV126" t="n">
        <v>5</v>
      </c>
      <c r="BW126" t="n">
        <v>10</v>
      </c>
      <c r="BX126" t="str">
        <v>仙品</v>
      </c>
      <c r="BY126" t="str">
        <v>native</v>
      </c>
      <c r="BZ126" t="b">
        <v>1</v>
      </c>
    </row>
    <row r="127" ht="16.5" customHeight="1" spans="2:75">
      <c r="A127"/>
      <c r="B127" t="n" s="8">
        <f>60000000+INDEX(编号表!$B:$B,MATCH(J127,编号表!$A:$A,0))*10000+INDEX(编号表!$B:$B,MATCH(K127,编号表!$C:$C,0))*1000+L127</f>
        <v>60491136</v>
      </c>
      <c r="C127" t="str" s="8">
        <v>a010</v>
      </c>
      <c r="D127" t="str" s="5">
        <v>魔化碎堑岩狼</v>
      </c>
      <c r="E127" t="str" s="5">
        <v>R05-D1-普通-136</v>
      </c>
      <c r="F127" t="n" s="8">
        <v>48</v>
      </c>
      <c r="G127" t="str" s="8">
        <f>INDEX(编号表!$E:$E,MATCH(K127,编号表!$C:$C,0))</f>
        <v>白色</v>
      </c>
      <c r="H127" t="n" s="8">
        <v>5</v>
      </c>
      <c r="I127" t="str" s="8">
        <v>壅浊石</v>
      </c>
      <c r="J127" t="str" s="8">
        <v>壅浊石</v>
      </c>
      <c r="K127" t="str" s="8">
        <v>普通</v>
      </c>
      <c r="L127" t="n" s="8">
        <v>136</v>
      </c>
      <c r="M127" t="n" s="8">
        <v>136</v>
      </c>
      <c r="N127" t="n" s="8">
        <v>1</v>
      </c>
      <c r="O127" s="8"/>
      <c r="P127" t="n" s="8">
        <v>24</v>
      </c>
      <c r="Q127" t="n" s="8">
        <v>30000</v>
      </c>
      <c r="R127" t="str" s="8">
        <v>首击</v>
      </c>
      <c r="S127" t="n" s="8">
        <v>30000</v>
      </c>
      <c r="T127" t="n" s="8">
        <v>10</v>
      </c>
      <c r="U127" t="n" s="16">
        <v>40900500</v>
      </c>
      <c r="V127" t="n" s="8">
        <v>40910507</v>
      </c>
      <c r="W127" t="n" s="8">
        <v>40920500</v>
      </c>
      <c r="X127" t="n" s="8">
        <v>11000001</v>
      </c>
      <c r="Y127" s="8"/>
      <c r="Z127" s="8"/>
      <c r="AA127" t="str" s="8">
        <v>妖兽</v>
      </c>
      <c r="AB127" s="21">
        <v>20114</v>
      </c>
      <c r="AC127" t="n" s="8">
        <v>1</v>
      </c>
      <c r="AD127" t="n" s="8">
        <v>60</v>
      </c>
      <c r="AE127" t="n" s="8">
        <v>60</v>
      </c>
      <c r="AF127" t="n" s="8">
        <v>0</v>
      </c>
      <c r="AG127" t="n" s="8">
        <v>0</v>
      </c>
      <c r="AH127" t="str" s="8">
        <v>近战</v>
      </c>
      <c r="AI127" s="8"/>
      <c r="AJ127" s="17"/>
      <c r="AK127" s="8"/>
      <c r="AL127" s="18"/>
      <c r="AM127" t="str" s="8">
        <v>生命值</v>
      </c>
      <c r="AN127" t="n" s="19">
        <v>232800</v>
      </c>
      <c r="AO127" t="str" s="8">
        <v>灵力值</v>
      </c>
      <c r="AP127" t="n" s="8">
        <v>20952</v>
      </c>
      <c r="AQ127" t="str" s="8">
        <v>攻击下限</v>
      </c>
      <c r="AR127" t="n" s="8">
        <v>10476</v>
      </c>
      <c r="AS127" t="str" s="8">
        <v>攻击上限</v>
      </c>
      <c r="AT127" t="n" s="8">
        <v>10476</v>
      </c>
      <c r="AU127" t="str" s="8">
        <v>法力下限</v>
      </c>
      <c r="AV127" t="n" s="8">
        <v>10476</v>
      </c>
      <c r="AW127" t="str" s="8">
        <v>法力上限</v>
      </c>
      <c r="AX127" t="n" s="8">
        <v>10476</v>
      </c>
      <c r="AY127" t="str" s="8">
        <v>物防下限</v>
      </c>
      <c r="AZ127" t="n" s="8">
        <v>3565</v>
      </c>
      <c r="BA127" t="str" s="8">
        <v>物防上限</v>
      </c>
      <c r="BB127" t="n" s="8">
        <v>3565</v>
      </c>
      <c r="BC127" t="str" s="8">
        <v>法防下限</v>
      </c>
      <c r="BD127" t="n" s="8">
        <v>3565</v>
      </c>
      <c r="BE127" t="str" s="8">
        <v>法防上限</v>
      </c>
      <c r="BF127" t="n" s="8">
        <v>3565</v>
      </c>
      <c r="BG127" t="str" s="8">
        <v>移动速度</v>
      </c>
      <c r="BH127" t="n" s="8">
        <v>270</v>
      </c>
      <c r="BI127" t="str" s="8">
        <v>攻击范围</v>
      </c>
      <c r="BJ127" t="n" s="8">
        <v>160</v>
      </c>
      <c r="BK127" t="str" s="8">
        <v>警戒范围</v>
      </c>
      <c r="BL127" t="n" s="8">
        <v>550</v>
      </c>
      <c r="BM127" t="str" s="8">
        <v>攻击间隔</v>
      </c>
      <c r="BN127" t="n" s="8">
        <v>1800</v>
      </c>
      <c r="BO127" t="n" s="8">
        <v>0</v>
      </c>
      <c r="BP127" s="8"/>
      <c r="BQ127" t="n" s="8">
        <v>0</v>
      </c>
      <c r="BR127" t="n" s="8">
        <v>0</v>
      </c>
      <c r="BS127" t="n" s="8">
        <v>0</v>
      </c>
      <c r="BT127" t="n" s="8">
        <v>0</v>
      </c>
      <c r="BU127" t="str" s="8">
        <v>壅浊石的普通遭遇。裂隙渗漏造成的短时魔化，非本区新增裂隙。</v>
      </c>
      <c r="BV127" t="n">
        <v>5</v>
      </c>
      <c r="BW127" t="n">
        <v>8</v>
      </c>
      <c r="BX127" t="str">
        <v>凡品</v>
      </c>
      <c r="BY127" t="str">
        <v>corrupted</v>
      </c>
      <c r="BZ127" t="b">
        <v>0</v>
      </c>
    </row>
    <row r="128" ht="16.5" customHeight="1" spans="2:75">
      <c r="A128"/>
      <c r="B128" t="n" s="8">
        <f>60000000+INDEX(编号表!$B:$B,MATCH(J128,编号表!$A:$A,0))*10000+INDEX(编号表!$B:$B,MATCH(K128,编号表!$C:$C,0))*1000+L128</f>
        <v>60491137</v>
      </c>
      <c r="C128" t="str" s="8">
        <v>a010</v>
      </c>
      <c r="D128" t="str" s="5">
        <v>魔化断谷灵蝠</v>
      </c>
      <c r="E128" t="str" s="5">
        <v>R05-D1-普通-137</v>
      </c>
      <c r="F128" t="n" s="8">
        <v>48</v>
      </c>
      <c r="G128" t="str" s="8">
        <f>INDEX(编号表!$E:$E,MATCH(K128,编号表!$C:$C,0))</f>
        <v>白色</v>
      </c>
      <c r="H128" t="n" s="8">
        <v>5</v>
      </c>
      <c r="I128" t="str" s="8">
        <v>壅浊石</v>
      </c>
      <c r="J128" t="str" s="8">
        <v>壅浊石</v>
      </c>
      <c r="K128" t="str" s="8">
        <v>普通</v>
      </c>
      <c r="L128" t="n" s="8">
        <v>137</v>
      </c>
      <c r="M128" t="n" s="8">
        <v>137</v>
      </c>
      <c r="N128" t="n" s="8">
        <v>1</v>
      </c>
      <c r="O128" s="8"/>
      <c r="P128" t="n" s="8">
        <v>24</v>
      </c>
      <c r="Q128" t="n" s="8">
        <v>30000</v>
      </c>
      <c r="R128" t="str" s="8">
        <v>首击</v>
      </c>
      <c r="S128" t="n" s="8">
        <v>30000</v>
      </c>
      <c r="T128" t="n" s="8">
        <v>10</v>
      </c>
      <c r="U128" t="n" s="16">
        <v>40900500</v>
      </c>
      <c r="V128" t="n" s="8">
        <v>40910508</v>
      </c>
      <c r="W128" t="n" s="8">
        <v>40920501</v>
      </c>
      <c r="X128" t="n" s="8">
        <v>11000001</v>
      </c>
      <c r="Y128" s="8"/>
      <c r="Z128" s="8"/>
      <c r="AA128" t="str" s="8">
        <v>妖兽</v>
      </c>
      <c r="AB128" s="21">
        <v>20115</v>
      </c>
      <c r="AC128" t="n" s="8">
        <v>1</v>
      </c>
      <c r="AD128" t="n" s="8">
        <v>60</v>
      </c>
      <c r="AE128" t="n" s="8">
        <v>60</v>
      </c>
      <c r="AF128" t="n" s="8">
        <v>0</v>
      </c>
      <c r="AG128" t="n" s="8">
        <v>0</v>
      </c>
      <c r="AH128" t="str" s="8">
        <v>近战</v>
      </c>
      <c r="AI128"/>
      <c r="AJ128" s="17"/>
      <c r="AK128" s="8"/>
      <c r="AL128" s="18"/>
      <c r="AM128" t="str" s="8">
        <v>生命值</v>
      </c>
      <c r="AN128" t="n" s="19">
        <v>232800</v>
      </c>
      <c r="AO128" t="str" s="8">
        <v>灵力值</v>
      </c>
      <c r="AP128" t="n" s="8">
        <v>20952</v>
      </c>
      <c r="AQ128" t="str" s="8">
        <v>攻击下限</v>
      </c>
      <c r="AR128" t="n" s="8">
        <v>10476</v>
      </c>
      <c r="AS128" t="str" s="8">
        <v>攻击上限</v>
      </c>
      <c r="AT128" t="n" s="8">
        <v>10476</v>
      </c>
      <c r="AU128" t="str" s="8">
        <v>法力下限</v>
      </c>
      <c r="AV128" t="n" s="8">
        <v>10476</v>
      </c>
      <c r="AW128" t="str" s="8">
        <v>法力上限</v>
      </c>
      <c r="AX128" t="n" s="8">
        <v>10476</v>
      </c>
      <c r="AY128" t="str" s="8">
        <v>物防下限</v>
      </c>
      <c r="AZ128" t="n" s="8">
        <v>3565</v>
      </c>
      <c r="BA128" t="str" s="8">
        <v>物防上限</v>
      </c>
      <c r="BB128" t="n" s="8">
        <v>3565</v>
      </c>
      <c r="BC128" t="str" s="8">
        <v>法防下限</v>
      </c>
      <c r="BD128" t="n" s="8">
        <v>3565</v>
      </c>
      <c r="BE128" t="str" s="8">
        <v>法防上限</v>
      </c>
      <c r="BF128" t="n" s="8">
        <v>3565</v>
      </c>
      <c r="BG128" t="str" s="8">
        <v>移动速度</v>
      </c>
      <c r="BH128" t="n" s="8">
        <v>270</v>
      </c>
      <c r="BI128" t="str" s="8">
        <v>攻击范围</v>
      </c>
      <c r="BJ128" t="n" s="8">
        <v>160</v>
      </c>
      <c r="BK128" t="str" s="8">
        <v>警戒范围</v>
      </c>
      <c r="BL128" t="n" s="8">
        <v>550</v>
      </c>
      <c r="BM128" t="str" s="8">
        <v>攻击间隔</v>
      </c>
      <c r="BN128" t="n" s="8">
        <v>1800</v>
      </c>
      <c r="BO128" t="n" s="8">
        <v>0</v>
      </c>
      <c r="BP128" s="8"/>
      <c r="BQ128" t="n" s="8">
        <v>0</v>
      </c>
      <c r="BR128" t="n" s="8">
        <v>0</v>
      </c>
      <c r="BS128" t="n" s="8">
        <v>0</v>
      </c>
      <c r="BT128" t="n" s="8">
        <v>0</v>
      </c>
      <c r="BU128" t="str" s="8">
        <v>壅浊石的普通遭遇。裂隙渗漏造成的短时魔化，非本区新增裂隙。</v>
      </c>
      <c r="BV128" t="n">
        <v>5</v>
      </c>
      <c r="BW128" t="n">
        <v>8</v>
      </c>
      <c r="BX128" t="str">
        <v>凡品</v>
      </c>
      <c r="BY128" t="str">
        <v>corrupted</v>
      </c>
      <c r="BZ128" t="b">
        <v>0</v>
      </c>
    </row>
    <row r="129" ht="16.5" customHeight="1" spans="2:75">
      <c r="A129"/>
      <c r="B129" t="n" s="8">
        <f>60000000+INDEX(编号表!$B:$B,MATCH(J129,编号表!$A:$A,0))*10000+INDEX(编号表!$B:$B,MATCH(K129,编号表!$C:$C,0))*1000+L129</f>
        <v>60491138</v>
      </c>
      <c r="C129" t="str" s="8">
        <v>a010</v>
      </c>
      <c r="D129" t="str" s="5">
        <v>魔化截风灵蛇</v>
      </c>
      <c r="E129" t="str" s="5">
        <v>R05-D1-普通-138</v>
      </c>
      <c r="F129" t="n" s="8">
        <v>48</v>
      </c>
      <c r="G129" t="str" s="8">
        <f>INDEX(编号表!$E:$E,MATCH(K129,编号表!$C:$C,0))</f>
        <v>白色</v>
      </c>
      <c r="H129" t="n" s="8">
        <v>5</v>
      </c>
      <c r="I129" t="str" s="8">
        <v>壅浊石</v>
      </c>
      <c r="J129" t="str" s="8">
        <v>壅浊石</v>
      </c>
      <c r="K129" t="str" s="8">
        <v>普通</v>
      </c>
      <c r="L129" t="n" s="8">
        <v>138</v>
      </c>
      <c r="M129" t="n" s="8">
        <v>138</v>
      </c>
      <c r="N129" t="n" s="8">
        <v>1</v>
      </c>
      <c r="O129" s="8"/>
      <c r="P129" t="n" s="8">
        <v>24</v>
      </c>
      <c r="Q129" t="n" s="8">
        <v>30000</v>
      </c>
      <c r="R129" t="str" s="8">
        <v>首击</v>
      </c>
      <c r="S129" t="n" s="8">
        <v>30000</v>
      </c>
      <c r="T129" t="n" s="8">
        <v>10</v>
      </c>
      <c r="U129" t="n" s="16">
        <v>40900500</v>
      </c>
      <c r="V129" t="n" s="8">
        <v>40910509</v>
      </c>
      <c r="W129" t="n" s="8">
        <v>40920500</v>
      </c>
      <c r="X129" t="n" s="8">
        <v>11000001</v>
      </c>
      <c r="Y129" s="8"/>
      <c r="Z129" s="8"/>
      <c r="AA129" t="str" s="8">
        <v>妖兽</v>
      </c>
      <c r="AB129" s="21">
        <v>20116</v>
      </c>
      <c r="AC129" t="n" s="8">
        <v>1</v>
      </c>
      <c r="AD129" t="n" s="8">
        <v>60</v>
      </c>
      <c r="AE129" t="n" s="8">
        <v>60</v>
      </c>
      <c r="AF129" t="n" s="8">
        <v>0</v>
      </c>
      <c r="AG129" t="n" s="8">
        <v>0</v>
      </c>
      <c r="AH129" t="str" s="8">
        <v>近战</v>
      </c>
      <c r="AI129" s="8"/>
      <c r="AJ129" s="17"/>
      <c r="AK129" s="8"/>
      <c r="AL129" s="18"/>
      <c r="AM129" t="str" s="8">
        <v>生命值</v>
      </c>
      <c r="AN129" t="n" s="19">
        <v>232800</v>
      </c>
      <c r="AO129" t="str" s="8">
        <v>灵力值</v>
      </c>
      <c r="AP129" t="n" s="8">
        <v>20952</v>
      </c>
      <c r="AQ129" t="str" s="8">
        <v>攻击下限</v>
      </c>
      <c r="AR129" t="n" s="8">
        <v>10476</v>
      </c>
      <c r="AS129" t="str" s="8">
        <v>攻击上限</v>
      </c>
      <c r="AT129" t="n" s="8">
        <v>10476</v>
      </c>
      <c r="AU129" t="str" s="8">
        <v>法力下限</v>
      </c>
      <c r="AV129" t="n" s="8">
        <v>10476</v>
      </c>
      <c r="AW129" t="str" s="8">
        <v>法力上限</v>
      </c>
      <c r="AX129" t="n" s="8">
        <v>10476</v>
      </c>
      <c r="AY129" t="str" s="8">
        <v>物防下限</v>
      </c>
      <c r="AZ129" t="n" s="8">
        <v>3565</v>
      </c>
      <c r="BA129" t="str" s="8">
        <v>物防上限</v>
      </c>
      <c r="BB129" t="n" s="8">
        <v>3565</v>
      </c>
      <c r="BC129" t="str" s="8">
        <v>法防下限</v>
      </c>
      <c r="BD129" t="n" s="8">
        <v>3565</v>
      </c>
      <c r="BE129" t="str" s="8">
        <v>法防上限</v>
      </c>
      <c r="BF129" t="n" s="8">
        <v>3565</v>
      </c>
      <c r="BG129" t="str" s="8">
        <v>移动速度</v>
      </c>
      <c r="BH129" t="n" s="8">
        <v>270</v>
      </c>
      <c r="BI129" t="str" s="8">
        <v>攻击范围</v>
      </c>
      <c r="BJ129" t="n" s="8">
        <v>160</v>
      </c>
      <c r="BK129" t="str" s="8">
        <v>警戒范围</v>
      </c>
      <c r="BL129" t="n" s="8">
        <v>550</v>
      </c>
      <c r="BM129" t="str" s="8">
        <v>攻击间隔</v>
      </c>
      <c r="BN129" t="n" s="8">
        <v>1800</v>
      </c>
      <c r="BO129" t="n" s="8">
        <v>0</v>
      </c>
      <c r="BP129" s="8"/>
      <c r="BQ129" t="n" s="8">
        <v>0</v>
      </c>
      <c r="BR129" t="n" s="8">
        <v>0</v>
      </c>
      <c r="BS129" t="n" s="8">
        <v>0</v>
      </c>
      <c r="BT129" t="n" s="8">
        <v>0</v>
      </c>
      <c r="BU129" t="str" s="8">
        <v>壅浊石的普通遭遇。裂隙渗漏造成的短时魔化，非本区新增裂隙。</v>
      </c>
      <c r="BV129" t="n">
        <v>5</v>
      </c>
      <c r="BW129" t="n">
        <v>8</v>
      </c>
      <c r="BX129" t="str">
        <v>凡品</v>
      </c>
      <c r="BY129" t="str">
        <v>corrupted</v>
      </c>
      <c r="BZ129" t="b">
        <v>0</v>
      </c>
    </row>
    <row r="130" ht="16.5" customHeight="1" spans="2:75">
      <c r="A130"/>
      <c r="B130" t="n" s="8">
        <f>60000000+INDEX(编号表!$B:$B,MATCH(J130,编号表!$A:$A,0))*10000+INDEX(编号表!$B:$B,MATCH(K130,编号表!$C:$C,0))*1000+L130</f>
        <v>60511139</v>
      </c>
      <c r="C130" t="str" s="8">
        <v>a010</v>
      </c>
      <c r="D130" t="str" s="5">
        <v>台缘岩蟹</v>
      </c>
      <c r="E130" t="str" s="5">
        <v>R06-M1-普通-139</v>
      </c>
      <c r="F130" t="n" s="8">
        <v>52</v>
      </c>
      <c r="G130" t="str" s="8">
        <f>INDEX(编号表!$E:$E,MATCH(K130,编号表!$C:$C,0))</f>
        <v>白色</v>
      </c>
      <c r="H130" t="n" s="8">
        <v>6</v>
      </c>
      <c r="I130" t="str" s="8">
        <v>沉岚</v>
      </c>
      <c r="J130" t="str" s="8">
        <v>沉岚</v>
      </c>
      <c r="K130" t="str" s="8">
        <v>普通</v>
      </c>
      <c r="L130" t="n" s="8">
        <v>139</v>
      </c>
      <c r="M130" t="n" s="8">
        <v>139</v>
      </c>
      <c r="N130" t="n" s="8">
        <v>1</v>
      </c>
      <c r="O130" s="8"/>
      <c r="P130" t="n" s="8">
        <v>24</v>
      </c>
      <c r="Q130" t="n" s="8">
        <v>30000</v>
      </c>
      <c r="R130" t="str" s="8">
        <v>首击</v>
      </c>
      <c r="S130" t="n" s="8">
        <v>30000</v>
      </c>
      <c r="T130" t="n" s="8">
        <v>10</v>
      </c>
      <c r="U130" t="n" s="16">
        <v>40900600</v>
      </c>
      <c r="V130" t="n" s="8">
        <v>40910600</v>
      </c>
      <c r="W130" t="n" s="8">
        <v>40920600</v>
      </c>
      <c r="X130" t="n" s="8">
        <v>11000001</v>
      </c>
      <c r="Y130" s="8"/>
      <c r="Z130" s="8"/>
      <c r="AA130" t="str" s="8">
        <v>妖兽</v>
      </c>
      <c r="AB130" s="21">
        <v>20117</v>
      </c>
      <c r="AC130" t="n" s="8">
        <v>1</v>
      </c>
      <c r="AD130" t="n" s="8">
        <v>60</v>
      </c>
      <c r="AE130" t="n" s="8">
        <v>60</v>
      </c>
      <c r="AF130" t="n" s="8">
        <v>0</v>
      </c>
      <c r="AG130" t="n" s="8">
        <v>0</v>
      </c>
      <c r="AH130" t="str" s="8">
        <v>近战</v>
      </c>
      <c r="AI130" s="8"/>
      <c r="AJ130" s="17"/>
      <c r="AK130" s="8"/>
      <c r="AL130" s="18"/>
      <c r="AM130" t="str" s="8">
        <v>生命值</v>
      </c>
      <c r="AN130" t="n" s="19">
        <v>809400</v>
      </c>
      <c r="AO130" t="str" s="8">
        <v>灵力值</v>
      </c>
      <c r="AP130" t="n" s="8">
        <v>63900</v>
      </c>
      <c r="AQ130" t="str" s="8">
        <v>攻击下限</v>
      </c>
      <c r="AR130" t="n" s="8">
        <v>31950</v>
      </c>
      <c r="AS130" t="str" s="8">
        <v>攻击上限</v>
      </c>
      <c r="AT130" t="n" s="8">
        <v>31950</v>
      </c>
      <c r="AU130" t="str" s="8">
        <v>法力下限</v>
      </c>
      <c r="AV130" t="n" s="8">
        <v>31950</v>
      </c>
      <c r="AW130" t="str" s="8">
        <v>法力上限</v>
      </c>
      <c r="AX130" t="n" s="8">
        <v>31950</v>
      </c>
      <c r="AY130" t="str" s="8">
        <v>物防下限</v>
      </c>
      <c r="AZ130" t="n" s="8">
        <v>11076</v>
      </c>
      <c r="BA130" t="str" s="8">
        <v>物防上限</v>
      </c>
      <c r="BB130" t="n" s="8">
        <v>11076</v>
      </c>
      <c r="BC130" t="str" s="8">
        <v>法防下限</v>
      </c>
      <c r="BD130" t="n" s="8">
        <v>11076</v>
      </c>
      <c r="BE130" t="str" s="8">
        <v>法防上限</v>
      </c>
      <c r="BF130" t="n" s="8">
        <v>11076</v>
      </c>
      <c r="BG130" t="str" s="8">
        <v>移动速度</v>
      </c>
      <c r="BH130" t="n" s="8">
        <v>270</v>
      </c>
      <c r="BI130" t="str" s="8">
        <v>攻击范围</v>
      </c>
      <c r="BJ130" t="n" s="8">
        <v>160</v>
      </c>
      <c r="BK130" t="str" s="8">
        <v>警戒范围</v>
      </c>
      <c r="BL130" t="n" s="8">
        <v>550</v>
      </c>
      <c r="BM130" t="str" s="8">
        <v>攻击间隔</v>
      </c>
      <c r="BN130" t="n" s="8">
        <v>1800</v>
      </c>
      <c r="BO130" t="n" s="8">
        <v>0</v>
      </c>
      <c r="BP130" s="8"/>
      <c r="BQ130" t="n" s="8">
        <v>0</v>
      </c>
      <c r="BR130" t="n" s="8">
        <v>0</v>
      </c>
      <c r="BS130" t="n" s="8">
        <v>0</v>
      </c>
      <c r="BT130" t="n" s="8">
        <v>0</v>
      </c>
      <c r="BU130" t="str" s="8">
        <v>沉岚的普通遭遇。依托本区既有水土、岩隙和可达条件活动。</v>
      </c>
      <c r="BV130" t="n">
        <v>6</v>
      </c>
      <c r="BW130" t="n">
        <v>2</v>
      </c>
      <c r="BX130" t="str">
        <v>凡品</v>
      </c>
      <c r="BY130" t="str">
        <v>native</v>
      </c>
      <c r="BZ130" t="b">
        <v>0</v>
      </c>
    </row>
    <row r="131" ht="16.5" customHeight="1" spans="2:75">
      <c r="A131"/>
      <c r="B131" t="n" s="8">
        <f>60000000+INDEX(编号表!$B:$B,MATCH(J131,编号表!$A:$A,0))*10000+INDEX(编号表!$B:$B,MATCH(K131,编号表!$C:$C,0))*1000+L131</f>
        <v>60511140</v>
      </c>
      <c r="C131" t="str" s="8">
        <v>a010</v>
      </c>
      <c r="D131" t="str" s="5">
        <v>雾台灵蝠</v>
      </c>
      <c r="E131" t="str" s="5">
        <v>R06-M1-普通-140</v>
      </c>
      <c r="F131" t="n" s="8">
        <v>52</v>
      </c>
      <c r="G131" t="str" s="8">
        <f>INDEX(编号表!$E:$E,MATCH(K131,编号表!$C:$C,0))</f>
        <v>白色</v>
      </c>
      <c r="H131" t="n" s="8">
        <v>6</v>
      </c>
      <c r="I131" t="str" s="8">
        <v>沉岚</v>
      </c>
      <c r="J131" t="str" s="8">
        <v>沉岚</v>
      </c>
      <c r="K131" t="str" s="8">
        <v>普通</v>
      </c>
      <c r="L131" t="n" s="8">
        <v>140</v>
      </c>
      <c r="M131" t="n" s="8">
        <v>140</v>
      </c>
      <c r="N131" t="n" s="8">
        <v>1</v>
      </c>
      <c r="O131" s="8"/>
      <c r="P131" t="n" s="8">
        <v>24</v>
      </c>
      <c r="Q131" t="n" s="8">
        <v>30000</v>
      </c>
      <c r="R131" t="str" s="8">
        <v>首击</v>
      </c>
      <c r="S131" t="n" s="8">
        <v>30000</v>
      </c>
      <c r="T131" t="n" s="8">
        <v>10</v>
      </c>
      <c r="U131" t="n" s="16">
        <v>40900600</v>
      </c>
      <c r="V131" t="n" s="8">
        <v>40910601</v>
      </c>
      <c r="W131" t="n" s="8">
        <v>40920601</v>
      </c>
      <c r="X131" t="n" s="8">
        <v>11000001</v>
      </c>
      <c r="Y131" s="8"/>
      <c r="Z131" s="8"/>
      <c r="AA131" t="str" s="8">
        <v>妖兽</v>
      </c>
      <c r="AB131" s="21">
        <v>20118</v>
      </c>
      <c r="AC131" t="n" s="8">
        <v>1</v>
      </c>
      <c r="AD131" t="n" s="8">
        <v>60</v>
      </c>
      <c r="AE131" t="n" s="8">
        <v>60</v>
      </c>
      <c r="AF131" t="n" s="8">
        <v>0</v>
      </c>
      <c r="AG131" t="n" s="8">
        <v>0</v>
      </c>
      <c r="AH131" t="str" s="8">
        <v>近战</v>
      </c>
      <c r="AI131"/>
      <c r="AJ131" s="17"/>
      <c r="AK131" s="8"/>
      <c r="AL131" s="18"/>
      <c r="AM131" t="str" s="8">
        <v>生命值</v>
      </c>
      <c r="AN131" t="n" s="19">
        <v>809400</v>
      </c>
      <c r="AO131" t="str" s="8">
        <v>灵力值</v>
      </c>
      <c r="AP131" t="n" s="8">
        <v>63900</v>
      </c>
      <c r="AQ131" t="str" s="8">
        <v>攻击下限</v>
      </c>
      <c r="AR131" t="n" s="8">
        <v>31950</v>
      </c>
      <c r="AS131" t="str" s="8">
        <v>攻击上限</v>
      </c>
      <c r="AT131" t="n" s="8">
        <v>31950</v>
      </c>
      <c r="AU131" t="str" s="8">
        <v>法力下限</v>
      </c>
      <c r="AV131" t="n" s="8">
        <v>31950</v>
      </c>
      <c r="AW131" t="str" s="8">
        <v>法力上限</v>
      </c>
      <c r="AX131" t="n" s="8">
        <v>31950</v>
      </c>
      <c r="AY131" t="str" s="8">
        <v>物防下限</v>
      </c>
      <c r="AZ131" t="n" s="8">
        <v>11076</v>
      </c>
      <c r="BA131" t="str" s="8">
        <v>物防上限</v>
      </c>
      <c r="BB131" t="n" s="8">
        <v>11076</v>
      </c>
      <c r="BC131" t="str" s="8">
        <v>法防下限</v>
      </c>
      <c r="BD131" t="n" s="8">
        <v>11076</v>
      </c>
      <c r="BE131" t="str" s="8">
        <v>法防上限</v>
      </c>
      <c r="BF131" t="n" s="8">
        <v>11076</v>
      </c>
      <c r="BG131" t="str" s="8">
        <v>移动速度</v>
      </c>
      <c r="BH131" t="n" s="8">
        <v>270</v>
      </c>
      <c r="BI131" t="str" s="8">
        <v>攻击范围</v>
      </c>
      <c r="BJ131" t="n" s="8">
        <v>160</v>
      </c>
      <c r="BK131" t="str" s="8">
        <v>警戒范围</v>
      </c>
      <c r="BL131" t="n" s="8">
        <v>550</v>
      </c>
      <c r="BM131" t="str" s="8">
        <v>攻击间隔</v>
      </c>
      <c r="BN131" t="n" s="8">
        <v>1800</v>
      </c>
      <c r="BO131" t="n" s="8">
        <v>0</v>
      </c>
      <c r="BP131" s="8"/>
      <c r="BQ131" t="n" s="8">
        <v>0</v>
      </c>
      <c r="BR131" t="n" s="8">
        <v>0</v>
      </c>
      <c r="BS131" t="n" s="8">
        <v>0</v>
      </c>
      <c r="BT131" t="n" s="8">
        <v>0</v>
      </c>
      <c r="BU131" t="str" s="8">
        <v>沉岚的普通遭遇。依托本区既有水土、岩隙和可达条件活动。</v>
      </c>
      <c r="BV131" t="n">
        <v>6</v>
      </c>
      <c r="BW131" t="n">
        <v>2</v>
      </c>
      <c r="BX131" t="str">
        <v>凡品</v>
      </c>
      <c r="BY131" t="str">
        <v>native</v>
      </c>
      <c r="BZ131" t="b">
        <v>0</v>
      </c>
    </row>
    <row r="132" ht="16.5" customHeight="1" spans="2:75">
      <c r="A132"/>
      <c r="B132" t="n" s="8">
        <f>60000000+INDEX(编号表!$B:$B,MATCH(J132,编号表!$A:$A,0))*10000+INDEX(编号表!$B:$B,MATCH(K132,编号表!$C:$C,0))*1000+L132</f>
        <v>60512141</v>
      </c>
      <c r="C132" t="str" s="8">
        <v>a010</v>
      </c>
      <c r="D132" t="str" s="5">
        <v>悬岩灵狼·异种</v>
      </c>
      <c r="E132" t="str" s="5">
        <v>R06-M1-精英-141</v>
      </c>
      <c r="F132" t="n" s="8">
        <v>52</v>
      </c>
      <c r="G132" t="str" s="8">
        <f>INDEX(编号表!$E:$E,MATCH(K132,编号表!$C:$C,0))</f>
        <v>绿色</v>
      </c>
      <c r="H132" t="n" s="8">
        <v>6</v>
      </c>
      <c r="I132" t="str" s="8">
        <v>沉岚</v>
      </c>
      <c r="J132" t="str" s="8">
        <v>沉岚</v>
      </c>
      <c r="K132" t="str" s="8">
        <v>精英</v>
      </c>
      <c r="L132" t="n" s="8">
        <v>141</v>
      </c>
      <c r="M132" t="n" s="8">
        <v>141</v>
      </c>
      <c r="N132" t="n" s="8">
        <v>3</v>
      </c>
      <c r="O132" s="8"/>
      <c r="P132" t="n" s="8">
        <v>40</v>
      </c>
      <c r="Q132" t="n" s="8">
        <v>180000</v>
      </c>
      <c r="R132" t="str" s="8">
        <v>首击</v>
      </c>
      <c r="S132" t="n" s="8">
        <v>30000</v>
      </c>
      <c r="T132" t="n" s="8">
        <v>11</v>
      </c>
      <c r="U132" t="n" s="16">
        <v>40900601</v>
      </c>
      <c r="V132" t="n" s="8">
        <v>41120602</v>
      </c>
      <c r="W132" t="n" s="8">
        <v>41220600</v>
      </c>
      <c r="X132" t="n" s="8">
        <v>11000001</v>
      </c>
      <c r="Y132" s="8"/>
      <c r="Z132" s="8"/>
      <c r="AA132" t="str" s="8">
        <v>妖兽</v>
      </c>
      <c r="AB132" s="21">
        <v>20119</v>
      </c>
      <c r="AC132" t="n" s="8">
        <v>1.25</v>
      </c>
      <c r="AD132" t="n" s="8">
        <v>60</v>
      </c>
      <c r="AE132" t="n" s="8">
        <v>60</v>
      </c>
      <c r="AF132" t="n" s="8">
        <v>0</v>
      </c>
      <c r="AG132" t="n" s="8">
        <v>0</v>
      </c>
      <c r="AH132" t="str" s="8">
        <v>近战</v>
      </c>
      <c r="AI132" s="8"/>
      <c r="AJ132" s="17"/>
      <c r="AK132" s="8"/>
      <c r="AL132" s="18"/>
      <c r="AM132" t="str" s="8">
        <v>生命值</v>
      </c>
      <c r="AN132" t="n" s="19">
        <v>2266320</v>
      </c>
      <c r="AO132" t="str" s="8">
        <v>灵力值</v>
      </c>
      <c r="AP132" t="n" s="8">
        <v>92656</v>
      </c>
      <c r="AQ132" t="str" s="8">
        <v>攻击下限</v>
      </c>
      <c r="AR132" t="n" s="8">
        <v>46328</v>
      </c>
      <c r="AS132" t="str" s="8">
        <v>攻击上限</v>
      </c>
      <c r="AT132" t="n" s="8">
        <v>46328</v>
      </c>
      <c r="AU132" t="str" s="8">
        <v>法力下限</v>
      </c>
      <c r="AV132" t="n" s="8">
        <v>46328</v>
      </c>
      <c r="AW132" t="str" s="8">
        <v>法力上限</v>
      </c>
      <c r="AX132" t="n" s="8">
        <v>46328</v>
      </c>
      <c r="AY132" t="str" s="8">
        <v>物防下限</v>
      </c>
      <c r="AZ132" t="n" s="8">
        <v>13291</v>
      </c>
      <c r="BA132" t="str" s="8">
        <v>物防上限</v>
      </c>
      <c r="BB132" t="n" s="8">
        <v>13291</v>
      </c>
      <c r="BC132" t="str" s="8">
        <v>法防下限</v>
      </c>
      <c r="BD132" t="n" s="8">
        <v>13291</v>
      </c>
      <c r="BE132" t="str" s="8">
        <v>法防上限</v>
      </c>
      <c r="BF132" t="n" s="8">
        <v>13291</v>
      </c>
      <c r="BG132" t="str" s="8">
        <v>移动速度</v>
      </c>
      <c r="BH132" t="n" s="8">
        <v>270</v>
      </c>
      <c r="BI132" t="str" s="8">
        <v>攻击范围</v>
      </c>
      <c r="BJ132" t="n" s="8">
        <v>160</v>
      </c>
      <c r="BK132" t="str" s="8">
        <v>警戒范围</v>
      </c>
      <c r="BL132" t="n" s="8">
        <v>550</v>
      </c>
      <c r="BM132" t="str" s="8">
        <v>攻击间隔</v>
      </c>
      <c r="BN132" t="n" s="8">
        <v>1800</v>
      </c>
      <c r="BO132" t="n" s="8">
        <v>0</v>
      </c>
      <c r="BP132" s="8"/>
      <c r="BQ132" t="n" s="8">
        <v>0</v>
      </c>
      <c r="BR132" t="n" s="8">
        <v>0</v>
      </c>
      <c r="BS132" t="n" s="8">
        <v>0</v>
      </c>
      <c r="BT132" t="n" s="8">
        <v>0</v>
      </c>
      <c r="BU132" t="str" s="8">
        <v>沉岚的精英遭遇。依托本区既有水土、岩隙和可达条件活动。</v>
      </c>
      <c r="BV132" t="n">
        <v>6</v>
      </c>
      <c r="BW132" t="n">
        <v>2</v>
      </c>
      <c r="BX132" t="str">
        <v>玄品</v>
      </c>
      <c r="BY132" t="str">
        <v>native</v>
      </c>
      <c r="BZ132" t="b">
        <v>0</v>
      </c>
    </row>
    <row r="133" ht="16.5" customHeight="1" spans="2:75">
      <c r="A133"/>
      <c r="B133" t="n" s="8">
        <f>60000000+INDEX(编号表!$B:$B,MATCH(J133,编号表!$A:$A,0))*10000+INDEX(编号表!$B:$B,MATCH(K133,编号表!$C:$C,0))*1000+L133</f>
        <v>60521142</v>
      </c>
      <c r="C133" t="str" s="8">
        <v>a010</v>
      </c>
      <c r="D133" t="str" s="5">
        <v>暗角灵蛇</v>
      </c>
      <c r="E133" t="str" s="5">
        <v>R06-M2-普通-142</v>
      </c>
      <c r="F133" t="n" s="8">
        <v>55</v>
      </c>
      <c r="G133" t="str" s="8">
        <f>INDEX(编号表!$E:$E,MATCH(K133,编号表!$C:$C,0))</f>
        <v>白色</v>
      </c>
      <c r="H133" t="n" s="8">
        <v>6</v>
      </c>
      <c r="I133" t="str" s="8">
        <v>悬晖</v>
      </c>
      <c r="J133" t="str" s="8">
        <v>悬晖</v>
      </c>
      <c r="K133" t="str" s="8">
        <v>普通</v>
      </c>
      <c r="L133" t="n" s="8">
        <v>142</v>
      </c>
      <c r="M133" t="n" s="8">
        <v>142</v>
      </c>
      <c r="N133" t="n" s="8">
        <v>1</v>
      </c>
      <c r="O133" s="8"/>
      <c r="P133" t="n" s="8">
        <v>24</v>
      </c>
      <c r="Q133" t="n" s="8">
        <v>30000</v>
      </c>
      <c r="R133" t="str" s="8">
        <v>首击</v>
      </c>
      <c r="S133" t="n" s="8">
        <v>30000</v>
      </c>
      <c r="T133" t="n" s="8">
        <v>10</v>
      </c>
      <c r="U133" t="n" s="16">
        <v>40900600</v>
      </c>
      <c r="V133" t="n" s="8">
        <v>40910603</v>
      </c>
      <c r="W133" t="n" s="8">
        <v>40920601</v>
      </c>
      <c r="X133" t="n" s="8">
        <v>11000001</v>
      </c>
      <c r="Y133" s="8"/>
      <c r="Z133" s="8"/>
      <c r="AA133" t="str" s="8">
        <v>妖兽</v>
      </c>
      <c r="AB133" s="21">
        <v>20120</v>
      </c>
      <c r="AC133" t="n" s="8">
        <v>1</v>
      </c>
      <c r="AD133" t="n" s="8">
        <v>60</v>
      </c>
      <c r="AE133" t="n" s="8">
        <v>60</v>
      </c>
      <c r="AF133" t="n" s="8">
        <v>0</v>
      </c>
      <c r="AG133" t="n" s="8">
        <v>0</v>
      </c>
      <c r="AH133" t="str" s="8">
        <v>近战</v>
      </c>
      <c r="AI133" s="8"/>
      <c r="AJ133" s="17"/>
      <c r="AK133" s="8"/>
      <c r="AL133" s="18"/>
      <c r="AM133" t="str" s="8">
        <v>生命值</v>
      </c>
      <c r="AN133" t="n" s="19">
        <v>957600</v>
      </c>
      <c r="AO133" t="str" s="8">
        <v>灵力值</v>
      </c>
      <c r="AP133" t="n" s="8">
        <v>75600</v>
      </c>
      <c r="AQ133" t="str" s="8">
        <v>攻击下限</v>
      </c>
      <c r="AR133" t="n" s="8">
        <v>37800</v>
      </c>
      <c r="AS133" t="str" s="8">
        <v>攻击上限</v>
      </c>
      <c r="AT133" t="n" s="8">
        <v>37800</v>
      </c>
      <c r="AU133" t="str" s="8">
        <v>法力下限</v>
      </c>
      <c r="AV133" t="n" s="8">
        <v>37800</v>
      </c>
      <c r="AW133" t="str" s="8">
        <v>法力上限</v>
      </c>
      <c r="AX133" t="n" s="8">
        <v>37800</v>
      </c>
      <c r="AY133" t="str" s="8">
        <v>物防下限</v>
      </c>
      <c r="AZ133" t="n" s="8">
        <v>13104</v>
      </c>
      <c r="BA133" t="str" s="8">
        <v>物防上限</v>
      </c>
      <c r="BB133" t="n" s="8">
        <v>13104</v>
      </c>
      <c r="BC133" t="str" s="8">
        <v>法防下限</v>
      </c>
      <c r="BD133" t="n" s="8">
        <v>13104</v>
      </c>
      <c r="BE133" t="str" s="8">
        <v>法防上限</v>
      </c>
      <c r="BF133" t="n" s="8">
        <v>13104</v>
      </c>
      <c r="BG133" t="str" s="8">
        <v>移动速度</v>
      </c>
      <c r="BH133" t="n" s="8">
        <v>270</v>
      </c>
      <c r="BI133" t="str" s="8">
        <v>攻击范围</v>
      </c>
      <c r="BJ133" t="n" s="8">
        <v>160</v>
      </c>
      <c r="BK133" t="str" s="8">
        <v>警戒范围</v>
      </c>
      <c r="BL133" t="n" s="8">
        <v>550</v>
      </c>
      <c r="BM133" t="str" s="8">
        <v>攻击间隔</v>
      </c>
      <c r="BN133" t="n" s="8">
        <v>1800</v>
      </c>
      <c r="BO133" t="n" s="8">
        <v>0</v>
      </c>
      <c r="BP133" s="8"/>
      <c r="BQ133" t="n" s="8">
        <v>0</v>
      </c>
      <c r="BR133" t="n" s="8">
        <v>0</v>
      </c>
      <c r="BS133" t="n" s="8">
        <v>0</v>
      </c>
      <c r="BT133" t="n" s="8">
        <v>0</v>
      </c>
      <c r="BU133" t="str" s="8">
        <v>悬晖的普通遭遇。依托本区既有水土、岩隙和可达条件活动。</v>
      </c>
      <c r="BV133" t="n">
        <v>6</v>
      </c>
      <c r="BW133" t="n">
        <v>5</v>
      </c>
      <c r="BX133" t="str">
        <v>凡品</v>
      </c>
      <c r="BY133" t="str">
        <v>native</v>
      </c>
      <c r="BZ133" t="b">
        <v>0</v>
      </c>
    </row>
    <row r="134" ht="16.5" customHeight="1" spans="2:75">
      <c r="A134"/>
      <c r="B134" t="n" s="8">
        <f>60000000+INDEX(编号表!$B:$B,MATCH(J134,编号表!$A:$A,0))*10000+INDEX(编号表!$B:$B,MATCH(K134,编号表!$C:$C,0))*1000+L134</f>
        <v>60522143</v>
      </c>
      <c r="C134" t="str" s="8">
        <v>a010</v>
      </c>
      <c r="D134" t="str" s="5">
        <v>台缘岩蟹·异种</v>
      </c>
      <c r="E134" t="str" s="5">
        <v>R06-M2-精英-143</v>
      </c>
      <c r="F134" t="n" s="8">
        <v>55</v>
      </c>
      <c r="G134" t="str" s="8">
        <f>INDEX(编号表!$E:$E,MATCH(K134,编号表!$C:$C,0))</f>
        <v>绿色</v>
      </c>
      <c r="H134" t="n" s="8">
        <v>6</v>
      </c>
      <c r="I134" t="str" s="8">
        <v>悬晖</v>
      </c>
      <c r="J134" t="str" s="8">
        <v>悬晖</v>
      </c>
      <c r="K134" t="str" s="8">
        <v>精英</v>
      </c>
      <c r="L134" t="n" s="8">
        <v>143</v>
      </c>
      <c r="M134" t="n" s="8">
        <v>143</v>
      </c>
      <c r="N134" t="n" s="8">
        <v>3</v>
      </c>
      <c r="O134" s="8"/>
      <c r="P134" t="n" s="8">
        <v>40</v>
      </c>
      <c r="Q134" t="n" s="8">
        <v>180000</v>
      </c>
      <c r="R134" t="str" s="8">
        <v>首击</v>
      </c>
      <c r="S134" t="n" s="8">
        <v>30000</v>
      </c>
      <c r="T134" t="n" s="8">
        <v>11</v>
      </c>
      <c r="U134" t="n" s="16">
        <v>40900601</v>
      </c>
      <c r="V134" t="n" s="8">
        <v>41120604</v>
      </c>
      <c r="W134" t="n" s="8">
        <v>41220600</v>
      </c>
      <c r="X134" t="n" s="8">
        <v>11000001</v>
      </c>
      <c r="Y134" s="8"/>
      <c r="Z134" s="8"/>
      <c r="AA134" t="str" s="8">
        <v>妖兽</v>
      </c>
      <c r="AB134" s="21">
        <v>20121</v>
      </c>
      <c r="AC134" t="n" s="8">
        <v>1.25</v>
      </c>
      <c r="AD134" t="n" s="8">
        <v>60</v>
      </c>
      <c r="AE134" t="n" s="8">
        <v>60</v>
      </c>
      <c r="AF134" t="n" s="8">
        <v>0</v>
      </c>
      <c r="AG134" t="n" s="8">
        <v>0</v>
      </c>
      <c r="AH134" t="str" s="8">
        <v>近战</v>
      </c>
      <c r="AI134" s="8"/>
      <c r="AJ134" s="17"/>
      <c r="AK134" s="8"/>
      <c r="AL134" s="18"/>
      <c r="AM134" t="str" s="8">
        <v>生命值</v>
      </c>
      <c r="AN134" t="n" s="19">
        <v>2681280</v>
      </c>
      <c r="AO134" t="str" s="8">
        <v>灵力值</v>
      </c>
      <c r="AP134" t="n" s="8">
        <v>109620</v>
      </c>
      <c r="AQ134" t="str" s="8">
        <v>攻击下限</v>
      </c>
      <c r="AR134" t="n" s="8">
        <v>54810</v>
      </c>
      <c r="AS134" t="str" s="8">
        <v>攻击上限</v>
      </c>
      <c r="AT134" t="n" s="8">
        <v>54810</v>
      </c>
      <c r="AU134" t="str" s="8">
        <v>法力下限</v>
      </c>
      <c r="AV134" t="n" s="8">
        <v>54810</v>
      </c>
      <c r="AW134" t="str" s="8">
        <v>法力上限</v>
      </c>
      <c r="AX134" t="n" s="8">
        <v>54810</v>
      </c>
      <c r="AY134" t="str" s="8">
        <v>物防下限</v>
      </c>
      <c r="AZ134" t="n" s="8">
        <v>15725</v>
      </c>
      <c r="BA134" t="str" s="8">
        <v>物防上限</v>
      </c>
      <c r="BB134" t="n" s="8">
        <v>15725</v>
      </c>
      <c r="BC134" t="str" s="8">
        <v>法防下限</v>
      </c>
      <c r="BD134" t="n" s="8">
        <v>15725</v>
      </c>
      <c r="BE134" t="str" s="8">
        <v>法防上限</v>
      </c>
      <c r="BF134" t="n" s="8">
        <v>15725</v>
      </c>
      <c r="BG134" t="str" s="8">
        <v>移动速度</v>
      </c>
      <c r="BH134" t="n" s="8">
        <v>270</v>
      </c>
      <c r="BI134" t="str" s="8">
        <v>攻击范围</v>
      </c>
      <c r="BJ134" t="n" s="8">
        <v>160</v>
      </c>
      <c r="BK134" t="str" s="8">
        <v>警戒范围</v>
      </c>
      <c r="BL134" t="n" s="8">
        <v>550</v>
      </c>
      <c r="BM134" t="str" s="8">
        <v>攻击间隔</v>
      </c>
      <c r="BN134" t="n" s="8">
        <v>1800</v>
      </c>
      <c r="BO134" t="n" s="8">
        <v>0</v>
      </c>
      <c r="BP134" s="8"/>
      <c r="BQ134" t="n" s="8">
        <v>0</v>
      </c>
      <c r="BR134" t="n" s="8">
        <v>0</v>
      </c>
      <c r="BS134" t="n" s="8">
        <v>0</v>
      </c>
      <c r="BT134" t="n" s="8">
        <v>0</v>
      </c>
      <c r="BU134" t="str" s="8">
        <v>悬晖的精英遭遇。依托本区既有水土、岩隙和可达条件活动。</v>
      </c>
      <c r="BV134" t="n">
        <v>6</v>
      </c>
      <c r="BW134" t="n">
        <v>5</v>
      </c>
      <c r="BX134" t="str">
        <v>玄品</v>
      </c>
      <c r="BY134" t="str">
        <v>native</v>
      </c>
      <c r="BZ134" t="b">
        <v>0</v>
      </c>
    </row>
    <row r="135" ht="16.5" customHeight="1" spans="2:75">
      <c r="A135"/>
      <c r="B135" t="n" s="8">
        <f>60000000+INDEX(编号表!$B:$B,MATCH(J135,编号表!$A:$A,0))*10000+INDEX(编号表!$B:$B,MATCH(K135,编号表!$C:$C,0))*1000+L135</f>
        <v>60524144</v>
      </c>
      <c r="C135" t="str" s="8">
        <v>a010</v>
      </c>
      <c r="D135" t="str" s="5">
        <v>雾台灵蝠·首领</v>
      </c>
      <c r="E135" t="str" s="5">
        <v>R06-M2-BOSS-144</v>
      </c>
      <c r="F135" t="n" s="8">
        <v>55</v>
      </c>
      <c r="G135" t="str" s="8">
        <f>INDEX(编号表!$E:$E,MATCH(K135,编号表!$C:$C,0))</f>
        <v>橙色</v>
      </c>
      <c r="H135" t="n" s="8">
        <v>6</v>
      </c>
      <c r="I135" t="str" s="8">
        <v>悬晖</v>
      </c>
      <c r="J135" t="str" s="8">
        <v>悬晖</v>
      </c>
      <c r="K135" t="str" s="8">
        <v>BOSS</v>
      </c>
      <c r="L135" t="n" s="8">
        <v>144</v>
      </c>
      <c r="M135" t="n" s="8">
        <v>144</v>
      </c>
      <c r="N135" t="n" s="8">
        <v>5</v>
      </c>
      <c r="O135" s="8"/>
      <c r="P135" t="n" s="8">
        <v>40</v>
      </c>
      <c r="Q135" t="n" s="8">
        <v>900000</v>
      </c>
      <c r="R135" t="str" s="8">
        <v>首击</v>
      </c>
      <c r="S135" t="n" s="8">
        <v>30000</v>
      </c>
      <c r="T135" t="n" s="8">
        <v>12</v>
      </c>
      <c r="U135" t="n" s="16">
        <v>40900602</v>
      </c>
      <c r="V135" t="n" s="8">
        <v>41130605</v>
      </c>
      <c r="W135" t="n" s="8">
        <v>41230601</v>
      </c>
      <c r="X135" t="n" s="8">
        <v>11000001</v>
      </c>
      <c r="Y135" s="8"/>
      <c r="Z135" s="8"/>
      <c r="AA135" t="str" s="8">
        <v>妖兽</v>
      </c>
      <c r="AB135" s="21">
        <v>20122</v>
      </c>
      <c r="AC135" t="n" s="8">
        <v>1.6</v>
      </c>
      <c r="AD135" t="n" s="8">
        <v>60</v>
      </c>
      <c r="AE135" t="n" s="8">
        <v>60</v>
      </c>
      <c r="AF135" t="n" s="8">
        <v>0</v>
      </c>
      <c r="AG135" t="n" s="8">
        <v>0</v>
      </c>
      <c r="AH135" t="str" s="8">
        <v>近战</v>
      </c>
      <c r="AI135" s="8"/>
      <c r="AJ135" s="17"/>
      <c r="AK135" s="8"/>
      <c r="AL135" s="18"/>
      <c r="AM135" t="str" s="8">
        <v>生命值</v>
      </c>
      <c r="AN135" t="n" s="19">
        <v>9576000</v>
      </c>
      <c r="AO135" t="str" s="8">
        <v>灵力值</v>
      </c>
      <c r="AP135" t="n" s="8">
        <v>158760</v>
      </c>
      <c r="AQ135" t="str" s="8">
        <v>攻击下限</v>
      </c>
      <c r="AR135" t="n" s="8">
        <v>79380</v>
      </c>
      <c r="AS135" t="str" s="8">
        <v>攻击上限</v>
      </c>
      <c r="AT135" t="n" s="8">
        <v>79380</v>
      </c>
      <c r="AU135" t="str" s="8">
        <v>法力下限</v>
      </c>
      <c r="AV135" t="n" s="8">
        <v>79380</v>
      </c>
      <c r="AW135" t="str" s="8">
        <v>法力上限</v>
      </c>
      <c r="AX135" t="n" s="8">
        <v>79380</v>
      </c>
      <c r="AY135" t="str" s="8">
        <v>物防下限</v>
      </c>
      <c r="AZ135" t="n" s="8">
        <v>19656</v>
      </c>
      <c r="BA135" t="str" s="8">
        <v>物防上限</v>
      </c>
      <c r="BB135" t="n" s="8">
        <v>19656</v>
      </c>
      <c r="BC135" t="str" s="8">
        <v>法防下限</v>
      </c>
      <c r="BD135" t="n" s="8">
        <v>19656</v>
      </c>
      <c r="BE135" t="str" s="8">
        <v>法防上限</v>
      </c>
      <c r="BF135" t="n" s="8">
        <v>19656</v>
      </c>
      <c r="BG135" t="str" s="8">
        <v>移动速度</v>
      </c>
      <c r="BH135" t="n" s="8">
        <v>270</v>
      </c>
      <c r="BI135" t="str" s="8">
        <v>攻击范围</v>
      </c>
      <c r="BJ135" t="n" s="8">
        <v>160</v>
      </c>
      <c r="BK135" t="str" s="8">
        <v>警戒范围</v>
      </c>
      <c r="BL135" t="n" s="8">
        <v>700</v>
      </c>
      <c r="BM135" t="str" s="8">
        <v>攻击间隔</v>
      </c>
      <c r="BN135" t="n" s="8">
        <v>2200</v>
      </c>
      <c r="BO135" t="n" s="8">
        <v>0</v>
      </c>
      <c r="BP135" s="8"/>
      <c r="BQ135" t="n" s="8">
        <v>0</v>
      </c>
      <c r="BR135" t="n" s="8">
        <v>0</v>
      </c>
      <c r="BS135" t="n" s="8">
        <v>0</v>
      </c>
      <c r="BT135" t="n" s="8">
        <v>0</v>
      </c>
      <c r="BU135" t="str" s="8">
        <v>悬晖的BOSS遭遇。依托本区既有水土、岩隙和可达条件活动。</v>
      </c>
      <c r="BV135" t="n">
        <v>6</v>
      </c>
      <c r="BW135" t="n">
        <v>5</v>
      </c>
      <c r="BX135" t="str">
        <v>仙品</v>
      </c>
      <c r="BY135" t="str">
        <v>native</v>
      </c>
      <c r="BZ135" t="b">
        <v>1</v>
      </c>
    </row>
    <row r="136" ht="16.5" customHeight="1" spans="2:75">
      <c r="A136"/>
      <c r="B136" t="n" s="8">
        <f>60000000+INDEX(编号表!$B:$B,MATCH(J136,编号表!$A:$A,0))*10000+INDEX(编号表!$B:$B,MATCH(K136,编号表!$C:$C,0))*1000+L136</f>
        <v>60531145</v>
      </c>
      <c r="C136" t="str" s="8">
        <v>a010</v>
      </c>
      <c r="D136" t="str" s="5">
        <v>悬岩灵狼</v>
      </c>
      <c r="E136" t="str" s="5">
        <v>R06-M3-普通-145</v>
      </c>
      <c r="F136" t="n" s="8">
        <v>58</v>
      </c>
      <c r="G136" t="str" s="8">
        <f>INDEX(编号表!$E:$E,MATCH(K136,编号表!$C:$C,0))</f>
        <v>白色</v>
      </c>
      <c r="H136" t="n" s="8">
        <v>6</v>
      </c>
      <c r="I136" t="str" s="8">
        <v>隐翳</v>
      </c>
      <c r="J136" t="str" s="8">
        <v>隐翳</v>
      </c>
      <c r="K136" t="str" s="8">
        <v>普通</v>
      </c>
      <c r="L136" t="n" s="8">
        <v>145</v>
      </c>
      <c r="M136" t="n" s="8">
        <v>145</v>
      </c>
      <c r="N136" t="n" s="8">
        <v>1</v>
      </c>
      <c r="O136" s="8"/>
      <c r="P136" t="n" s="8">
        <v>24</v>
      </c>
      <c r="Q136" t="n" s="8">
        <v>30000</v>
      </c>
      <c r="R136" t="str" s="8">
        <v>首击</v>
      </c>
      <c r="S136" t="n" s="8">
        <v>30000</v>
      </c>
      <c r="T136" t="n" s="8">
        <v>10</v>
      </c>
      <c r="U136" t="n" s="16">
        <v>40900600</v>
      </c>
      <c r="V136" t="n" s="8">
        <v>40910606</v>
      </c>
      <c r="W136" t="n" s="8">
        <v>40920600</v>
      </c>
      <c r="X136" t="n" s="8">
        <v>11000001</v>
      </c>
      <c r="Y136" s="8"/>
      <c r="Z136" s="8"/>
      <c r="AA136" t="str" s="8">
        <v>妖兽</v>
      </c>
      <c r="AB136" s="21">
        <v>20123</v>
      </c>
      <c r="AC136" t="n" s="8">
        <v>1</v>
      </c>
      <c r="AD136" t="n" s="8">
        <v>60</v>
      </c>
      <c r="AE136" t="n" s="8">
        <v>60</v>
      </c>
      <c r="AF136" t="n" s="8">
        <v>0</v>
      </c>
      <c r="AG136" t="n" s="8">
        <v>0</v>
      </c>
      <c r="AH136" t="str" s="8">
        <v>近战</v>
      </c>
      <c r="AI136"/>
      <c r="AJ136" s="17"/>
      <c r="AK136" s="8"/>
      <c r="AL136" s="18"/>
      <c r="AM136" t="str" s="8">
        <v>生命值</v>
      </c>
      <c r="AN136" t="n" s="19">
        <v>1105800</v>
      </c>
      <c r="AO136" t="str" s="8">
        <v>灵力值</v>
      </c>
      <c r="AP136" t="n" s="8">
        <v>87300</v>
      </c>
      <c r="AQ136" t="str" s="8">
        <v>攻击下限</v>
      </c>
      <c r="AR136" t="n" s="8">
        <v>43650</v>
      </c>
      <c r="AS136" t="str" s="8">
        <v>攻击上限</v>
      </c>
      <c r="AT136" t="n" s="8">
        <v>43650</v>
      </c>
      <c r="AU136" t="str" s="8">
        <v>法力下限</v>
      </c>
      <c r="AV136" t="n" s="8">
        <v>43650</v>
      </c>
      <c r="AW136" t="str" s="8">
        <v>法力上限</v>
      </c>
      <c r="AX136" t="n" s="8">
        <v>43650</v>
      </c>
      <c r="AY136" t="str" s="8">
        <v>物防下限</v>
      </c>
      <c r="AZ136" t="n" s="8">
        <v>15132</v>
      </c>
      <c r="BA136" t="str" s="8">
        <v>物防上限</v>
      </c>
      <c r="BB136" t="n" s="8">
        <v>15132</v>
      </c>
      <c r="BC136" t="str" s="8">
        <v>法防下限</v>
      </c>
      <c r="BD136" t="n" s="8">
        <v>15132</v>
      </c>
      <c r="BE136" t="str" s="8">
        <v>法防上限</v>
      </c>
      <c r="BF136" t="n" s="8">
        <v>15132</v>
      </c>
      <c r="BG136" t="str" s="8">
        <v>移动速度</v>
      </c>
      <c r="BH136" t="n" s="8">
        <v>270</v>
      </c>
      <c r="BI136" t="str" s="8">
        <v>攻击范围</v>
      </c>
      <c r="BJ136" t="n" s="8">
        <v>160</v>
      </c>
      <c r="BK136" t="str" s="8">
        <v>警戒范围</v>
      </c>
      <c r="BL136" t="n" s="8">
        <v>550</v>
      </c>
      <c r="BM136" t="str" s="8">
        <v>攻击间隔</v>
      </c>
      <c r="BN136" t="n" s="8">
        <v>1800</v>
      </c>
      <c r="BO136" t="n" s="8">
        <v>0</v>
      </c>
      <c r="BP136" s="8"/>
      <c r="BQ136" t="n" s="8">
        <v>0</v>
      </c>
      <c r="BR136" t="n" s="8">
        <v>0</v>
      </c>
      <c r="BS136" t="n" s="8">
        <v>0</v>
      </c>
      <c r="BT136" t="n" s="8">
        <v>0</v>
      </c>
      <c r="BU136" t="str" s="8">
        <v>隐翳的普通遭遇。依托本区既有水土、岩隙和可达条件活动。</v>
      </c>
      <c r="BV136" t="n">
        <v>6</v>
      </c>
      <c r="BW136" t="n">
        <v>8</v>
      </c>
      <c r="BX136" t="str">
        <v>凡品</v>
      </c>
      <c r="BY136" t="str">
        <v>native</v>
      </c>
      <c r="BZ136" t="b">
        <v>0</v>
      </c>
    </row>
    <row r="137" ht="16.5" customHeight="1" spans="2:75">
      <c r="A137"/>
      <c r="B137" t="n" s="8">
        <f>60000000+INDEX(编号表!$B:$B,MATCH(J137,编号表!$A:$A,0))*10000+INDEX(编号表!$B:$B,MATCH(K137,编号表!$C:$C,0))*1000+L137</f>
        <v>60531146</v>
      </c>
      <c r="C137" t="str" s="8">
        <v>a010</v>
      </c>
      <c r="D137" t="str" s="5">
        <v>暗角灵蛇</v>
      </c>
      <c r="E137" t="str" s="5">
        <v>R06-M3-普通-146</v>
      </c>
      <c r="F137" t="n" s="8">
        <v>58</v>
      </c>
      <c r="G137" t="str" s="8">
        <f>INDEX(编号表!$E:$E,MATCH(K137,编号表!$C:$C,0))</f>
        <v>白色</v>
      </c>
      <c r="H137" t="n" s="8">
        <v>6</v>
      </c>
      <c r="I137" t="str" s="8">
        <v>隐翳</v>
      </c>
      <c r="J137" t="str" s="8">
        <v>隐翳</v>
      </c>
      <c r="K137" t="str" s="8">
        <v>普通</v>
      </c>
      <c r="L137" t="n" s="8">
        <v>146</v>
      </c>
      <c r="M137" t="n" s="8">
        <v>146</v>
      </c>
      <c r="N137" t="n" s="8">
        <v>1</v>
      </c>
      <c r="O137" s="8"/>
      <c r="P137" t="n" s="8">
        <v>24</v>
      </c>
      <c r="Q137" t="n" s="8">
        <v>30000</v>
      </c>
      <c r="R137" t="str" s="8">
        <v>首击</v>
      </c>
      <c r="S137" t="n" s="8">
        <v>30000</v>
      </c>
      <c r="T137" t="n" s="8">
        <v>10</v>
      </c>
      <c r="U137" t="n" s="16">
        <v>40900600</v>
      </c>
      <c r="V137" t="n" s="8">
        <v>40910607</v>
      </c>
      <c r="W137" t="n" s="8">
        <v>40920601</v>
      </c>
      <c r="X137" t="n" s="8">
        <v>11000001</v>
      </c>
      <c r="Y137" s="8"/>
      <c r="Z137" s="8"/>
      <c r="AA137" t="str" s="8">
        <v>妖兽</v>
      </c>
      <c r="AB137" s="21">
        <v>20124</v>
      </c>
      <c r="AC137" t="n" s="8">
        <v>1</v>
      </c>
      <c r="AD137" t="n" s="8">
        <v>60</v>
      </c>
      <c r="AE137" t="n" s="8">
        <v>60</v>
      </c>
      <c r="AF137" t="n" s="8">
        <v>0</v>
      </c>
      <c r="AG137" t="n" s="8">
        <v>0</v>
      </c>
      <c r="AH137" t="str" s="8">
        <v>近战</v>
      </c>
      <c r="AI137" s="8"/>
      <c r="AJ137" s="17"/>
      <c r="AK137" s="8"/>
      <c r="AL137" s="18"/>
      <c r="AM137" t="str" s="8">
        <v>生命值</v>
      </c>
      <c r="AN137" t="n" s="19">
        <v>1105800</v>
      </c>
      <c r="AO137" t="str" s="8">
        <v>灵力值</v>
      </c>
      <c r="AP137" t="n" s="8">
        <v>87300</v>
      </c>
      <c r="AQ137" t="str" s="8">
        <v>攻击下限</v>
      </c>
      <c r="AR137" t="n" s="8">
        <v>43650</v>
      </c>
      <c r="AS137" t="str" s="8">
        <v>攻击上限</v>
      </c>
      <c r="AT137" t="n" s="8">
        <v>43650</v>
      </c>
      <c r="AU137" t="str" s="8">
        <v>法力下限</v>
      </c>
      <c r="AV137" t="n" s="8">
        <v>43650</v>
      </c>
      <c r="AW137" t="str" s="8">
        <v>法力上限</v>
      </c>
      <c r="AX137" t="n" s="8">
        <v>43650</v>
      </c>
      <c r="AY137" t="str" s="8">
        <v>物防下限</v>
      </c>
      <c r="AZ137" t="n" s="8">
        <v>15132</v>
      </c>
      <c r="BA137" t="str" s="8">
        <v>物防上限</v>
      </c>
      <c r="BB137" t="n" s="8">
        <v>15132</v>
      </c>
      <c r="BC137" t="str" s="8">
        <v>法防下限</v>
      </c>
      <c r="BD137" t="n" s="8">
        <v>15132</v>
      </c>
      <c r="BE137" t="str" s="8">
        <v>法防上限</v>
      </c>
      <c r="BF137" t="n" s="8">
        <v>15132</v>
      </c>
      <c r="BG137" t="str" s="8">
        <v>移动速度</v>
      </c>
      <c r="BH137" t="n" s="8">
        <v>270</v>
      </c>
      <c r="BI137" t="str" s="8">
        <v>攻击范围</v>
      </c>
      <c r="BJ137" t="n" s="8">
        <v>160</v>
      </c>
      <c r="BK137" t="str" s="8">
        <v>警戒范围</v>
      </c>
      <c r="BL137" t="n" s="8">
        <v>550</v>
      </c>
      <c r="BM137" t="str" s="8">
        <v>攻击间隔</v>
      </c>
      <c r="BN137" t="n" s="8">
        <v>1800</v>
      </c>
      <c r="BO137" t="n" s="8">
        <v>0</v>
      </c>
      <c r="BP137" s="8"/>
      <c r="BQ137" t="n" s="8">
        <v>0</v>
      </c>
      <c r="BR137" t="n" s="8">
        <v>0</v>
      </c>
      <c r="BS137" t="n" s="8">
        <v>0</v>
      </c>
      <c r="BT137" t="n" s="8">
        <v>0</v>
      </c>
      <c r="BU137" t="str" s="8">
        <v>隐翳的普通遭遇。依托本区既有水土、岩隙和可达条件活动。</v>
      </c>
      <c r="BV137" t="n">
        <v>6</v>
      </c>
      <c r="BW137" t="n">
        <v>8</v>
      </c>
      <c r="BX137" t="str">
        <v>凡品</v>
      </c>
      <c r="BY137" t="str">
        <v>native</v>
      </c>
      <c r="BZ137" t="b">
        <v>0</v>
      </c>
    </row>
    <row r="138" ht="16.5" customHeight="1" spans="2:75">
      <c r="A138"/>
      <c r="B138" t="n" s="8">
        <f>60000000+INDEX(编号表!$B:$B,MATCH(J138,编号表!$A:$A,0))*10000+INDEX(编号表!$B:$B,MATCH(K138,编号表!$C:$C,0))*1000+L138</f>
        <v>60532147</v>
      </c>
      <c r="C138" t="str" s="8">
        <v>a010</v>
      </c>
      <c r="D138" t="str" s="5">
        <v>台缘岩蟹·异种</v>
      </c>
      <c r="E138" t="str" s="5">
        <v>R06-M3-精英-147</v>
      </c>
      <c r="F138" t="n" s="8">
        <v>58</v>
      </c>
      <c r="G138" t="str" s="8">
        <f>INDEX(编号表!$E:$E,MATCH(K138,编号表!$C:$C,0))</f>
        <v>绿色</v>
      </c>
      <c r="H138" t="n" s="8">
        <v>6</v>
      </c>
      <c r="I138" t="str" s="8">
        <v>隐翳</v>
      </c>
      <c r="J138" t="str" s="8">
        <v>隐翳</v>
      </c>
      <c r="K138" t="str" s="8">
        <v>精英</v>
      </c>
      <c r="L138" t="n" s="8">
        <v>147</v>
      </c>
      <c r="M138" t="n" s="8">
        <v>147</v>
      </c>
      <c r="N138" t="n" s="8">
        <v>3</v>
      </c>
      <c r="O138" s="8"/>
      <c r="P138" t="n" s="8">
        <v>40</v>
      </c>
      <c r="Q138" t="n" s="8">
        <v>180000</v>
      </c>
      <c r="R138" t="str" s="8">
        <v>首击</v>
      </c>
      <c r="S138" t="n" s="8">
        <v>30000</v>
      </c>
      <c r="T138" t="n" s="8">
        <v>11</v>
      </c>
      <c r="U138" t="n" s="16">
        <v>40900601</v>
      </c>
      <c r="V138" t="n" s="8">
        <v>41120608</v>
      </c>
      <c r="W138" t="n" s="8">
        <v>41220600</v>
      </c>
      <c r="X138" t="n" s="8">
        <v>11000001</v>
      </c>
      <c r="Y138" s="8"/>
      <c r="Z138" s="8"/>
      <c r="AA138" t="str" s="8">
        <v>妖兽</v>
      </c>
      <c r="AB138" s="21">
        <v>20125</v>
      </c>
      <c r="AC138" t="n" s="8">
        <v>1.25</v>
      </c>
      <c r="AD138" t="n" s="8">
        <v>60</v>
      </c>
      <c r="AE138" t="n" s="8">
        <v>60</v>
      </c>
      <c r="AF138" t="n" s="8">
        <v>0</v>
      </c>
      <c r="AG138" t="n" s="8">
        <v>0</v>
      </c>
      <c r="AH138" t="str" s="8">
        <v>近战</v>
      </c>
      <c r="AI138" s="8"/>
      <c r="AJ138" s="17"/>
      <c r="AK138" s="8"/>
      <c r="AL138" s="18"/>
      <c r="AM138" t="str" s="8">
        <v>生命值</v>
      </c>
      <c r="AN138" t="n" s="19">
        <v>3096240</v>
      </c>
      <c r="AO138" t="str" s="8">
        <v>灵力值</v>
      </c>
      <c r="AP138" t="n" s="8">
        <v>126584</v>
      </c>
      <c r="AQ138" t="str" s="8">
        <v>攻击下限</v>
      </c>
      <c r="AR138" t="n" s="8">
        <v>63292</v>
      </c>
      <c r="AS138" t="str" s="8">
        <v>攻击上限</v>
      </c>
      <c r="AT138" t="n" s="8">
        <v>63292</v>
      </c>
      <c r="AU138" t="str" s="8">
        <v>法力下限</v>
      </c>
      <c r="AV138" t="n" s="8">
        <v>63292</v>
      </c>
      <c r="AW138" t="str" s="8">
        <v>法力上限</v>
      </c>
      <c r="AX138" t="n" s="8">
        <v>63292</v>
      </c>
      <c r="AY138" t="str" s="8">
        <v>物防下限</v>
      </c>
      <c r="AZ138" t="n" s="8">
        <v>18158</v>
      </c>
      <c r="BA138" t="str" s="8">
        <v>物防上限</v>
      </c>
      <c r="BB138" t="n" s="8">
        <v>18158</v>
      </c>
      <c r="BC138" t="str" s="8">
        <v>法防下限</v>
      </c>
      <c r="BD138" t="n" s="8">
        <v>18158</v>
      </c>
      <c r="BE138" t="str" s="8">
        <v>法防上限</v>
      </c>
      <c r="BF138" t="n" s="8">
        <v>18158</v>
      </c>
      <c r="BG138" t="str" s="8">
        <v>移动速度</v>
      </c>
      <c r="BH138" t="n" s="8">
        <v>270</v>
      </c>
      <c r="BI138" t="str" s="8">
        <v>攻击范围</v>
      </c>
      <c r="BJ138" t="n" s="8">
        <v>160</v>
      </c>
      <c r="BK138" t="str" s="8">
        <v>警戒范围</v>
      </c>
      <c r="BL138" t="n" s="8">
        <v>550</v>
      </c>
      <c r="BM138" t="str" s="8">
        <v>攻击间隔</v>
      </c>
      <c r="BN138" t="n" s="8">
        <v>1800</v>
      </c>
      <c r="BO138" t="n" s="8">
        <v>0</v>
      </c>
      <c r="BP138" s="8"/>
      <c r="BQ138" t="n" s="8">
        <v>0</v>
      </c>
      <c r="BR138" t="n" s="8">
        <v>0</v>
      </c>
      <c r="BS138" t="n" s="8">
        <v>0</v>
      </c>
      <c r="BT138" t="n" s="8">
        <v>0</v>
      </c>
      <c r="BU138" t="str" s="8">
        <v>隐翳的精英遭遇。依托本区既有水土、岩隙和可达条件活动。</v>
      </c>
      <c r="BV138" t="n">
        <v>6</v>
      </c>
      <c r="BW138" t="n">
        <v>8</v>
      </c>
      <c r="BX138" t="str">
        <v>玄品</v>
      </c>
      <c r="BY138" t="str">
        <v>native</v>
      </c>
      <c r="BZ138" t="b">
        <v>0</v>
      </c>
    </row>
    <row r="139" ht="16.5" customHeight="1" spans="2:75">
      <c r="A139"/>
      <c r="B139" t="n" s="8">
        <f>60000000+INDEX(编号表!$B:$B,MATCH(J139,编号表!$A:$A,0))*10000+INDEX(编号表!$B:$B,MATCH(K139,编号表!$C:$C,0))*1000+L139</f>
        <v>60534148</v>
      </c>
      <c r="C139" t="str" s="8">
        <v>a010</v>
      </c>
      <c r="D139" t="str" s="5">
        <v>雾台灵蝠·首领</v>
      </c>
      <c r="E139" t="str" s="5">
        <v>R06-M3-BOSS-148</v>
      </c>
      <c r="F139" t="n" s="8">
        <v>58</v>
      </c>
      <c r="G139" t="str" s="8">
        <f>INDEX(编号表!$E:$E,MATCH(K139,编号表!$C:$C,0))</f>
        <v>橙色</v>
      </c>
      <c r="H139" t="n" s="8">
        <v>6</v>
      </c>
      <c r="I139" t="str" s="8">
        <v>隐翳</v>
      </c>
      <c r="J139" t="str" s="8">
        <v>隐翳</v>
      </c>
      <c r="K139" t="str" s="8">
        <v>BOSS</v>
      </c>
      <c r="L139" t="n" s="8">
        <v>148</v>
      </c>
      <c r="M139" t="n" s="8">
        <v>148</v>
      </c>
      <c r="N139" t="n" s="8">
        <v>5</v>
      </c>
      <c r="O139" s="8"/>
      <c r="P139" t="n" s="8">
        <v>40</v>
      </c>
      <c r="Q139" t="n" s="8">
        <v>900000</v>
      </c>
      <c r="R139" t="str" s="8">
        <v>首击</v>
      </c>
      <c r="S139" t="n" s="8">
        <v>30000</v>
      </c>
      <c r="T139" t="n" s="8">
        <v>12</v>
      </c>
      <c r="U139" t="n" s="16">
        <v>40900602</v>
      </c>
      <c r="V139" t="n" s="8">
        <v>41130609</v>
      </c>
      <c r="W139" t="n" s="8">
        <v>41230601</v>
      </c>
      <c r="X139" t="n" s="8">
        <v>11000001</v>
      </c>
      <c r="Y139" s="8"/>
      <c r="Z139" s="8"/>
      <c r="AA139" t="str" s="8">
        <v>妖兽</v>
      </c>
      <c r="AB139" s="21">
        <v>20126</v>
      </c>
      <c r="AC139" t="n" s="8">
        <v>1.6</v>
      </c>
      <c r="AD139" t="n" s="8">
        <v>60</v>
      </c>
      <c r="AE139" t="n" s="8">
        <v>60</v>
      </c>
      <c r="AF139" t="n" s="8">
        <v>0</v>
      </c>
      <c r="AG139" t="n" s="8">
        <v>0</v>
      </c>
      <c r="AH139" t="str" s="8">
        <v>近战</v>
      </c>
      <c r="AI139" s="8"/>
      <c r="AJ139" s="17"/>
      <c r="AK139" s="8"/>
      <c r="AL139" s="18"/>
      <c r="AM139" t="str" s="8">
        <v>生命值</v>
      </c>
      <c r="AN139" t="n" s="19">
        <v>11058000</v>
      </c>
      <c r="AO139" t="str" s="8">
        <v>灵力值</v>
      </c>
      <c r="AP139" t="n" s="8">
        <v>183330</v>
      </c>
      <c r="AQ139" t="str" s="8">
        <v>攻击下限</v>
      </c>
      <c r="AR139" t="n" s="8">
        <v>91665</v>
      </c>
      <c r="AS139" t="str" s="8">
        <v>攻击上限</v>
      </c>
      <c r="AT139" t="n" s="8">
        <v>91665</v>
      </c>
      <c r="AU139" t="str" s="8">
        <v>法力下限</v>
      </c>
      <c r="AV139" t="n" s="8">
        <v>91665</v>
      </c>
      <c r="AW139" t="str" s="8">
        <v>法力上限</v>
      </c>
      <c r="AX139" t="n" s="8">
        <v>91665</v>
      </c>
      <c r="AY139" t="str" s="8">
        <v>物防下限</v>
      </c>
      <c r="AZ139" t="n" s="8">
        <v>22698</v>
      </c>
      <c r="BA139" t="str" s="8">
        <v>物防上限</v>
      </c>
      <c r="BB139" t="n" s="8">
        <v>22698</v>
      </c>
      <c r="BC139" t="str" s="8">
        <v>法防下限</v>
      </c>
      <c r="BD139" t="n" s="8">
        <v>22698</v>
      </c>
      <c r="BE139" t="str" s="8">
        <v>法防上限</v>
      </c>
      <c r="BF139" t="n" s="8">
        <v>22698</v>
      </c>
      <c r="BG139" t="str" s="8">
        <v>移动速度</v>
      </c>
      <c r="BH139" t="n" s="8">
        <v>270</v>
      </c>
      <c r="BI139" t="str" s="8">
        <v>攻击范围</v>
      </c>
      <c r="BJ139" t="n" s="8">
        <v>160</v>
      </c>
      <c r="BK139" t="str" s="8">
        <v>警戒范围</v>
      </c>
      <c r="BL139" t="n" s="8">
        <v>700</v>
      </c>
      <c r="BM139" t="str" s="8">
        <v>攻击间隔</v>
      </c>
      <c r="BN139" t="n" s="8">
        <v>2200</v>
      </c>
      <c r="BO139" t="n" s="8">
        <v>0</v>
      </c>
      <c r="BP139" s="8"/>
      <c r="BQ139" t="n" s="8">
        <v>0</v>
      </c>
      <c r="BR139" t="n" s="8">
        <v>0</v>
      </c>
      <c r="BS139" t="n" s="8">
        <v>0</v>
      </c>
      <c r="BT139" t="n" s="8">
        <v>0</v>
      </c>
      <c r="BU139" t="str" s="8">
        <v>隐翳的BOSS遭遇。依托本区既有水土、岩隙和可达条件活动。</v>
      </c>
      <c r="BV139" t="n">
        <v>6</v>
      </c>
      <c r="BW139" t="n">
        <v>8</v>
      </c>
      <c r="BX139" t="str">
        <v>仙品</v>
      </c>
      <c r="BY139" t="str">
        <v>native</v>
      </c>
      <c r="BZ139" t="b">
        <v>1</v>
      </c>
    </row>
    <row r="140" ht="16.5" customHeight="1" spans="2:75">
      <c r="A140"/>
      <c r="B140" t="n" s="8">
        <f>60000000+INDEX(编号表!$B:$B,MATCH(J140,编号表!$A:$A,0))*10000+INDEX(编号表!$B:$B,MATCH(K140,编号表!$C:$C,0))*1000+L140</f>
        <v>60541149</v>
      </c>
      <c r="C140" t="str" s="8">
        <v>a010</v>
      </c>
      <c r="D140" t="str" s="5">
        <v>悬岩灵狼</v>
      </c>
      <c r="E140" t="str" s="5">
        <v>R06-P1-普通-149</v>
      </c>
      <c r="F140" t="n" s="8">
        <v>53</v>
      </c>
      <c r="G140" t="str" s="8">
        <f>INDEX(编号表!$E:$E,MATCH(K140,编号表!$C:$C,0))</f>
        <v>白色</v>
      </c>
      <c r="H140" t="n" s="8">
        <v>6</v>
      </c>
      <c r="I140" t="str" s="8">
        <v>云根露</v>
      </c>
      <c r="J140" t="str" s="8">
        <v>云根露</v>
      </c>
      <c r="K140" t="str" s="8">
        <v>普通</v>
      </c>
      <c r="L140" t="n" s="8">
        <v>149</v>
      </c>
      <c r="M140" t="n" s="8">
        <v>149</v>
      </c>
      <c r="N140" t="n" s="8">
        <v>1</v>
      </c>
      <c r="O140" s="8"/>
      <c r="P140" t="n" s="8">
        <v>24</v>
      </c>
      <c r="Q140" t="n" s="8">
        <v>30000</v>
      </c>
      <c r="R140" t="str" s="8">
        <v>首击</v>
      </c>
      <c r="S140" t="n" s="8">
        <v>30000</v>
      </c>
      <c r="T140" t="n" s="8">
        <v>10</v>
      </c>
      <c r="U140" t="n" s="16">
        <v>40900600</v>
      </c>
      <c r="V140" t="n" s="8">
        <v>40910610</v>
      </c>
      <c r="W140" t="n" s="8">
        <v>40920600</v>
      </c>
      <c r="X140" t="n" s="8">
        <v>11000001</v>
      </c>
      <c r="Y140" s="8"/>
      <c r="Z140" s="8"/>
      <c r="AA140" t="str" s="8">
        <v>妖兽</v>
      </c>
      <c r="AB140" s="21">
        <v>20127</v>
      </c>
      <c r="AC140" t="n" s="8">
        <v>1</v>
      </c>
      <c r="AD140" t="n" s="8">
        <v>60</v>
      </c>
      <c r="AE140" t="n" s="8">
        <v>60</v>
      </c>
      <c r="AF140" t="n" s="8">
        <v>0</v>
      </c>
      <c r="AG140" t="n" s="8">
        <v>0</v>
      </c>
      <c r="AH140" t="str" s="8">
        <v>近战</v>
      </c>
      <c r="AI140" s="8"/>
      <c r="AJ140" s="17"/>
      <c r="AK140" s="8"/>
      <c r="AL140" s="18"/>
      <c r="AM140" t="str" s="8">
        <v>生命值</v>
      </c>
      <c r="AN140" t="n" s="19">
        <v>858800</v>
      </c>
      <c r="AO140" t="str" s="8">
        <v>灵力值</v>
      </c>
      <c r="AP140" t="n" s="8">
        <v>67800</v>
      </c>
      <c r="AQ140" t="str" s="8">
        <v>攻击下限</v>
      </c>
      <c r="AR140" t="n" s="8">
        <v>33900</v>
      </c>
      <c r="AS140" t="str" s="8">
        <v>攻击上限</v>
      </c>
      <c r="AT140" t="n" s="8">
        <v>33900</v>
      </c>
      <c r="AU140" t="str" s="8">
        <v>法力下限</v>
      </c>
      <c r="AV140" t="n" s="8">
        <v>33900</v>
      </c>
      <c r="AW140" t="str" s="8">
        <v>法力上限</v>
      </c>
      <c r="AX140" t="n" s="8">
        <v>33900</v>
      </c>
      <c r="AY140" t="str" s="8">
        <v>物防下限</v>
      </c>
      <c r="AZ140" t="n" s="8">
        <v>11752</v>
      </c>
      <c r="BA140" t="str" s="8">
        <v>物防上限</v>
      </c>
      <c r="BB140" t="n" s="8">
        <v>11752</v>
      </c>
      <c r="BC140" t="str" s="8">
        <v>法防下限</v>
      </c>
      <c r="BD140" t="n" s="8">
        <v>11752</v>
      </c>
      <c r="BE140" t="str" s="8">
        <v>法防上限</v>
      </c>
      <c r="BF140" t="n" s="8">
        <v>11752</v>
      </c>
      <c r="BG140" t="str" s="8">
        <v>移动速度</v>
      </c>
      <c r="BH140" t="n" s="8">
        <v>270</v>
      </c>
      <c r="BI140" t="str" s="8">
        <v>攻击范围</v>
      </c>
      <c r="BJ140" t="n" s="8">
        <v>160</v>
      </c>
      <c r="BK140" t="str" s="8">
        <v>警戒范围</v>
      </c>
      <c r="BL140" t="n" s="8">
        <v>550</v>
      </c>
      <c r="BM140" t="str" s="8">
        <v>攻击间隔</v>
      </c>
      <c r="BN140" t="n" s="8">
        <v>1800</v>
      </c>
      <c r="BO140" t="n" s="8">
        <v>0</v>
      </c>
      <c r="BP140" s="8"/>
      <c r="BQ140" t="n" s="8">
        <v>0</v>
      </c>
      <c r="BR140" t="n" s="8">
        <v>0</v>
      </c>
      <c r="BS140" t="n" s="8">
        <v>0</v>
      </c>
      <c r="BT140" t="n" s="8">
        <v>0</v>
      </c>
      <c r="BU140" t="str" s="8">
        <v>云根露的普通遭遇。依托本区既有水土、岩隙和可达条件活动。</v>
      </c>
      <c r="BV140" t="n">
        <v>6</v>
      </c>
      <c r="BW140" t="n">
        <v>3</v>
      </c>
      <c r="BX140" t="str">
        <v>凡品</v>
      </c>
      <c r="BY140" t="str">
        <v>native</v>
      </c>
      <c r="BZ140" t="b">
        <v>0</v>
      </c>
    </row>
    <row r="141" ht="16.5" customHeight="1" spans="2:75">
      <c r="A141"/>
      <c r="B141" t="n" s="8">
        <f>60000000+INDEX(编号表!$B:$B,MATCH(J141,编号表!$A:$A,0))*10000+INDEX(编号表!$B:$B,MATCH(K141,编号表!$C:$C,0))*1000+L141</f>
        <v>60551150</v>
      </c>
      <c r="C141" t="str" s="8">
        <v>a010</v>
      </c>
      <c r="D141" t="str" s="5">
        <v>暗角灵蛇</v>
      </c>
      <c r="E141" t="str" s="5">
        <v>R06-P2-普通-150</v>
      </c>
      <c r="F141" t="n" s="8">
        <v>56</v>
      </c>
      <c r="G141" t="str" s="8">
        <f>INDEX(编号表!$E:$E,MATCH(K141,编号表!$C:$C,0))</f>
        <v>白色</v>
      </c>
      <c r="H141" t="n" s="8">
        <v>6</v>
      </c>
      <c r="I141" t="str" s="8">
        <v>风痕苔生</v>
      </c>
      <c r="J141" t="str" s="8">
        <v>风痕苔生</v>
      </c>
      <c r="K141" t="str" s="8">
        <v>普通</v>
      </c>
      <c r="L141" t="n" s="8">
        <v>150</v>
      </c>
      <c r="M141" t="n" s="8">
        <v>150</v>
      </c>
      <c r="N141" t="n" s="8">
        <v>1</v>
      </c>
      <c r="O141" s="8"/>
      <c r="P141" t="n" s="8">
        <v>24</v>
      </c>
      <c r="Q141" t="n" s="8">
        <v>30000</v>
      </c>
      <c r="R141" t="str" s="8">
        <v>首击</v>
      </c>
      <c r="S141" t="n" s="8">
        <v>30000</v>
      </c>
      <c r="T141" t="n" s="8">
        <v>10</v>
      </c>
      <c r="U141" t="n" s="16">
        <v>40900600</v>
      </c>
      <c r="V141" t="n" s="8">
        <v>40910611</v>
      </c>
      <c r="W141" t="n" s="8">
        <v>40920601</v>
      </c>
      <c r="X141" t="n" s="8">
        <v>11000001</v>
      </c>
      <c r="Y141" s="8"/>
      <c r="Z141" s="8"/>
      <c r="AA141" t="str" s="8">
        <v>妖兽</v>
      </c>
      <c r="AB141" s="21">
        <v>20128</v>
      </c>
      <c r="AC141" t="n" s="8">
        <v>1</v>
      </c>
      <c r="AD141" t="n" s="8">
        <v>60</v>
      </c>
      <c r="AE141" t="n" s="8">
        <v>60</v>
      </c>
      <c r="AF141" t="n" s="8">
        <v>0</v>
      </c>
      <c r="AG141" t="n" s="8">
        <v>0</v>
      </c>
      <c r="AH141" t="str" s="8">
        <v>近战</v>
      </c>
      <c r="AI141" s="8"/>
      <c r="AJ141" s="17"/>
      <c r="AK141" s="8"/>
      <c r="AL141" s="18"/>
      <c r="AM141" t="str" s="8">
        <v>生命值</v>
      </c>
      <c r="AN141" t="n" s="19">
        <v>1007000</v>
      </c>
      <c r="AO141" t="str" s="8">
        <v>灵力值</v>
      </c>
      <c r="AP141" t="n" s="8">
        <v>79500</v>
      </c>
      <c r="AQ141" t="str" s="8">
        <v>攻击下限</v>
      </c>
      <c r="AR141" t="n" s="8">
        <v>39750</v>
      </c>
      <c r="AS141" t="str" s="8">
        <v>攻击上限</v>
      </c>
      <c r="AT141" t="n" s="8">
        <v>39750</v>
      </c>
      <c r="AU141" t="str" s="8">
        <v>法力下限</v>
      </c>
      <c r="AV141" t="n" s="8">
        <v>39750</v>
      </c>
      <c r="AW141" t="str" s="8">
        <v>法力上限</v>
      </c>
      <c r="AX141" t="n" s="8">
        <v>39750</v>
      </c>
      <c r="AY141" t="str" s="8">
        <v>物防下限</v>
      </c>
      <c r="AZ141" t="n" s="8">
        <v>13780</v>
      </c>
      <c r="BA141" t="str" s="8">
        <v>物防上限</v>
      </c>
      <c r="BB141" t="n" s="8">
        <v>13780</v>
      </c>
      <c r="BC141" t="str" s="8">
        <v>法防下限</v>
      </c>
      <c r="BD141" t="n" s="8">
        <v>13780</v>
      </c>
      <c r="BE141" t="str" s="8">
        <v>法防上限</v>
      </c>
      <c r="BF141" t="n" s="8">
        <v>13780</v>
      </c>
      <c r="BG141" t="str" s="8">
        <v>移动速度</v>
      </c>
      <c r="BH141" t="n" s="8">
        <v>270</v>
      </c>
      <c r="BI141" t="str" s="8">
        <v>攻击范围</v>
      </c>
      <c r="BJ141" t="n" s="8">
        <v>160</v>
      </c>
      <c r="BK141" t="str" s="8">
        <v>警戒范围</v>
      </c>
      <c r="BL141" t="n" s="8">
        <v>550</v>
      </c>
      <c r="BM141" t="str" s="8">
        <v>攻击间隔</v>
      </c>
      <c r="BN141" t="n" s="8">
        <v>1800</v>
      </c>
      <c r="BO141" t="n" s="8">
        <v>0</v>
      </c>
      <c r="BP141" s="8"/>
      <c r="BQ141" t="n" s="8">
        <v>0</v>
      </c>
      <c r="BR141" t="n" s="8">
        <v>0</v>
      </c>
      <c r="BS141" t="n" s="8">
        <v>0</v>
      </c>
      <c r="BT141" t="n" s="8">
        <v>0</v>
      </c>
      <c r="BU141" t="str" s="8">
        <v>风痕苔生的普通遭遇。依托本区既有水土、岩隙和可达条件活动。</v>
      </c>
      <c r="BV141" t="n">
        <v>6</v>
      </c>
      <c r="BW141" t="n">
        <v>6</v>
      </c>
      <c r="BX141" t="str">
        <v>凡品</v>
      </c>
      <c r="BY141" t="str">
        <v>native</v>
      </c>
      <c r="BZ141" t="b">
        <v>0</v>
      </c>
    </row>
    <row r="142" ht="16.5" customHeight="1" spans="2:75">
      <c r="A142"/>
      <c r="B142" t="n" s="8">
        <f>60000000+INDEX(编号表!$B:$B,MATCH(J142,编号表!$A:$A,0))*10000+INDEX(编号表!$B:$B,MATCH(K142,编号表!$C:$C,0))*1000+L142</f>
        <v>60561151</v>
      </c>
      <c r="C142" t="str" s="8">
        <v>a010</v>
      </c>
      <c r="D142" t="str" s="5">
        <v>台缘岩蟹</v>
      </c>
      <c r="E142" t="str" s="5">
        <v>R06-S1-普通-151</v>
      </c>
      <c r="F142" t="n" s="8">
        <v>59</v>
      </c>
      <c r="G142" t="str" s="8">
        <f>INDEX(编号表!$E:$E,MATCH(K142,编号表!$C:$C,0))</f>
        <v>白色</v>
      </c>
      <c r="H142" t="n" s="8">
        <v>6</v>
      </c>
      <c r="I142" t="str" s="8">
        <v>涓台窦</v>
      </c>
      <c r="J142" t="str" s="8">
        <v>涓台窦</v>
      </c>
      <c r="K142" t="str" s="8">
        <v>普通</v>
      </c>
      <c r="L142" t="n" s="8">
        <v>151</v>
      </c>
      <c r="M142" t="n" s="8">
        <v>151</v>
      </c>
      <c r="N142" t="n" s="8">
        <v>1</v>
      </c>
      <c r="O142" s="8"/>
      <c r="P142" t="n" s="8">
        <v>24</v>
      </c>
      <c r="Q142" t="n" s="8">
        <v>30000</v>
      </c>
      <c r="R142" t="str" s="8">
        <v>首击</v>
      </c>
      <c r="S142" t="n" s="8">
        <v>30000</v>
      </c>
      <c r="T142" t="n" s="8">
        <v>10</v>
      </c>
      <c r="U142" t="n" s="16">
        <v>40900600</v>
      </c>
      <c r="V142" t="n" s="8">
        <v>40910612</v>
      </c>
      <c r="W142" t="n" s="8">
        <v>40920600</v>
      </c>
      <c r="X142" t="n" s="8">
        <v>11000001</v>
      </c>
      <c r="Y142" s="8"/>
      <c r="Z142" s="8"/>
      <c r="AA142" t="str" s="8">
        <v>妖兽</v>
      </c>
      <c r="AB142" s="21">
        <v>20129</v>
      </c>
      <c r="AC142" t="n" s="8">
        <v>1</v>
      </c>
      <c r="AD142" t="n" s="8">
        <v>60</v>
      </c>
      <c r="AE142" t="n" s="8">
        <v>60</v>
      </c>
      <c r="AF142" t="n" s="8">
        <v>0</v>
      </c>
      <c r="AG142" t="n" s="8">
        <v>0</v>
      </c>
      <c r="AH142" t="str" s="8">
        <v>近战</v>
      </c>
      <c r="AI142"/>
      <c r="AJ142" s="17"/>
      <c r="AK142" s="8"/>
      <c r="AL142" s="18"/>
      <c r="AM142" t="str" s="8">
        <v>生命值</v>
      </c>
      <c r="AN142" t="n" s="19">
        <v>1155200</v>
      </c>
      <c r="AO142" t="str" s="8">
        <v>灵力值</v>
      </c>
      <c r="AP142" t="n" s="8">
        <v>91200</v>
      </c>
      <c r="AQ142" t="str" s="8">
        <v>攻击下限</v>
      </c>
      <c r="AR142" t="n" s="8">
        <v>45600</v>
      </c>
      <c r="AS142" t="str" s="8">
        <v>攻击上限</v>
      </c>
      <c r="AT142" t="n" s="8">
        <v>45600</v>
      </c>
      <c r="AU142" t="str" s="8">
        <v>法力下限</v>
      </c>
      <c r="AV142" t="n" s="8">
        <v>45600</v>
      </c>
      <c r="AW142" t="str" s="8">
        <v>法力上限</v>
      </c>
      <c r="AX142" t="n" s="8">
        <v>45600</v>
      </c>
      <c r="AY142" t="str" s="8">
        <v>物防下限</v>
      </c>
      <c r="AZ142" t="n" s="8">
        <v>15808</v>
      </c>
      <c r="BA142" t="str" s="8">
        <v>物防上限</v>
      </c>
      <c r="BB142" t="n" s="8">
        <v>15808</v>
      </c>
      <c r="BC142" t="str" s="8">
        <v>法防下限</v>
      </c>
      <c r="BD142" t="n" s="8">
        <v>15808</v>
      </c>
      <c r="BE142" t="str" s="8">
        <v>法防上限</v>
      </c>
      <c r="BF142" t="n" s="8">
        <v>15808</v>
      </c>
      <c r="BG142" t="str" s="8">
        <v>移动速度</v>
      </c>
      <c r="BH142" t="n" s="8">
        <v>270</v>
      </c>
      <c r="BI142" t="str" s="8">
        <v>攻击范围</v>
      </c>
      <c r="BJ142" t="n" s="8">
        <v>160</v>
      </c>
      <c r="BK142" t="str" s="8">
        <v>警戒范围</v>
      </c>
      <c r="BL142" t="n" s="8">
        <v>550</v>
      </c>
      <c r="BM142" t="str" s="8">
        <v>攻击间隔</v>
      </c>
      <c r="BN142" t="n" s="8">
        <v>1800</v>
      </c>
      <c r="BO142" t="n" s="8">
        <v>0</v>
      </c>
      <c r="BP142" s="8"/>
      <c r="BQ142" t="n" s="8">
        <v>0</v>
      </c>
      <c r="BR142" t="n" s="8">
        <v>0</v>
      </c>
      <c r="BS142" t="n" s="8">
        <v>0</v>
      </c>
      <c r="BT142" t="n" s="8">
        <v>0</v>
      </c>
      <c r="BU142" t="str" s="8">
        <v>涓台窦的普通遭遇。依托本区既有水土、岩隙和可达条件活动。</v>
      </c>
      <c r="BV142" t="n">
        <v>6</v>
      </c>
      <c r="BW142" t="n">
        <v>9</v>
      </c>
      <c r="BX142" t="str">
        <v>凡品</v>
      </c>
      <c r="BY142" t="str">
        <v>native</v>
      </c>
      <c r="BZ142" t="b">
        <v>0</v>
      </c>
    </row>
    <row r="143" ht="16.5" customHeight="1" spans="2:75">
      <c r="A143"/>
      <c r="B143" t="n" s="8">
        <f>60000000+INDEX(编号表!$B:$B,MATCH(J143,编号表!$A:$A,0))*10000+INDEX(编号表!$B:$B,MATCH(K143,编号表!$C:$C,0))*1000+L143</f>
        <v>60561152</v>
      </c>
      <c r="C143" t="str" s="8">
        <v>a010</v>
      </c>
      <c r="D143" t="str" s="5">
        <v>雾台灵蝠</v>
      </c>
      <c r="E143" t="str" s="5">
        <v>R06-S1-普通-152</v>
      </c>
      <c r="F143" t="n" s="8">
        <v>59</v>
      </c>
      <c r="G143" t="str" s="8">
        <f>INDEX(编号表!$E:$E,MATCH(K143,编号表!$C:$C,0))</f>
        <v>白色</v>
      </c>
      <c r="H143" t="n" s="8">
        <v>6</v>
      </c>
      <c r="I143" t="str" s="8">
        <v>涓台窦</v>
      </c>
      <c r="J143" t="str" s="8">
        <v>涓台窦</v>
      </c>
      <c r="K143" t="str" s="8">
        <v>普通</v>
      </c>
      <c r="L143" t="n" s="8">
        <v>152</v>
      </c>
      <c r="M143" t="n" s="8">
        <v>152</v>
      </c>
      <c r="N143" t="n" s="8">
        <v>1</v>
      </c>
      <c r="O143" s="8"/>
      <c r="P143" t="n" s="8">
        <v>24</v>
      </c>
      <c r="Q143" t="n" s="8">
        <v>30000</v>
      </c>
      <c r="R143" t="str" s="8">
        <v>首击</v>
      </c>
      <c r="S143" t="n" s="8">
        <v>30000</v>
      </c>
      <c r="T143" t="n" s="8">
        <v>10</v>
      </c>
      <c r="U143" t="n" s="16">
        <v>40900600</v>
      </c>
      <c r="V143" t="n" s="8">
        <v>40910600</v>
      </c>
      <c r="W143" t="n" s="8">
        <v>40920601</v>
      </c>
      <c r="X143" t="n" s="8">
        <v>11000001</v>
      </c>
      <c r="Y143" s="8"/>
      <c r="Z143" s="8"/>
      <c r="AA143" t="str" s="8">
        <v>妖兽</v>
      </c>
      <c r="AB143" s="21">
        <v>20130</v>
      </c>
      <c r="AC143" t="n" s="8">
        <v>1</v>
      </c>
      <c r="AD143" t="n" s="8">
        <v>60</v>
      </c>
      <c r="AE143" t="n" s="8">
        <v>60</v>
      </c>
      <c r="AF143" t="n" s="8">
        <v>0</v>
      </c>
      <c r="AG143" t="n" s="8">
        <v>0</v>
      </c>
      <c r="AH143" t="str" s="8">
        <v>近战</v>
      </c>
      <c r="AI143" s="8"/>
      <c r="AJ143" s="17"/>
      <c r="AK143" s="8"/>
      <c r="AL143" s="18"/>
      <c r="AM143" t="str" s="8">
        <v>生命值</v>
      </c>
      <c r="AN143" t="n" s="19">
        <v>1155200</v>
      </c>
      <c r="AO143" t="str" s="8">
        <v>灵力值</v>
      </c>
      <c r="AP143" t="n" s="8">
        <v>91200</v>
      </c>
      <c r="AQ143" t="str" s="8">
        <v>攻击下限</v>
      </c>
      <c r="AR143" t="n" s="8">
        <v>45600</v>
      </c>
      <c r="AS143" t="str" s="8">
        <v>攻击上限</v>
      </c>
      <c r="AT143" t="n" s="8">
        <v>45600</v>
      </c>
      <c r="AU143" t="str" s="8">
        <v>法力下限</v>
      </c>
      <c r="AV143" t="n" s="8">
        <v>45600</v>
      </c>
      <c r="AW143" t="str" s="8">
        <v>法力上限</v>
      </c>
      <c r="AX143" t="n" s="8">
        <v>45600</v>
      </c>
      <c r="AY143" t="str" s="8">
        <v>物防下限</v>
      </c>
      <c r="AZ143" t="n" s="8">
        <v>15808</v>
      </c>
      <c r="BA143" t="str" s="8">
        <v>物防上限</v>
      </c>
      <c r="BB143" t="n" s="8">
        <v>15808</v>
      </c>
      <c r="BC143" t="str" s="8">
        <v>法防下限</v>
      </c>
      <c r="BD143" t="n" s="8">
        <v>15808</v>
      </c>
      <c r="BE143" t="str" s="8">
        <v>法防上限</v>
      </c>
      <c r="BF143" t="n" s="8">
        <v>15808</v>
      </c>
      <c r="BG143" t="str" s="8">
        <v>移动速度</v>
      </c>
      <c r="BH143" t="n" s="8">
        <v>270</v>
      </c>
      <c r="BI143" t="str" s="8">
        <v>攻击范围</v>
      </c>
      <c r="BJ143" t="n" s="8">
        <v>160</v>
      </c>
      <c r="BK143" t="str" s="8">
        <v>警戒范围</v>
      </c>
      <c r="BL143" t="n" s="8">
        <v>550</v>
      </c>
      <c r="BM143" t="str" s="8">
        <v>攻击间隔</v>
      </c>
      <c r="BN143" t="n" s="8">
        <v>1800</v>
      </c>
      <c r="BO143" t="n" s="8">
        <v>0</v>
      </c>
      <c r="BP143" s="8"/>
      <c r="BQ143" t="n" s="8">
        <v>0</v>
      </c>
      <c r="BR143" t="n" s="8">
        <v>0</v>
      </c>
      <c r="BS143" t="n" s="8">
        <v>0</v>
      </c>
      <c r="BT143" t="n" s="8">
        <v>0</v>
      </c>
      <c r="BU143" t="str" s="8">
        <v>涓台窦的普通遭遇。依托本区既有水土、岩隙和可达条件活动。</v>
      </c>
      <c r="BV143" t="n">
        <v>6</v>
      </c>
      <c r="BW143" t="n">
        <v>9</v>
      </c>
      <c r="BX143" t="str">
        <v>凡品</v>
      </c>
      <c r="BY143" t="str">
        <v>native</v>
      </c>
      <c r="BZ143" t="b">
        <v>0</v>
      </c>
    </row>
    <row r="144" ht="16.5" customHeight="1" spans="2:75">
      <c r="A144"/>
      <c r="B144" t="n" s="8">
        <f>60000000+INDEX(编号表!$B:$B,MATCH(J144,编号表!$A:$A,0))*10000+INDEX(编号表!$B:$B,MATCH(K144,编号表!$C:$C,0))*1000+L144</f>
        <v>60562153</v>
      </c>
      <c r="C144" t="str" s="8">
        <v>a010</v>
      </c>
      <c r="D144" t="str" s="5">
        <v>悬岩灵狼·异种</v>
      </c>
      <c r="E144" t="str" s="5">
        <v>R06-S1-精英-153</v>
      </c>
      <c r="F144" t="n" s="8">
        <v>59</v>
      </c>
      <c r="G144" t="str" s="8">
        <f>INDEX(编号表!$E:$E,MATCH(K144,编号表!$C:$C,0))</f>
        <v>绿色</v>
      </c>
      <c r="H144" t="n" s="8">
        <v>6</v>
      </c>
      <c r="I144" t="str" s="8">
        <v>涓台窦</v>
      </c>
      <c r="J144" t="str" s="8">
        <v>涓台窦</v>
      </c>
      <c r="K144" t="str" s="8">
        <v>精英</v>
      </c>
      <c r="L144" t="n" s="8">
        <v>153</v>
      </c>
      <c r="M144" t="n" s="8">
        <v>153</v>
      </c>
      <c r="N144" t="n" s="8">
        <v>3</v>
      </c>
      <c r="O144" s="8"/>
      <c r="P144" t="n" s="8">
        <v>40</v>
      </c>
      <c r="Q144" t="n" s="8">
        <v>180000</v>
      </c>
      <c r="R144" t="str" s="8">
        <v>首击</v>
      </c>
      <c r="S144" t="n" s="8">
        <v>30000</v>
      </c>
      <c r="T144" t="n" s="8">
        <v>11</v>
      </c>
      <c r="U144" t="n" s="16">
        <v>40900601</v>
      </c>
      <c r="V144" t="n" s="8">
        <v>41120601</v>
      </c>
      <c r="W144" t="n" s="8">
        <v>41220600</v>
      </c>
      <c r="X144" t="n" s="8">
        <v>11000001</v>
      </c>
      <c r="Y144" s="8"/>
      <c r="Z144" s="8"/>
      <c r="AA144" t="str" s="8">
        <v>妖兽</v>
      </c>
      <c r="AB144" s="21">
        <v>20131</v>
      </c>
      <c r="AC144" t="n" s="8">
        <v>1.25</v>
      </c>
      <c r="AD144" t="n" s="8">
        <v>60</v>
      </c>
      <c r="AE144" t="n" s="8">
        <v>60</v>
      </c>
      <c r="AF144" t="n" s="8">
        <v>0</v>
      </c>
      <c r="AG144" t="n" s="8">
        <v>0</v>
      </c>
      <c r="AH144" t="str" s="8">
        <v>近战</v>
      </c>
      <c r="AI144"/>
      <c r="AJ144" s="17"/>
      <c r="AK144" s="8"/>
      <c r="AL144" s="18"/>
      <c r="AM144" t="str" s="8">
        <v>生命值</v>
      </c>
      <c r="AN144" t="n" s="19">
        <v>3234560</v>
      </c>
      <c r="AO144" t="str" s="8">
        <v>灵力值</v>
      </c>
      <c r="AP144" t="n" s="8">
        <v>132240</v>
      </c>
      <c r="AQ144" t="str" s="8">
        <v>攻击下限</v>
      </c>
      <c r="AR144" t="n" s="8">
        <v>66120</v>
      </c>
      <c r="AS144" t="str" s="8">
        <v>攻击上限</v>
      </c>
      <c r="AT144" t="n" s="8">
        <v>66120</v>
      </c>
      <c r="AU144" t="str" s="8">
        <v>法力下限</v>
      </c>
      <c r="AV144" t="n" s="8">
        <v>66120</v>
      </c>
      <c r="AW144" t="str" s="8">
        <v>法力上限</v>
      </c>
      <c r="AX144" t="n" s="8">
        <v>66120</v>
      </c>
      <c r="AY144" t="str" s="8">
        <v>物防下限</v>
      </c>
      <c r="AZ144" t="n" s="8">
        <v>18970</v>
      </c>
      <c r="BA144" t="str" s="8">
        <v>物防上限</v>
      </c>
      <c r="BB144" t="n" s="8">
        <v>18970</v>
      </c>
      <c r="BC144" t="str" s="8">
        <v>法防下限</v>
      </c>
      <c r="BD144" t="n" s="8">
        <v>18970</v>
      </c>
      <c r="BE144" t="str" s="8">
        <v>法防上限</v>
      </c>
      <c r="BF144" t="n" s="8">
        <v>18970</v>
      </c>
      <c r="BG144" t="str" s="8">
        <v>移动速度</v>
      </c>
      <c r="BH144" t="n" s="8">
        <v>270</v>
      </c>
      <c r="BI144" t="str" s="8">
        <v>攻击范围</v>
      </c>
      <c r="BJ144" t="n" s="8">
        <v>160</v>
      </c>
      <c r="BK144" t="str" s="8">
        <v>警戒范围</v>
      </c>
      <c r="BL144" t="n" s="8">
        <v>550</v>
      </c>
      <c r="BM144" t="str" s="8">
        <v>攻击间隔</v>
      </c>
      <c r="BN144" t="n" s="8">
        <v>1800</v>
      </c>
      <c r="BO144" t="n" s="8">
        <v>0</v>
      </c>
      <c r="BP144" s="8"/>
      <c r="BQ144" t="n" s="8">
        <v>0</v>
      </c>
      <c r="BR144" t="n" s="8">
        <v>0</v>
      </c>
      <c r="BS144" t="n" s="8">
        <v>0</v>
      </c>
      <c r="BT144" t="n" s="8">
        <v>0</v>
      </c>
      <c r="BU144" t="str" s="8">
        <v>涓台窦的精英遭遇。依托本区既有水土、岩隙和可达条件活动。</v>
      </c>
      <c r="BV144" t="n">
        <v>6</v>
      </c>
      <c r="BW144" t="n">
        <v>9</v>
      </c>
      <c r="BX144" t="str">
        <v>玄品</v>
      </c>
      <c r="BY144" t="str">
        <v>native</v>
      </c>
      <c r="BZ144" t="b">
        <v>0</v>
      </c>
    </row>
    <row r="145" ht="16.5" customHeight="1" spans="2:75">
      <c r="A145"/>
      <c r="B145" t="n" s="8">
        <f>60000000+INDEX(编号表!$B:$B,MATCH(J145,编号表!$A:$A,0))*10000+INDEX(编号表!$B:$B,MATCH(K145,编号表!$C:$C,0))*1000+L145</f>
        <v>60564154</v>
      </c>
      <c r="C145" t="str" s="8">
        <v>a010</v>
      </c>
      <c r="D145" t="str" s="5">
        <v>暗角灵蛇·首领</v>
      </c>
      <c r="E145" t="str" s="5">
        <v>R06-S1-BOSS-154</v>
      </c>
      <c r="F145" t="n" s="8">
        <v>59</v>
      </c>
      <c r="G145" t="str" s="8">
        <f>INDEX(编号表!$E:$E,MATCH(K145,编号表!$C:$C,0))</f>
        <v>橙色</v>
      </c>
      <c r="H145" t="n" s="8">
        <v>6</v>
      </c>
      <c r="I145" t="str" s="8">
        <v>涓台窦</v>
      </c>
      <c r="J145" t="str" s="8">
        <v>涓台窦</v>
      </c>
      <c r="K145" t="str" s="8">
        <v>BOSS</v>
      </c>
      <c r="L145" t="n" s="8">
        <v>154</v>
      </c>
      <c r="M145" t="n" s="8">
        <v>154</v>
      </c>
      <c r="N145" t="n" s="8">
        <v>5</v>
      </c>
      <c r="O145" s="8"/>
      <c r="P145" t="n" s="8">
        <v>40</v>
      </c>
      <c r="Q145" t="n" s="8">
        <v>900000</v>
      </c>
      <c r="R145" t="str" s="8">
        <v>首击</v>
      </c>
      <c r="S145" t="n" s="8">
        <v>30000</v>
      </c>
      <c r="T145" t="n" s="8">
        <v>12</v>
      </c>
      <c r="U145" t="n" s="16">
        <v>40900602</v>
      </c>
      <c r="V145" t="n" s="8">
        <v>41130602</v>
      </c>
      <c r="W145" t="n" s="8">
        <v>41230601</v>
      </c>
      <c r="X145" t="n" s="8">
        <v>11000001</v>
      </c>
      <c r="Y145" s="8"/>
      <c r="Z145" s="8"/>
      <c r="AA145" t="str" s="8">
        <v>妖兽</v>
      </c>
      <c r="AB145" s="21">
        <v>20132</v>
      </c>
      <c r="AC145" t="n" s="8">
        <v>1.6</v>
      </c>
      <c r="AD145" t="n" s="8">
        <v>60</v>
      </c>
      <c r="AE145" t="n" s="8">
        <v>60</v>
      </c>
      <c r="AF145" t="n" s="8">
        <v>0</v>
      </c>
      <c r="AG145" t="n" s="8">
        <v>0</v>
      </c>
      <c r="AH145" t="str" s="8">
        <v>近战</v>
      </c>
      <c r="AI145" s="8"/>
      <c r="AJ145" s="17"/>
      <c r="AK145" s="8"/>
      <c r="AL145" s="18"/>
      <c r="AM145" t="str" s="8">
        <v>生命值</v>
      </c>
      <c r="AN145" t="n" s="19">
        <v>11552000</v>
      </c>
      <c r="AO145" t="str" s="8">
        <v>灵力值</v>
      </c>
      <c r="AP145" t="n" s="8">
        <v>191520</v>
      </c>
      <c r="AQ145" t="str" s="8">
        <v>攻击下限</v>
      </c>
      <c r="AR145" t="n" s="8">
        <v>95760</v>
      </c>
      <c r="AS145" t="str" s="8">
        <v>攻击上限</v>
      </c>
      <c r="AT145" t="n" s="8">
        <v>95760</v>
      </c>
      <c r="AU145" t="str" s="8">
        <v>法力下限</v>
      </c>
      <c r="AV145" t="n" s="8">
        <v>95760</v>
      </c>
      <c r="AW145" t="str" s="8">
        <v>法力上限</v>
      </c>
      <c r="AX145" t="n" s="8">
        <v>95760</v>
      </c>
      <c r="AY145" t="str" s="8">
        <v>物防下限</v>
      </c>
      <c r="AZ145" t="n" s="8">
        <v>23712</v>
      </c>
      <c r="BA145" t="str" s="8">
        <v>物防上限</v>
      </c>
      <c r="BB145" t="n" s="8">
        <v>23712</v>
      </c>
      <c r="BC145" t="str" s="8">
        <v>法防下限</v>
      </c>
      <c r="BD145" t="n" s="8">
        <v>23712</v>
      </c>
      <c r="BE145" t="str" s="8">
        <v>法防上限</v>
      </c>
      <c r="BF145" t="n" s="8">
        <v>23712</v>
      </c>
      <c r="BG145" t="str" s="8">
        <v>移动速度</v>
      </c>
      <c r="BH145" t="n" s="8">
        <v>270</v>
      </c>
      <c r="BI145" t="str" s="8">
        <v>攻击范围</v>
      </c>
      <c r="BJ145" t="n" s="8">
        <v>160</v>
      </c>
      <c r="BK145" t="str" s="8">
        <v>警戒范围</v>
      </c>
      <c r="BL145" t="n" s="8">
        <v>700</v>
      </c>
      <c r="BM145" t="str" s="8">
        <v>攻击间隔</v>
      </c>
      <c r="BN145" t="n" s="8">
        <v>2200</v>
      </c>
      <c r="BO145" t="n" s="8">
        <v>0</v>
      </c>
      <c r="BP145" s="8"/>
      <c r="BQ145" t="n" s="8">
        <v>0</v>
      </c>
      <c r="BR145" t="n" s="8">
        <v>0</v>
      </c>
      <c r="BS145" t="n" s="8">
        <v>0</v>
      </c>
      <c r="BT145" t="n" s="8">
        <v>0</v>
      </c>
      <c r="BU145" t="str" s="8">
        <v>涓台窦的BOSS遭遇。依托本区既有水土、岩隙和可达条件活动。</v>
      </c>
      <c r="BV145" t="n">
        <v>6</v>
      </c>
      <c r="BW145" t="n">
        <v>9</v>
      </c>
      <c r="BX145" t="str">
        <v>仙品</v>
      </c>
      <c r="BY145" t="str">
        <v>native</v>
      </c>
      <c r="BZ145" t="b">
        <v>1</v>
      </c>
    </row>
    <row r="146" ht="16.5" customHeight="1" spans="2:75">
      <c r="A146"/>
      <c r="B146" t="n" s="8">
        <f>60000000+INDEX(编号表!$B:$B,MATCH(J146,编号表!$A:$A,0))*10000+INDEX(编号表!$B:$B,MATCH(K146,编号表!$C:$C,0))*1000+L146</f>
        <v>60571155</v>
      </c>
      <c r="C146" t="str" s="8">
        <v>a010</v>
      </c>
      <c r="D146" t="str" s="5">
        <v>台缘岩蟹</v>
      </c>
      <c r="E146" t="str" s="5">
        <v>R06-S2-普通-155</v>
      </c>
      <c r="F146" t="n" s="8">
        <v>60</v>
      </c>
      <c r="G146" t="str" s="8">
        <f>INDEX(编号表!$E:$E,MATCH(K146,编号表!$C:$C,0))</f>
        <v>白色</v>
      </c>
      <c r="H146" t="n" s="8">
        <v>6</v>
      </c>
      <c r="I146" t="str" s="8">
        <v>孔收暮影</v>
      </c>
      <c r="J146" t="str" s="8">
        <v>孔收暮影</v>
      </c>
      <c r="K146" t="str" s="8">
        <v>普通</v>
      </c>
      <c r="L146" t="n" s="8">
        <v>155</v>
      </c>
      <c r="M146" t="n" s="8">
        <v>155</v>
      </c>
      <c r="N146" t="n" s="8">
        <v>1</v>
      </c>
      <c r="O146" s="8"/>
      <c r="P146" t="n" s="8">
        <v>24</v>
      </c>
      <c r="Q146" t="n" s="8">
        <v>30000</v>
      </c>
      <c r="R146" t="str" s="8">
        <v>首击</v>
      </c>
      <c r="S146" t="n" s="8">
        <v>30000</v>
      </c>
      <c r="T146" t="n" s="8">
        <v>10</v>
      </c>
      <c r="U146" t="n" s="16">
        <v>40900600</v>
      </c>
      <c r="V146" t="n" s="8">
        <v>40910603</v>
      </c>
      <c r="W146" t="n" s="8">
        <v>40920600</v>
      </c>
      <c r="X146" t="n" s="8">
        <v>11000001</v>
      </c>
      <c r="Y146" s="8"/>
      <c r="Z146" s="8"/>
      <c r="AA146" t="str" s="8">
        <v>妖兽</v>
      </c>
      <c r="AB146" s="21">
        <v>20133</v>
      </c>
      <c r="AC146" t="n" s="8">
        <v>1</v>
      </c>
      <c r="AD146" t="n" s="8">
        <v>60</v>
      </c>
      <c r="AE146" t="n" s="8">
        <v>60</v>
      </c>
      <c r="AF146" t="n" s="8">
        <v>0</v>
      </c>
      <c r="AG146" t="n" s="8">
        <v>0</v>
      </c>
      <c r="AH146" t="str" s="8">
        <v>近战</v>
      </c>
      <c r="AI146"/>
      <c r="AJ146" s="17"/>
      <c r="AK146" s="8"/>
      <c r="AL146" s="18"/>
      <c r="AM146" t="str" s="8">
        <v>生命值</v>
      </c>
      <c r="AN146" t="n" s="19">
        <v>1204600</v>
      </c>
      <c r="AO146" t="str" s="8">
        <v>灵力值</v>
      </c>
      <c r="AP146" t="n" s="8">
        <v>95100</v>
      </c>
      <c r="AQ146" t="str" s="8">
        <v>攻击下限</v>
      </c>
      <c r="AR146" t="n" s="8">
        <v>47550</v>
      </c>
      <c r="AS146" t="str" s="8">
        <v>攻击上限</v>
      </c>
      <c r="AT146" t="n" s="8">
        <v>47550</v>
      </c>
      <c r="AU146" t="str" s="8">
        <v>法力下限</v>
      </c>
      <c r="AV146" t="n" s="8">
        <v>47550</v>
      </c>
      <c r="AW146" t="str" s="8">
        <v>法力上限</v>
      </c>
      <c r="AX146" t="n" s="8">
        <v>47550</v>
      </c>
      <c r="AY146" t="str" s="8">
        <v>物防下限</v>
      </c>
      <c r="AZ146" t="n" s="8">
        <v>16484</v>
      </c>
      <c r="BA146" t="str" s="8">
        <v>物防上限</v>
      </c>
      <c r="BB146" t="n" s="8">
        <v>16484</v>
      </c>
      <c r="BC146" t="str" s="8">
        <v>法防下限</v>
      </c>
      <c r="BD146" t="n" s="8">
        <v>16484</v>
      </c>
      <c r="BE146" t="str" s="8">
        <v>法防上限</v>
      </c>
      <c r="BF146" t="n" s="8">
        <v>16484</v>
      </c>
      <c r="BG146" t="str" s="8">
        <v>移动速度</v>
      </c>
      <c r="BH146" t="n" s="8">
        <v>270</v>
      </c>
      <c r="BI146" t="str" s="8">
        <v>攻击范围</v>
      </c>
      <c r="BJ146" t="n" s="8">
        <v>160</v>
      </c>
      <c r="BK146" t="str" s="8">
        <v>警戒范围</v>
      </c>
      <c r="BL146" t="n" s="8">
        <v>550</v>
      </c>
      <c r="BM146" t="str" s="8">
        <v>攻击间隔</v>
      </c>
      <c r="BN146" t="n" s="8">
        <v>1800</v>
      </c>
      <c r="BO146" t="n" s="8">
        <v>0</v>
      </c>
      <c r="BP146" s="8"/>
      <c r="BQ146" t="n" s="8">
        <v>0</v>
      </c>
      <c r="BR146" t="n" s="8">
        <v>0</v>
      </c>
      <c r="BS146" t="n" s="8">
        <v>0</v>
      </c>
      <c r="BT146" t="n" s="8">
        <v>0</v>
      </c>
      <c r="BU146" t="str" s="8">
        <v>孔收暮影的普通遭遇。依托本区既有水土、岩隙和可达条件活动。</v>
      </c>
      <c r="BV146" t="n">
        <v>6</v>
      </c>
      <c r="BW146" t="n">
        <v>10</v>
      </c>
      <c r="BX146" t="str">
        <v>凡品</v>
      </c>
      <c r="BY146" t="str">
        <v>native</v>
      </c>
      <c r="BZ146" t="b">
        <v>0</v>
      </c>
    </row>
    <row r="147" ht="16.5" customHeight="1" spans="2:75">
      <c r="A147"/>
      <c r="B147" t="n" s="8">
        <f>60000000+INDEX(编号表!$B:$B,MATCH(J147,编号表!$A:$A,0))*10000+INDEX(编号表!$B:$B,MATCH(K147,编号表!$C:$C,0))*1000+L147</f>
        <v>60571156</v>
      </c>
      <c r="C147" t="str" s="8">
        <v>a010</v>
      </c>
      <c r="D147" t="str" s="5">
        <v>雾台灵蝠</v>
      </c>
      <c r="E147" t="str" s="5">
        <v>R06-S2-普通-156</v>
      </c>
      <c r="F147" t="n" s="8">
        <v>60</v>
      </c>
      <c r="G147" t="str" s="8">
        <f>INDEX(编号表!$E:$E,MATCH(K147,编号表!$C:$C,0))</f>
        <v>白色</v>
      </c>
      <c r="H147" t="n" s="8">
        <v>6</v>
      </c>
      <c r="I147" t="str" s="8">
        <v>孔收暮影</v>
      </c>
      <c r="J147" t="str" s="8">
        <v>孔收暮影</v>
      </c>
      <c r="K147" t="str" s="8">
        <v>普通</v>
      </c>
      <c r="L147" t="n" s="8">
        <v>156</v>
      </c>
      <c r="M147" t="n" s="8">
        <v>156</v>
      </c>
      <c r="N147" t="n" s="8">
        <v>1</v>
      </c>
      <c r="O147" s="8"/>
      <c r="P147" t="n" s="8">
        <v>24</v>
      </c>
      <c r="Q147" t="n" s="8">
        <v>30000</v>
      </c>
      <c r="R147" t="str" s="8">
        <v>首击</v>
      </c>
      <c r="S147" t="n" s="8">
        <v>30000</v>
      </c>
      <c r="T147" t="n" s="8">
        <v>10</v>
      </c>
      <c r="U147" t="n" s="16">
        <v>40900600</v>
      </c>
      <c r="V147" t="n" s="8">
        <v>40910604</v>
      </c>
      <c r="W147" t="n" s="8">
        <v>40920601</v>
      </c>
      <c r="X147" t="n" s="8">
        <v>11000001</v>
      </c>
      <c r="Y147" s="8"/>
      <c r="Z147" s="8"/>
      <c r="AA147" t="str" s="8">
        <v>妖兽</v>
      </c>
      <c r="AB147" s="21">
        <v>20134</v>
      </c>
      <c r="AC147" t="n" s="8">
        <v>1</v>
      </c>
      <c r="AD147" t="n" s="8">
        <v>60</v>
      </c>
      <c r="AE147" t="n" s="8">
        <v>60</v>
      </c>
      <c r="AF147" t="n" s="8">
        <v>0</v>
      </c>
      <c r="AG147" t="n" s="8">
        <v>0</v>
      </c>
      <c r="AH147" t="str" s="8">
        <v>近战</v>
      </c>
      <c r="AI147" s="8"/>
      <c r="AJ147" s="17"/>
      <c r="AK147" s="8"/>
      <c r="AL147" s="18"/>
      <c r="AM147" t="str" s="8">
        <v>生命值</v>
      </c>
      <c r="AN147" t="n" s="19">
        <v>1204600</v>
      </c>
      <c r="AO147" t="str" s="8">
        <v>灵力值</v>
      </c>
      <c r="AP147" t="n" s="8">
        <v>95100</v>
      </c>
      <c r="AQ147" t="str" s="8">
        <v>攻击下限</v>
      </c>
      <c r="AR147" t="n" s="8">
        <v>47550</v>
      </c>
      <c r="AS147" t="str" s="8">
        <v>攻击上限</v>
      </c>
      <c r="AT147" t="n" s="8">
        <v>47550</v>
      </c>
      <c r="AU147" t="str" s="8">
        <v>法力下限</v>
      </c>
      <c r="AV147" t="n" s="8">
        <v>47550</v>
      </c>
      <c r="AW147" t="str" s="8">
        <v>法力上限</v>
      </c>
      <c r="AX147" t="n" s="8">
        <v>47550</v>
      </c>
      <c r="AY147" t="str" s="8">
        <v>物防下限</v>
      </c>
      <c r="AZ147" t="n" s="8">
        <v>16484</v>
      </c>
      <c r="BA147" t="str" s="8">
        <v>物防上限</v>
      </c>
      <c r="BB147" t="n" s="8">
        <v>16484</v>
      </c>
      <c r="BC147" t="str" s="8">
        <v>法防下限</v>
      </c>
      <c r="BD147" t="n" s="8">
        <v>16484</v>
      </c>
      <c r="BE147" t="str" s="8">
        <v>法防上限</v>
      </c>
      <c r="BF147" t="n" s="8">
        <v>16484</v>
      </c>
      <c r="BG147" t="str" s="8">
        <v>移动速度</v>
      </c>
      <c r="BH147" t="n" s="8">
        <v>270</v>
      </c>
      <c r="BI147" t="str" s="8">
        <v>攻击范围</v>
      </c>
      <c r="BJ147" t="n" s="8">
        <v>160</v>
      </c>
      <c r="BK147" t="str" s="8">
        <v>警戒范围</v>
      </c>
      <c r="BL147" t="n" s="8">
        <v>550</v>
      </c>
      <c r="BM147" t="str" s="8">
        <v>攻击间隔</v>
      </c>
      <c r="BN147" t="n" s="8">
        <v>1800</v>
      </c>
      <c r="BO147" t="n" s="8">
        <v>0</v>
      </c>
      <c r="BP147" s="8"/>
      <c r="BQ147" t="n" s="8">
        <v>0</v>
      </c>
      <c r="BR147" t="n" s="8">
        <v>0</v>
      </c>
      <c r="BS147" t="n" s="8">
        <v>0</v>
      </c>
      <c r="BT147" t="n" s="8">
        <v>0</v>
      </c>
      <c r="BU147" t="str" s="8">
        <v>孔收暮影的普通遭遇。依托本区既有水土、岩隙和可达条件活动。</v>
      </c>
      <c r="BV147" t="n">
        <v>6</v>
      </c>
      <c r="BW147" t="n">
        <v>10</v>
      </c>
      <c r="BX147" t="str">
        <v>凡品</v>
      </c>
      <c r="BY147" t="str">
        <v>native</v>
      </c>
      <c r="BZ147" t="b">
        <v>0</v>
      </c>
    </row>
    <row r="148" ht="16.5" customHeight="1" spans="2:75">
      <c r="A148"/>
      <c r="B148" t="n" s="8">
        <f>60000000+INDEX(编号表!$B:$B,MATCH(J148,编号表!$A:$A,0))*10000+INDEX(编号表!$B:$B,MATCH(K148,编号表!$C:$C,0))*1000+L148</f>
        <v>60572157</v>
      </c>
      <c r="C148" t="str" s="8">
        <v>a010</v>
      </c>
      <c r="D148" t="str" s="5">
        <v>悬岩灵狼·异种</v>
      </c>
      <c r="E148" t="str" s="5">
        <v>R06-S2-精英-157</v>
      </c>
      <c r="F148" t="n" s="8">
        <v>60</v>
      </c>
      <c r="G148" t="str" s="8">
        <f>INDEX(编号表!$E:$E,MATCH(K148,编号表!$C:$C,0))</f>
        <v>绿色</v>
      </c>
      <c r="H148" t="n" s="8">
        <v>6</v>
      </c>
      <c r="I148" t="str" s="8">
        <v>孔收暮影</v>
      </c>
      <c r="J148" t="str" s="8">
        <v>孔收暮影</v>
      </c>
      <c r="K148" t="str" s="8">
        <v>精英</v>
      </c>
      <c r="L148" t="n" s="8">
        <v>157</v>
      </c>
      <c r="M148" t="n" s="8">
        <v>157</v>
      </c>
      <c r="N148" t="n" s="8">
        <v>3</v>
      </c>
      <c r="O148" s="8"/>
      <c r="P148" t="n" s="8">
        <v>40</v>
      </c>
      <c r="Q148" t="n" s="8">
        <v>180000</v>
      </c>
      <c r="R148" t="str" s="8">
        <v>首击</v>
      </c>
      <c r="S148" t="n" s="8">
        <v>30000</v>
      </c>
      <c r="T148" t="n" s="8">
        <v>11</v>
      </c>
      <c r="U148" t="n" s="16">
        <v>40900601</v>
      </c>
      <c r="V148" t="n" s="8">
        <v>41120605</v>
      </c>
      <c r="W148" t="n" s="8">
        <v>41220600</v>
      </c>
      <c r="X148" t="n" s="8">
        <v>11000001</v>
      </c>
      <c r="Y148" s="8"/>
      <c r="Z148" s="8"/>
      <c r="AA148" t="str" s="8">
        <v>妖兽</v>
      </c>
      <c r="AB148" s="21">
        <v>20135</v>
      </c>
      <c r="AC148" t="n" s="8">
        <v>1.25</v>
      </c>
      <c r="AD148" t="n" s="8">
        <v>60</v>
      </c>
      <c r="AE148" t="n" s="8">
        <v>60</v>
      </c>
      <c r="AF148" t="n" s="8">
        <v>0</v>
      </c>
      <c r="AG148" t="n" s="8">
        <v>0</v>
      </c>
      <c r="AH148" t="str" s="8">
        <v>近战</v>
      </c>
      <c r="AI148" s="8"/>
      <c r="AJ148" s="17"/>
      <c r="AK148" s="8"/>
      <c r="AL148" s="18"/>
      <c r="AM148" t="str" s="8">
        <v>生命值</v>
      </c>
      <c r="AN148" t="n" s="19">
        <v>3372880</v>
      </c>
      <c r="AO148" t="str" s="8">
        <v>灵力值</v>
      </c>
      <c r="AP148" t="n" s="8">
        <v>137896</v>
      </c>
      <c r="AQ148" t="str" s="8">
        <v>攻击下限</v>
      </c>
      <c r="AR148" t="n" s="8">
        <v>68948</v>
      </c>
      <c r="AS148" t="str" s="8">
        <v>攻击上限</v>
      </c>
      <c r="AT148" t="n" s="8">
        <v>68948</v>
      </c>
      <c r="AU148" t="str" s="8">
        <v>法力下限</v>
      </c>
      <c r="AV148" t="n" s="8">
        <v>68948</v>
      </c>
      <c r="AW148" t="str" s="8">
        <v>法力上限</v>
      </c>
      <c r="AX148" t="n" s="8">
        <v>68948</v>
      </c>
      <c r="AY148" t="str" s="8">
        <v>物防下限</v>
      </c>
      <c r="AZ148" t="n" s="8">
        <v>19781</v>
      </c>
      <c r="BA148" t="str" s="8">
        <v>物防上限</v>
      </c>
      <c r="BB148" t="n" s="8">
        <v>19781</v>
      </c>
      <c r="BC148" t="str" s="8">
        <v>法防下限</v>
      </c>
      <c r="BD148" t="n" s="8">
        <v>19781</v>
      </c>
      <c r="BE148" t="str" s="8">
        <v>法防上限</v>
      </c>
      <c r="BF148" t="n" s="8">
        <v>19781</v>
      </c>
      <c r="BG148" t="str" s="8">
        <v>移动速度</v>
      </c>
      <c r="BH148" t="n" s="8">
        <v>270</v>
      </c>
      <c r="BI148" t="str" s="8">
        <v>攻击范围</v>
      </c>
      <c r="BJ148" t="n" s="8">
        <v>160</v>
      </c>
      <c r="BK148" t="str" s="8">
        <v>警戒范围</v>
      </c>
      <c r="BL148" t="n" s="8">
        <v>550</v>
      </c>
      <c r="BM148" t="str" s="8">
        <v>攻击间隔</v>
      </c>
      <c r="BN148" t="n" s="8">
        <v>1800</v>
      </c>
      <c r="BO148" t="n" s="8">
        <v>0</v>
      </c>
      <c r="BP148" s="8"/>
      <c r="BQ148" t="n" s="8">
        <v>0</v>
      </c>
      <c r="BR148" t="n" s="8">
        <v>0</v>
      </c>
      <c r="BS148" t="n" s="8">
        <v>0</v>
      </c>
      <c r="BT148" t="n" s="8">
        <v>0</v>
      </c>
      <c r="BU148" t="str" s="8">
        <v>孔收暮影的精英遭遇。依托本区既有水土、岩隙和可达条件活动。</v>
      </c>
      <c r="BV148" t="n">
        <v>6</v>
      </c>
      <c r="BW148" t="n">
        <v>10</v>
      </c>
      <c r="BX148" t="str">
        <v>玄品</v>
      </c>
      <c r="BY148" t="str">
        <v>native</v>
      </c>
      <c r="BZ148" t="b">
        <v>0</v>
      </c>
    </row>
    <row r="149" ht="16.5" customHeight="1" spans="2:75">
      <c r="A149"/>
      <c r="B149" t="n" s="8">
        <f>60000000+INDEX(编号表!$B:$B,MATCH(J149,编号表!$A:$A,0))*10000+INDEX(编号表!$B:$B,MATCH(K149,编号表!$C:$C,0))*1000+L149</f>
        <v>60574158</v>
      </c>
      <c r="C149" t="str" s="8">
        <v>a010</v>
      </c>
      <c r="D149" t="str" s="5">
        <v>暗角灵蛇·首领</v>
      </c>
      <c r="E149" t="str" s="5">
        <v>R06-S2-BOSS-158</v>
      </c>
      <c r="F149" t="n" s="8">
        <v>60</v>
      </c>
      <c r="G149" t="str" s="8">
        <f>INDEX(编号表!$E:$E,MATCH(K149,编号表!$C:$C,0))</f>
        <v>橙色</v>
      </c>
      <c r="H149" t="n" s="8">
        <v>6</v>
      </c>
      <c r="I149" t="str" s="8">
        <v>孔收暮影</v>
      </c>
      <c r="J149" t="str" s="8">
        <v>孔收暮影</v>
      </c>
      <c r="K149" t="str" s="8">
        <v>BOSS</v>
      </c>
      <c r="L149" t="n" s="8">
        <v>158</v>
      </c>
      <c r="M149" t="n" s="8">
        <v>158</v>
      </c>
      <c r="N149" t="n" s="8">
        <v>5</v>
      </c>
      <c r="O149" s="8"/>
      <c r="P149" t="n" s="8">
        <v>40</v>
      </c>
      <c r="Q149" t="n" s="8">
        <v>900000</v>
      </c>
      <c r="R149" t="str" s="8">
        <v>首击</v>
      </c>
      <c r="S149" t="n" s="8">
        <v>30000</v>
      </c>
      <c r="T149" t="n" s="8">
        <v>12</v>
      </c>
      <c r="U149" t="n" s="16">
        <v>40900602</v>
      </c>
      <c r="V149" t="n" s="8">
        <v>41130606</v>
      </c>
      <c r="W149" t="n" s="8">
        <v>41230601</v>
      </c>
      <c r="X149" t="n" s="8">
        <v>11000001</v>
      </c>
      <c r="Y149" s="8"/>
      <c r="Z149" s="8"/>
      <c r="AA149" t="str" s="8">
        <v>妖兽</v>
      </c>
      <c r="AB149" s="21">
        <v>20136</v>
      </c>
      <c r="AC149" t="n" s="8">
        <v>1.6</v>
      </c>
      <c r="AD149" t="n" s="8">
        <v>60</v>
      </c>
      <c r="AE149" t="n" s="8">
        <v>60</v>
      </c>
      <c r="AF149" t="n" s="8">
        <v>0</v>
      </c>
      <c r="AG149" t="n" s="8">
        <v>0</v>
      </c>
      <c r="AH149" t="str" s="8">
        <v>近战</v>
      </c>
      <c r="AI149" s="8"/>
      <c r="AJ149" s="17"/>
      <c r="AK149" s="8"/>
      <c r="AL149" s="18"/>
      <c r="AM149" t="str" s="8">
        <v>生命值</v>
      </c>
      <c r="AN149" t="n" s="19">
        <v>12046000</v>
      </c>
      <c r="AO149" t="str" s="8">
        <v>灵力值</v>
      </c>
      <c r="AP149" t="n" s="8">
        <v>199710</v>
      </c>
      <c r="AQ149" t="str" s="8">
        <v>攻击下限</v>
      </c>
      <c r="AR149" t="n" s="8">
        <v>99855</v>
      </c>
      <c r="AS149" t="str" s="8">
        <v>攻击上限</v>
      </c>
      <c r="AT149" t="n" s="8">
        <v>99855</v>
      </c>
      <c r="AU149" t="str" s="8">
        <v>法力下限</v>
      </c>
      <c r="AV149" t="n" s="8">
        <v>99855</v>
      </c>
      <c r="AW149" t="str" s="8">
        <v>法力上限</v>
      </c>
      <c r="AX149" t="n" s="8">
        <v>99855</v>
      </c>
      <c r="AY149" t="str" s="8">
        <v>物防下限</v>
      </c>
      <c r="AZ149" t="n" s="8">
        <v>24726</v>
      </c>
      <c r="BA149" t="str" s="8">
        <v>物防上限</v>
      </c>
      <c r="BB149" t="n" s="8">
        <v>24726</v>
      </c>
      <c r="BC149" t="str" s="8">
        <v>法防下限</v>
      </c>
      <c r="BD149" t="n" s="8">
        <v>24726</v>
      </c>
      <c r="BE149" t="str" s="8">
        <v>法防上限</v>
      </c>
      <c r="BF149" t="n" s="8">
        <v>24726</v>
      </c>
      <c r="BG149" t="str" s="8">
        <v>移动速度</v>
      </c>
      <c r="BH149" t="n" s="8">
        <v>270</v>
      </c>
      <c r="BI149" t="str" s="8">
        <v>攻击范围</v>
      </c>
      <c r="BJ149" t="n" s="8">
        <v>160</v>
      </c>
      <c r="BK149" t="str" s="8">
        <v>警戒范围</v>
      </c>
      <c r="BL149" t="n" s="8">
        <v>700</v>
      </c>
      <c r="BM149" t="str" s="8">
        <v>攻击间隔</v>
      </c>
      <c r="BN149" t="n" s="8">
        <v>2200</v>
      </c>
      <c r="BO149" t="n" s="8">
        <v>0</v>
      </c>
      <c r="BP149" s="8"/>
      <c r="BQ149" t="n" s="8">
        <v>0</v>
      </c>
      <c r="BR149" t="n" s="8">
        <v>0</v>
      </c>
      <c r="BS149" t="n" s="8">
        <v>0</v>
      </c>
      <c r="BT149" t="n" s="8">
        <v>0</v>
      </c>
      <c r="BU149" t="str" s="8">
        <v>孔收暮影的BOSS遭遇。依托本区既有水土、岩隙和可达条件活动。</v>
      </c>
      <c r="BV149" t="n">
        <v>6</v>
      </c>
      <c r="BW149" t="n">
        <v>10</v>
      </c>
      <c r="BX149" t="str">
        <v>仙品</v>
      </c>
      <c r="BY149" t="str">
        <v>native</v>
      </c>
      <c r="BZ149" t="b">
        <v>1</v>
      </c>
    </row>
    <row r="150" ht="16.5" customHeight="1" spans="2:75">
      <c r="A150"/>
      <c r="B150" t="n" s="8">
        <f>60000000+INDEX(编号表!$B:$B,MATCH(J150,编号表!$A:$A,0))*10000+INDEX(编号表!$B:$B,MATCH(K150,编号表!$C:$C,0))*1000+L150</f>
        <v>60581159</v>
      </c>
      <c r="C150" t="str" s="8">
        <v>a010</v>
      </c>
      <c r="D150" t="str" s="5">
        <v>魔化台缘岩蟹</v>
      </c>
      <c r="E150" t="str" s="5">
        <v>R06-D1-普通-159</v>
      </c>
      <c r="F150" t="n" s="8">
        <v>58</v>
      </c>
      <c r="G150" t="str" s="8">
        <f>INDEX(编号表!$E:$E,MATCH(K150,编号表!$C:$C,0))</f>
        <v>白色</v>
      </c>
      <c r="H150" t="n" s="8">
        <v>6</v>
      </c>
      <c r="I150" t="str" s="8">
        <v>雾黯岩</v>
      </c>
      <c r="J150" t="str" s="8">
        <v>雾黯岩</v>
      </c>
      <c r="K150" t="str" s="8">
        <v>普通</v>
      </c>
      <c r="L150" t="n" s="8">
        <v>159</v>
      </c>
      <c r="M150" t="n" s="8">
        <v>159</v>
      </c>
      <c r="N150" t="n" s="8">
        <v>1</v>
      </c>
      <c r="O150" s="8"/>
      <c r="P150" t="n" s="8">
        <v>24</v>
      </c>
      <c r="Q150" t="n" s="8">
        <v>30000</v>
      </c>
      <c r="R150" t="str" s="8">
        <v>首击</v>
      </c>
      <c r="S150" t="n" s="8">
        <v>30000</v>
      </c>
      <c r="T150" t="n" s="8">
        <v>10</v>
      </c>
      <c r="U150" t="n" s="16">
        <v>40900600</v>
      </c>
      <c r="V150" t="n" s="8">
        <v>40910607</v>
      </c>
      <c r="W150" t="n" s="8">
        <v>40920600</v>
      </c>
      <c r="X150" t="n" s="8">
        <v>11000001</v>
      </c>
      <c r="Y150" s="8"/>
      <c r="Z150" s="8"/>
      <c r="AA150" t="str" s="8">
        <v>妖兽</v>
      </c>
      <c r="AB150" s="21">
        <v>20137</v>
      </c>
      <c r="AC150" t="n" s="8">
        <v>1</v>
      </c>
      <c r="AD150" t="n" s="8">
        <v>60</v>
      </c>
      <c r="AE150" t="n" s="8">
        <v>60</v>
      </c>
      <c r="AF150" t="n" s="8">
        <v>0</v>
      </c>
      <c r="AG150" t="n" s="8">
        <v>0</v>
      </c>
      <c r="AH150" t="str" s="8">
        <v>近战</v>
      </c>
      <c r="AI150" s="8"/>
      <c r="AJ150" s="17"/>
      <c r="AK150" s="8"/>
      <c r="AL150" s="18"/>
      <c r="AM150" t="str" s="8">
        <v>生命值</v>
      </c>
      <c r="AN150" t="n" s="19">
        <v>1105800</v>
      </c>
      <c r="AO150" t="str" s="8">
        <v>灵力值</v>
      </c>
      <c r="AP150" t="n" s="8">
        <v>87300</v>
      </c>
      <c r="AQ150" t="str" s="8">
        <v>攻击下限</v>
      </c>
      <c r="AR150" t="n" s="8">
        <v>43650</v>
      </c>
      <c r="AS150" t="str" s="8">
        <v>攻击上限</v>
      </c>
      <c r="AT150" t="n" s="8">
        <v>43650</v>
      </c>
      <c r="AU150" t="str" s="8">
        <v>法力下限</v>
      </c>
      <c r="AV150" t="n" s="8">
        <v>43650</v>
      </c>
      <c r="AW150" t="str" s="8">
        <v>法力上限</v>
      </c>
      <c r="AX150" t="n" s="8">
        <v>43650</v>
      </c>
      <c r="AY150" t="str" s="8">
        <v>物防下限</v>
      </c>
      <c r="AZ150" t="n" s="8">
        <v>15132</v>
      </c>
      <c r="BA150" t="str" s="8">
        <v>物防上限</v>
      </c>
      <c r="BB150" t="n" s="8">
        <v>15132</v>
      </c>
      <c r="BC150" t="str" s="8">
        <v>法防下限</v>
      </c>
      <c r="BD150" t="n" s="8">
        <v>15132</v>
      </c>
      <c r="BE150" t="str" s="8">
        <v>法防上限</v>
      </c>
      <c r="BF150" t="n" s="8">
        <v>15132</v>
      </c>
      <c r="BG150" t="str" s="8">
        <v>移动速度</v>
      </c>
      <c r="BH150" t="n" s="8">
        <v>270</v>
      </c>
      <c r="BI150" t="str" s="8">
        <v>攻击范围</v>
      </c>
      <c r="BJ150" t="n" s="8">
        <v>160</v>
      </c>
      <c r="BK150" t="str" s="8">
        <v>警戒范围</v>
      </c>
      <c r="BL150" t="n" s="8">
        <v>550</v>
      </c>
      <c r="BM150" t="str" s="8">
        <v>攻击间隔</v>
      </c>
      <c r="BN150" t="n" s="8">
        <v>1800</v>
      </c>
      <c r="BO150" t="n" s="8">
        <v>0</v>
      </c>
      <c r="BP150" s="8"/>
      <c r="BQ150" t="n" s="8">
        <v>0</v>
      </c>
      <c r="BR150" t="n" s="8">
        <v>0</v>
      </c>
      <c r="BS150" t="n" s="8">
        <v>0</v>
      </c>
      <c r="BT150" t="n" s="8">
        <v>0</v>
      </c>
      <c r="BU150" t="str" s="8">
        <v>雾黯岩的普通遭遇。裂隙渗漏造成的短时魔化，非本区新增裂隙。</v>
      </c>
      <c r="BV150" t="n">
        <v>6</v>
      </c>
      <c r="BW150" t="n">
        <v>8</v>
      </c>
      <c r="BX150" t="str">
        <v>凡品</v>
      </c>
      <c r="BY150" t="str">
        <v>corrupted</v>
      </c>
      <c r="BZ150" t="b">
        <v>0</v>
      </c>
    </row>
    <row r="151" ht="16.5" customHeight="1" spans="2:75">
      <c r="A151"/>
      <c r="B151" t="n" s="8">
        <f>60000000+INDEX(编号表!$B:$B,MATCH(J151,编号表!$A:$A,0))*10000+INDEX(编号表!$B:$B,MATCH(K151,编号表!$C:$C,0))*1000+L151</f>
        <v>60582160</v>
      </c>
      <c r="C151" t="str" s="8">
        <v>a010</v>
      </c>
      <c r="D151" t="str" s="5">
        <v>魔化雾台灵蝠·异种</v>
      </c>
      <c r="E151" t="str" s="5">
        <v>R06-D1-精英-160</v>
      </c>
      <c r="F151" t="n" s="8">
        <v>58</v>
      </c>
      <c r="G151" t="str" s="8">
        <f>INDEX(编号表!$E:$E,MATCH(K151,编号表!$C:$C,0))</f>
        <v>绿色</v>
      </c>
      <c r="H151" t="n" s="8">
        <v>6</v>
      </c>
      <c r="I151" t="str" s="8">
        <v>雾黯岩</v>
      </c>
      <c r="J151" t="str" s="8">
        <v>雾黯岩</v>
      </c>
      <c r="K151" t="str" s="8">
        <v>精英</v>
      </c>
      <c r="L151" t="n" s="8">
        <v>160</v>
      </c>
      <c r="M151" t="n" s="8">
        <v>160</v>
      </c>
      <c r="N151" t="n" s="8">
        <v>3</v>
      </c>
      <c r="O151" s="8"/>
      <c r="P151" t="n" s="8">
        <v>40</v>
      </c>
      <c r="Q151" t="n" s="8">
        <v>180000</v>
      </c>
      <c r="R151" t="str" s="8">
        <v>首击</v>
      </c>
      <c r="S151" t="n" s="8">
        <v>30000</v>
      </c>
      <c r="T151" t="n" s="8">
        <v>11</v>
      </c>
      <c r="U151" t="n" s="16">
        <v>40900601</v>
      </c>
      <c r="V151" t="n" s="8">
        <v>41120608</v>
      </c>
      <c r="W151" t="n" s="8">
        <v>41220601</v>
      </c>
      <c r="X151" t="n" s="8">
        <v>11000001</v>
      </c>
      <c r="Y151" s="8"/>
      <c r="Z151" s="8"/>
      <c r="AA151" t="str" s="8">
        <v>妖兽</v>
      </c>
      <c r="AB151" s="21">
        <v>20138</v>
      </c>
      <c r="AC151" t="n" s="8">
        <v>1.25</v>
      </c>
      <c r="AD151" t="n" s="8">
        <v>60</v>
      </c>
      <c r="AE151" t="n" s="8">
        <v>60</v>
      </c>
      <c r="AF151" t="n" s="8">
        <v>0</v>
      </c>
      <c r="AG151" t="n" s="8">
        <v>0</v>
      </c>
      <c r="AH151" t="str" s="8">
        <v>近战</v>
      </c>
      <c r="AI151"/>
      <c r="AJ151" s="17"/>
      <c r="AK151" s="8"/>
      <c r="AL151" s="18"/>
      <c r="AM151" t="str" s="8">
        <v>生命值</v>
      </c>
      <c r="AN151" t="n" s="19">
        <v>3096240</v>
      </c>
      <c r="AO151" t="str" s="8">
        <v>灵力值</v>
      </c>
      <c r="AP151" t="n" s="8">
        <v>126584</v>
      </c>
      <c r="AQ151" t="str" s="8">
        <v>攻击下限</v>
      </c>
      <c r="AR151" t="n" s="8">
        <v>63292</v>
      </c>
      <c r="AS151" t="str" s="8">
        <v>攻击上限</v>
      </c>
      <c r="AT151" t="n" s="8">
        <v>63292</v>
      </c>
      <c r="AU151" t="str" s="8">
        <v>法力下限</v>
      </c>
      <c r="AV151" t="n" s="8">
        <v>63292</v>
      </c>
      <c r="AW151" t="str" s="8">
        <v>法力上限</v>
      </c>
      <c r="AX151" t="n" s="8">
        <v>63292</v>
      </c>
      <c r="AY151" t="str" s="8">
        <v>物防下限</v>
      </c>
      <c r="AZ151" t="n" s="8">
        <v>18158</v>
      </c>
      <c r="BA151" t="str" s="8">
        <v>物防上限</v>
      </c>
      <c r="BB151" t="n" s="8">
        <v>18158</v>
      </c>
      <c r="BC151" t="str" s="8">
        <v>法防下限</v>
      </c>
      <c r="BD151" t="n" s="8">
        <v>18158</v>
      </c>
      <c r="BE151" t="str" s="8">
        <v>法防上限</v>
      </c>
      <c r="BF151" t="n" s="8">
        <v>18158</v>
      </c>
      <c r="BG151" t="str" s="8">
        <v>移动速度</v>
      </c>
      <c r="BH151" t="n" s="8">
        <v>270</v>
      </c>
      <c r="BI151" t="str" s="8">
        <v>攻击范围</v>
      </c>
      <c r="BJ151" t="n" s="8">
        <v>160</v>
      </c>
      <c r="BK151" t="str" s="8">
        <v>警戒范围</v>
      </c>
      <c r="BL151" t="n" s="8">
        <v>550</v>
      </c>
      <c r="BM151" t="str" s="8">
        <v>攻击间隔</v>
      </c>
      <c r="BN151" t="n" s="8">
        <v>1800</v>
      </c>
      <c r="BO151" t="n" s="8">
        <v>0</v>
      </c>
      <c r="BP151" s="8"/>
      <c r="BQ151" t="n" s="8">
        <v>0</v>
      </c>
      <c r="BR151" t="n" s="8">
        <v>0</v>
      </c>
      <c r="BS151" t="n" s="8">
        <v>0</v>
      </c>
      <c r="BT151" t="n" s="8">
        <v>0</v>
      </c>
      <c r="BU151" t="str" s="8">
        <v>雾黯岩的精英遭遇。裂隙渗漏造成的短时魔化，非本区新增裂隙。</v>
      </c>
      <c r="BV151" t="n">
        <v>6</v>
      </c>
      <c r="BW151" t="n">
        <v>8</v>
      </c>
      <c r="BX151" t="str">
        <v>玄品</v>
      </c>
      <c r="BY151" t="str">
        <v>corrupted</v>
      </c>
      <c r="BZ151" t="b">
        <v>0</v>
      </c>
    </row>
    <row r="152" ht="16.5" customHeight="1" spans="2:75">
      <c r="A152"/>
      <c r="B152" t="n" s="8">
        <f>60000000+INDEX(编号表!$B:$B,MATCH(J152,编号表!$A:$A,0))*10000+INDEX(编号表!$B:$B,MATCH(K152,编号表!$C:$C,0))*1000+L152</f>
        <v>60584161</v>
      </c>
      <c r="C152" t="str" s="8">
        <v>a010</v>
      </c>
      <c r="D152" t="str" s="5">
        <v>魔化悬岩灵狼·首领</v>
      </c>
      <c r="E152" t="str" s="5">
        <v>R06-D1-BOSS-161</v>
      </c>
      <c r="F152" t="n" s="8">
        <v>58</v>
      </c>
      <c r="G152" t="str" s="8">
        <f>INDEX(编号表!$E:$E,MATCH(K152,编号表!$C:$C,0))</f>
        <v>橙色</v>
      </c>
      <c r="H152" t="n" s="8">
        <v>6</v>
      </c>
      <c r="I152" t="str" s="8">
        <v>雾黯岩</v>
      </c>
      <c r="J152" t="str" s="8">
        <v>雾黯岩</v>
      </c>
      <c r="K152" t="str" s="8">
        <v>BOSS</v>
      </c>
      <c r="L152" t="n" s="8">
        <v>161</v>
      </c>
      <c r="M152" t="n" s="8">
        <v>161</v>
      </c>
      <c r="N152" t="n" s="8">
        <v>5</v>
      </c>
      <c r="O152" s="8"/>
      <c r="P152" t="n" s="8">
        <v>40</v>
      </c>
      <c r="Q152" t="n" s="8">
        <v>900000</v>
      </c>
      <c r="R152" t="str" s="8">
        <v>首击</v>
      </c>
      <c r="S152" t="n" s="8">
        <v>30000</v>
      </c>
      <c r="T152" t="n" s="8">
        <v>12</v>
      </c>
      <c r="U152" t="n" s="16">
        <v>40900602</v>
      </c>
      <c r="V152" t="n" s="8">
        <v>41130609</v>
      </c>
      <c r="W152" t="n" s="8">
        <v>41230600</v>
      </c>
      <c r="X152" t="n" s="8">
        <v>11000001</v>
      </c>
      <c r="Y152" s="8"/>
      <c r="Z152" s="8"/>
      <c r="AA152" t="str" s="8">
        <v>妖兽</v>
      </c>
      <c r="AB152" s="21">
        <v>20139</v>
      </c>
      <c r="AC152" t="n" s="8">
        <v>1.6</v>
      </c>
      <c r="AD152" t="n" s="8">
        <v>60</v>
      </c>
      <c r="AE152" t="n" s="8">
        <v>60</v>
      </c>
      <c r="AF152" t="n" s="8">
        <v>0</v>
      </c>
      <c r="AG152" t="n" s="8">
        <v>0</v>
      </c>
      <c r="AH152" t="str" s="8">
        <v>近战</v>
      </c>
      <c r="AI152" s="8"/>
      <c r="AJ152" s="17"/>
      <c r="AK152" s="8"/>
      <c r="AL152" s="18"/>
      <c r="AM152" t="str" s="8">
        <v>生命值</v>
      </c>
      <c r="AN152" t="n" s="19">
        <v>11058000</v>
      </c>
      <c r="AO152" t="str" s="8">
        <v>灵力值</v>
      </c>
      <c r="AP152" t="n" s="8">
        <v>183330</v>
      </c>
      <c r="AQ152" t="str" s="8">
        <v>攻击下限</v>
      </c>
      <c r="AR152" t="n" s="8">
        <v>91665</v>
      </c>
      <c r="AS152" t="str" s="8">
        <v>攻击上限</v>
      </c>
      <c r="AT152" t="n" s="8">
        <v>91665</v>
      </c>
      <c r="AU152" t="str" s="8">
        <v>法力下限</v>
      </c>
      <c r="AV152" t="n" s="8">
        <v>91665</v>
      </c>
      <c r="AW152" t="str" s="8">
        <v>法力上限</v>
      </c>
      <c r="AX152" t="n" s="8">
        <v>91665</v>
      </c>
      <c r="AY152" t="str" s="8">
        <v>物防下限</v>
      </c>
      <c r="AZ152" t="n" s="8">
        <v>22698</v>
      </c>
      <c r="BA152" t="str" s="8">
        <v>物防上限</v>
      </c>
      <c r="BB152" t="n" s="8">
        <v>22698</v>
      </c>
      <c r="BC152" t="str" s="8">
        <v>法防下限</v>
      </c>
      <c r="BD152" t="n" s="8">
        <v>22698</v>
      </c>
      <c r="BE152" t="str" s="8">
        <v>法防上限</v>
      </c>
      <c r="BF152" t="n" s="8">
        <v>22698</v>
      </c>
      <c r="BG152" t="str" s="8">
        <v>移动速度</v>
      </c>
      <c r="BH152" t="n" s="8">
        <v>270</v>
      </c>
      <c r="BI152" t="str" s="8">
        <v>攻击范围</v>
      </c>
      <c r="BJ152" t="n" s="8">
        <v>160</v>
      </c>
      <c r="BK152" t="str" s="8">
        <v>警戒范围</v>
      </c>
      <c r="BL152" t="n" s="8">
        <v>700</v>
      </c>
      <c r="BM152" t="str" s="8">
        <v>攻击间隔</v>
      </c>
      <c r="BN152" t="n" s="8">
        <v>2200</v>
      </c>
      <c r="BO152" t="n" s="8">
        <v>0</v>
      </c>
      <c r="BP152" s="8"/>
      <c r="BQ152" t="n" s="8">
        <v>0</v>
      </c>
      <c r="BR152" t="n" s="8">
        <v>0</v>
      </c>
      <c r="BS152" t="n" s="8">
        <v>0</v>
      </c>
      <c r="BT152" t="n" s="8">
        <v>0</v>
      </c>
      <c r="BU152" t="str" s="8">
        <v>雾黯岩的BOSS遭遇。裂隙渗漏造成的短时魔化，非本区新增裂隙。</v>
      </c>
      <c r="BV152" t="n">
        <v>6</v>
      </c>
      <c r="BW152" t="n">
        <v>8</v>
      </c>
      <c r="BX152" t="str">
        <v>仙品</v>
      </c>
      <c r="BY152" t="str">
        <v>corrupted</v>
      </c>
      <c r="BZ152" t="b">
        <v>1</v>
      </c>
    </row>
    <row r="153" ht="16.5" customHeight="1" spans="2:75">
      <c r="A153"/>
      <c r="B153" t="n" s="8">
        <f>60000000+INDEX(编号表!$B:$B,MATCH(J153,编号表!$A:$A,0))*10000+INDEX(编号表!$B:$B,MATCH(K153,编号表!$C:$C,0))*1000+L153</f>
        <v>60641162</v>
      </c>
      <c r="C153" t="str" s="8">
        <v>a010</v>
      </c>
      <c r="D153" t="str" s="5">
        <v>霰坡岩蟹</v>
      </c>
      <c r="E153" t="str" s="5">
        <v>R07-M1-普通-162</v>
      </c>
      <c r="F153" t="n" s="8">
        <v>62</v>
      </c>
      <c r="G153" t="str" s="8">
        <f>INDEX(编号表!$E:$E,MATCH(K153,编号表!$C:$C,0))</f>
        <v>白色</v>
      </c>
      <c r="H153" t="n" s="8">
        <v>7</v>
      </c>
      <c r="I153" t="str" s="8">
        <v>雪檐古兽</v>
      </c>
      <c r="J153" t="str" s="8">
        <v>雪檐古兽</v>
      </c>
      <c r="K153" t="str" s="8">
        <v>普通</v>
      </c>
      <c r="L153" t="n" s="8">
        <v>162</v>
      </c>
      <c r="M153" t="n" s="8">
        <v>162</v>
      </c>
      <c r="N153" t="n" s="8">
        <v>1</v>
      </c>
      <c r="O153" s="8"/>
      <c r="P153" t="n" s="8">
        <v>24</v>
      </c>
      <c r="Q153" t="n" s="8">
        <v>30000</v>
      </c>
      <c r="R153" t="str" s="8">
        <v>首击</v>
      </c>
      <c r="S153" t="n" s="8">
        <v>30000</v>
      </c>
      <c r="T153" t="n" s="8">
        <v>10</v>
      </c>
      <c r="U153" t="n" s="16">
        <v>40900700</v>
      </c>
      <c r="V153" t="n" s="8">
        <v>40910700</v>
      </c>
      <c r="W153" t="n" s="8">
        <v>40920700</v>
      </c>
      <c r="X153" t="n" s="8">
        <v>11000001</v>
      </c>
      <c r="Y153" s="8"/>
      <c r="Z153" s="8"/>
      <c r="AA153" t="str" s="8">
        <v>妖兽</v>
      </c>
      <c r="AB153" s="21">
        <v>20156</v>
      </c>
      <c r="AC153" t="n" s="8">
        <v>1</v>
      </c>
      <c r="AD153" t="n" s="8">
        <v>60</v>
      </c>
      <c r="AE153" t="n" s="8">
        <v>60</v>
      </c>
      <c r="AF153" t="n" s="8">
        <v>0</v>
      </c>
      <c r="AG153" t="n" s="8">
        <v>0</v>
      </c>
      <c r="AH153" t="str" s="8">
        <v>近战</v>
      </c>
      <c r="AI153" s="8"/>
      <c r="AJ153" s="17"/>
      <c r="AK153" s="8"/>
      <c r="AL153" s="18"/>
      <c r="AM153" t="str" s="8">
        <v>生命值</v>
      </c>
      <c r="AN153" t="n" s="19">
        <v>3621000</v>
      </c>
      <c r="AO153" t="str" s="8">
        <v>灵力值</v>
      </c>
      <c r="AP153" t="n" s="8">
        <v>266250</v>
      </c>
      <c r="AQ153" t="str" s="8">
        <v>攻击下限</v>
      </c>
      <c r="AR153" t="n" s="8">
        <v>133125</v>
      </c>
      <c r="AS153" t="str" s="8">
        <v>攻击上限</v>
      </c>
      <c r="AT153" t="n" s="8">
        <v>133125</v>
      </c>
      <c r="AU153" t="str" s="8">
        <v>法力下限</v>
      </c>
      <c r="AV153" t="n" s="8">
        <v>133125</v>
      </c>
      <c r="AW153" t="str" s="8">
        <v>法力上限</v>
      </c>
      <c r="AX153" t="n" s="8">
        <v>133125</v>
      </c>
      <c r="AY153" t="str" s="8">
        <v>物防下限</v>
      </c>
      <c r="AZ153" t="n" s="8">
        <v>46860</v>
      </c>
      <c r="BA153" t="str" s="8">
        <v>物防上限</v>
      </c>
      <c r="BB153" t="n" s="8">
        <v>46860</v>
      </c>
      <c r="BC153" t="str" s="8">
        <v>法防下限</v>
      </c>
      <c r="BD153" t="n" s="8">
        <v>46860</v>
      </c>
      <c r="BE153" t="str" s="8">
        <v>法防上限</v>
      </c>
      <c r="BF153" t="n" s="8">
        <v>46860</v>
      </c>
      <c r="BG153" t="str" s="8">
        <v>移动速度</v>
      </c>
      <c r="BH153" t="n" s="8">
        <v>270</v>
      </c>
      <c r="BI153" t="str" s="8">
        <v>攻击范围</v>
      </c>
      <c r="BJ153" t="n" s="8">
        <v>160</v>
      </c>
      <c r="BK153" t="str" s="8">
        <v>警戒范围</v>
      </c>
      <c r="BL153" t="n" s="8">
        <v>550</v>
      </c>
      <c r="BM153" t="str" s="8">
        <v>攻击间隔</v>
      </c>
      <c r="BN153" t="n" s="8">
        <v>1800</v>
      </c>
      <c r="BO153" t="n" s="8">
        <v>0</v>
      </c>
      <c r="BP153" s="8"/>
      <c r="BQ153" t="n" s="8">
        <v>0</v>
      </c>
      <c r="BR153" t="n" s="8">
        <v>0</v>
      </c>
      <c r="BS153" t="n" s="8">
        <v>0</v>
      </c>
      <c r="BT153" t="n" s="8">
        <v>0</v>
      </c>
      <c r="BU153" t="str" s="8">
        <v>雪檐古兽的普通遭遇。依托本区既有水土、岩隙和可达条件活动。</v>
      </c>
      <c r="BV153" t="n">
        <v>7</v>
      </c>
      <c r="BW153" t="n">
        <v>2</v>
      </c>
      <c r="BX153" t="str">
        <v>凡品</v>
      </c>
      <c r="BY153" t="str">
        <v>native</v>
      </c>
      <c r="BZ153" t="b">
        <v>0</v>
      </c>
    </row>
    <row r="154" ht="16.5" customHeight="1" spans="2:75">
      <c r="A154"/>
      <c r="B154" t="n" s="8">
        <f>60000000+INDEX(编号表!$B:$B,MATCH(J154,编号表!$A:$A,0))*10000+INDEX(编号表!$B:$B,MATCH(K154,编号表!$C:$C,0))*1000+L154</f>
        <v>60644163</v>
      </c>
      <c r="C154" t="str" s="8">
        <v>a010</v>
      </c>
      <c r="D154" t="str" s="5">
        <v>凇痕灵蝠·首领</v>
      </c>
      <c r="E154" t="str" s="5">
        <v>R07-M1-BOSS-163</v>
      </c>
      <c r="F154" t="n" s="8">
        <v>62</v>
      </c>
      <c r="G154" t="str" s="8">
        <f>INDEX(编号表!$E:$E,MATCH(K154,编号表!$C:$C,0))</f>
        <v>橙色</v>
      </c>
      <c r="H154" t="n" s="8">
        <v>7</v>
      </c>
      <c r="I154" t="str" s="8">
        <v>雪檐古兽</v>
      </c>
      <c r="J154" t="str" s="8">
        <v>雪檐古兽</v>
      </c>
      <c r="K154" t="str" s="8">
        <v>BOSS</v>
      </c>
      <c r="L154" t="n" s="8">
        <v>163</v>
      </c>
      <c r="M154" t="n" s="8">
        <v>163</v>
      </c>
      <c r="N154" t="n" s="8">
        <v>5</v>
      </c>
      <c r="O154" s="8"/>
      <c r="P154" t="n" s="8">
        <v>40</v>
      </c>
      <c r="Q154" t="n" s="8">
        <v>900000</v>
      </c>
      <c r="R154" t="str" s="8">
        <v>首击</v>
      </c>
      <c r="S154" t="n" s="8">
        <v>30000</v>
      </c>
      <c r="T154" t="n" s="8">
        <v>12</v>
      </c>
      <c r="U154" t="n" s="16">
        <v>40900702</v>
      </c>
      <c r="V154" t="n" s="8">
        <v>41130701</v>
      </c>
      <c r="W154" t="n" s="8">
        <v>41330700</v>
      </c>
      <c r="X154" t="n" s="8">
        <v>11000001</v>
      </c>
      <c r="Y154" s="8"/>
      <c r="Z154" s="8"/>
      <c r="AA154" t="str" s="8">
        <v>妖兽</v>
      </c>
      <c r="AB154" s="21">
        <v>20157</v>
      </c>
      <c r="AC154" t="n" s="8">
        <v>1.6</v>
      </c>
      <c r="AD154" t="n" s="8">
        <v>60</v>
      </c>
      <c r="AE154" t="n" s="8">
        <v>60</v>
      </c>
      <c r="AF154" t="n" s="8">
        <v>0</v>
      </c>
      <c r="AG154" t="n" s="8">
        <v>0</v>
      </c>
      <c r="AH154" t="str" s="8">
        <v>近战</v>
      </c>
      <c r="AI154" s="8"/>
      <c r="AJ154" s="17"/>
      <c r="AK154" s="8"/>
      <c r="AL154" s="18"/>
      <c r="AM154" t="str" s="8">
        <v>生命值</v>
      </c>
      <c r="AN154" t="n" s="19">
        <v>36210000</v>
      </c>
      <c r="AO154" t="str" s="8">
        <v>灵力值</v>
      </c>
      <c r="AP154" t="n" s="8">
        <v>559124</v>
      </c>
      <c r="AQ154" t="str" s="8">
        <v>攻击下限</v>
      </c>
      <c r="AR154" t="n" s="8">
        <v>279562</v>
      </c>
      <c r="AS154" t="str" s="8">
        <v>攻击上限</v>
      </c>
      <c r="AT154" t="n" s="8">
        <v>279562</v>
      </c>
      <c r="AU154" t="str" s="8">
        <v>法力下限</v>
      </c>
      <c r="AV154" t="n" s="8">
        <v>279562</v>
      </c>
      <c r="AW154" t="str" s="8">
        <v>法力上限</v>
      </c>
      <c r="AX154" t="n" s="8">
        <v>279562</v>
      </c>
      <c r="AY154" t="str" s="8">
        <v>物防下限</v>
      </c>
      <c r="AZ154" t="n" s="8">
        <v>70290</v>
      </c>
      <c r="BA154" t="str" s="8">
        <v>物防上限</v>
      </c>
      <c r="BB154" t="n" s="8">
        <v>70290</v>
      </c>
      <c r="BC154" t="str" s="8">
        <v>法防下限</v>
      </c>
      <c r="BD154" t="n" s="8">
        <v>70290</v>
      </c>
      <c r="BE154" t="str" s="8">
        <v>法防上限</v>
      </c>
      <c r="BF154" t="n" s="8">
        <v>70290</v>
      </c>
      <c r="BG154" t="str" s="8">
        <v>移动速度</v>
      </c>
      <c r="BH154" t="n" s="8">
        <v>270</v>
      </c>
      <c r="BI154" t="str" s="8">
        <v>攻击范围</v>
      </c>
      <c r="BJ154" t="n" s="8">
        <v>160</v>
      </c>
      <c r="BK154" t="str" s="8">
        <v>警戒范围</v>
      </c>
      <c r="BL154" t="n" s="8">
        <v>700</v>
      </c>
      <c r="BM154" t="str" s="8">
        <v>攻击间隔</v>
      </c>
      <c r="BN154" t="n" s="8">
        <v>2200</v>
      </c>
      <c r="BO154" t="n" s="8">
        <v>0</v>
      </c>
      <c r="BP154" s="8"/>
      <c r="BQ154" t="n" s="8">
        <v>0</v>
      </c>
      <c r="BR154" t="n" s="8">
        <v>0</v>
      </c>
      <c r="BS154" t="n" s="8">
        <v>0</v>
      </c>
      <c r="BT154" t="n" s="8">
        <v>0</v>
      </c>
      <c r="BU154" t="str" s="8">
        <v>雪檐古兽的BOSS遭遇。依托本区既有水土、岩隙和可达条件活动。</v>
      </c>
      <c r="BV154" t="n">
        <v>7</v>
      </c>
      <c r="BW154" t="n">
        <v>2</v>
      </c>
      <c r="BX154" t="str">
        <v>仙品</v>
      </c>
      <c r="BY154" t="str">
        <v>native</v>
      </c>
      <c r="BZ154" t="b">
        <v>1</v>
      </c>
    </row>
    <row r="155" ht="16.5" customHeight="1" spans="2:75">
      <c r="A155"/>
      <c r="B155" t="n" s="8">
        <f>60000000+INDEX(编号表!$B:$B,MATCH(J155,编号表!$A:$A,0))*10000+INDEX(编号表!$B:$B,MATCH(K155,编号表!$C:$C,0))*1000+L155</f>
        <v>60642164</v>
      </c>
      <c r="C155" t="str" s="8">
        <v>a010</v>
      </c>
      <c r="D155" t="str" s="5">
        <v>雪脊灵狼·异种</v>
      </c>
      <c r="E155" t="str" s="5">
        <v>R07-M1-精英-164</v>
      </c>
      <c r="F155" t="n" s="8">
        <v>62</v>
      </c>
      <c r="G155" t="str" s="8">
        <f>INDEX(编号表!$E:$E,MATCH(K155,编号表!$C:$C,0))</f>
        <v>绿色</v>
      </c>
      <c r="H155" t="n" s="8">
        <v>7</v>
      </c>
      <c r="I155" t="str" s="8">
        <v>雪檐古兽</v>
      </c>
      <c r="J155" t="str" s="8">
        <v>雪檐古兽</v>
      </c>
      <c r="K155" t="str" s="8">
        <v>精英</v>
      </c>
      <c r="L155" t="n" s="8">
        <v>164</v>
      </c>
      <c r="M155" t="n" s="8">
        <v>164</v>
      </c>
      <c r="N155" t="n" s="8">
        <v>3</v>
      </c>
      <c r="O155" s="8"/>
      <c r="P155" t="n" s="8">
        <v>40</v>
      </c>
      <c r="Q155" t="n" s="8">
        <v>180000</v>
      </c>
      <c r="R155" t="str" s="8">
        <v>首击</v>
      </c>
      <c r="S155" t="n" s="8">
        <v>30000</v>
      </c>
      <c r="T155" t="n" s="8">
        <v>11</v>
      </c>
      <c r="U155" t="n" s="16">
        <v>40900701</v>
      </c>
      <c r="V155" t="n" s="8">
        <v>41120702</v>
      </c>
      <c r="W155" t="n" s="8">
        <v>41320701</v>
      </c>
      <c r="X155" t="n" s="8">
        <v>11000001</v>
      </c>
      <c r="Y155" s="8"/>
      <c r="Z155" s="8"/>
      <c r="AA155" t="str" s="8">
        <v>妖兽</v>
      </c>
      <c r="AB155" s="21">
        <v>20157</v>
      </c>
      <c r="AC155" t="n" s="8">
        <v>1.25</v>
      </c>
      <c r="AD155" t="n" s="8">
        <v>60</v>
      </c>
      <c r="AE155" t="n" s="8">
        <v>60</v>
      </c>
      <c r="AF155" t="n" s="8">
        <v>0</v>
      </c>
      <c r="AG155" t="n" s="8">
        <v>0</v>
      </c>
      <c r="AH155" t="str" s="8">
        <v>近战</v>
      </c>
      <c r="AI155" s="8"/>
      <c r="AJ155" s="17"/>
      <c r="AK155" s="8"/>
      <c r="AL155" s="18"/>
      <c r="AM155" t="str" s="8">
        <v>生命值</v>
      </c>
      <c r="AN155" t="n" s="19">
        <v>10138800</v>
      </c>
      <c r="AO155" t="str" s="8">
        <v>灵力值</v>
      </c>
      <c r="AP155" t="n" s="8">
        <v>386062</v>
      </c>
      <c r="AQ155" t="str" s="8">
        <v>攻击下限</v>
      </c>
      <c r="AR155" t="n" s="8">
        <v>193031</v>
      </c>
      <c r="AS155" t="str" s="8">
        <v>攻击上限</v>
      </c>
      <c r="AT155" t="n" s="8">
        <v>193031</v>
      </c>
      <c r="AU155" t="str" s="8">
        <v>法力下限</v>
      </c>
      <c r="AV155" t="n" s="8">
        <v>193031</v>
      </c>
      <c r="AW155" t="str" s="8">
        <v>法力上限</v>
      </c>
      <c r="AX155" t="n" s="8">
        <v>193031</v>
      </c>
      <c r="AY155" t="str" s="8">
        <v>物防下限</v>
      </c>
      <c r="AZ155" t="n" s="8">
        <v>56232</v>
      </c>
      <c r="BA155" t="str" s="8">
        <v>物防上限</v>
      </c>
      <c r="BB155" t="n" s="8">
        <v>56232</v>
      </c>
      <c r="BC155" t="str" s="8">
        <v>法防下限</v>
      </c>
      <c r="BD155" t="n" s="8">
        <v>56232</v>
      </c>
      <c r="BE155" t="str" s="8">
        <v>法防上限</v>
      </c>
      <c r="BF155" t="n" s="8">
        <v>56232</v>
      </c>
      <c r="BG155" t="str" s="8">
        <v>移动速度</v>
      </c>
      <c r="BH155" t="n" s="8">
        <v>270</v>
      </c>
      <c r="BI155" t="str" s="8">
        <v>攻击范围</v>
      </c>
      <c r="BJ155" t="n" s="8">
        <v>160</v>
      </c>
      <c r="BK155" t="str" s="8">
        <v>警戒范围</v>
      </c>
      <c r="BL155" t="n" s="8">
        <v>550</v>
      </c>
      <c r="BM155" t="str" s="8">
        <v>攻击间隔</v>
      </c>
      <c r="BN155" t="n" s="8">
        <v>1800</v>
      </c>
      <c r="BO155" t="n" s="8">
        <v>0</v>
      </c>
      <c r="BP155" s="8"/>
      <c r="BQ155" t="n" s="8">
        <v>0</v>
      </c>
      <c r="BR155" t="n" s="8">
        <v>0</v>
      </c>
      <c r="BS155" t="n" s="8">
        <v>0</v>
      </c>
      <c r="BT155" t="n" s="8">
        <v>0</v>
      </c>
      <c r="BU155" t="str" s="8">
        <v>雪檐古兽的精英遭遇。依托本区既有水土、岩隙和可达条件活动。</v>
      </c>
      <c r="BV155" t="n">
        <v>7</v>
      </c>
      <c r="BW155" t="n">
        <v>2</v>
      </c>
      <c r="BX155" t="str">
        <v>玄品</v>
      </c>
      <c r="BY155" t="str">
        <v>native</v>
      </c>
      <c r="BZ155" t="b">
        <v>0</v>
      </c>
    </row>
    <row r="156" ht="16.5" customHeight="1" spans="2:75">
      <c r="A156"/>
      <c r="B156" t="n" s="8">
        <f>60000000+INDEX(编号表!$B:$B,MATCH(J156,编号表!$A:$A,0))*10000+INDEX(编号表!$B:$B,MATCH(K156,编号表!$C:$C,0))*1000+L156</f>
        <v>60641165</v>
      </c>
      <c r="C156" t="str" s="8">
        <v>a010</v>
      </c>
      <c r="D156" t="str" s="5">
        <v>融沟灵蛇</v>
      </c>
      <c r="E156" t="str" s="5">
        <v>R07-M1-普通-165</v>
      </c>
      <c r="F156" t="n" s="8">
        <v>62</v>
      </c>
      <c r="G156" t="str" s="8">
        <f>INDEX(编号表!$E:$E,MATCH(K156,编号表!$C:$C,0))</f>
        <v>白色</v>
      </c>
      <c r="H156" t="n" s="8">
        <v>7</v>
      </c>
      <c r="I156" t="str" s="8">
        <v>雪檐古兽</v>
      </c>
      <c r="J156" t="str" s="8">
        <v>雪檐古兽</v>
      </c>
      <c r="K156" t="str" s="8">
        <v>普通</v>
      </c>
      <c r="L156" t="n" s="8">
        <v>165</v>
      </c>
      <c r="M156" t="n" s="8">
        <v>165</v>
      </c>
      <c r="N156" t="n" s="8">
        <v>1</v>
      </c>
      <c r="O156" s="8"/>
      <c r="P156" t="n" s="8">
        <v>24</v>
      </c>
      <c r="Q156" t="n" s="8">
        <v>30000</v>
      </c>
      <c r="R156" t="str" s="8">
        <v>首击</v>
      </c>
      <c r="S156" t="n" s="8">
        <v>30000</v>
      </c>
      <c r="T156" t="n" s="8">
        <v>10</v>
      </c>
      <c r="U156" t="n" s="16">
        <v>40900700</v>
      </c>
      <c r="V156" t="n" s="8">
        <v>40910703</v>
      </c>
      <c r="W156" t="n" s="8">
        <v>40920701</v>
      </c>
      <c r="X156" t="n" s="8">
        <v>11000001</v>
      </c>
      <c r="Y156" s="8"/>
      <c r="Z156" s="8"/>
      <c r="AA156" t="str" s="8">
        <v>妖兽</v>
      </c>
      <c r="AB156" s="21">
        <v>20158</v>
      </c>
      <c r="AC156" t="n" s="8">
        <v>1</v>
      </c>
      <c r="AD156" t="n" s="8">
        <v>60</v>
      </c>
      <c r="AE156" t="n" s="8">
        <v>60</v>
      </c>
      <c r="AF156" t="n" s="8">
        <v>0</v>
      </c>
      <c r="AG156" t="n" s="8">
        <v>0</v>
      </c>
      <c r="AH156" t="str" s="8">
        <v>近战</v>
      </c>
      <c r="AI156"/>
      <c r="AJ156" s="17"/>
      <c r="AK156" s="8"/>
      <c r="AL156" s="18"/>
      <c r="AM156" t="str" s="8">
        <v>生命值</v>
      </c>
      <c r="AN156" t="n" s="19">
        <v>3621000</v>
      </c>
      <c r="AO156" t="str" s="8">
        <v>灵力值</v>
      </c>
      <c r="AP156" t="n" s="8">
        <v>266250</v>
      </c>
      <c r="AQ156" t="str" s="8">
        <v>攻击下限</v>
      </c>
      <c r="AR156" t="n" s="8">
        <v>133125</v>
      </c>
      <c r="AS156" t="str" s="8">
        <v>攻击上限</v>
      </c>
      <c r="AT156" t="n" s="8">
        <v>133125</v>
      </c>
      <c r="AU156" t="str" s="8">
        <v>法力下限</v>
      </c>
      <c r="AV156" t="n" s="8">
        <v>133125</v>
      </c>
      <c r="AW156" t="str" s="8">
        <v>法力上限</v>
      </c>
      <c r="AX156" t="n" s="8">
        <v>133125</v>
      </c>
      <c r="AY156" t="str" s="8">
        <v>物防下限</v>
      </c>
      <c r="AZ156" t="n" s="8">
        <v>46860</v>
      </c>
      <c r="BA156" t="str" s="8">
        <v>物防上限</v>
      </c>
      <c r="BB156" t="n" s="8">
        <v>46860</v>
      </c>
      <c r="BC156" t="str" s="8">
        <v>法防下限</v>
      </c>
      <c r="BD156" t="n" s="8">
        <v>46860</v>
      </c>
      <c r="BE156" t="str" s="8">
        <v>法防上限</v>
      </c>
      <c r="BF156" t="n" s="8">
        <v>46860</v>
      </c>
      <c r="BG156" t="str" s="8">
        <v>移动速度</v>
      </c>
      <c r="BH156" t="n" s="8">
        <v>270</v>
      </c>
      <c r="BI156" t="str" s="8">
        <v>攻击范围</v>
      </c>
      <c r="BJ156" t="n" s="8">
        <v>160</v>
      </c>
      <c r="BK156" t="str" s="8">
        <v>警戒范围</v>
      </c>
      <c r="BL156" t="n" s="8">
        <v>550</v>
      </c>
      <c r="BM156" t="str" s="8">
        <v>攻击间隔</v>
      </c>
      <c r="BN156" t="n" s="8">
        <v>1800</v>
      </c>
      <c r="BO156" t="n" s="8">
        <v>0</v>
      </c>
      <c r="BP156" s="8"/>
      <c r="BQ156" t="n" s="8">
        <v>0</v>
      </c>
      <c r="BR156" t="n" s="8">
        <v>0</v>
      </c>
      <c r="BS156" t="n" s="8">
        <v>0</v>
      </c>
      <c r="BT156" t="n" s="8">
        <v>0</v>
      </c>
      <c r="BU156" t="str" s="8">
        <v>雪檐古兽的普通遭遇。依托本区既有水土、岩隙和可达条件活动。</v>
      </c>
      <c r="BV156" t="n">
        <v>7</v>
      </c>
      <c r="BW156" t="n">
        <v>2</v>
      </c>
      <c r="BX156" t="str">
        <v>凡品</v>
      </c>
      <c r="BY156" t="str">
        <v>native</v>
      </c>
      <c r="BZ156" t="b">
        <v>0</v>
      </c>
    </row>
    <row r="157" ht="16.5" customHeight="1" spans="2:75">
      <c r="A157"/>
      <c r="B157" t="n" s="8">
        <f>60000000+INDEX(编号表!$B:$B,MATCH(J157,编号表!$A:$A,0))*10000+INDEX(编号表!$B:$B,MATCH(K157,编号表!$C:$C,0))*1000+L157</f>
        <v>60641166</v>
      </c>
      <c r="C157" t="str" s="8">
        <v>a010</v>
      </c>
      <c r="D157" t="str" s="5">
        <v>霰坡岩蟹</v>
      </c>
      <c r="E157" t="str" s="5">
        <v>R07-M1-普通-166</v>
      </c>
      <c r="F157" t="n" s="8">
        <v>62</v>
      </c>
      <c r="G157" t="str" s="8">
        <f>INDEX(编号表!$E:$E,MATCH(K157,编号表!$C:$C,0))</f>
        <v>白色</v>
      </c>
      <c r="H157" t="n" s="8">
        <v>7</v>
      </c>
      <c r="I157" t="str" s="8">
        <v>雪檐古兽</v>
      </c>
      <c r="J157" t="str" s="8">
        <v>雪檐古兽</v>
      </c>
      <c r="K157" t="str" s="8">
        <v>普通</v>
      </c>
      <c r="L157" t="n" s="8">
        <v>166</v>
      </c>
      <c r="M157" t="n" s="8">
        <v>166</v>
      </c>
      <c r="N157" t="n" s="8">
        <v>1</v>
      </c>
      <c r="O157" s="8"/>
      <c r="P157" t="n" s="8">
        <v>24</v>
      </c>
      <c r="Q157" t="n" s="8">
        <v>30000</v>
      </c>
      <c r="R157" t="str" s="8">
        <v>首击</v>
      </c>
      <c r="S157" t="n" s="8">
        <v>30000</v>
      </c>
      <c r="T157" t="n" s="8">
        <v>10</v>
      </c>
      <c r="U157" t="n" s="16">
        <v>40900700</v>
      </c>
      <c r="V157" t="n" s="8">
        <v>40910704</v>
      </c>
      <c r="W157" t="n" s="8">
        <v>40920700</v>
      </c>
      <c r="X157" t="n" s="8">
        <v>11000001</v>
      </c>
      <c r="Y157" s="8"/>
      <c r="Z157" s="8"/>
      <c r="AA157" t="str" s="8">
        <v>妖兽</v>
      </c>
      <c r="AB157" s="21">
        <v>20159</v>
      </c>
      <c r="AC157" t="n" s="8">
        <v>1</v>
      </c>
      <c r="AD157" t="n" s="8">
        <v>60</v>
      </c>
      <c r="AE157" t="n" s="8">
        <v>60</v>
      </c>
      <c r="AF157" t="n" s="8">
        <v>0</v>
      </c>
      <c r="AG157" t="n" s="8">
        <v>0</v>
      </c>
      <c r="AH157" t="str" s="8">
        <v>近战</v>
      </c>
      <c r="AI157" s="8"/>
      <c r="AJ157" s="17"/>
      <c r="AK157" s="8"/>
      <c r="AL157" s="18"/>
      <c r="AM157" t="str" s="8">
        <v>生命值</v>
      </c>
      <c r="AN157" t="n" s="19">
        <v>3621000</v>
      </c>
      <c r="AO157" t="str" s="8">
        <v>灵力值</v>
      </c>
      <c r="AP157" t="n" s="8">
        <v>266250</v>
      </c>
      <c r="AQ157" t="str" s="8">
        <v>攻击下限</v>
      </c>
      <c r="AR157" t="n" s="8">
        <v>133125</v>
      </c>
      <c r="AS157" t="str" s="8">
        <v>攻击上限</v>
      </c>
      <c r="AT157" t="n" s="8">
        <v>133125</v>
      </c>
      <c r="AU157" t="str" s="8">
        <v>法力下限</v>
      </c>
      <c r="AV157" t="n" s="8">
        <v>133125</v>
      </c>
      <c r="AW157" t="str" s="8">
        <v>法力上限</v>
      </c>
      <c r="AX157" t="n" s="8">
        <v>133125</v>
      </c>
      <c r="AY157" t="str" s="8">
        <v>物防下限</v>
      </c>
      <c r="AZ157" t="n" s="8">
        <v>46860</v>
      </c>
      <c r="BA157" t="str" s="8">
        <v>物防上限</v>
      </c>
      <c r="BB157" t="n" s="8">
        <v>46860</v>
      </c>
      <c r="BC157" t="str" s="8">
        <v>法防下限</v>
      </c>
      <c r="BD157" t="n" s="8">
        <v>46860</v>
      </c>
      <c r="BE157" t="str" s="8">
        <v>法防上限</v>
      </c>
      <c r="BF157" t="n" s="8">
        <v>46860</v>
      </c>
      <c r="BG157" t="str" s="8">
        <v>移动速度</v>
      </c>
      <c r="BH157" t="n" s="8">
        <v>270</v>
      </c>
      <c r="BI157" t="str" s="8">
        <v>攻击范围</v>
      </c>
      <c r="BJ157" t="n" s="8">
        <v>160</v>
      </c>
      <c r="BK157" t="str" s="8">
        <v>警戒范围</v>
      </c>
      <c r="BL157" t="n" s="8">
        <v>550</v>
      </c>
      <c r="BM157" t="str" s="8">
        <v>攻击间隔</v>
      </c>
      <c r="BN157" t="n" s="8">
        <v>1800</v>
      </c>
      <c r="BO157" t="n" s="8">
        <v>0</v>
      </c>
      <c r="BP157" s="8"/>
      <c r="BQ157" t="n" s="8">
        <v>0</v>
      </c>
      <c r="BR157" t="n" s="8">
        <v>0</v>
      </c>
      <c r="BS157" t="n" s="8">
        <v>0</v>
      </c>
      <c r="BT157" t="n" s="8">
        <v>0</v>
      </c>
      <c r="BU157" t="str" s="8">
        <v>雪檐古兽的普通遭遇。依托本区既有水土、岩隙和可达条件活动。</v>
      </c>
      <c r="BV157" t="n">
        <v>7</v>
      </c>
      <c r="BW157" t="n">
        <v>2</v>
      </c>
      <c r="BX157" t="str">
        <v>凡品</v>
      </c>
      <c r="BY157" t="str">
        <v>native</v>
      </c>
      <c r="BZ157" t="b">
        <v>0</v>
      </c>
    </row>
    <row r="158" ht="16.5" customHeight="1" spans="2:75">
      <c r="A158"/>
      <c r="B158" t="n" s="8">
        <f>60000000+INDEX(编号表!$B:$B,MATCH(J158,编号表!$A:$A,0))*10000+INDEX(编号表!$B:$B,MATCH(K158,编号表!$C:$C,0))*1000+L158</f>
        <v>60652167</v>
      </c>
      <c r="C158" t="str" s="8">
        <v>a010</v>
      </c>
      <c r="D158" t="str" s="5">
        <v>凇痕灵蝠·异种</v>
      </c>
      <c r="E158" t="str" s="5">
        <v>R07-M2-精英-167</v>
      </c>
      <c r="F158" t="n" s="8">
        <v>65</v>
      </c>
      <c r="G158" t="str" s="8">
        <f>INDEX(编号表!$E:$E,MATCH(K158,编号表!$C:$C,0))</f>
        <v>绿色</v>
      </c>
      <c r="H158" t="n" s="8">
        <v>7</v>
      </c>
      <c r="I158" t="str" s="8">
        <v>霰砾坡</v>
      </c>
      <c r="J158" t="str" s="8">
        <v>霰砾坡</v>
      </c>
      <c r="K158" t="str" s="8">
        <v>精英</v>
      </c>
      <c r="L158" t="n" s="8">
        <v>167</v>
      </c>
      <c r="M158" t="n" s="8">
        <v>167</v>
      </c>
      <c r="N158" t="n" s="8">
        <v>3</v>
      </c>
      <c r="O158" s="8"/>
      <c r="P158" t="n" s="8">
        <v>40</v>
      </c>
      <c r="Q158" t="n" s="8">
        <v>180000</v>
      </c>
      <c r="R158" t="str" s="8">
        <v>首击</v>
      </c>
      <c r="S158" t="n" s="8">
        <v>30000</v>
      </c>
      <c r="T158" t="n" s="8">
        <v>11</v>
      </c>
      <c r="U158" t="n" s="16">
        <v>40900701</v>
      </c>
      <c r="V158" t="n" s="8">
        <v>41120705</v>
      </c>
      <c r="W158" t="n" s="8">
        <v>41320702</v>
      </c>
      <c r="X158" t="n" s="8">
        <v>11000001</v>
      </c>
      <c r="Y158" s="8"/>
      <c r="Z158" s="8"/>
      <c r="AA158" t="str" s="8">
        <v>妖兽</v>
      </c>
      <c r="AB158" s="21">
        <v>20160</v>
      </c>
      <c r="AC158" t="n" s="8">
        <v>1.25</v>
      </c>
      <c r="AD158" t="n" s="8">
        <v>60</v>
      </c>
      <c r="AE158" t="n" s="8">
        <v>60</v>
      </c>
      <c r="AF158" t="n" s="8">
        <v>0</v>
      </c>
      <c r="AG158" t="n" s="8">
        <v>0</v>
      </c>
      <c r="AH158" t="str" s="8">
        <v>近战</v>
      </c>
      <c r="AI158" s="8"/>
      <c r="AJ158" s="17"/>
      <c r="AK158" s="8"/>
      <c r="AL158" s="18"/>
      <c r="AM158" t="str" s="8">
        <v>生命值</v>
      </c>
      <c r="AN158" t="n" s="19">
        <v>11995200</v>
      </c>
      <c r="AO158" t="str" s="8">
        <v>灵力值</v>
      </c>
      <c r="AP158" t="n" s="8">
        <v>456750</v>
      </c>
      <c r="AQ158" t="str" s="8">
        <v>攻击下限</v>
      </c>
      <c r="AR158" t="n" s="8">
        <v>228375</v>
      </c>
      <c r="AS158" t="str" s="8">
        <v>攻击上限</v>
      </c>
      <c r="AT158" t="n" s="8">
        <v>228375</v>
      </c>
      <c r="AU158" t="str" s="8">
        <v>法力下限</v>
      </c>
      <c r="AV158" t="n" s="8">
        <v>228375</v>
      </c>
      <c r="AW158" t="str" s="8">
        <v>法力上限</v>
      </c>
      <c r="AX158" t="n" s="8">
        <v>228375</v>
      </c>
      <c r="AY158" t="str" s="8">
        <v>物防下限</v>
      </c>
      <c r="AZ158" t="n" s="8">
        <v>66528</v>
      </c>
      <c r="BA158" t="str" s="8">
        <v>物防上限</v>
      </c>
      <c r="BB158" t="n" s="8">
        <v>66528</v>
      </c>
      <c r="BC158" t="str" s="8">
        <v>法防下限</v>
      </c>
      <c r="BD158" t="n" s="8">
        <v>66528</v>
      </c>
      <c r="BE158" t="str" s="8">
        <v>法防上限</v>
      </c>
      <c r="BF158" t="n" s="8">
        <v>66528</v>
      </c>
      <c r="BG158" t="str" s="8">
        <v>移动速度</v>
      </c>
      <c r="BH158" t="n" s="8">
        <v>270</v>
      </c>
      <c r="BI158" t="str" s="8">
        <v>攻击范围</v>
      </c>
      <c r="BJ158" t="n" s="8">
        <v>160</v>
      </c>
      <c r="BK158" t="str" s="8">
        <v>警戒范围</v>
      </c>
      <c r="BL158" t="n" s="8">
        <v>550</v>
      </c>
      <c r="BM158" t="str" s="8">
        <v>攻击间隔</v>
      </c>
      <c r="BN158" t="n" s="8">
        <v>1800</v>
      </c>
      <c r="BO158" t="n" s="8">
        <v>0</v>
      </c>
      <c r="BP158" s="8"/>
      <c r="BQ158" t="n" s="8">
        <v>0</v>
      </c>
      <c r="BR158" t="n" s="8">
        <v>0</v>
      </c>
      <c r="BS158" t="n" s="8">
        <v>0</v>
      </c>
      <c r="BT158" t="n" s="8">
        <v>0</v>
      </c>
      <c r="BU158" t="str" s="8">
        <v>霰砾坡的精英遭遇。依托本区既有水土、岩隙和可达条件活动。</v>
      </c>
      <c r="BV158" t="n">
        <v>7</v>
      </c>
      <c r="BW158" t="n">
        <v>5</v>
      </c>
      <c r="BX158" t="str">
        <v>玄品</v>
      </c>
      <c r="BY158" t="str">
        <v>native</v>
      </c>
      <c r="BZ158" t="b">
        <v>0</v>
      </c>
    </row>
    <row r="159" ht="16.5" customHeight="1" spans="2:75">
      <c r="A159"/>
      <c r="B159" t="n" s="8">
        <f>60000000+INDEX(编号表!$B:$B,MATCH(J159,编号表!$A:$A,0))*10000+INDEX(编号表!$B:$B,MATCH(K159,编号表!$C:$C,0))*1000+L159</f>
        <v>60651168</v>
      </c>
      <c r="C159" t="str" s="8">
        <v>a010</v>
      </c>
      <c r="D159" t="str" s="5">
        <v>雪脊灵狼</v>
      </c>
      <c r="E159" t="str" s="5">
        <v>R07-M2-普通-168</v>
      </c>
      <c r="F159" t="n" s="8">
        <v>65</v>
      </c>
      <c r="G159" t="str" s="8">
        <f>INDEX(编号表!$E:$E,MATCH(K159,编号表!$C:$C,0))</f>
        <v>白色</v>
      </c>
      <c r="H159" t="n" s="8">
        <v>7</v>
      </c>
      <c r="I159" t="str" s="8">
        <v>霰砾坡</v>
      </c>
      <c r="J159" t="str" s="8">
        <v>霰砾坡</v>
      </c>
      <c r="K159" t="str" s="8">
        <v>普通</v>
      </c>
      <c r="L159" t="n" s="8">
        <v>168</v>
      </c>
      <c r="M159" t="n" s="8">
        <v>168</v>
      </c>
      <c r="N159" t="n" s="8">
        <v>1</v>
      </c>
      <c r="O159" s="8"/>
      <c r="P159" t="n" s="8">
        <v>24</v>
      </c>
      <c r="Q159" t="n" s="8">
        <v>30000</v>
      </c>
      <c r="R159" t="str" s="8">
        <v>首击</v>
      </c>
      <c r="S159" t="n" s="8">
        <v>30000</v>
      </c>
      <c r="T159" t="n" s="8">
        <v>10</v>
      </c>
      <c r="U159" t="n" s="16">
        <v>40900700</v>
      </c>
      <c r="V159" t="n" s="8">
        <v>40910706</v>
      </c>
      <c r="W159" t="n" s="8">
        <v>40920700</v>
      </c>
      <c r="X159" t="n" s="8">
        <v>11000001</v>
      </c>
      <c r="Y159" s="8"/>
      <c r="Z159" s="8"/>
      <c r="AA159" t="str" s="8">
        <v>妖兽</v>
      </c>
      <c r="AB159" s="21">
        <v>20160</v>
      </c>
      <c r="AC159" t="n" s="8">
        <v>1</v>
      </c>
      <c r="AD159" t="n" s="8">
        <v>60</v>
      </c>
      <c r="AE159" t="n" s="8">
        <v>60</v>
      </c>
      <c r="AF159" t="n" s="8">
        <v>0</v>
      </c>
      <c r="AG159" t="n" s="8">
        <v>0</v>
      </c>
      <c r="AH159" t="str" s="8">
        <v>近战</v>
      </c>
      <c r="AI159" s="8"/>
      <c r="AJ159" s="17"/>
      <c r="AK159" s="8"/>
      <c r="AL159" s="18"/>
      <c r="AM159" t="str" s="8">
        <v>生命值</v>
      </c>
      <c r="AN159" t="n" s="19">
        <v>4284000</v>
      </c>
      <c r="AO159" t="str" s="8">
        <v>灵力值</v>
      </c>
      <c r="AP159" t="n" s="8">
        <v>315000</v>
      </c>
      <c r="AQ159" t="str" s="8">
        <v>攻击下限</v>
      </c>
      <c r="AR159" t="n" s="8">
        <v>157500</v>
      </c>
      <c r="AS159" t="str" s="8">
        <v>攻击上限</v>
      </c>
      <c r="AT159" t="n" s="8">
        <v>157500</v>
      </c>
      <c r="AU159" t="str" s="8">
        <v>法力下限</v>
      </c>
      <c r="AV159" t="n" s="8">
        <v>157500</v>
      </c>
      <c r="AW159" t="str" s="8">
        <v>法力上限</v>
      </c>
      <c r="AX159" t="n" s="8">
        <v>157500</v>
      </c>
      <c r="AY159" t="str" s="8">
        <v>物防下限</v>
      </c>
      <c r="AZ159" t="n" s="8">
        <v>55440</v>
      </c>
      <c r="BA159" t="str" s="8">
        <v>物防上限</v>
      </c>
      <c r="BB159" t="n" s="8">
        <v>55440</v>
      </c>
      <c r="BC159" t="str" s="8">
        <v>法防下限</v>
      </c>
      <c r="BD159" t="n" s="8">
        <v>55440</v>
      </c>
      <c r="BE159" t="str" s="8">
        <v>法防上限</v>
      </c>
      <c r="BF159" t="n" s="8">
        <v>55440</v>
      </c>
      <c r="BG159" t="str" s="8">
        <v>移动速度</v>
      </c>
      <c r="BH159" t="n" s="8">
        <v>270</v>
      </c>
      <c r="BI159" t="str" s="8">
        <v>攻击范围</v>
      </c>
      <c r="BJ159" t="n" s="8">
        <v>160</v>
      </c>
      <c r="BK159" t="str" s="8">
        <v>警戒范围</v>
      </c>
      <c r="BL159" t="n" s="8">
        <v>550</v>
      </c>
      <c r="BM159" t="str" s="8">
        <v>攻击间隔</v>
      </c>
      <c r="BN159" t="n" s="8">
        <v>1800</v>
      </c>
      <c r="BO159" t="n" s="8">
        <v>0</v>
      </c>
      <c r="BP159" s="8"/>
      <c r="BQ159" t="n" s="8">
        <v>0</v>
      </c>
      <c r="BR159" t="n" s="8">
        <v>0</v>
      </c>
      <c r="BS159" t="n" s="8">
        <v>0</v>
      </c>
      <c r="BT159" t="n" s="8">
        <v>0</v>
      </c>
      <c r="BU159" t="str" s="8">
        <v>霰砾坡的普通遭遇。依托本区既有水土、岩隙和可达条件活动。</v>
      </c>
      <c r="BV159" t="n">
        <v>7</v>
      </c>
      <c r="BW159" t="n">
        <v>5</v>
      </c>
      <c r="BX159" t="str">
        <v>凡品</v>
      </c>
      <c r="BY159" t="str">
        <v>native</v>
      </c>
      <c r="BZ159" t="b">
        <v>0</v>
      </c>
    </row>
    <row r="160" ht="16.5" customHeight="1" spans="2:75">
      <c r="A160"/>
      <c r="B160" t="n" s="8">
        <f>60000000+INDEX(编号表!$B:$B,MATCH(J160,编号表!$A:$A,0))*10000+INDEX(编号表!$B:$B,MATCH(K160,编号表!$C:$C,0))*1000+L160</f>
        <v>60651169</v>
      </c>
      <c r="C160" t="str" s="8">
        <v>a010</v>
      </c>
      <c r="D160" t="str" s="5">
        <v>融沟灵蛇</v>
      </c>
      <c r="E160" t="str" s="5">
        <v>R07-M2-普通-169</v>
      </c>
      <c r="F160" t="n" s="8">
        <v>65</v>
      </c>
      <c r="G160" t="str" s="8">
        <f>INDEX(编号表!$E:$E,MATCH(K160,编号表!$C:$C,0))</f>
        <v>白色</v>
      </c>
      <c r="H160" t="n" s="8">
        <v>7</v>
      </c>
      <c r="I160" t="str" s="8">
        <v>霰砾坡</v>
      </c>
      <c r="J160" t="str" s="8">
        <v>霰砾坡</v>
      </c>
      <c r="K160" t="str" s="8">
        <v>普通</v>
      </c>
      <c r="L160" t="n" s="8">
        <v>169</v>
      </c>
      <c r="M160" t="n" s="8">
        <v>169</v>
      </c>
      <c r="N160" t="n" s="8">
        <v>1</v>
      </c>
      <c r="O160" s="8"/>
      <c r="P160" t="n" s="8">
        <v>24</v>
      </c>
      <c r="Q160" t="n" s="8">
        <v>30000</v>
      </c>
      <c r="R160" t="str" s="8">
        <v>首击</v>
      </c>
      <c r="S160" t="n" s="8">
        <v>30000</v>
      </c>
      <c r="T160" t="n" s="8">
        <v>10</v>
      </c>
      <c r="U160" t="n" s="16">
        <v>40900700</v>
      </c>
      <c r="V160" t="n" s="8">
        <v>40910707</v>
      </c>
      <c r="W160" t="n" s="8">
        <v>40920701</v>
      </c>
      <c r="X160" t="n" s="8">
        <v>11000001</v>
      </c>
      <c r="Y160" s="8"/>
      <c r="Z160" s="8"/>
      <c r="AA160" t="str" s="8">
        <v>妖兽</v>
      </c>
      <c r="AB160" s="21">
        <v>20161</v>
      </c>
      <c r="AC160" t="n" s="8">
        <v>1</v>
      </c>
      <c r="AD160" t="n" s="8">
        <v>60</v>
      </c>
      <c r="AE160" t="n" s="8">
        <v>60</v>
      </c>
      <c r="AF160" t="n" s="8">
        <v>0</v>
      </c>
      <c r="AG160" t="n" s="8">
        <v>0</v>
      </c>
      <c r="AH160" t="str" s="8">
        <v>近战</v>
      </c>
      <c r="AI160" s="8"/>
      <c r="AJ160" s="17"/>
      <c r="AK160" s="8"/>
      <c r="AL160" s="18"/>
      <c r="AM160" t="str" s="8">
        <v>生命值</v>
      </c>
      <c r="AN160" t="n" s="19">
        <v>4284000</v>
      </c>
      <c r="AO160" t="str" s="8">
        <v>灵力值</v>
      </c>
      <c r="AP160" t="n" s="8">
        <v>315000</v>
      </c>
      <c r="AQ160" t="str" s="8">
        <v>攻击下限</v>
      </c>
      <c r="AR160" t="n" s="8">
        <v>157500</v>
      </c>
      <c r="AS160" t="str" s="8">
        <v>攻击上限</v>
      </c>
      <c r="AT160" t="n" s="8">
        <v>157500</v>
      </c>
      <c r="AU160" t="str" s="8">
        <v>法力下限</v>
      </c>
      <c r="AV160" t="n" s="8">
        <v>157500</v>
      </c>
      <c r="AW160" t="str" s="8">
        <v>法力上限</v>
      </c>
      <c r="AX160" t="n" s="8">
        <v>157500</v>
      </c>
      <c r="AY160" t="str" s="8">
        <v>物防下限</v>
      </c>
      <c r="AZ160" t="n" s="8">
        <v>55440</v>
      </c>
      <c r="BA160" t="str" s="8">
        <v>物防上限</v>
      </c>
      <c r="BB160" t="n" s="8">
        <v>55440</v>
      </c>
      <c r="BC160" t="str" s="8">
        <v>法防下限</v>
      </c>
      <c r="BD160" t="n" s="8">
        <v>55440</v>
      </c>
      <c r="BE160" t="str" s="8">
        <v>法防上限</v>
      </c>
      <c r="BF160" t="n" s="8">
        <v>55440</v>
      </c>
      <c r="BG160" t="str" s="8">
        <v>移动速度</v>
      </c>
      <c r="BH160" t="n" s="8">
        <v>270</v>
      </c>
      <c r="BI160" t="str" s="8">
        <v>攻击范围</v>
      </c>
      <c r="BJ160" t="n" s="8">
        <v>160</v>
      </c>
      <c r="BK160" t="str" s="8">
        <v>警戒范围</v>
      </c>
      <c r="BL160" t="n" s="8">
        <v>550</v>
      </c>
      <c r="BM160" t="str" s="8">
        <v>攻击间隔</v>
      </c>
      <c r="BN160" t="n" s="8">
        <v>1800</v>
      </c>
      <c r="BO160" t="n" s="8">
        <v>0</v>
      </c>
      <c r="BP160" s="8"/>
      <c r="BQ160" t="n" s="8">
        <v>0</v>
      </c>
      <c r="BR160" t="n" s="8">
        <v>0</v>
      </c>
      <c r="BS160" t="n" s="8">
        <v>0</v>
      </c>
      <c r="BT160" t="n" s="8">
        <v>0</v>
      </c>
      <c r="BU160" t="str" s="8">
        <v>霰砾坡的普通遭遇。依托本区既有水土、岩隙和可达条件活动。</v>
      </c>
      <c r="BV160" t="n">
        <v>7</v>
      </c>
      <c r="BW160" t="n">
        <v>5</v>
      </c>
      <c r="BX160" t="str">
        <v>凡品</v>
      </c>
      <c r="BY160" t="str">
        <v>native</v>
      </c>
      <c r="BZ160" t="b">
        <v>0</v>
      </c>
    </row>
    <row r="161" ht="16.5" customHeight="1" spans="2:75">
      <c r="A161"/>
      <c r="B161" t="n" s="8">
        <f>60000000+INDEX(编号表!$B:$B,MATCH(J161,编号表!$A:$A,0))*10000+INDEX(编号表!$B:$B,MATCH(K161,编号表!$C:$C,0))*1000+L161</f>
        <v>60651170</v>
      </c>
      <c r="C161" t="str" s="8">
        <v>a010</v>
      </c>
      <c r="D161" t="str" s="5">
        <v>霰坡岩蟹</v>
      </c>
      <c r="E161" t="str" s="5">
        <v>R07-M2-普通-170</v>
      </c>
      <c r="F161" t="n" s="8">
        <v>65</v>
      </c>
      <c r="G161" t="str" s="8">
        <f>INDEX(编号表!$E:$E,MATCH(K161,编号表!$C:$C,0))</f>
        <v>白色</v>
      </c>
      <c r="H161" t="n" s="8">
        <v>7</v>
      </c>
      <c r="I161" t="str" s="8">
        <v>霰砾坡</v>
      </c>
      <c r="J161" t="str" s="8">
        <v>霰砾坡</v>
      </c>
      <c r="K161" t="str" s="8">
        <v>普通</v>
      </c>
      <c r="L161" t="n" s="8">
        <v>170</v>
      </c>
      <c r="M161" t="n" s="8">
        <v>170</v>
      </c>
      <c r="N161" t="n" s="8">
        <v>1</v>
      </c>
      <c r="O161" s="8"/>
      <c r="P161" t="n" s="8">
        <v>24</v>
      </c>
      <c r="Q161" t="n" s="8">
        <v>30000</v>
      </c>
      <c r="R161" t="str" s="8">
        <v>首击</v>
      </c>
      <c r="S161" t="n" s="8">
        <v>30000</v>
      </c>
      <c r="T161" t="n" s="8">
        <v>10</v>
      </c>
      <c r="U161" t="n" s="16">
        <v>40900700</v>
      </c>
      <c r="V161" t="n" s="8">
        <v>40910708</v>
      </c>
      <c r="W161" t="n" s="8">
        <v>40920700</v>
      </c>
      <c r="X161" t="n" s="8">
        <v>11000001</v>
      </c>
      <c r="Y161" s="8"/>
      <c r="Z161" s="8"/>
      <c r="AA161" t="str" s="8">
        <v>妖兽</v>
      </c>
      <c r="AB161" s="21">
        <v>20162</v>
      </c>
      <c r="AC161" t="n" s="8">
        <v>1</v>
      </c>
      <c r="AD161" t="n" s="8">
        <v>60</v>
      </c>
      <c r="AE161" t="n" s="8">
        <v>60</v>
      </c>
      <c r="AF161" t="n" s="8">
        <v>0</v>
      </c>
      <c r="AG161" t="n" s="8">
        <v>0</v>
      </c>
      <c r="AH161" t="str" s="8">
        <v>近战</v>
      </c>
      <c r="AI161" s="8"/>
      <c r="AJ161" s="17"/>
      <c r="AK161" s="8"/>
      <c r="AL161" s="18"/>
      <c r="AM161" t="str" s="8">
        <v>生命值</v>
      </c>
      <c r="AN161" t="n" s="19">
        <v>4284000</v>
      </c>
      <c r="AO161" t="str" s="8">
        <v>灵力值</v>
      </c>
      <c r="AP161" t="n" s="8">
        <v>315000</v>
      </c>
      <c r="AQ161" t="str" s="8">
        <v>攻击下限</v>
      </c>
      <c r="AR161" t="n" s="8">
        <v>157500</v>
      </c>
      <c r="AS161" t="str" s="8">
        <v>攻击上限</v>
      </c>
      <c r="AT161" t="n" s="8">
        <v>157500</v>
      </c>
      <c r="AU161" t="str" s="8">
        <v>法力下限</v>
      </c>
      <c r="AV161" t="n" s="8">
        <v>157500</v>
      </c>
      <c r="AW161" t="str" s="8">
        <v>法力上限</v>
      </c>
      <c r="AX161" t="n" s="8">
        <v>157500</v>
      </c>
      <c r="AY161" t="str" s="8">
        <v>物防下限</v>
      </c>
      <c r="AZ161" t="n" s="8">
        <v>55440</v>
      </c>
      <c r="BA161" t="str" s="8">
        <v>物防上限</v>
      </c>
      <c r="BB161" t="n" s="8">
        <v>55440</v>
      </c>
      <c r="BC161" t="str" s="8">
        <v>法防下限</v>
      </c>
      <c r="BD161" t="n" s="8">
        <v>55440</v>
      </c>
      <c r="BE161" t="str" s="8">
        <v>法防上限</v>
      </c>
      <c r="BF161" t="n" s="8">
        <v>55440</v>
      </c>
      <c r="BG161" t="str" s="8">
        <v>移动速度</v>
      </c>
      <c r="BH161" t="n" s="8">
        <v>270</v>
      </c>
      <c r="BI161" t="str" s="8">
        <v>攻击范围</v>
      </c>
      <c r="BJ161" t="n" s="8">
        <v>160</v>
      </c>
      <c r="BK161" t="str" s="8">
        <v>警戒范围</v>
      </c>
      <c r="BL161" t="n" s="8">
        <v>550</v>
      </c>
      <c r="BM161" t="str" s="8">
        <v>攻击间隔</v>
      </c>
      <c r="BN161" t="n" s="8">
        <v>1800</v>
      </c>
      <c r="BO161" t="n" s="8">
        <v>0</v>
      </c>
      <c r="BP161" s="8"/>
      <c r="BQ161" t="n" s="8">
        <v>0</v>
      </c>
      <c r="BR161" t="n" s="8">
        <v>0</v>
      </c>
      <c r="BS161" t="n" s="8">
        <v>0</v>
      </c>
      <c r="BT161" t="n" s="8">
        <v>0</v>
      </c>
      <c r="BU161" t="str" s="8">
        <v>霰砾坡的普通遭遇。依托本区既有水土、岩隙和可达条件活动。</v>
      </c>
      <c r="BV161" t="n">
        <v>7</v>
      </c>
      <c r="BW161" t="n">
        <v>5</v>
      </c>
      <c r="BX161" t="str">
        <v>凡品</v>
      </c>
      <c r="BY161" t="str">
        <v>native</v>
      </c>
      <c r="BZ161" t="b">
        <v>0</v>
      </c>
    </row>
    <row r="162" ht="16.5" customHeight="1" spans="2:75">
      <c r="A162"/>
      <c r="B162" t="n" s="8">
        <f>60000000+INDEX(编号表!$B:$B,MATCH(J162,编号表!$A:$A,0))*10000+INDEX(编号表!$B:$B,MATCH(K162,编号表!$C:$C,0))*1000+L162</f>
        <v>60651171</v>
      </c>
      <c r="C162" t="str" s="8">
        <v>a010</v>
      </c>
      <c r="D162" t="str" s="5">
        <v>凇痕灵蝠</v>
      </c>
      <c r="E162" t="str" s="5">
        <v>R07-M2-普通-171</v>
      </c>
      <c r="F162" t="n" s="8">
        <v>65</v>
      </c>
      <c r="G162" t="str" s="8">
        <f>INDEX(编号表!$E:$E,MATCH(K162,编号表!$C:$C,0))</f>
        <v>白色</v>
      </c>
      <c r="H162" t="n" s="8">
        <v>7</v>
      </c>
      <c r="I162" t="str" s="8">
        <v>霰砾坡</v>
      </c>
      <c r="J162" t="str" s="8">
        <v>霰砾坡</v>
      </c>
      <c r="K162" t="str" s="8">
        <v>普通</v>
      </c>
      <c r="L162" t="n" s="8">
        <v>171</v>
      </c>
      <c r="M162" t="n" s="8">
        <v>171</v>
      </c>
      <c r="N162" t="n" s="8">
        <v>1</v>
      </c>
      <c r="O162" s="8"/>
      <c r="P162" t="n" s="8">
        <v>24</v>
      </c>
      <c r="Q162" t="n" s="8">
        <v>30000</v>
      </c>
      <c r="R162" t="str" s="8">
        <v>首击</v>
      </c>
      <c r="S162" t="n" s="8">
        <v>30000</v>
      </c>
      <c r="T162" t="n" s="8">
        <v>10</v>
      </c>
      <c r="U162" t="n" s="16">
        <v>40900700</v>
      </c>
      <c r="V162" t="n" s="8">
        <v>40910709</v>
      </c>
      <c r="W162" t="n" s="8">
        <v>40920701</v>
      </c>
      <c r="X162" t="n" s="8">
        <v>11000001</v>
      </c>
      <c r="Y162" s="8"/>
      <c r="Z162" s="8"/>
      <c r="AA162" t="str" s="8">
        <v>妖兽</v>
      </c>
      <c r="AB162" s="21">
        <v>20163</v>
      </c>
      <c r="AC162" t="n" s="8">
        <v>1</v>
      </c>
      <c r="AD162" t="n" s="8">
        <v>60</v>
      </c>
      <c r="AE162" t="n" s="8">
        <v>60</v>
      </c>
      <c r="AF162" t="n" s="8">
        <v>0</v>
      </c>
      <c r="AG162" t="n" s="8">
        <v>0</v>
      </c>
      <c r="AH162" t="str" s="8">
        <v>近战</v>
      </c>
      <c r="AI162" s="8"/>
      <c r="AJ162" s="17"/>
      <c r="AK162" s="8"/>
      <c r="AL162" s="18"/>
      <c r="AM162" t="str" s="8">
        <v>生命值</v>
      </c>
      <c r="AN162" t="n" s="19">
        <v>4284000</v>
      </c>
      <c r="AO162" t="str" s="8">
        <v>灵力值</v>
      </c>
      <c r="AP162" t="n" s="8">
        <v>315000</v>
      </c>
      <c r="AQ162" t="str" s="8">
        <v>攻击下限</v>
      </c>
      <c r="AR162" t="n" s="8">
        <v>157500</v>
      </c>
      <c r="AS162" t="str" s="8">
        <v>攻击上限</v>
      </c>
      <c r="AT162" t="n" s="8">
        <v>157500</v>
      </c>
      <c r="AU162" t="str" s="8">
        <v>法力下限</v>
      </c>
      <c r="AV162" t="n" s="8">
        <v>157500</v>
      </c>
      <c r="AW162" t="str" s="8">
        <v>法力上限</v>
      </c>
      <c r="AX162" t="n" s="8">
        <v>157500</v>
      </c>
      <c r="AY162" t="str" s="8">
        <v>物防下限</v>
      </c>
      <c r="AZ162" t="n" s="8">
        <v>55440</v>
      </c>
      <c r="BA162" t="str" s="8">
        <v>物防上限</v>
      </c>
      <c r="BB162" t="n" s="8">
        <v>55440</v>
      </c>
      <c r="BC162" t="str" s="8">
        <v>法防下限</v>
      </c>
      <c r="BD162" t="n" s="8">
        <v>55440</v>
      </c>
      <c r="BE162" t="str" s="8">
        <v>法防上限</v>
      </c>
      <c r="BF162" t="n" s="8">
        <v>55440</v>
      </c>
      <c r="BG162" t="str" s="8">
        <v>移动速度</v>
      </c>
      <c r="BH162" t="n" s="8">
        <v>270</v>
      </c>
      <c r="BI162" t="str" s="8">
        <v>攻击范围</v>
      </c>
      <c r="BJ162" t="n" s="8">
        <v>160</v>
      </c>
      <c r="BK162" t="str" s="8">
        <v>警戒范围</v>
      </c>
      <c r="BL162" t="n" s="8">
        <v>550</v>
      </c>
      <c r="BM162" t="str" s="8">
        <v>攻击间隔</v>
      </c>
      <c r="BN162" t="n" s="8">
        <v>1800</v>
      </c>
      <c r="BO162" t="n" s="8">
        <v>0</v>
      </c>
      <c r="BP162" s="8"/>
      <c r="BQ162" t="n" s="8">
        <v>0</v>
      </c>
      <c r="BR162" t="n" s="8">
        <v>0</v>
      </c>
      <c r="BS162" t="n" s="8">
        <v>0</v>
      </c>
      <c r="BT162" t="n" s="8">
        <v>0</v>
      </c>
      <c r="BU162" t="str" s="8">
        <v>霰砾坡的普通遭遇。依托本区既有水土、岩隙和可达条件活动。</v>
      </c>
      <c r="BV162" t="n">
        <v>7</v>
      </c>
      <c r="BW162" t="n">
        <v>5</v>
      </c>
      <c r="BX162" t="str">
        <v>凡品</v>
      </c>
      <c r="BY162" t="str">
        <v>native</v>
      </c>
      <c r="BZ162" t="b">
        <v>0</v>
      </c>
    </row>
    <row r="163" ht="16.5" customHeight="1" spans="2:75">
      <c r="A163"/>
      <c r="B163" t="n" s="8">
        <f>60000000+INDEX(编号表!$B:$B,MATCH(J163,编号表!$A:$A,0))*10000+INDEX(编号表!$B:$B,MATCH(K163,编号表!$C:$C,0))*1000+L163</f>
        <v>60614172</v>
      </c>
      <c r="C163" t="str" s="8">
        <v>a010</v>
      </c>
      <c r="D163" t="str" s="5">
        <v>雪脊灵狼·首领</v>
      </c>
      <c r="E163" t="str" s="5">
        <v>R07-M3-BOSS-172</v>
      </c>
      <c r="F163" t="n" s="8">
        <v>68</v>
      </c>
      <c r="G163" t="str" s="8">
        <f>INDEX(编号表!$E:$E,MATCH(K163,编号表!$C:$C,0))</f>
        <v>橙色</v>
      </c>
      <c r="H163" t="n" s="8">
        <v>7</v>
      </c>
      <c r="I163" t="str" s="8">
        <v>融口初声</v>
      </c>
      <c r="J163" t="str" s="8">
        <v>融口初声</v>
      </c>
      <c r="K163" t="str" s="8">
        <v>BOSS</v>
      </c>
      <c r="L163" t="n" s="8">
        <v>172</v>
      </c>
      <c r="M163" t="n" s="8">
        <v>172</v>
      </c>
      <c r="N163" t="n" s="8">
        <v>5</v>
      </c>
      <c r="O163" s="8"/>
      <c r="P163" t="n" s="8">
        <v>40</v>
      </c>
      <c r="Q163" t="n" s="8">
        <v>900000</v>
      </c>
      <c r="R163" t="str" s="8">
        <v>首击</v>
      </c>
      <c r="S163" t="n" s="8">
        <v>30000</v>
      </c>
      <c r="T163" t="n" s="8">
        <v>12</v>
      </c>
      <c r="U163" t="n" s="16">
        <v>40900702</v>
      </c>
      <c r="V163" t="n" s="8">
        <v>41130710</v>
      </c>
      <c r="W163" t="n" s="8">
        <v>41330703</v>
      </c>
      <c r="X163" t="n" s="8">
        <v>11000001</v>
      </c>
      <c r="Y163" s="8"/>
      <c r="Z163" s="8"/>
      <c r="AA163" t="str" s="8">
        <v>妖兽</v>
      </c>
      <c r="AB163" s="21">
        <v>20146</v>
      </c>
      <c r="AC163" t="n" s="8">
        <v>1.6</v>
      </c>
      <c r="AD163" t="n" s="8">
        <v>60</v>
      </c>
      <c r="AE163" t="n" s="8">
        <v>60</v>
      </c>
      <c r="AF163" t="n" s="8">
        <v>0</v>
      </c>
      <c r="AG163" t="n" s="8">
        <v>0</v>
      </c>
      <c r="AH163" t="str" s="8">
        <v>近战</v>
      </c>
      <c r="AI163" s="8"/>
      <c r="AJ163" s="17"/>
      <c r="AK163" s="8"/>
      <c r="AL163" s="18"/>
      <c r="AM163" t="str" s="8">
        <v>生命值</v>
      </c>
      <c r="AN163" t="n" s="19">
        <v>49470000</v>
      </c>
      <c r="AO163" t="str" s="8">
        <v>灵力值</v>
      </c>
      <c r="AP163" t="n" s="8">
        <v>763876</v>
      </c>
      <c r="AQ163" t="str" s="8">
        <v>攻击下限</v>
      </c>
      <c r="AR163" t="n" s="8">
        <v>381938</v>
      </c>
      <c r="AS163" t="str" s="8">
        <v>攻击上限</v>
      </c>
      <c r="AT163" t="n" s="8">
        <v>381938</v>
      </c>
      <c r="AU163" t="str" s="8">
        <v>法力下限</v>
      </c>
      <c r="AV163" t="n" s="8">
        <v>381938</v>
      </c>
      <c r="AW163" t="str" s="8">
        <v>法力上限</v>
      </c>
      <c r="AX163" t="n" s="8">
        <v>381938</v>
      </c>
      <c r="AY163" t="str" s="8">
        <v>物防下限</v>
      </c>
      <c r="AZ163" t="n" s="8">
        <v>96030</v>
      </c>
      <c r="BA163" t="str" s="8">
        <v>物防上限</v>
      </c>
      <c r="BB163" t="n" s="8">
        <v>96030</v>
      </c>
      <c r="BC163" t="str" s="8">
        <v>法防下限</v>
      </c>
      <c r="BD163" t="n" s="8">
        <v>96030</v>
      </c>
      <c r="BE163" t="str" s="8">
        <v>法防上限</v>
      </c>
      <c r="BF163" t="n" s="8">
        <v>96030</v>
      </c>
      <c r="BG163" t="str" s="8">
        <v>移动速度</v>
      </c>
      <c r="BH163" t="n" s="8">
        <v>270</v>
      </c>
      <c r="BI163" t="str" s="8">
        <v>攻击范围</v>
      </c>
      <c r="BJ163" t="n" s="8">
        <v>160</v>
      </c>
      <c r="BK163" t="str" s="8">
        <v>警戒范围</v>
      </c>
      <c r="BL163" t="n" s="8">
        <v>700</v>
      </c>
      <c r="BM163" t="str" s="8">
        <v>攻击间隔</v>
      </c>
      <c r="BN163" t="n" s="8">
        <v>2200</v>
      </c>
      <c r="BO163" t="n" s="8">
        <v>0</v>
      </c>
      <c r="BP163" s="8"/>
      <c r="BQ163" t="n" s="8">
        <v>0</v>
      </c>
      <c r="BR163" t="n" s="8">
        <v>0</v>
      </c>
      <c r="BS163" t="n" s="8">
        <v>0</v>
      </c>
      <c r="BT163" t="n" s="8">
        <v>0</v>
      </c>
      <c r="BU163" t="str" s="8">
        <v>融口初声的BOSS遭遇。依托本区既有水土、岩隙和可达条件活动。</v>
      </c>
      <c r="BV163" t="n">
        <v>7</v>
      </c>
      <c r="BW163" t="n">
        <v>8</v>
      </c>
      <c r="BX163" t="str">
        <v>仙品</v>
      </c>
      <c r="BY163" t="str">
        <v>native</v>
      </c>
      <c r="BZ163" t="b">
        <v>1</v>
      </c>
    </row>
    <row r="164" ht="16.5" customHeight="1" spans="2:75">
      <c r="A164"/>
      <c r="B164" t="n" s="8">
        <f>60000000+INDEX(编号表!$B:$B,MATCH(J164,编号表!$A:$A,0))*10000+INDEX(编号表!$B:$B,MATCH(K164,编号表!$C:$C,0))*1000+L164</f>
        <v>60611173</v>
      </c>
      <c r="C164" t="str" s="8">
        <v>a010</v>
      </c>
      <c r="D164" t="str" s="5">
        <v>融沟灵蛇</v>
      </c>
      <c r="E164" t="str" s="5">
        <v>R07-M3-普通-173</v>
      </c>
      <c r="F164" t="n" s="8">
        <v>68</v>
      </c>
      <c r="G164" t="str" s="8">
        <f>INDEX(编号表!$E:$E,MATCH(K164,编号表!$C:$C,0))</f>
        <v>白色</v>
      </c>
      <c r="H164" t="n" s="8">
        <v>7</v>
      </c>
      <c r="I164" t="str" s="8">
        <v>融口初声</v>
      </c>
      <c r="J164" t="str" s="8">
        <v>融口初声</v>
      </c>
      <c r="K164" t="str" s="8">
        <v>普通</v>
      </c>
      <c r="L164" t="n" s="8">
        <v>173</v>
      </c>
      <c r="M164" t="n" s="8">
        <v>173</v>
      </c>
      <c r="N164" t="n" s="8">
        <v>1</v>
      </c>
      <c r="O164" s="8"/>
      <c r="P164" t="n" s="8">
        <v>24</v>
      </c>
      <c r="Q164" t="n" s="8">
        <v>30000</v>
      </c>
      <c r="R164" t="str" s="8">
        <v>首击</v>
      </c>
      <c r="S164" t="n" s="8">
        <v>30000</v>
      </c>
      <c r="T164" t="n" s="8">
        <v>10</v>
      </c>
      <c r="U164" t="n" s="16">
        <v>40900700</v>
      </c>
      <c r="V164" t="n" s="8">
        <v>40910711</v>
      </c>
      <c r="W164" t="n" s="8">
        <v>40920701</v>
      </c>
      <c r="X164" t="n" s="8">
        <v>11000001</v>
      </c>
      <c r="Y164" s="8"/>
      <c r="Z164" s="8"/>
      <c r="AA164" t="str" s="8">
        <v>妖兽</v>
      </c>
      <c r="AB164" s="21">
        <v>20147</v>
      </c>
      <c r="AC164" t="n" s="8">
        <v>1</v>
      </c>
      <c r="AD164" t="n" s="8">
        <v>60</v>
      </c>
      <c r="AE164" t="n" s="8">
        <v>60</v>
      </c>
      <c r="AF164" t="n" s="8">
        <v>0</v>
      </c>
      <c r="AG164" t="n" s="8">
        <v>0</v>
      </c>
      <c r="AH164" t="str" s="8">
        <v>近战</v>
      </c>
      <c r="AI164" s="8"/>
      <c r="AJ164" s="17"/>
      <c r="AK164" s="8"/>
      <c r="AL164" s="18"/>
      <c r="AM164" t="str" s="8">
        <v>生命值</v>
      </c>
      <c r="AN164" t="n" s="19">
        <v>4947000</v>
      </c>
      <c r="AO164" t="str" s="8">
        <v>灵力值</v>
      </c>
      <c r="AP164" t="n" s="8">
        <v>363750</v>
      </c>
      <c r="AQ164" t="str" s="8">
        <v>攻击下限</v>
      </c>
      <c r="AR164" t="n" s="8">
        <v>181875</v>
      </c>
      <c r="AS164" t="str" s="8">
        <v>攻击上限</v>
      </c>
      <c r="AT164" t="n" s="8">
        <v>181875</v>
      </c>
      <c r="AU164" t="str" s="8">
        <v>法力下限</v>
      </c>
      <c r="AV164" t="n" s="8">
        <v>181875</v>
      </c>
      <c r="AW164" t="str" s="8">
        <v>法力上限</v>
      </c>
      <c r="AX164" t="n" s="8">
        <v>181875</v>
      </c>
      <c r="AY164" t="str" s="8">
        <v>物防下限</v>
      </c>
      <c r="AZ164" t="n" s="8">
        <v>64020</v>
      </c>
      <c r="BA164" t="str" s="8">
        <v>物防上限</v>
      </c>
      <c r="BB164" t="n" s="8">
        <v>64020</v>
      </c>
      <c r="BC164" t="str" s="8">
        <v>法防下限</v>
      </c>
      <c r="BD164" t="n" s="8">
        <v>64020</v>
      </c>
      <c r="BE164" t="str" s="8">
        <v>法防上限</v>
      </c>
      <c r="BF164" t="n" s="8">
        <v>64020</v>
      </c>
      <c r="BG164" t="str" s="8">
        <v>移动速度</v>
      </c>
      <c r="BH164" t="n" s="8">
        <v>270</v>
      </c>
      <c r="BI164" t="str" s="8">
        <v>攻击范围</v>
      </c>
      <c r="BJ164" t="n" s="8">
        <v>160</v>
      </c>
      <c r="BK164" t="str" s="8">
        <v>警戒范围</v>
      </c>
      <c r="BL164" t="n" s="8">
        <v>550</v>
      </c>
      <c r="BM164" t="str" s="8">
        <v>攻击间隔</v>
      </c>
      <c r="BN164" t="n" s="8">
        <v>1800</v>
      </c>
      <c r="BO164" t="n" s="8">
        <v>0</v>
      </c>
      <c r="BP164" s="8"/>
      <c r="BQ164" t="n" s="8">
        <v>0</v>
      </c>
      <c r="BR164" t="n" s="8">
        <v>0</v>
      </c>
      <c r="BS164" t="n" s="8">
        <v>0</v>
      </c>
      <c r="BT164" t="n" s="8">
        <v>0</v>
      </c>
      <c r="BU164" t="str" s="8">
        <v>融口初声的普通遭遇。依托本区既有水土、岩隙和可达条件活动。</v>
      </c>
      <c r="BV164" t="n">
        <v>7</v>
      </c>
      <c r="BW164" t="n">
        <v>8</v>
      </c>
      <c r="BX164" t="str">
        <v>凡品</v>
      </c>
      <c r="BY164" t="str">
        <v>native</v>
      </c>
      <c r="BZ164" t="b">
        <v>0</v>
      </c>
    </row>
    <row r="165" ht="16.5" customHeight="1" spans="2:75">
      <c r="A165"/>
      <c r="B165" t="n" s="8">
        <f>60000000+INDEX(编号表!$B:$B,MATCH(J165,编号表!$A:$A,0))*10000+INDEX(编号表!$B:$B,MATCH(K165,编号表!$C:$C,0))*1000+L165</f>
        <v>60612174</v>
      </c>
      <c r="C165" t="str" s="8">
        <v>a010</v>
      </c>
      <c r="D165" t="str" s="5">
        <v>霰坡岩蟹·异种</v>
      </c>
      <c r="E165" t="str" s="5">
        <v>R07-M3-精英-174</v>
      </c>
      <c r="F165" t="n" s="8">
        <v>68</v>
      </c>
      <c r="G165" t="str" s="8">
        <f>INDEX(编号表!$E:$E,MATCH(K165,编号表!$C:$C,0))</f>
        <v>绿色</v>
      </c>
      <c r="H165" t="n" s="8">
        <v>7</v>
      </c>
      <c r="I165" t="str" s="8">
        <v>融口初声</v>
      </c>
      <c r="J165" t="str" s="8">
        <v>融口初声</v>
      </c>
      <c r="K165" t="str" s="8">
        <v>精英</v>
      </c>
      <c r="L165" t="n" s="8">
        <v>174</v>
      </c>
      <c r="M165" t="n" s="8">
        <v>174</v>
      </c>
      <c r="N165" t="n" s="8">
        <v>3</v>
      </c>
      <c r="O165" s="8"/>
      <c r="P165" t="n" s="8">
        <v>40</v>
      </c>
      <c r="Q165" t="n" s="8">
        <v>180000</v>
      </c>
      <c r="R165" t="str" s="8">
        <v>首击</v>
      </c>
      <c r="S165" t="n" s="8">
        <v>30000</v>
      </c>
      <c r="T165" t="n" s="8">
        <v>11</v>
      </c>
      <c r="U165" t="n" s="16">
        <v>40900701</v>
      </c>
      <c r="V165" t="n" s="8">
        <v>41120712</v>
      </c>
      <c r="W165" t="n" s="8">
        <v>41320704</v>
      </c>
      <c r="X165" t="n" s="8">
        <v>11000001</v>
      </c>
      <c r="Y165" s="8"/>
      <c r="Z165" s="8"/>
      <c r="AA165" t="str" s="8">
        <v>妖兽</v>
      </c>
      <c r="AB165" s="21">
        <v>20148</v>
      </c>
      <c r="AC165" t="n" s="8">
        <v>1.25</v>
      </c>
      <c r="AD165" t="n" s="8">
        <v>60</v>
      </c>
      <c r="AE165" t="n" s="8">
        <v>60</v>
      </c>
      <c r="AF165" t="n" s="8">
        <v>0</v>
      </c>
      <c r="AG165" t="n" s="8">
        <v>0</v>
      </c>
      <c r="AH165" t="str" s="8">
        <v>近战</v>
      </c>
      <c r="AI165"/>
      <c r="AJ165" s="17"/>
      <c r="AK165" s="8"/>
      <c r="AL165" s="18"/>
      <c r="AM165" t="str" s="8">
        <v>生命值</v>
      </c>
      <c r="AN165" t="n" s="19">
        <v>13851600</v>
      </c>
      <c r="AO165" t="str" s="8">
        <v>灵力值</v>
      </c>
      <c r="AP165" t="n" s="8">
        <v>527438</v>
      </c>
      <c r="AQ165" t="str" s="8">
        <v>攻击下限</v>
      </c>
      <c r="AR165" t="n" s="8">
        <v>263719</v>
      </c>
      <c r="AS165" t="str" s="8">
        <v>攻击上限</v>
      </c>
      <c r="AT165" t="n" s="8">
        <v>263719</v>
      </c>
      <c r="AU165" t="str" s="8">
        <v>法力下限</v>
      </c>
      <c r="AV165" t="n" s="8">
        <v>263719</v>
      </c>
      <c r="AW165" t="str" s="8">
        <v>法力上限</v>
      </c>
      <c r="AX165" t="n" s="8">
        <v>263719</v>
      </c>
      <c r="AY165" t="str" s="8">
        <v>物防下限</v>
      </c>
      <c r="AZ165" t="n" s="8">
        <v>76824</v>
      </c>
      <c r="BA165" t="str" s="8">
        <v>物防上限</v>
      </c>
      <c r="BB165" t="n" s="8">
        <v>76824</v>
      </c>
      <c r="BC165" t="str" s="8">
        <v>法防下限</v>
      </c>
      <c r="BD165" t="n" s="8">
        <v>76824</v>
      </c>
      <c r="BE165" t="str" s="8">
        <v>法防上限</v>
      </c>
      <c r="BF165" t="n" s="8">
        <v>76824</v>
      </c>
      <c r="BG165" t="str" s="8">
        <v>移动速度</v>
      </c>
      <c r="BH165" t="n" s="8">
        <v>270</v>
      </c>
      <c r="BI165" t="str" s="8">
        <v>攻击范围</v>
      </c>
      <c r="BJ165" t="n" s="8">
        <v>160</v>
      </c>
      <c r="BK165" t="str" s="8">
        <v>警戒范围</v>
      </c>
      <c r="BL165" t="n" s="8">
        <v>550</v>
      </c>
      <c r="BM165" t="str" s="8">
        <v>攻击间隔</v>
      </c>
      <c r="BN165" t="n" s="8">
        <v>1800</v>
      </c>
      <c r="BO165" t="n" s="8">
        <v>0</v>
      </c>
      <c r="BP165" s="8"/>
      <c r="BQ165" t="n" s="8">
        <v>0</v>
      </c>
      <c r="BR165" t="n" s="8">
        <v>0</v>
      </c>
      <c r="BS165" t="n" s="8">
        <v>0</v>
      </c>
      <c r="BT165" t="n" s="8">
        <v>0</v>
      </c>
      <c r="BU165" t="str" s="8">
        <v>融口初声的精英遭遇。依托本区既有水土、岩隙和可达条件活动。</v>
      </c>
      <c r="BV165" t="n">
        <v>7</v>
      </c>
      <c r="BW165" t="n">
        <v>8</v>
      </c>
      <c r="BX165" t="str">
        <v>玄品</v>
      </c>
      <c r="BY165" t="str">
        <v>native</v>
      </c>
      <c r="BZ165" t="b">
        <v>0</v>
      </c>
    </row>
    <row r="166" ht="16.5" customHeight="1" spans="2:75">
      <c r="A166"/>
      <c r="B166" t="n" s="8">
        <f>60000000+INDEX(编号表!$B:$B,MATCH(J166,编号表!$A:$A,0))*10000+INDEX(编号表!$B:$B,MATCH(K166,编号表!$C:$C,0))*1000+L166</f>
        <v>60611175</v>
      </c>
      <c r="C166" t="str" s="8">
        <v>a010</v>
      </c>
      <c r="D166" t="str" s="5">
        <v>凇痕灵蝠</v>
      </c>
      <c r="E166" t="str" s="5">
        <v>R07-M3-普通-175</v>
      </c>
      <c r="F166" t="n" s="8">
        <v>68</v>
      </c>
      <c r="G166" t="str" s="8">
        <f>INDEX(编号表!$E:$E,MATCH(K166,编号表!$C:$C,0))</f>
        <v>白色</v>
      </c>
      <c r="H166" t="n" s="8">
        <v>7</v>
      </c>
      <c r="I166" t="str" s="8">
        <v>融口初声</v>
      </c>
      <c r="J166" t="str" s="8">
        <v>融口初声</v>
      </c>
      <c r="K166" t="str" s="8">
        <v>普通</v>
      </c>
      <c r="L166" t="n" s="8">
        <v>175</v>
      </c>
      <c r="M166" t="n" s="8">
        <v>175</v>
      </c>
      <c r="N166" t="n" s="8">
        <v>1</v>
      </c>
      <c r="O166" s="8"/>
      <c r="P166" t="n" s="8">
        <v>24</v>
      </c>
      <c r="Q166" t="n" s="8">
        <v>30000</v>
      </c>
      <c r="R166" t="str" s="8">
        <v>首击</v>
      </c>
      <c r="S166" t="n" s="8">
        <v>30000</v>
      </c>
      <c r="T166" t="n" s="8">
        <v>10</v>
      </c>
      <c r="U166" t="n" s="16">
        <v>40900700</v>
      </c>
      <c r="V166" t="n" s="8">
        <v>40910700</v>
      </c>
      <c r="W166" t="n" s="8">
        <v>40920701</v>
      </c>
      <c r="X166" t="n" s="8">
        <v>11000001</v>
      </c>
      <c r="Y166" s="8"/>
      <c r="Z166" s="8"/>
      <c r="AA166" t="str" s="8">
        <v>妖兽</v>
      </c>
      <c r="AB166" s="21">
        <v>20148</v>
      </c>
      <c r="AC166" t="n" s="8">
        <v>1</v>
      </c>
      <c r="AD166" t="n" s="8">
        <v>60</v>
      </c>
      <c r="AE166" t="n" s="8">
        <v>60</v>
      </c>
      <c r="AF166" t="n" s="8">
        <v>0</v>
      </c>
      <c r="AG166" t="n" s="8">
        <v>0</v>
      </c>
      <c r="AH166" t="str" s="8">
        <v>近战</v>
      </c>
      <c r="AI166"/>
      <c r="AJ166" s="17"/>
      <c r="AK166" s="8"/>
      <c r="AL166" s="18"/>
      <c r="AM166" t="str" s="8">
        <v>生命值</v>
      </c>
      <c r="AN166" t="n" s="19">
        <v>4947000</v>
      </c>
      <c r="AO166" t="str" s="8">
        <v>灵力值</v>
      </c>
      <c r="AP166" t="n" s="8">
        <v>363750</v>
      </c>
      <c r="AQ166" t="str" s="8">
        <v>攻击下限</v>
      </c>
      <c r="AR166" t="n" s="8">
        <v>181875</v>
      </c>
      <c r="AS166" t="str" s="8">
        <v>攻击上限</v>
      </c>
      <c r="AT166" t="n" s="8">
        <v>181875</v>
      </c>
      <c r="AU166" t="str" s="8">
        <v>法力下限</v>
      </c>
      <c r="AV166" t="n" s="8">
        <v>181875</v>
      </c>
      <c r="AW166" t="str" s="8">
        <v>法力上限</v>
      </c>
      <c r="AX166" t="n" s="8">
        <v>181875</v>
      </c>
      <c r="AY166" t="str" s="8">
        <v>物防下限</v>
      </c>
      <c r="AZ166" t="n" s="8">
        <v>64020</v>
      </c>
      <c r="BA166" t="str" s="8">
        <v>物防上限</v>
      </c>
      <c r="BB166" t="n" s="8">
        <v>64020</v>
      </c>
      <c r="BC166" t="str" s="8">
        <v>法防下限</v>
      </c>
      <c r="BD166" t="n" s="8">
        <v>64020</v>
      </c>
      <c r="BE166" t="str" s="8">
        <v>法防上限</v>
      </c>
      <c r="BF166" t="n" s="8">
        <v>64020</v>
      </c>
      <c r="BG166" t="str" s="8">
        <v>移动速度</v>
      </c>
      <c r="BH166" t="n" s="8">
        <v>270</v>
      </c>
      <c r="BI166" t="str" s="8">
        <v>攻击范围</v>
      </c>
      <c r="BJ166" t="n" s="8">
        <v>160</v>
      </c>
      <c r="BK166" t="str" s="8">
        <v>警戒范围</v>
      </c>
      <c r="BL166" t="n" s="8">
        <v>550</v>
      </c>
      <c r="BM166" t="str" s="8">
        <v>攻击间隔</v>
      </c>
      <c r="BN166" t="n" s="8">
        <v>1800</v>
      </c>
      <c r="BO166" t="n" s="8">
        <v>0</v>
      </c>
      <c r="BP166" s="8"/>
      <c r="BQ166" t="n" s="8">
        <v>0</v>
      </c>
      <c r="BR166" t="n" s="8">
        <v>0</v>
      </c>
      <c r="BS166" t="n" s="8">
        <v>0</v>
      </c>
      <c r="BT166" t="n" s="8">
        <v>0</v>
      </c>
      <c r="BU166" t="str" s="8">
        <v>融口初声的普通遭遇。依托本区既有水土、岩隙和可达条件活动。</v>
      </c>
      <c r="BV166" t="n">
        <v>7</v>
      </c>
      <c r="BW166" t="n">
        <v>8</v>
      </c>
      <c r="BX166" t="str">
        <v>凡品</v>
      </c>
      <c r="BY166" t="str">
        <v>native</v>
      </c>
      <c r="BZ166" t="b">
        <v>0</v>
      </c>
    </row>
    <row r="167" ht="16.5" customHeight="1" spans="2:75">
      <c r="A167"/>
      <c r="B167" t="n" s="8">
        <f>60000000+INDEX(编号表!$B:$B,MATCH(J167,编号表!$A:$A,0))*10000+INDEX(编号表!$B:$B,MATCH(K167,编号表!$C:$C,0))*1000+L167</f>
        <v>60621176</v>
      </c>
      <c r="C167" t="str" s="8">
        <v>a010</v>
      </c>
      <c r="D167" t="str" s="5">
        <v>雪脊灵狼</v>
      </c>
      <c r="E167" t="str" s="5">
        <v>R07-P1-普通-176</v>
      </c>
      <c r="F167" t="n" s="8">
        <v>63</v>
      </c>
      <c r="G167" t="str" s="8">
        <f>INDEX(编号表!$E:$E,MATCH(K167,编号表!$C:$C,0))</f>
        <v>白色</v>
      </c>
      <c r="H167" t="n" s="8">
        <v>7</v>
      </c>
      <c r="I167" t="str" s="8">
        <v>凇覆苔痕</v>
      </c>
      <c r="J167" t="str" s="8">
        <v>凇覆苔痕</v>
      </c>
      <c r="K167" t="str" s="8">
        <v>普通</v>
      </c>
      <c r="L167" t="n" s="8">
        <v>176</v>
      </c>
      <c r="M167" t="n" s="8">
        <v>176</v>
      </c>
      <c r="N167" t="n" s="8">
        <v>1</v>
      </c>
      <c r="O167" s="8"/>
      <c r="P167" t="n" s="8">
        <v>24</v>
      </c>
      <c r="Q167" t="n" s="8">
        <v>30000</v>
      </c>
      <c r="R167" t="str" s="8">
        <v>首击</v>
      </c>
      <c r="S167" t="n" s="8">
        <v>30000</v>
      </c>
      <c r="T167" t="n" s="8">
        <v>10</v>
      </c>
      <c r="U167" t="n" s="16">
        <v>40900700</v>
      </c>
      <c r="V167" t="n" s="8">
        <v>40910701</v>
      </c>
      <c r="W167" t="n" s="8">
        <v>40920700</v>
      </c>
      <c r="X167" t="n" s="8">
        <v>11000001</v>
      </c>
      <c r="Y167" s="8"/>
      <c r="Z167" s="8"/>
      <c r="AA167" t="str" s="8">
        <v>妖兽</v>
      </c>
      <c r="AB167" s="21">
        <v>20149</v>
      </c>
      <c r="AC167" t="n" s="8">
        <v>1</v>
      </c>
      <c r="AD167" t="n" s="8">
        <v>60</v>
      </c>
      <c r="AE167" t="n" s="8">
        <v>60</v>
      </c>
      <c r="AF167" t="n" s="8">
        <v>0</v>
      </c>
      <c r="AG167" t="n" s="8">
        <v>0</v>
      </c>
      <c r="AH167" t="str" s="8">
        <v>近战</v>
      </c>
      <c r="AI167" s="8"/>
      <c r="AJ167" s="17"/>
      <c r="AK167" s="8"/>
      <c r="AL167" s="18"/>
      <c r="AM167" t="str" s="8">
        <v>生命值</v>
      </c>
      <c r="AN167" t="n" s="19">
        <v>3842000</v>
      </c>
      <c r="AO167" t="str" s="8">
        <v>灵力值</v>
      </c>
      <c r="AP167" t="n" s="8">
        <v>282500</v>
      </c>
      <c r="AQ167" t="str" s="8">
        <v>攻击下限</v>
      </c>
      <c r="AR167" t="n" s="8">
        <v>141250</v>
      </c>
      <c r="AS167" t="str" s="8">
        <v>攻击上限</v>
      </c>
      <c r="AT167" t="n" s="8">
        <v>141250</v>
      </c>
      <c r="AU167" t="str" s="8">
        <v>法力下限</v>
      </c>
      <c r="AV167" t="n" s="8">
        <v>141250</v>
      </c>
      <c r="AW167" t="str" s="8">
        <v>法力上限</v>
      </c>
      <c r="AX167" t="n" s="8">
        <v>141250</v>
      </c>
      <c r="AY167" t="str" s="8">
        <v>物防下限</v>
      </c>
      <c r="AZ167" t="n" s="8">
        <v>49720</v>
      </c>
      <c r="BA167" t="str" s="8">
        <v>物防上限</v>
      </c>
      <c r="BB167" t="n" s="8">
        <v>49720</v>
      </c>
      <c r="BC167" t="str" s="8">
        <v>法防下限</v>
      </c>
      <c r="BD167" t="n" s="8">
        <v>49720</v>
      </c>
      <c r="BE167" t="str" s="8">
        <v>法防上限</v>
      </c>
      <c r="BF167" t="n" s="8">
        <v>49720</v>
      </c>
      <c r="BG167" t="str" s="8">
        <v>移动速度</v>
      </c>
      <c r="BH167" t="n" s="8">
        <v>270</v>
      </c>
      <c r="BI167" t="str" s="8">
        <v>攻击范围</v>
      </c>
      <c r="BJ167" t="n" s="8">
        <v>160</v>
      </c>
      <c r="BK167" t="str" s="8">
        <v>警戒范围</v>
      </c>
      <c r="BL167" t="n" s="8">
        <v>550</v>
      </c>
      <c r="BM167" t="str" s="8">
        <v>攻击间隔</v>
      </c>
      <c r="BN167" t="n" s="8">
        <v>1800</v>
      </c>
      <c r="BO167" t="n" s="8">
        <v>0</v>
      </c>
      <c r="BP167" s="8"/>
      <c r="BQ167" t="n" s="8">
        <v>0</v>
      </c>
      <c r="BR167" t="n" s="8">
        <v>0</v>
      </c>
      <c r="BS167" t="n" s="8">
        <v>0</v>
      </c>
      <c r="BT167" t="n" s="8">
        <v>0</v>
      </c>
      <c r="BU167" t="str" s="8">
        <v>凇覆苔痕的普通遭遇。依托本区既有水土、岩隙和可达条件活动。</v>
      </c>
      <c r="BV167" t="n">
        <v>7</v>
      </c>
      <c r="BW167" t="n">
        <v>3</v>
      </c>
      <c r="BX167" t="str">
        <v>凡品</v>
      </c>
      <c r="BY167" t="str">
        <v>native</v>
      </c>
      <c r="BZ167" t="b">
        <v>0</v>
      </c>
    </row>
    <row r="168" ht="16.5" customHeight="1" spans="2:75">
      <c r="A168"/>
      <c r="B168" t="n" s="8">
        <f>60000000+INDEX(编号表!$B:$B,MATCH(J168,编号表!$A:$A,0))*10000+INDEX(编号表!$B:$B,MATCH(K168,编号表!$C:$C,0))*1000+L168</f>
        <v>60622177</v>
      </c>
      <c r="C168" t="str" s="8">
        <v>a010</v>
      </c>
      <c r="D168" t="str" s="5">
        <v>融沟灵蛇·异种</v>
      </c>
      <c r="E168" t="str" s="5">
        <v>R07-P1-精英-177</v>
      </c>
      <c r="F168" t="n" s="8">
        <v>63</v>
      </c>
      <c r="G168" t="str" s="8">
        <f>INDEX(编号表!$E:$E,MATCH(K168,编号表!$C:$C,0))</f>
        <v>绿色</v>
      </c>
      <c r="H168" t="n" s="8">
        <v>7</v>
      </c>
      <c r="I168" t="str" s="8">
        <v>凇覆苔痕</v>
      </c>
      <c r="J168" t="str" s="8">
        <v>凇覆苔痕</v>
      </c>
      <c r="K168" t="str" s="8">
        <v>精英</v>
      </c>
      <c r="L168" t="n" s="8">
        <v>177</v>
      </c>
      <c r="M168" t="n" s="8">
        <v>177</v>
      </c>
      <c r="N168" t="n" s="8">
        <v>3</v>
      </c>
      <c r="O168" s="8"/>
      <c r="P168" t="n" s="8">
        <v>40</v>
      </c>
      <c r="Q168" t="n" s="8">
        <v>180000</v>
      </c>
      <c r="R168" t="str" s="8">
        <v>首击</v>
      </c>
      <c r="S168" t="n" s="8">
        <v>30000</v>
      </c>
      <c r="T168" t="n" s="8">
        <v>11</v>
      </c>
      <c r="U168" t="n" s="16">
        <v>40900701</v>
      </c>
      <c r="V168" t="n" s="8">
        <v>41120702</v>
      </c>
      <c r="W168" t="n" s="8">
        <v>41320705</v>
      </c>
      <c r="X168" t="n" s="8">
        <v>11000001</v>
      </c>
      <c r="Y168" s="8"/>
      <c r="Z168" s="8"/>
      <c r="AA168" t="str" s="8">
        <v>妖兽</v>
      </c>
      <c r="AB168" s="21">
        <v>20150</v>
      </c>
      <c r="AC168" t="n" s="8">
        <v>1.25</v>
      </c>
      <c r="AD168" t="n" s="8">
        <v>60</v>
      </c>
      <c r="AE168" t="n" s="8">
        <v>60</v>
      </c>
      <c r="AF168" t="n" s="8">
        <v>0</v>
      </c>
      <c r="AG168" t="n" s="8">
        <v>0</v>
      </c>
      <c r="AH168" t="str" s="8">
        <v>近战</v>
      </c>
      <c r="AI168" s="8"/>
      <c r="AJ168" s="17"/>
      <c r="AK168" s="8"/>
      <c r="AL168" s="18"/>
      <c r="AM168" t="str" s="8">
        <v>生命值</v>
      </c>
      <c r="AN168" t="n" s="19">
        <v>10757600</v>
      </c>
      <c r="AO168" t="str" s="8">
        <v>灵力值</v>
      </c>
      <c r="AP168" t="n" s="8">
        <v>409624</v>
      </c>
      <c r="AQ168" t="str" s="8">
        <v>攻击下限</v>
      </c>
      <c r="AR168" t="n" s="8">
        <v>204812</v>
      </c>
      <c r="AS168" t="str" s="8">
        <v>攻击上限</v>
      </c>
      <c r="AT168" t="n" s="8">
        <v>204812</v>
      </c>
      <c r="AU168" t="str" s="8">
        <v>法力下限</v>
      </c>
      <c r="AV168" t="n" s="8">
        <v>204812</v>
      </c>
      <c r="AW168" t="str" s="8">
        <v>法力上限</v>
      </c>
      <c r="AX168" t="n" s="8">
        <v>204812</v>
      </c>
      <c r="AY168" t="str" s="8">
        <v>物防下限</v>
      </c>
      <c r="AZ168" t="n" s="8">
        <v>59664</v>
      </c>
      <c r="BA168" t="str" s="8">
        <v>物防上限</v>
      </c>
      <c r="BB168" t="n" s="8">
        <v>59664</v>
      </c>
      <c r="BC168" t="str" s="8">
        <v>法防下限</v>
      </c>
      <c r="BD168" t="n" s="8">
        <v>59664</v>
      </c>
      <c r="BE168" t="str" s="8">
        <v>法防上限</v>
      </c>
      <c r="BF168" t="n" s="8">
        <v>59664</v>
      </c>
      <c r="BG168" t="str" s="8">
        <v>移动速度</v>
      </c>
      <c r="BH168" t="n" s="8">
        <v>270</v>
      </c>
      <c r="BI168" t="str" s="8">
        <v>攻击范围</v>
      </c>
      <c r="BJ168" t="n" s="8">
        <v>160</v>
      </c>
      <c r="BK168" t="str" s="8">
        <v>警戒范围</v>
      </c>
      <c r="BL168" t="n" s="8">
        <v>550</v>
      </c>
      <c r="BM168" t="str" s="8">
        <v>攻击间隔</v>
      </c>
      <c r="BN168" t="n" s="8">
        <v>1800</v>
      </c>
      <c r="BO168" t="n" s="8">
        <v>0</v>
      </c>
      <c r="BP168" s="8"/>
      <c r="BQ168" t="n" s="8">
        <v>0</v>
      </c>
      <c r="BR168" t="n" s="8">
        <v>0</v>
      </c>
      <c r="BS168" t="n" s="8">
        <v>0</v>
      </c>
      <c r="BT168" t="n" s="8">
        <v>0</v>
      </c>
      <c r="BU168" t="str" s="8">
        <v>凇覆苔痕的精英遭遇。依托本区既有水土、岩隙和可达条件活动。</v>
      </c>
      <c r="BV168" t="n">
        <v>7</v>
      </c>
      <c r="BW168" t="n">
        <v>3</v>
      </c>
      <c r="BX168" t="str">
        <v>玄品</v>
      </c>
      <c r="BY168" t="str">
        <v>native</v>
      </c>
      <c r="BZ168" t="b">
        <v>0</v>
      </c>
    </row>
    <row r="169" ht="16.5" customHeight="1" spans="2:75">
      <c r="A169"/>
      <c r="B169" t="n" s="8">
        <f>60000000+INDEX(编号表!$B:$B,MATCH(J169,编号表!$A:$A,0))*10000+INDEX(编号表!$B:$B,MATCH(K169,编号表!$C:$C,0))*1000+L169</f>
        <v>60621178</v>
      </c>
      <c r="C169" t="str" s="8">
        <v>a010</v>
      </c>
      <c r="D169" t="str" s="5">
        <v>霰坡岩蟹</v>
      </c>
      <c r="E169" t="str" s="5">
        <v>R07-P1-普通-178</v>
      </c>
      <c r="F169" t="n" s="8">
        <v>63</v>
      </c>
      <c r="G169" t="str" s="8">
        <f>INDEX(编号表!$E:$E,MATCH(K169,编号表!$C:$C,0))</f>
        <v>白色</v>
      </c>
      <c r="H169" t="n" s="8">
        <v>7</v>
      </c>
      <c r="I169" t="str" s="8">
        <v>凇覆苔痕</v>
      </c>
      <c r="J169" t="str" s="8">
        <v>凇覆苔痕</v>
      </c>
      <c r="K169" t="str" s="8">
        <v>普通</v>
      </c>
      <c r="L169" t="n" s="8">
        <v>178</v>
      </c>
      <c r="M169" t="n" s="8">
        <v>178</v>
      </c>
      <c r="N169" t="n" s="8">
        <v>1</v>
      </c>
      <c r="O169" s="8"/>
      <c r="P169" t="n" s="8">
        <v>24</v>
      </c>
      <c r="Q169" t="n" s="8">
        <v>30000</v>
      </c>
      <c r="R169" t="str" s="8">
        <v>首击</v>
      </c>
      <c r="S169" t="n" s="8">
        <v>30000</v>
      </c>
      <c r="T169" t="n" s="8">
        <v>10</v>
      </c>
      <c r="U169" t="n" s="16">
        <v>40900700</v>
      </c>
      <c r="V169" t="n" s="8">
        <v>40910703</v>
      </c>
      <c r="W169" t="n" s="8">
        <v>40920700</v>
      </c>
      <c r="X169" t="n" s="8">
        <v>11000001</v>
      </c>
      <c r="Y169" s="8"/>
      <c r="Z169" s="8"/>
      <c r="AA169" t="str" s="8">
        <v>妖兽</v>
      </c>
      <c r="AB169" s="21">
        <v>20150</v>
      </c>
      <c r="AC169" t="n" s="8">
        <v>1</v>
      </c>
      <c r="AD169" t="n" s="8">
        <v>60</v>
      </c>
      <c r="AE169" t="n" s="8">
        <v>60</v>
      </c>
      <c r="AF169" t="n" s="8">
        <v>0</v>
      </c>
      <c r="AG169" t="n" s="8">
        <v>0</v>
      </c>
      <c r="AH169" t="str" s="8">
        <v>近战</v>
      </c>
      <c r="AI169" s="8"/>
      <c r="AJ169" s="17"/>
      <c r="AK169" s="8"/>
      <c r="AL169" s="18"/>
      <c r="AM169" t="str" s="8">
        <v>生命值</v>
      </c>
      <c r="AN169" t="n" s="19">
        <v>3842000</v>
      </c>
      <c r="AO169" t="str" s="8">
        <v>灵力值</v>
      </c>
      <c r="AP169" t="n" s="8">
        <v>282500</v>
      </c>
      <c r="AQ169" t="str" s="8">
        <v>攻击下限</v>
      </c>
      <c r="AR169" t="n" s="8">
        <v>141250</v>
      </c>
      <c r="AS169" t="str" s="8">
        <v>攻击上限</v>
      </c>
      <c r="AT169" t="n" s="8">
        <v>141250</v>
      </c>
      <c r="AU169" t="str" s="8">
        <v>法力下限</v>
      </c>
      <c r="AV169" t="n" s="8">
        <v>141250</v>
      </c>
      <c r="AW169" t="str" s="8">
        <v>法力上限</v>
      </c>
      <c r="AX169" t="n" s="8">
        <v>141250</v>
      </c>
      <c r="AY169" t="str" s="8">
        <v>物防下限</v>
      </c>
      <c r="AZ169" t="n" s="8">
        <v>49720</v>
      </c>
      <c r="BA169" t="str" s="8">
        <v>物防上限</v>
      </c>
      <c r="BB169" t="n" s="8">
        <v>49720</v>
      </c>
      <c r="BC169" t="str" s="8">
        <v>法防下限</v>
      </c>
      <c r="BD169" t="n" s="8">
        <v>49720</v>
      </c>
      <c r="BE169" t="str" s="8">
        <v>法防上限</v>
      </c>
      <c r="BF169" t="n" s="8">
        <v>49720</v>
      </c>
      <c r="BG169" t="str" s="8">
        <v>移动速度</v>
      </c>
      <c r="BH169" t="n" s="8">
        <v>270</v>
      </c>
      <c r="BI169" t="str" s="8">
        <v>攻击范围</v>
      </c>
      <c r="BJ169" t="n" s="8">
        <v>160</v>
      </c>
      <c r="BK169" t="str" s="8">
        <v>警戒范围</v>
      </c>
      <c r="BL169" t="n" s="8">
        <v>550</v>
      </c>
      <c r="BM169" t="str" s="8">
        <v>攻击间隔</v>
      </c>
      <c r="BN169" t="n" s="8">
        <v>1800</v>
      </c>
      <c r="BO169" t="n" s="8">
        <v>0</v>
      </c>
      <c r="BP169" s="8"/>
      <c r="BQ169" t="n" s="8">
        <v>0</v>
      </c>
      <c r="BR169" t="n" s="8">
        <v>0</v>
      </c>
      <c r="BS169" t="n" s="8">
        <v>0</v>
      </c>
      <c r="BT169" t="n" s="8">
        <v>0</v>
      </c>
      <c r="BU169" t="str" s="8">
        <v>凇覆苔痕的普通遭遇。依托本区既有水土、岩隙和可达条件活动。</v>
      </c>
      <c r="BV169" t="n">
        <v>7</v>
      </c>
      <c r="BW169" t="n">
        <v>3</v>
      </c>
      <c r="BX169" t="str">
        <v>凡品</v>
      </c>
      <c r="BY169" t="str">
        <v>native</v>
      </c>
      <c r="BZ169" t="b">
        <v>0</v>
      </c>
    </row>
    <row r="170" ht="16.5" customHeight="1" spans="2:75">
      <c r="A170"/>
      <c r="B170" t="n" s="8">
        <f>60000000+INDEX(编号表!$B:$B,MATCH(J170,编号表!$A:$A,0))*10000+INDEX(编号表!$B:$B,MATCH(K170,编号表!$C:$C,0))*1000+L170</f>
        <v>60621179</v>
      </c>
      <c r="C170" t="str" s="8">
        <v>a010</v>
      </c>
      <c r="D170" t="str" s="5">
        <v>凇痕灵蝠</v>
      </c>
      <c r="E170" t="str" s="5">
        <v>R07-P1-普通-179</v>
      </c>
      <c r="F170" t="n" s="8">
        <v>63</v>
      </c>
      <c r="G170" t="str" s="8">
        <f>INDEX(编号表!$E:$E,MATCH(K170,编号表!$C:$C,0))</f>
        <v>白色</v>
      </c>
      <c r="H170" t="n" s="8">
        <v>7</v>
      </c>
      <c r="I170" t="str" s="8">
        <v>凇覆苔痕</v>
      </c>
      <c r="J170" t="str" s="8">
        <v>凇覆苔痕</v>
      </c>
      <c r="K170" t="str" s="8">
        <v>普通</v>
      </c>
      <c r="L170" t="n" s="8">
        <v>179</v>
      </c>
      <c r="M170" t="n" s="8">
        <v>179</v>
      </c>
      <c r="N170" t="n" s="8">
        <v>1</v>
      </c>
      <c r="O170" s="8"/>
      <c r="P170" t="n" s="8">
        <v>24</v>
      </c>
      <c r="Q170" t="n" s="8">
        <v>30000</v>
      </c>
      <c r="R170" t="str" s="8">
        <v>首击</v>
      </c>
      <c r="S170" t="n" s="8">
        <v>30000</v>
      </c>
      <c r="T170" t="n" s="8">
        <v>10</v>
      </c>
      <c r="U170" t="n" s="16">
        <v>40900700</v>
      </c>
      <c r="V170" t="n" s="8">
        <v>40910704</v>
      </c>
      <c r="W170" t="n" s="8">
        <v>40920701</v>
      </c>
      <c r="X170" t="n" s="8">
        <v>11000001</v>
      </c>
      <c r="Y170" s="8"/>
      <c r="Z170" s="8"/>
      <c r="AA170" t="str" s="8">
        <v>妖兽</v>
      </c>
      <c r="AB170" s="21">
        <v>20151</v>
      </c>
      <c r="AC170" t="n" s="8">
        <v>1</v>
      </c>
      <c r="AD170" t="n" s="8">
        <v>60</v>
      </c>
      <c r="AE170" t="n" s="8">
        <v>60</v>
      </c>
      <c r="AF170" t="n" s="8">
        <v>0</v>
      </c>
      <c r="AG170" t="n" s="8">
        <v>0</v>
      </c>
      <c r="AH170" t="str" s="8">
        <v>近战</v>
      </c>
      <c r="AI170"/>
      <c r="AJ170" s="17"/>
      <c r="AK170" s="8"/>
      <c r="AL170" s="18"/>
      <c r="AM170" t="str" s="8">
        <v>生命值</v>
      </c>
      <c r="AN170" t="n" s="19">
        <v>3842000</v>
      </c>
      <c r="AO170" t="str" s="8">
        <v>灵力值</v>
      </c>
      <c r="AP170" t="n" s="8">
        <v>282500</v>
      </c>
      <c r="AQ170" t="str" s="8">
        <v>攻击下限</v>
      </c>
      <c r="AR170" t="n" s="8">
        <v>141250</v>
      </c>
      <c r="AS170" t="str" s="8">
        <v>攻击上限</v>
      </c>
      <c r="AT170" t="n" s="8">
        <v>141250</v>
      </c>
      <c r="AU170" t="str" s="8">
        <v>法力下限</v>
      </c>
      <c r="AV170" t="n" s="8">
        <v>141250</v>
      </c>
      <c r="AW170" t="str" s="8">
        <v>法力上限</v>
      </c>
      <c r="AX170" t="n" s="8">
        <v>141250</v>
      </c>
      <c r="AY170" t="str" s="8">
        <v>物防下限</v>
      </c>
      <c r="AZ170" t="n" s="8">
        <v>49720</v>
      </c>
      <c r="BA170" t="str" s="8">
        <v>物防上限</v>
      </c>
      <c r="BB170" t="n" s="8">
        <v>49720</v>
      </c>
      <c r="BC170" t="str" s="8">
        <v>法防下限</v>
      </c>
      <c r="BD170" t="n" s="8">
        <v>49720</v>
      </c>
      <c r="BE170" t="str" s="8">
        <v>法防上限</v>
      </c>
      <c r="BF170" t="n" s="8">
        <v>49720</v>
      </c>
      <c r="BG170" t="str" s="8">
        <v>移动速度</v>
      </c>
      <c r="BH170" t="n" s="8">
        <v>270</v>
      </c>
      <c r="BI170" t="str" s="8">
        <v>攻击范围</v>
      </c>
      <c r="BJ170" t="n" s="8">
        <v>160</v>
      </c>
      <c r="BK170" t="str" s="8">
        <v>警戒范围</v>
      </c>
      <c r="BL170" t="n" s="8">
        <v>550</v>
      </c>
      <c r="BM170" t="str" s="8">
        <v>攻击间隔</v>
      </c>
      <c r="BN170" t="n" s="8">
        <v>1800</v>
      </c>
      <c r="BO170" t="n" s="8">
        <v>0</v>
      </c>
      <c r="BP170" s="8"/>
      <c r="BQ170" t="n" s="8">
        <v>0</v>
      </c>
      <c r="BR170" t="n" s="8">
        <v>0</v>
      </c>
      <c r="BS170" t="n" s="8">
        <v>0</v>
      </c>
      <c r="BT170" t="n" s="8">
        <v>0</v>
      </c>
      <c r="BU170" t="str" s="8">
        <v>凇覆苔痕的普通遭遇。依托本区既有水土、岩隙和可达条件活动。</v>
      </c>
      <c r="BV170" t="n">
        <v>7</v>
      </c>
      <c r="BW170" t="n">
        <v>3</v>
      </c>
      <c r="BX170" t="str">
        <v>凡品</v>
      </c>
      <c r="BY170" t="str">
        <v>native</v>
      </c>
      <c r="BZ170" t="b">
        <v>0</v>
      </c>
    </row>
    <row r="171" ht="16.5" customHeight="1" spans="2:75">
      <c r="A171"/>
      <c r="B171" t="n" s="8">
        <f>60000000+INDEX(编号表!$B:$B,MATCH(J171,编号表!$A:$A,0))*10000+INDEX(编号表!$B:$B,MATCH(K171,编号表!$C:$C,0))*1000+L171</f>
        <v>60621180</v>
      </c>
      <c r="C171" t="str" s="8">
        <v>a010</v>
      </c>
      <c r="D171" t="str" s="5">
        <v>雪脊灵狼</v>
      </c>
      <c r="E171" t="str" s="5">
        <v>R07-P1-普通-180</v>
      </c>
      <c r="F171" t="n" s="8">
        <v>63</v>
      </c>
      <c r="G171" t="str" s="8">
        <f>INDEX(编号表!$E:$E,MATCH(K171,编号表!$C:$C,0))</f>
        <v>白色</v>
      </c>
      <c r="H171" t="n" s="8">
        <v>7</v>
      </c>
      <c r="I171" t="str" s="8">
        <v>凇覆苔痕</v>
      </c>
      <c r="J171" t="str" s="8">
        <v>凇覆苔痕</v>
      </c>
      <c r="K171" t="str" s="8">
        <v>普通</v>
      </c>
      <c r="L171" t="n" s="8">
        <v>180</v>
      </c>
      <c r="M171" t="n" s="8">
        <v>180</v>
      </c>
      <c r="N171" t="n" s="8">
        <v>1</v>
      </c>
      <c r="O171" s="8"/>
      <c r="P171" t="n" s="8">
        <v>24</v>
      </c>
      <c r="Q171" t="n" s="8">
        <v>30000</v>
      </c>
      <c r="R171" t="str" s="8">
        <v>首击</v>
      </c>
      <c r="S171" t="n" s="8">
        <v>30000</v>
      </c>
      <c r="T171" t="n" s="8">
        <v>10</v>
      </c>
      <c r="U171" t="n" s="16">
        <v>40900700</v>
      </c>
      <c r="V171" t="n" s="8">
        <v>40910705</v>
      </c>
      <c r="W171" t="n" s="8">
        <v>40920700</v>
      </c>
      <c r="X171" t="n" s="8">
        <v>11000001</v>
      </c>
      <c r="Y171" s="8"/>
      <c r="Z171" s="8"/>
      <c r="AA171" t="str" s="8">
        <v>妖兽</v>
      </c>
      <c r="AB171" s="21">
        <v>20152</v>
      </c>
      <c r="AC171" t="n" s="8">
        <v>1</v>
      </c>
      <c r="AD171" t="n" s="8">
        <v>60</v>
      </c>
      <c r="AE171" t="n" s="8">
        <v>60</v>
      </c>
      <c r="AF171" t="n" s="8">
        <v>0</v>
      </c>
      <c r="AG171" t="n" s="8">
        <v>0</v>
      </c>
      <c r="AH171" t="str" s="8">
        <v>近战</v>
      </c>
      <c r="AI171" s="8"/>
      <c r="AJ171" s="17"/>
      <c r="AK171" s="8"/>
      <c r="AL171" s="18"/>
      <c r="AM171" t="str" s="8">
        <v>生命值</v>
      </c>
      <c r="AN171" t="n" s="19">
        <v>3842000</v>
      </c>
      <c r="AO171" t="str" s="8">
        <v>灵力值</v>
      </c>
      <c r="AP171" t="n" s="8">
        <v>282500</v>
      </c>
      <c r="AQ171" t="str" s="8">
        <v>攻击下限</v>
      </c>
      <c r="AR171" t="n" s="8">
        <v>141250</v>
      </c>
      <c r="AS171" t="str" s="8">
        <v>攻击上限</v>
      </c>
      <c r="AT171" t="n" s="8">
        <v>141250</v>
      </c>
      <c r="AU171" t="str" s="8">
        <v>法力下限</v>
      </c>
      <c r="AV171" t="n" s="8">
        <v>141250</v>
      </c>
      <c r="AW171" t="str" s="8">
        <v>法力上限</v>
      </c>
      <c r="AX171" t="n" s="8">
        <v>141250</v>
      </c>
      <c r="AY171" t="str" s="8">
        <v>物防下限</v>
      </c>
      <c r="AZ171" t="n" s="8">
        <v>49720</v>
      </c>
      <c r="BA171" t="str" s="8">
        <v>物防上限</v>
      </c>
      <c r="BB171" t="n" s="8">
        <v>49720</v>
      </c>
      <c r="BC171" t="str" s="8">
        <v>法防下限</v>
      </c>
      <c r="BD171" t="n" s="8">
        <v>49720</v>
      </c>
      <c r="BE171" t="str" s="8">
        <v>法防上限</v>
      </c>
      <c r="BF171" t="n" s="8">
        <v>49720</v>
      </c>
      <c r="BG171" t="str" s="8">
        <v>移动速度</v>
      </c>
      <c r="BH171" t="n" s="8">
        <v>270</v>
      </c>
      <c r="BI171" t="str" s="8">
        <v>攻击范围</v>
      </c>
      <c r="BJ171" t="n" s="8">
        <v>160</v>
      </c>
      <c r="BK171" t="str" s="8">
        <v>警戒范围</v>
      </c>
      <c r="BL171" t="n" s="8">
        <v>550</v>
      </c>
      <c r="BM171" t="str" s="8">
        <v>攻击间隔</v>
      </c>
      <c r="BN171" t="n" s="8">
        <v>1800</v>
      </c>
      <c r="BO171" t="n" s="8">
        <v>0</v>
      </c>
      <c r="BP171" s="8"/>
      <c r="BQ171" t="n" s="8">
        <v>0</v>
      </c>
      <c r="BR171" t="n" s="8">
        <v>0</v>
      </c>
      <c r="BS171" t="n" s="8">
        <v>0</v>
      </c>
      <c r="BT171" t="n" s="8">
        <v>0</v>
      </c>
      <c r="BU171" t="str" s="8">
        <v>凇覆苔痕的普通遭遇。依托本区既有水土、岩隙和可达条件活动。</v>
      </c>
      <c r="BV171" t="n">
        <v>7</v>
      </c>
      <c r="BW171" t="n">
        <v>3</v>
      </c>
      <c r="BX171" t="str">
        <v>凡品</v>
      </c>
      <c r="BY171" t="str">
        <v>native</v>
      </c>
      <c r="BZ171" t="b">
        <v>0</v>
      </c>
    </row>
    <row r="172" ht="16.5" customHeight="1" spans="2:75">
      <c r="A172"/>
      <c r="B172" t="n" s="8">
        <f>60000000+INDEX(编号表!$B:$B,MATCH(J172,编号表!$A:$A,0))*10000+INDEX(编号表!$B:$B,MATCH(K172,编号表!$C:$C,0))*1000+L172</f>
        <v>60591181</v>
      </c>
      <c r="C172" t="str" s="8">
        <v>a010</v>
      </c>
      <c r="D172" t="str" s="5">
        <v>融沟灵蛇</v>
      </c>
      <c r="E172" t="str" s="5">
        <v>R07-P2-普通-181</v>
      </c>
      <c r="F172" t="n" s="8">
        <v>66</v>
      </c>
      <c r="G172" t="str" s="8">
        <f>INDEX(编号表!$E:$E,MATCH(K172,编号表!$C:$C,0))</f>
        <v>白色</v>
      </c>
      <c r="H172" t="n" s="8">
        <v>7</v>
      </c>
      <c r="I172" t="str" s="8">
        <v>寒水迟芽</v>
      </c>
      <c r="J172" t="str" s="8">
        <v>寒水迟芽</v>
      </c>
      <c r="K172" t="str" s="8">
        <v>普通</v>
      </c>
      <c r="L172" t="n" s="8">
        <v>181</v>
      </c>
      <c r="M172" t="n" s="8">
        <v>181</v>
      </c>
      <c r="N172" t="n" s="8">
        <v>1</v>
      </c>
      <c r="O172" s="8"/>
      <c r="P172" t="n" s="8">
        <v>24</v>
      </c>
      <c r="Q172" t="n" s="8">
        <v>30000</v>
      </c>
      <c r="R172" t="str" s="8">
        <v>首击</v>
      </c>
      <c r="S172" t="n" s="8">
        <v>30000</v>
      </c>
      <c r="T172" t="n" s="8">
        <v>10</v>
      </c>
      <c r="U172" t="n" s="16">
        <v>40900700</v>
      </c>
      <c r="V172" t="n" s="8">
        <v>40910706</v>
      </c>
      <c r="W172" t="n" s="8">
        <v>40920701</v>
      </c>
      <c r="X172" t="n" s="8">
        <v>11000001</v>
      </c>
      <c r="Y172" s="8"/>
      <c r="Z172" s="8"/>
      <c r="AA172" t="str" s="8">
        <v>妖兽</v>
      </c>
      <c r="AB172" s="21">
        <v>20140</v>
      </c>
      <c r="AC172" t="n" s="8">
        <v>1</v>
      </c>
      <c r="AD172" t="n" s="8">
        <v>60</v>
      </c>
      <c r="AE172" t="n" s="8">
        <v>60</v>
      </c>
      <c r="AF172" t="n" s="8">
        <v>0</v>
      </c>
      <c r="AG172" t="n" s="8">
        <v>0</v>
      </c>
      <c r="AH172" t="str" s="8">
        <v>近战</v>
      </c>
      <c r="AI172"/>
      <c r="AJ172" s="17"/>
      <c r="AK172" s="8"/>
      <c r="AL172" s="18"/>
      <c r="AM172" t="str" s="8">
        <v>生命值</v>
      </c>
      <c r="AN172" t="n" s="19">
        <v>4505000</v>
      </c>
      <c r="AO172" t="str" s="8">
        <v>灵力值</v>
      </c>
      <c r="AP172" t="n" s="8">
        <v>331250</v>
      </c>
      <c r="AQ172" t="str" s="8">
        <v>攻击下限</v>
      </c>
      <c r="AR172" t="n" s="8">
        <v>165625</v>
      </c>
      <c r="AS172" t="str" s="8">
        <v>攻击上限</v>
      </c>
      <c r="AT172" t="n" s="8">
        <v>165625</v>
      </c>
      <c r="AU172" t="str" s="8">
        <v>法力下限</v>
      </c>
      <c r="AV172" t="n" s="8">
        <v>165625</v>
      </c>
      <c r="AW172" t="str" s="8">
        <v>法力上限</v>
      </c>
      <c r="AX172" t="n" s="8">
        <v>165625</v>
      </c>
      <c r="AY172" t="str" s="8">
        <v>物防下限</v>
      </c>
      <c r="AZ172" t="n" s="8">
        <v>58300</v>
      </c>
      <c r="BA172" t="str" s="8">
        <v>物防上限</v>
      </c>
      <c r="BB172" t="n" s="8">
        <v>58300</v>
      </c>
      <c r="BC172" t="str" s="8">
        <v>法防下限</v>
      </c>
      <c r="BD172" t="n" s="8">
        <v>58300</v>
      </c>
      <c r="BE172" t="str" s="8">
        <v>法防上限</v>
      </c>
      <c r="BF172" t="n" s="8">
        <v>58300</v>
      </c>
      <c r="BG172" t="str" s="8">
        <v>移动速度</v>
      </c>
      <c r="BH172" t="n" s="8">
        <v>270</v>
      </c>
      <c r="BI172" t="str" s="8">
        <v>攻击范围</v>
      </c>
      <c r="BJ172" t="n" s="8">
        <v>160</v>
      </c>
      <c r="BK172" t="str" s="8">
        <v>警戒范围</v>
      </c>
      <c r="BL172" t="n" s="8">
        <v>550</v>
      </c>
      <c r="BM172" t="str" s="8">
        <v>攻击间隔</v>
      </c>
      <c r="BN172" t="n" s="8">
        <v>1800</v>
      </c>
      <c r="BO172" t="n" s="8">
        <v>0</v>
      </c>
      <c r="BP172" s="8"/>
      <c r="BQ172" t="n" s="8">
        <v>0</v>
      </c>
      <c r="BR172" t="n" s="8">
        <v>0</v>
      </c>
      <c r="BS172" t="n" s="8">
        <v>0</v>
      </c>
      <c r="BT172" t="n" s="8">
        <v>0</v>
      </c>
      <c r="BU172" t="str" s="8">
        <v>寒水迟芽的普通遭遇。依托本区既有水土、岩隙和可达条件活动。</v>
      </c>
      <c r="BV172" t="n">
        <v>7</v>
      </c>
      <c r="BW172" t="n">
        <v>6</v>
      </c>
      <c r="BX172" t="str">
        <v>凡品</v>
      </c>
      <c r="BY172" t="str">
        <v>native</v>
      </c>
      <c r="BZ172" t="b">
        <v>0</v>
      </c>
    </row>
    <row r="173" ht="16.5" customHeight="1" spans="2:75">
      <c r="A173"/>
      <c r="B173" t="n" s="8">
        <f>60000000+INDEX(编号表!$B:$B,MATCH(J173,编号表!$A:$A,0))*10000+INDEX(编号表!$B:$B,MATCH(K173,编号表!$C:$C,0))*1000+L173</f>
        <v>60591182</v>
      </c>
      <c r="C173" t="str" s="8">
        <v>a010</v>
      </c>
      <c r="D173" t="str" s="5">
        <v>霰坡岩蟹</v>
      </c>
      <c r="E173" t="str" s="5">
        <v>R07-P2-普通-182</v>
      </c>
      <c r="F173" t="n" s="8">
        <v>66</v>
      </c>
      <c r="G173" t="str" s="8">
        <f>INDEX(编号表!$E:$E,MATCH(K173,编号表!$C:$C,0))</f>
        <v>白色</v>
      </c>
      <c r="H173" t="n" s="8">
        <v>7</v>
      </c>
      <c r="I173" t="str" s="8">
        <v>寒水迟芽</v>
      </c>
      <c r="J173" t="str" s="8">
        <v>寒水迟芽</v>
      </c>
      <c r="K173" t="str" s="8">
        <v>普通</v>
      </c>
      <c r="L173" t="n" s="8">
        <v>182</v>
      </c>
      <c r="M173" t="n" s="8">
        <v>182</v>
      </c>
      <c r="N173" t="n" s="8">
        <v>1</v>
      </c>
      <c r="O173" s="8"/>
      <c r="P173" t="n" s="8">
        <v>24</v>
      </c>
      <c r="Q173" t="n" s="8">
        <v>30000</v>
      </c>
      <c r="R173" t="str" s="8">
        <v>首击</v>
      </c>
      <c r="S173" t="n" s="8">
        <v>30000</v>
      </c>
      <c r="T173" t="n" s="8">
        <v>10</v>
      </c>
      <c r="U173" t="n" s="16">
        <v>40900700</v>
      </c>
      <c r="V173" t="n" s="8">
        <v>40910707</v>
      </c>
      <c r="W173" t="n" s="8">
        <v>40920700</v>
      </c>
      <c r="X173" t="n" s="8">
        <v>11000001</v>
      </c>
      <c r="Y173" s="8"/>
      <c r="Z173" s="8"/>
      <c r="AA173" t="str" s="8">
        <v>妖兽</v>
      </c>
      <c r="AB173" s="21">
        <v>20140</v>
      </c>
      <c r="AC173" t="n" s="8">
        <v>1</v>
      </c>
      <c r="AD173" t="n" s="8">
        <v>60</v>
      </c>
      <c r="AE173" t="n" s="8">
        <v>60</v>
      </c>
      <c r="AF173" t="n" s="8">
        <v>0</v>
      </c>
      <c r="AG173" t="n" s="8">
        <v>0</v>
      </c>
      <c r="AH173" t="str" s="8">
        <v>近战</v>
      </c>
      <c r="AI173"/>
      <c r="AJ173" s="17"/>
      <c r="AK173" s="8"/>
      <c r="AL173" s="18"/>
      <c r="AM173" t="str" s="8">
        <v>生命值</v>
      </c>
      <c r="AN173" t="n" s="19">
        <v>4505000</v>
      </c>
      <c r="AO173" t="str" s="8">
        <v>灵力值</v>
      </c>
      <c r="AP173" t="n" s="8">
        <v>331250</v>
      </c>
      <c r="AQ173" t="str" s="8">
        <v>攻击下限</v>
      </c>
      <c r="AR173" t="n" s="8">
        <v>165625</v>
      </c>
      <c r="AS173" t="str" s="8">
        <v>攻击上限</v>
      </c>
      <c r="AT173" t="n" s="8">
        <v>165625</v>
      </c>
      <c r="AU173" t="str" s="8">
        <v>法力下限</v>
      </c>
      <c r="AV173" t="n" s="8">
        <v>165625</v>
      </c>
      <c r="AW173" t="str" s="8">
        <v>法力上限</v>
      </c>
      <c r="AX173" t="n" s="8">
        <v>165625</v>
      </c>
      <c r="AY173" t="str" s="8">
        <v>物防下限</v>
      </c>
      <c r="AZ173" t="n" s="8">
        <v>58300</v>
      </c>
      <c r="BA173" t="str" s="8">
        <v>物防上限</v>
      </c>
      <c r="BB173" t="n" s="8">
        <v>58300</v>
      </c>
      <c r="BC173" t="str" s="8">
        <v>法防下限</v>
      </c>
      <c r="BD173" t="n" s="8">
        <v>58300</v>
      </c>
      <c r="BE173" t="str" s="8">
        <v>法防上限</v>
      </c>
      <c r="BF173" t="n" s="8">
        <v>58300</v>
      </c>
      <c r="BG173" t="str" s="8">
        <v>移动速度</v>
      </c>
      <c r="BH173" t="n" s="8">
        <v>270</v>
      </c>
      <c r="BI173" t="str" s="8">
        <v>攻击范围</v>
      </c>
      <c r="BJ173" t="n" s="8">
        <v>160</v>
      </c>
      <c r="BK173" t="str" s="8">
        <v>警戒范围</v>
      </c>
      <c r="BL173" t="n" s="8">
        <v>550</v>
      </c>
      <c r="BM173" t="str" s="8">
        <v>攻击间隔</v>
      </c>
      <c r="BN173" t="n" s="8">
        <v>1800</v>
      </c>
      <c r="BO173" t="n" s="8">
        <v>0</v>
      </c>
      <c r="BP173" s="8"/>
      <c r="BQ173" t="n" s="8">
        <v>0</v>
      </c>
      <c r="BR173" t="n" s="8">
        <v>0</v>
      </c>
      <c r="BS173" t="n" s="8">
        <v>0</v>
      </c>
      <c r="BT173" t="n" s="8">
        <v>0</v>
      </c>
      <c r="BU173" t="str" s="8">
        <v>寒水迟芽的普通遭遇。依托本区既有水土、岩隙和可达条件活动。</v>
      </c>
      <c r="BV173" t="n">
        <v>7</v>
      </c>
      <c r="BW173" t="n">
        <v>6</v>
      </c>
      <c r="BX173" t="str">
        <v>凡品</v>
      </c>
      <c r="BY173" t="str">
        <v>native</v>
      </c>
      <c r="BZ173" t="b">
        <v>0</v>
      </c>
    </row>
    <row r="174" ht="16.5" customHeight="1" spans="2:75">
      <c r="A174"/>
      <c r="B174" t="n" s="8">
        <f>60000000+INDEX(编号表!$B:$B,MATCH(J174,编号表!$A:$A,0))*10000+INDEX(编号表!$B:$B,MATCH(K174,编号表!$C:$C,0))*1000+L174</f>
        <v>60592183</v>
      </c>
      <c r="C174" t="str" s="8">
        <v>a010</v>
      </c>
      <c r="D174" t="str" s="5">
        <v>凇痕灵蝠·异种</v>
      </c>
      <c r="E174" t="str" s="5">
        <v>R07-P2-精英-183</v>
      </c>
      <c r="F174" t="n" s="8">
        <v>66</v>
      </c>
      <c r="G174" t="str" s="8">
        <f>INDEX(编号表!$E:$E,MATCH(K174,编号表!$C:$C,0))</f>
        <v>绿色</v>
      </c>
      <c r="H174" t="n" s="8">
        <v>7</v>
      </c>
      <c r="I174" t="str" s="8">
        <v>寒水迟芽</v>
      </c>
      <c r="J174" t="str" s="8">
        <v>寒水迟芽</v>
      </c>
      <c r="K174" t="str" s="8">
        <v>精英</v>
      </c>
      <c r="L174" t="n" s="8">
        <v>183</v>
      </c>
      <c r="M174" t="n" s="8">
        <v>183</v>
      </c>
      <c r="N174" t="n" s="8">
        <v>3</v>
      </c>
      <c r="O174" s="8"/>
      <c r="P174" t="n" s="8">
        <v>40</v>
      </c>
      <c r="Q174" t="n" s="8">
        <v>180000</v>
      </c>
      <c r="R174" t="str" s="8">
        <v>首击</v>
      </c>
      <c r="S174" t="n" s="8">
        <v>30000</v>
      </c>
      <c r="T174" t="n" s="8">
        <v>11</v>
      </c>
      <c r="U174" t="n" s="16">
        <v>40900701</v>
      </c>
      <c r="V174" t="n" s="8">
        <v>41120708</v>
      </c>
      <c r="W174" t="n" s="8">
        <v>41320706</v>
      </c>
      <c r="X174" t="n" s="8">
        <v>11000001</v>
      </c>
      <c r="Y174" s="8"/>
      <c r="Z174" s="8"/>
      <c r="AA174" t="str" s="8">
        <v>妖兽</v>
      </c>
      <c r="AB174" s="21">
        <v>20141</v>
      </c>
      <c r="AC174" t="n" s="8">
        <v>1.25</v>
      </c>
      <c r="AD174" t="n" s="8">
        <v>60</v>
      </c>
      <c r="AE174" t="n" s="8">
        <v>60</v>
      </c>
      <c r="AF174" t="n" s="8">
        <v>0</v>
      </c>
      <c r="AG174" t="n" s="8">
        <v>0</v>
      </c>
      <c r="AH174" t="str" s="8">
        <v>近战</v>
      </c>
      <c r="AI174" s="8"/>
      <c r="AJ174" s="17"/>
      <c r="AK174" s="8"/>
      <c r="AL174" s="18"/>
      <c r="AM174" t="str" s="8">
        <v>生命值</v>
      </c>
      <c r="AN174" t="n" s="19">
        <v>12614000</v>
      </c>
      <c r="AO174" t="str" s="8">
        <v>灵力值</v>
      </c>
      <c r="AP174" t="n" s="8">
        <v>480312</v>
      </c>
      <c r="AQ174" t="str" s="8">
        <v>攻击下限</v>
      </c>
      <c r="AR174" t="n" s="8">
        <v>240156</v>
      </c>
      <c r="AS174" t="str" s="8">
        <v>攻击上限</v>
      </c>
      <c r="AT174" t="n" s="8">
        <v>240156</v>
      </c>
      <c r="AU174" t="str" s="8">
        <v>法力下限</v>
      </c>
      <c r="AV174" t="n" s="8">
        <v>240156</v>
      </c>
      <c r="AW174" t="str" s="8">
        <v>法力上限</v>
      </c>
      <c r="AX174" t="n" s="8">
        <v>240156</v>
      </c>
      <c r="AY174" t="str" s="8">
        <v>物防下限</v>
      </c>
      <c r="AZ174" t="n" s="8">
        <v>69960</v>
      </c>
      <c r="BA174" t="str" s="8">
        <v>物防上限</v>
      </c>
      <c r="BB174" t="n" s="8">
        <v>69960</v>
      </c>
      <c r="BC174" t="str" s="8">
        <v>法防下限</v>
      </c>
      <c r="BD174" t="n" s="8">
        <v>69960</v>
      </c>
      <c r="BE174" t="str" s="8">
        <v>法防上限</v>
      </c>
      <c r="BF174" t="n" s="8">
        <v>69960</v>
      </c>
      <c r="BG174" t="str" s="8">
        <v>移动速度</v>
      </c>
      <c r="BH174" t="n" s="8">
        <v>270</v>
      </c>
      <c r="BI174" t="str" s="8">
        <v>攻击范围</v>
      </c>
      <c r="BJ174" t="n" s="8">
        <v>160</v>
      </c>
      <c r="BK174" t="str" s="8">
        <v>警戒范围</v>
      </c>
      <c r="BL174" t="n" s="8">
        <v>550</v>
      </c>
      <c r="BM174" t="str" s="8">
        <v>攻击间隔</v>
      </c>
      <c r="BN174" t="n" s="8">
        <v>1800</v>
      </c>
      <c r="BO174" t="n" s="8">
        <v>0</v>
      </c>
      <c r="BP174" s="8"/>
      <c r="BQ174" t="n" s="8">
        <v>0</v>
      </c>
      <c r="BR174" t="n" s="8">
        <v>0</v>
      </c>
      <c r="BS174" t="n" s="8">
        <v>0</v>
      </c>
      <c r="BT174" t="n" s="8">
        <v>0</v>
      </c>
      <c r="BU174" t="str" s="8">
        <v>寒水迟芽的精英遭遇。依托本区既有水土、岩隙和可达条件活动。</v>
      </c>
      <c r="BV174" t="n">
        <v>7</v>
      </c>
      <c r="BW174" t="n">
        <v>6</v>
      </c>
      <c r="BX174" t="str">
        <v>玄品</v>
      </c>
      <c r="BY174" t="str">
        <v>native</v>
      </c>
      <c r="BZ174" t="b">
        <v>0</v>
      </c>
    </row>
    <row r="175" ht="16.5" customHeight="1" spans="2:75">
      <c r="A175"/>
      <c r="B175" t="n" s="8">
        <f>60000000+INDEX(编号表!$B:$B,MATCH(J175,编号表!$A:$A,0))*10000+INDEX(编号表!$B:$B,MATCH(K175,编号表!$C:$C,0))*1000+L175</f>
        <v>60591184</v>
      </c>
      <c r="C175" t="str" s="8">
        <v>a010</v>
      </c>
      <c r="D175" t="str" s="5">
        <v>雪脊灵狼</v>
      </c>
      <c r="E175" t="str" s="5">
        <v>R07-P2-普通-184</v>
      </c>
      <c r="F175" t="n" s="8">
        <v>66</v>
      </c>
      <c r="G175" t="str" s="8">
        <f>INDEX(编号表!$E:$E,MATCH(K175,编号表!$C:$C,0))</f>
        <v>白色</v>
      </c>
      <c r="H175" t="n" s="8">
        <v>7</v>
      </c>
      <c r="I175" t="str" s="8">
        <v>寒水迟芽</v>
      </c>
      <c r="J175" t="str" s="8">
        <v>寒水迟芽</v>
      </c>
      <c r="K175" t="str" s="8">
        <v>普通</v>
      </c>
      <c r="L175" t="n" s="8">
        <v>184</v>
      </c>
      <c r="M175" t="n" s="8">
        <v>184</v>
      </c>
      <c r="N175" t="n" s="8">
        <v>1</v>
      </c>
      <c r="O175" s="8"/>
      <c r="P175" t="n" s="8">
        <v>24</v>
      </c>
      <c r="Q175" t="n" s="8">
        <v>30000</v>
      </c>
      <c r="R175" t="str" s="8">
        <v>首击</v>
      </c>
      <c r="S175" t="n" s="8">
        <v>30000</v>
      </c>
      <c r="T175" t="n" s="8">
        <v>10</v>
      </c>
      <c r="U175" t="n" s="16">
        <v>40900700</v>
      </c>
      <c r="V175" t="n" s="8">
        <v>40910709</v>
      </c>
      <c r="W175" t="n" s="8">
        <v>40920700</v>
      </c>
      <c r="X175" t="n" s="8">
        <v>11000001</v>
      </c>
      <c r="Y175" s="8"/>
      <c r="Z175" s="8"/>
      <c r="AA175" t="str" s="8">
        <v>妖兽</v>
      </c>
      <c r="AB175" s="21">
        <v>20141</v>
      </c>
      <c r="AC175" t="n" s="8">
        <v>1</v>
      </c>
      <c r="AD175" t="n" s="8">
        <v>60</v>
      </c>
      <c r="AE175" t="n" s="8">
        <v>60</v>
      </c>
      <c r="AF175" t="n" s="8">
        <v>0</v>
      </c>
      <c r="AG175" t="n" s="8">
        <v>0</v>
      </c>
      <c r="AH175" t="str" s="8">
        <v>近战</v>
      </c>
      <c r="AI175" s="8"/>
      <c r="AJ175" s="17"/>
      <c r="AK175" s="8"/>
      <c r="AL175" s="18"/>
      <c r="AM175" t="str" s="8">
        <v>生命值</v>
      </c>
      <c r="AN175" t="n" s="19">
        <v>4505000</v>
      </c>
      <c r="AO175" t="str" s="8">
        <v>灵力值</v>
      </c>
      <c r="AP175" t="n" s="8">
        <v>331250</v>
      </c>
      <c r="AQ175" t="str" s="8">
        <v>攻击下限</v>
      </c>
      <c r="AR175" t="n" s="8">
        <v>165625</v>
      </c>
      <c r="AS175" t="str" s="8">
        <v>攻击上限</v>
      </c>
      <c r="AT175" t="n" s="8">
        <v>165625</v>
      </c>
      <c r="AU175" t="str" s="8">
        <v>法力下限</v>
      </c>
      <c r="AV175" t="n" s="8">
        <v>165625</v>
      </c>
      <c r="AW175" t="str" s="8">
        <v>法力上限</v>
      </c>
      <c r="AX175" t="n" s="8">
        <v>165625</v>
      </c>
      <c r="AY175" t="str" s="8">
        <v>物防下限</v>
      </c>
      <c r="AZ175" t="n" s="8">
        <v>58300</v>
      </c>
      <c r="BA175" t="str" s="8">
        <v>物防上限</v>
      </c>
      <c r="BB175" t="n" s="8">
        <v>58300</v>
      </c>
      <c r="BC175" t="str" s="8">
        <v>法防下限</v>
      </c>
      <c r="BD175" t="n" s="8">
        <v>58300</v>
      </c>
      <c r="BE175" t="str" s="8">
        <v>法防上限</v>
      </c>
      <c r="BF175" t="n" s="8">
        <v>58300</v>
      </c>
      <c r="BG175" t="str" s="8">
        <v>移动速度</v>
      </c>
      <c r="BH175" t="n" s="8">
        <v>270</v>
      </c>
      <c r="BI175" t="str" s="8">
        <v>攻击范围</v>
      </c>
      <c r="BJ175" t="n" s="8">
        <v>160</v>
      </c>
      <c r="BK175" t="str" s="8">
        <v>警戒范围</v>
      </c>
      <c r="BL175" t="n" s="8">
        <v>550</v>
      </c>
      <c r="BM175" t="str" s="8">
        <v>攻击间隔</v>
      </c>
      <c r="BN175" t="n" s="8">
        <v>1800</v>
      </c>
      <c r="BO175" t="n" s="8">
        <v>0</v>
      </c>
      <c r="BP175" s="8"/>
      <c r="BQ175" t="n" s="8">
        <v>0</v>
      </c>
      <c r="BR175" t="n" s="8">
        <v>0</v>
      </c>
      <c r="BS175" t="n" s="8">
        <v>0</v>
      </c>
      <c r="BT175" t="n" s="8">
        <v>0</v>
      </c>
      <c r="BU175" t="str" s="8">
        <v>寒水迟芽的普通遭遇。依托本区既有水土、岩隙和可达条件活动。</v>
      </c>
      <c r="BV175" t="n">
        <v>7</v>
      </c>
      <c r="BW175" t="n">
        <v>6</v>
      </c>
      <c r="BX175" t="str">
        <v>凡品</v>
      </c>
      <c r="BY175" t="str">
        <v>native</v>
      </c>
      <c r="BZ175" t="b">
        <v>0</v>
      </c>
    </row>
    <row r="176" ht="16.5" customHeight="1" spans="2:75">
      <c r="A176"/>
      <c r="B176" t="n" s="8">
        <f>60000000+INDEX(编号表!$B:$B,MATCH(J176,编号表!$A:$A,0))*10000+INDEX(编号表!$B:$B,MATCH(K176,编号表!$C:$C,0))*1000+L176</f>
        <v>60591185</v>
      </c>
      <c r="C176" t="str" s="8">
        <v>a010</v>
      </c>
      <c r="D176" t="str" s="5">
        <v>融沟灵蛇</v>
      </c>
      <c r="E176" t="str" s="5">
        <v>R07-P2-普通-185</v>
      </c>
      <c r="F176" t="n" s="8">
        <v>66</v>
      </c>
      <c r="G176" t="str" s="8">
        <f>INDEX(编号表!$E:$E,MATCH(K176,编号表!$C:$C,0))</f>
        <v>白色</v>
      </c>
      <c r="H176" t="n" s="8">
        <v>7</v>
      </c>
      <c r="I176" t="str" s="8">
        <v>寒水迟芽</v>
      </c>
      <c r="J176" t="str" s="8">
        <v>寒水迟芽</v>
      </c>
      <c r="K176" t="str" s="8">
        <v>普通</v>
      </c>
      <c r="L176" t="n" s="8">
        <v>185</v>
      </c>
      <c r="M176" t="n" s="8">
        <v>185</v>
      </c>
      <c r="N176" t="n" s="8">
        <v>1</v>
      </c>
      <c r="O176" s="8"/>
      <c r="P176" t="n" s="8">
        <v>24</v>
      </c>
      <c r="Q176" t="n" s="8">
        <v>30000</v>
      </c>
      <c r="R176" t="str" s="8">
        <v>首击</v>
      </c>
      <c r="S176" t="n" s="8">
        <v>30000</v>
      </c>
      <c r="T176" t="n" s="8">
        <v>10</v>
      </c>
      <c r="U176" t="n" s="16">
        <v>40900700</v>
      </c>
      <c r="V176" t="n" s="8">
        <v>40910710</v>
      </c>
      <c r="W176" t="n" s="8">
        <v>40920701</v>
      </c>
      <c r="X176" t="n" s="8">
        <v>11000001</v>
      </c>
      <c r="Y176" s="8"/>
      <c r="Z176" s="8"/>
      <c r="AA176" t="str" s="8">
        <v>妖兽</v>
      </c>
      <c r="AB176" s="21">
        <v>20142</v>
      </c>
      <c r="AC176" t="n" s="8">
        <v>1</v>
      </c>
      <c r="AD176" t="n" s="8">
        <v>60</v>
      </c>
      <c r="AE176" t="n" s="8">
        <v>60</v>
      </c>
      <c r="AF176" t="n" s="8">
        <v>0</v>
      </c>
      <c r="AG176" t="n" s="8">
        <v>0</v>
      </c>
      <c r="AH176" t="str" s="8">
        <v>近战</v>
      </c>
      <c r="AI176" s="8"/>
      <c r="AJ176" s="17"/>
      <c r="AK176" s="8"/>
      <c r="AL176" s="18"/>
      <c r="AM176" t="str" s="8">
        <v>生命值</v>
      </c>
      <c r="AN176" t="n" s="19">
        <v>4505000</v>
      </c>
      <c r="AO176" t="str" s="8">
        <v>灵力值</v>
      </c>
      <c r="AP176" t="n" s="8">
        <v>331250</v>
      </c>
      <c r="AQ176" t="str" s="8">
        <v>攻击下限</v>
      </c>
      <c r="AR176" t="n" s="8">
        <v>165625</v>
      </c>
      <c r="AS176" t="str" s="8">
        <v>攻击上限</v>
      </c>
      <c r="AT176" t="n" s="8">
        <v>165625</v>
      </c>
      <c r="AU176" t="str" s="8">
        <v>法力下限</v>
      </c>
      <c r="AV176" t="n" s="8">
        <v>165625</v>
      </c>
      <c r="AW176" t="str" s="8">
        <v>法力上限</v>
      </c>
      <c r="AX176" t="n" s="8">
        <v>165625</v>
      </c>
      <c r="AY176" t="str" s="8">
        <v>物防下限</v>
      </c>
      <c r="AZ176" t="n" s="8">
        <v>58300</v>
      </c>
      <c r="BA176" t="str" s="8">
        <v>物防上限</v>
      </c>
      <c r="BB176" t="n" s="8">
        <v>58300</v>
      </c>
      <c r="BC176" t="str" s="8">
        <v>法防下限</v>
      </c>
      <c r="BD176" t="n" s="8">
        <v>58300</v>
      </c>
      <c r="BE176" t="str" s="8">
        <v>法防上限</v>
      </c>
      <c r="BF176" t="n" s="8">
        <v>58300</v>
      </c>
      <c r="BG176" t="str" s="8">
        <v>移动速度</v>
      </c>
      <c r="BH176" t="n" s="8">
        <v>270</v>
      </c>
      <c r="BI176" t="str" s="8">
        <v>攻击范围</v>
      </c>
      <c r="BJ176" t="n" s="8">
        <v>160</v>
      </c>
      <c r="BK176" t="str" s="8">
        <v>警戒范围</v>
      </c>
      <c r="BL176" t="n" s="8">
        <v>550</v>
      </c>
      <c r="BM176" t="str" s="8">
        <v>攻击间隔</v>
      </c>
      <c r="BN176" t="n" s="8">
        <v>1800</v>
      </c>
      <c r="BO176" t="n" s="8">
        <v>0</v>
      </c>
      <c r="BP176" s="8"/>
      <c r="BQ176" t="n" s="8">
        <v>0</v>
      </c>
      <c r="BR176" t="n" s="8">
        <v>0</v>
      </c>
      <c r="BS176" t="n" s="8">
        <v>0</v>
      </c>
      <c r="BT176" t="n" s="8">
        <v>0</v>
      </c>
      <c r="BU176" t="str" s="8">
        <v>寒水迟芽的普通遭遇。依托本区既有水土、岩隙和可达条件活动。</v>
      </c>
      <c r="BV176" t="n">
        <v>7</v>
      </c>
      <c r="BW176" t="n">
        <v>6</v>
      </c>
      <c r="BX176" t="str">
        <v>凡品</v>
      </c>
      <c r="BY176" t="str">
        <v>native</v>
      </c>
      <c r="BZ176" t="b">
        <v>0</v>
      </c>
    </row>
    <row r="177" ht="16.5" customHeight="1" spans="2:75">
      <c r="A177"/>
      <c r="B177" t="n" s="8">
        <f>60000000+INDEX(编号表!$B:$B,MATCH(J177,编号表!$A:$A,0))*10000+INDEX(编号表!$B:$B,MATCH(K177,编号表!$C:$C,0))*1000+L177</f>
        <v>60601186</v>
      </c>
      <c r="C177" t="str" s="8">
        <v>a010</v>
      </c>
      <c r="D177" t="str" s="5">
        <v>霰坡岩蟹</v>
      </c>
      <c r="E177" t="str" s="5">
        <v>R07-S1-普通-186</v>
      </c>
      <c r="F177" t="n" s="8">
        <v>69</v>
      </c>
      <c r="G177" t="str" s="8">
        <f>INDEX(编号表!$E:$E,MATCH(K177,编号表!$C:$C,0))</f>
        <v>白色</v>
      </c>
      <c r="H177" t="n" s="8">
        <v>7</v>
      </c>
      <c r="I177" t="str" s="8">
        <v>鞍窍</v>
      </c>
      <c r="J177" t="str" s="8">
        <v>鞍窍</v>
      </c>
      <c r="K177" t="str" s="8">
        <v>普通</v>
      </c>
      <c r="L177" t="n" s="8">
        <v>186</v>
      </c>
      <c r="M177" t="n" s="8">
        <v>186</v>
      </c>
      <c r="N177" t="n" s="8">
        <v>1</v>
      </c>
      <c r="O177" s="8"/>
      <c r="P177" t="n" s="8">
        <v>24</v>
      </c>
      <c r="Q177" t="n" s="8">
        <v>30000</v>
      </c>
      <c r="R177" t="str" s="8">
        <v>首击</v>
      </c>
      <c r="S177" t="n" s="8">
        <v>30000</v>
      </c>
      <c r="T177" t="n" s="8">
        <v>10</v>
      </c>
      <c r="U177" t="n" s="16">
        <v>40900700</v>
      </c>
      <c r="V177" t="n" s="8">
        <v>40910711</v>
      </c>
      <c r="W177" t="n" s="8">
        <v>40920700</v>
      </c>
      <c r="X177" t="n" s="8">
        <v>11000001</v>
      </c>
      <c r="Y177" s="8"/>
      <c r="Z177" s="8"/>
      <c r="AA177" t="str" s="8">
        <v>妖兽</v>
      </c>
      <c r="AB177" s="21">
        <v>20143</v>
      </c>
      <c r="AC177" t="n" s="8">
        <v>1</v>
      </c>
      <c r="AD177" t="n" s="8">
        <v>60</v>
      </c>
      <c r="AE177" t="n" s="8">
        <v>60</v>
      </c>
      <c r="AF177" t="n" s="8">
        <v>0</v>
      </c>
      <c r="AG177" t="n" s="8">
        <v>0</v>
      </c>
      <c r="AH177" t="str" s="8">
        <v>近战</v>
      </c>
      <c r="AI177" s="8"/>
      <c r="AJ177" s="17"/>
      <c r="AK177" s="8"/>
      <c r="AL177" s="18"/>
      <c r="AM177" t="str" s="8">
        <v>生命值</v>
      </c>
      <c r="AN177" t="n" s="19">
        <v>5168000</v>
      </c>
      <c r="AO177" t="str" s="8">
        <v>灵力值</v>
      </c>
      <c r="AP177" t="n" s="8">
        <v>380000</v>
      </c>
      <c r="AQ177" t="str" s="8">
        <v>攻击下限</v>
      </c>
      <c r="AR177" t="n" s="8">
        <v>190000</v>
      </c>
      <c r="AS177" t="str" s="8">
        <v>攻击上限</v>
      </c>
      <c r="AT177" t="n" s="8">
        <v>190000</v>
      </c>
      <c r="AU177" t="str" s="8">
        <v>法力下限</v>
      </c>
      <c r="AV177" t="n" s="8">
        <v>190000</v>
      </c>
      <c r="AW177" t="str" s="8">
        <v>法力上限</v>
      </c>
      <c r="AX177" t="n" s="8">
        <v>190000</v>
      </c>
      <c r="AY177" t="str" s="8">
        <v>物防下限</v>
      </c>
      <c r="AZ177" t="n" s="8">
        <v>66880</v>
      </c>
      <c r="BA177" t="str" s="8">
        <v>物防上限</v>
      </c>
      <c r="BB177" t="n" s="8">
        <v>66880</v>
      </c>
      <c r="BC177" t="str" s="8">
        <v>法防下限</v>
      </c>
      <c r="BD177" t="n" s="8">
        <v>66880</v>
      </c>
      <c r="BE177" t="str" s="8">
        <v>法防上限</v>
      </c>
      <c r="BF177" t="n" s="8">
        <v>66880</v>
      </c>
      <c r="BG177" t="str" s="8">
        <v>移动速度</v>
      </c>
      <c r="BH177" t="n" s="8">
        <v>270</v>
      </c>
      <c r="BI177" t="str" s="8">
        <v>攻击范围</v>
      </c>
      <c r="BJ177" t="n" s="8">
        <v>160</v>
      </c>
      <c r="BK177" t="str" s="8">
        <v>警戒范围</v>
      </c>
      <c r="BL177" t="n" s="8">
        <v>550</v>
      </c>
      <c r="BM177" t="str" s="8">
        <v>攻击间隔</v>
      </c>
      <c r="BN177" t="n" s="8">
        <v>1800</v>
      </c>
      <c r="BO177" t="n" s="8">
        <v>0</v>
      </c>
      <c r="BP177" s="8"/>
      <c r="BQ177" t="n" s="8">
        <v>0</v>
      </c>
      <c r="BR177" t="n" s="8">
        <v>0</v>
      </c>
      <c r="BS177" t="n" s="8">
        <v>0</v>
      </c>
      <c r="BT177" t="n" s="8">
        <v>0</v>
      </c>
      <c r="BU177" t="str" s="8">
        <v>鞍窍的普通遭遇。依托本区既有水土、岩隙和可达条件活动。</v>
      </c>
      <c r="BV177" t="n">
        <v>7</v>
      </c>
      <c r="BW177" t="n">
        <v>9</v>
      </c>
      <c r="BX177" t="str">
        <v>凡品</v>
      </c>
      <c r="BY177" t="str">
        <v>native</v>
      </c>
      <c r="BZ177" t="b">
        <v>0</v>
      </c>
    </row>
    <row r="178" ht="16.5" customHeight="1" spans="2:75">
      <c r="A178"/>
      <c r="B178" t="n" s="8">
        <f>60000000+INDEX(编号表!$B:$B,MATCH(J178,编号表!$A:$A,0))*10000+INDEX(编号表!$B:$B,MATCH(K178,编号表!$C:$C,0))*1000+L178</f>
        <v>60601187</v>
      </c>
      <c r="C178" t="str" s="8">
        <v>a010</v>
      </c>
      <c r="D178" t="str" s="5">
        <v>凇痕灵蝠</v>
      </c>
      <c r="E178" t="str" s="5">
        <v>R07-S1-普通-187</v>
      </c>
      <c r="F178" t="n" s="8">
        <v>69</v>
      </c>
      <c r="G178" t="str" s="8">
        <f>INDEX(编号表!$E:$E,MATCH(K178,编号表!$C:$C,0))</f>
        <v>白色</v>
      </c>
      <c r="H178" t="n" s="8">
        <v>7</v>
      </c>
      <c r="I178" t="str" s="8">
        <v>鞍窍</v>
      </c>
      <c r="J178" t="str" s="8">
        <v>鞍窍</v>
      </c>
      <c r="K178" t="str" s="8">
        <v>普通</v>
      </c>
      <c r="L178" t="n" s="8">
        <v>187</v>
      </c>
      <c r="M178" t="n" s="8">
        <v>187</v>
      </c>
      <c r="N178" t="n" s="8">
        <v>1</v>
      </c>
      <c r="O178" s="8"/>
      <c r="P178" t="n" s="8">
        <v>24</v>
      </c>
      <c r="Q178" t="n" s="8">
        <v>30000</v>
      </c>
      <c r="R178" t="str" s="8">
        <v>首击</v>
      </c>
      <c r="S178" t="n" s="8">
        <v>30000</v>
      </c>
      <c r="T178" t="n" s="8">
        <v>10</v>
      </c>
      <c r="U178" t="n" s="16">
        <v>40900700</v>
      </c>
      <c r="V178" t="n" s="8">
        <v>40910712</v>
      </c>
      <c r="W178" t="n" s="8">
        <v>40920701</v>
      </c>
      <c r="X178" t="n" s="8">
        <v>11000001</v>
      </c>
      <c r="Y178" s="8"/>
      <c r="Z178" s="8"/>
      <c r="AA178" t="str" s="8">
        <v>妖兽</v>
      </c>
      <c r="AB178" s="21">
        <v>20144</v>
      </c>
      <c r="AC178" t="n" s="8">
        <v>1</v>
      </c>
      <c r="AD178" t="n" s="8">
        <v>60</v>
      </c>
      <c r="AE178" t="n" s="8">
        <v>60</v>
      </c>
      <c r="AF178" t="n" s="8">
        <v>0</v>
      </c>
      <c r="AG178" t="n" s="8">
        <v>0</v>
      </c>
      <c r="AH178" t="str" s="8">
        <v>近战</v>
      </c>
      <c r="AI178" s="8"/>
      <c r="AJ178" s="17"/>
      <c r="AK178" s="8"/>
      <c r="AL178" s="18"/>
      <c r="AM178" t="str" s="8">
        <v>生命值</v>
      </c>
      <c r="AN178" t="n" s="19">
        <v>5168000</v>
      </c>
      <c r="AO178" t="str" s="8">
        <v>灵力值</v>
      </c>
      <c r="AP178" t="n" s="8">
        <v>380000</v>
      </c>
      <c r="AQ178" t="str" s="8">
        <v>攻击下限</v>
      </c>
      <c r="AR178" t="n" s="8">
        <v>190000</v>
      </c>
      <c r="AS178" t="str" s="8">
        <v>攻击上限</v>
      </c>
      <c r="AT178" t="n" s="8">
        <v>190000</v>
      </c>
      <c r="AU178" t="str" s="8">
        <v>法力下限</v>
      </c>
      <c r="AV178" t="n" s="8">
        <v>190000</v>
      </c>
      <c r="AW178" t="str" s="8">
        <v>法力上限</v>
      </c>
      <c r="AX178" t="n" s="8">
        <v>190000</v>
      </c>
      <c r="AY178" t="str" s="8">
        <v>物防下限</v>
      </c>
      <c r="AZ178" t="n" s="8">
        <v>66880</v>
      </c>
      <c r="BA178" t="str" s="8">
        <v>物防上限</v>
      </c>
      <c r="BB178" t="n" s="8">
        <v>66880</v>
      </c>
      <c r="BC178" t="str" s="8">
        <v>法防下限</v>
      </c>
      <c r="BD178" t="n" s="8">
        <v>66880</v>
      </c>
      <c r="BE178" t="str" s="8">
        <v>法防上限</v>
      </c>
      <c r="BF178" t="n" s="8">
        <v>66880</v>
      </c>
      <c r="BG178" t="str" s="8">
        <v>移动速度</v>
      </c>
      <c r="BH178" t="n" s="8">
        <v>270</v>
      </c>
      <c r="BI178" t="str" s="8">
        <v>攻击范围</v>
      </c>
      <c r="BJ178" t="n" s="8">
        <v>160</v>
      </c>
      <c r="BK178" t="str" s="8">
        <v>警戒范围</v>
      </c>
      <c r="BL178" t="n" s="8">
        <v>550</v>
      </c>
      <c r="BM178" t="str" s="8">
        <v>攻击间隔</v>
      </c>
      <c r="BN178" t="n" s="8">
        <v>1800</v>
      </c>
      <c r="BO178" t="n" s="8">
        <v>0</v>
      </c>
      <c r="BP178" s="8"/>
      <c r="BQ178" t="n" s="8">
        <v>0</v>
      </c>
      <c r="BR178" t="n" s="8">
        <v>0</v>
      </c>
      <c r="BS178" t="n" s="8">
        <v>0</v>
      </c>
      <c r="BT178" t="n" s="8">
        <v>0</v>
      </c>
      <c r="BU178" t="str" s="8">
        <v>鞍窍的普通遭遇。依托本区既有水土、岩隙和可达条件活动。</v>
      </c>
      <c r="BV178" t="n">
        <v>7</v>
      </c>
      <c r="BW178" t="n">
        <v>9</v>
      </c>
      <c r="BX178" t="str">
        <v>凡品</v>
      </c>
      <c r="BY178" t="str">
        <v>native</v>
      </c>
      <c r="BZ178" t="b">
        <v>0</v>
      </c>
    </row>
    <row r="179" ht="16.5" customHeight="1" spans="2:75">
      <c r="A179"/>
      <c r="B179" t="n" s="8">
        <f>60000000+INDEX(编号表!$B:$B,MATCH(J179,编号表!$A:$A,0))*10000+INDEX(编号表!$B:$B,MATCH(K179,编号表!$C:$C,0))*1000+L179</f>
        <v>60602188</v>
      </c>
      <c r="C179" t="str" s="8">
        <v>a010</v>
      </c>
      <c r="D179" t="str" s="5">
        <v>雪脊灵狼·异种</v>
      </c>
      <c r="E179" t="str" s="5">
        <v>R07-S1-精英-188</v>
      </c>
      <c r="F179" t="n" s="8">
        <v>69</v>
      </c>
      <c r="G179" t="str" s="8">
        <f>INDEX(编号表!$E:$E,MATCH(K179,编号表!$C:$C,0))</f>
        <v>绿色</v>
      </c>
      <c r="H179" t="n" s="8">
        <v>7</v>
      </c>
      <c r="I179" t="str" s="8">
        <v>鞍窍</v>
      </c>
      <c r="J179" t="str" s="8">
        <v>鞍窍</v>
      </c>
      <c r="K179" t="str" s="8">
        <v>精英</v>
      </c>
      <c r="L179" t="n" s="8">
        <v>188</v>
      </c>
      <c r="M179" t="n" s="8">
        <v>188</v>
      </c>
      <c r="N179" t="n" s="8">
        <v>3</v>
      </c>
      <c r="O179" s="8"/>
      <c r="P179" t="n" s="8">
        <v>40</v>
      </c>
      <c r="Q179" t="n" s="8">
        <v>180000</v>
      </c>
      <c r="R179" t="str" s="8">
        <v>首击</v>
      </c>
      <c r="S179" t="n" s="8">
        <v>30000</v>
      </c>
      <c r="T179" t="n" s="8">
        <v>11</v>
      </c>
      <c r="U179" t="n" s="16">
        <v>40900701</v>
      </c>
      <c r="V179" t="n" s="8">
        <v>41120700</v>
      </c>
      <c r="W179" t="n" s="8">
        <v>41320700</v>
      </c>
      <c r="X179" t="n" s="8">
        <v>11000001</v>
      </c>
      <c r="Y179" s="8"/>
      <c r="Z179" s="8"/>
      <c r="AA179" t="str" s="8">
        <v>妖兽</v>
      </c>
      <c r="AB179" s="21">
        <v>20145</v>
      </c>
      <c r="AC179" t="n" s="8">
        <v>1.25</v>
      </c>
      <c r="AD179" t="n" s="8">
        <v>60</v>
      </c>
      <c r="AE179" t="n" s="8">
        <v>60</v>
      </c>
      <c r="AF179" t="n" s="8">
        <v>0</v>
      </c>
      <c r="AG179" t="n" s="8">
        <v>0</v>
      </c>
      <c r="AH179" t="str" s="8">
        <v>近战</v>
      </c>
      <c r="AI179" s="8"/>
      <c r="AJ179" s="17"/>
      <c r="AK179" s="8"/>
      <c r="AL179" s="18"/>
      <c r="AM179" t="str" s="8">
        <v>生命值</v>
      </c>
      <c r="AN179" t="n" s="19">
        <v>14470400</v>
      </c>
      <c r="AO179" t="str" s="8">
        <v>灵力值</v>
      </c>
      <c r="AP179" t="n" s="8">
        <v>551000</v>
      </c>
      <c r="AQ179" t="str" s="8">
        <v>攻击下限</v>
      </c>
      <c r="AR179" t="n" s="8">
        <v>275500</v>
      </c>
      <c r="AS179" t="str" s="8">
        <v>攻击上限</v>
      </c>
      <c r="AT179" t="n" s="8">
        <v>275500</v>
      </c>
      <c r="AU179" t="str" s="8">
        <v>法力下限</v>
      </c>
      <c r="AV179" t="n" s="8">
        <v>275500</v>
      </c>
      <c r="AW179" t="str" s="8">
        <v>法力上限</v>
      </c>
      <c r="AX179" t="n" s="8">
        <v>275500</v>
      </c>
      <c r="AY179" t="str" s="8">
        <v>物防下限</v>
      </c>
      <c r="AZ179" t="n" s="8">
        <v>80256</v>
      </c>
      <c r="BA179" t="str" s="8">
        <v>物防上限</v>
      </c>
      <c r="BB179" t="n" s="8">
        <v>80256</v>
      </c>
      <c r="BC179" t="str" s="8">
        <v>法防下限</v>
      </c>
      <c r="BD179" t="n" s="8">
        <v>80256</v>
      </c>
      <c r="BE179" t="str" s="8">
        <v>法防上限</v>
      </c>
      <c r="BF179" t="n" s="8">
        <v>80256</v>
      </c>
      <c r="BG179" t="str" s="8">
        <v>移动速度</v>
      </c>
      <c r="BH179" t="n" s="8">
        <v>270</v>
      </c>
      <c r="BI179" t="str" s="8">
        <v>攻击范围</v>
      </c>
      <c r="BJ179" t="n" s="8">
        <v>160</v>
      </c>
      <c r="BK179" t="str" s="8">
        <v>警戒范围</v>
      </c>
      <c r="BL179" t="n" s="8">
        <v>550</v>
      </c>
      <c r="BM179" t="str" s="8">
        <v>攻击间隔</v>
      </c>
      <c r="BN179" t="n" s="8">
        <v>1800</v>
      </c>
      <c r="BO179" t="n" s="8">
        <v>0</v>
      </c>
      <c r="BP179" s="8"/>
      <c r="BQ179" t="n" s="8">
        <v>0</v>
      </c>
      <c r="BR179" t="n" s="8">
        <v>0</v>
      </c>
      <c r="BS179" t="n" s="8">
        <v>0</v>
      </c>
      <c r="BT179" t="n" s="8">
        <v>0</v>
      </c>
      <c r="BU179" t="str" s="8">
        <v>鞍窍的精英遭遇。依托本区既有水土、岩隙和可达条件活动。</v>
      </c>
      <c r="BV179" t="n">
        <v>7</v>
      </c>
      <c r="BW179" t="n">
        <v>9</v>
      </c>
      <c r="BX179" t="str">
        <v>玄品</v>
      </c>
      <c r="BY179" t="str">
        <v>native</v>
      </c>
      <c r="BZ179" t="b">
        <v>0</v>
      </c>
    </row>
    <row r="180" ht="16.5" customHeight="1" spans="2:75">
      <c r="A180"/>
      <c r="B180" t="n" s="8">
        <f>60000000+INDEX(编号表!$B:$B,MATCH(J180,编号表!$A:$A,0))*10000+INDEX(编号表!$B:$B,MATCH(K180,编号表!$C:$C,0))*1000+L180</f>
        <v>60601189</v>
      </c>
      <c r="C180" t="str" s="8">
        <v>a010</v>
      </c>
      <c r="D180" t="str" s="5">
        <v>融沟灵蛇</v>
      </c>
      <c r="E180" t="str" s="5">
        <v>R07-S1-普通-189</v>
      </c>
      <c r="F180" t="n" s="8">
        <v>69</v>
      </c>
      <c r="G180" t="str" s="8">
        <f>INDEX(编号表!$E:$E,MATCH(K180,编号表!$C:$C,0))</f>
        <v>白色</v>
      </c>
      <c r="H180" t="n" s="8">
        <v>7</v>
      </c>
      <c r="I180" t="str" s="8">
        <v>鞍窍</v>
      </c>
      <c r="J180" t="str" s="8">
        <v>鞍窍</v>
      </c>
      <c r="K180" t="str" s="8">
        <v>普通</v>
      </c>
      <c r="L180" t="n" s="8">
        <v>189</v>
      </c>
      <c r="M180" t="n" s="8">
        <v>189</v>
      </c>
      <c r="N180" t="n" s="8">
        <v>1</v>
      </c>
      <c r="O180" s="8"/>
      <c r="P180" t="n" s="8">
        <v>24</v>
      </c>
      <c r="Q180" t="n" s="8">
        <v>30000</v>
      </c>
      <c r="R180" t="str" s="8">
        <v>首击</v>
      </c>
      <c r="S180" t="n" s="8">
        <v>30000</v>
      </c>
      <c r="T180" t="n" s="8">
        <v>10</v>
      </c>
      <c r="U180" t="n" s="16">
        <v>40900700</v>
      </c>
      <c r="V180" t="n" s="8">
        <v>40910701</v>
      </c>
      <c r="W180" t="n" s="8">
        <v>40920701</v>
      </c>
      <c r="X180" t="n" s="8">
        <v>11000001</v>
      </c>
      <c r="Y180" s="8"/>
      <c r="Z180" s="8"/>
      <c r="AA180" t="str" s="8">
        <v>妖兽</v>
      </c>
      <c r="AB180" s="21">
        <v>20145</v>
      </c>
      <c r="AC180" t="n" s="8">
        <v>1</v>
      </c>
      <c r="AD180" t="n" s="8">
        <v>60</v>
      </c>
      <c r="AE180" t="n" s="8">
        <v>60</v>
      </c>
      <c r="AF180" t="n" s="8">
        <v>0</v>
      </c>
      <c r="AG180" t="n" s="8">
        <v>0</v>
      </c>
      <c r="AH180" t="str" s="8">
        <v>近战</v>
      </c>
      <c r="AI180" s="8"/>
      <c r="AJ180" s="17"/>
      <c r="AK180" s="8"/>
      <c r="AL180" s="18"/>
      <c r="AM180" t="str" s="8">
        <v>生命值</v>
      </c>
      <c r="AN180" t="n" s="19">
        <v>5168000</v>
      </c>
      <c r="AO180" t="str" s="8">
        <v>灵力值</v>
      </c>
      <c r="AP180" t="n" s="8">
        <v>380000</v>
      </c>
      <c r="AQ180" t="str" s="8">
        <v>攻击下限</v>
      </c>
      <c r="AR180" t="n" s="8">
        <v>190000</v>
      </c>
      <c r="AS180" t="str" s="8">
        <v>攻击上限</v>
      </c>
      <c r="AT180" t="n" s="8">
        <v>190000</v>
      </c>
      <c r="AU180" t="str" s="8">
        <v>法力下限</v>
      </c>
      <c r="AV180" t="n" s="8">
        <v>190000</v>
      </c>
      <c r="AW180" t="str" s="8">
        <v>法力上限</v>
      </c>
      <c r="AX180" t="n" s="8">
        <v>190000</v>
      </c>
      <c r="AY180" t="str" s="8">
        <v>物防下限</v>
      </c>
      <c r="AZ180" t="n" s="8">
        <v>66880</v>
      </c>
      <c r="BA180" t="str" s="8">
        <v>物防上限</v>
      </c>
      <c r="BB180" t="n" s="8">
        <v>66880</v>
      </c>
      <c r="BC180" t="str" s="8">
        <v>法防下限</v>
      </c>
      <c r="BD180" t="n" s="8">
        <v>66880</v>
      </c>
      <c r="BE180" t="str" s="8">
        <v>法防上限</v>
      </c>
      <c r="BF180" t="n" s="8">
        <v>66880</v>
      </c>
      <c r="BG180" t="str" s="8">
        <v>移动速度</v>
      </c>
      <c r="BH180" t="n" s="8">
        <v>270</v>
      </c>
      <c r="BI180" t="str" s="8">
        <v>攻击范围</v>
      </c>
      <c r="BJ180" t="n" s="8">
        <v>160</v>
      </c>
      <c r="BK180" t="str" s="8">
        <v>警戒范围</v>
      </c>
      <c r="BL180" t="n" s="8">
        <v>550</v>
      </c>
      <c r="BM180" t="str" s="8">
        <v>攻击间隔</v>
      </c>
      <c r="BN180" t="n" s="8">
        <v>1800</v>
      </c>
      <c r="BO180" t="n" s="8">
        <v>0</v>
      </c>
      <c r="BP180" s="8"/>
      <c r="BQ180" t="n" s="8">
        <v>0</v>
      </c>
      <c r="BR180" t="n" s="8">
        <v>0</v>
      </c>
      <c r="BS180" t="n" s="8">
        <v>0</v>
      </c>
      <c r="BT180" t="n" s="8">
        <v>0</v>
      </c>
      <c r="BU180" t="str" s="8">
        <v>鞍窍的普通遭遇。依托本区既有水土、岩隙和可达条件活动。</v>
      </c>
      <c r="BV180" t="n">
        <v>7</v>
      </c>
      <c r="BW180" t="n">
        <v>9</v>
      </c>
      <c r="BX180" t="str">
        <v>凡品</v>
      </c>
      <c r="BY180" t="str">
        <v>native</v>
      </c>
      <c r="BZ180" t="b">
        <v>0</v>
      </c>
    </row>
    <row r="181" ht="16.5" customHeight="1" spans="2:75">
      <c r="A181"/>
      <c r="B181" t="n" s="8">
        <f>60000000+INDEX(编号表!$B:$B,MATCH(J181,编号表!$A:$A,0))*10000+INDEX(编号表!$B:$B,MATCH(K181,编号表!$C:$C,0))*1000+L181</f>
        <v>60631190</v>
      </c>
      <c r="C181" t="str" s="8">
        <v>a010</v>
      </c>
      <c r="D181" t="str" s="5">
        <v>霰坡岩蟹</v>
      </c>
      <c r="E181" t="str" s="5">
        <v>R07-S2-普通-190</v>
      </c>
      <c r="F181" t="n" s="8">
        <v>70</v>
      </c>
      <c r="G181" t="str" s="8">
        <f>INDEX(编号表!$E:$E,MATCH(K181,编号表!$C:$C,0))</f>
        <v>白色</v>
      </c>
      <c r="H181" t="n" s="8">
        <v>7</v>
      </c>
      <c r="I181" t="str" s="8">
        <v>霁台</v>
      </c>
      <c r="J181" t="str" s="8">
        <v>霁台</v>
      </c>
      <c r="K181" t="str" s="8">
        <v>普通</v>
      </c>
      <c r="L181" t="n" s="8">
        <v>190</v>
      </c>
      <c r="M181" t="n" s="8">
        <v>190</v>
      </c>
      <c r="N181" t="n" s="8">
        <v>1</v>
      </c>
      <c r="O181" s="8"/>
      <c r="P181" t="n" s="8">
        <v>24</v>
      </c>
      <c r="Q181" t="n" s="8">
        <v>30000</v>
      </c>
      <c r="R181" t="str" s="8">
        <v>首击</v>
      </c>
      <c r="S181" t="n" s="8">
        <v>30000</v>
      </c>
      <c r="T181" t="n" s="8">
        <v>10</v>
      </c>
      <c r="U181" t="n" s="16">
        <v>40900700</v>
      </c>
      <c r="V181" t="n" s="8">
        <v>40910702</v>
      </c>
      <c r="W181" t="n" s="8">
        <v>40920700</v>
      </c>
      <c r="X181" t="n" s="8">
        <v>11000001</v>
      </c>
      <c r="Y181" s="8"/>
      <c r="Z181" s="8"/>
      <c r="AA181" t="str" s="8">
        <v>妖兽</v>
      </c>
      <c r="AB181" s="21">
        <v>20153</v>
      </c>
      <c r="AC181" t="n" s="8">
        <v>1</v>
      </c>
      <c r="AD181" t="n" s="8">
        <v>60</v>
      </c>
      <c r="AE181" t="n" s="8">
        <v>60</v>
      </c>
      <c r="AF181" t="n" s="8">
        <v>0</v>
      </c>
      <c r="AG181" t="n" s="8">
        <v>0</v>
      </c>
      <c r="AH181" t="str" s="8">
        <v>近战</v>
      </c>
      <c r="AI181"/>
      <c r="AJ181" s="17"/>
      <c r="AK181" s="8"/>
      <c r="AL181" s="18"/>
      <c r="AM181" t="str" s="8">
        <v>生命值</v>
      </c>
      <c r="AN181" t="n" s="19">
        <v>5389000</v>
      </c>
      <c r="AO181" t="str" s="8">
        <v>灵力值</v>
      </c>
      <c r="AP181" t="n" s="8">
        <v>396250</v>
      </c>
      <c r="AQ181" t="str" s="8">
        <v>攻击下限</v>
      </c>
      <c r="AR181" t="n" s="8">
        <v>198125</v>
      </c>
      <c r="AS181" t="str" s="8">
        <v>攻击上限</v>
      </c>
      <c r="AT181" t="n" s="8">
        <v>198125</v>
      </c>
      <c r="AU181" t="str" s="8">
        <v>法力下限</v>
      </c>
      <c r="AV181" t="n" s="8">
        <v>198125</v>
      </c>
      <c r="AW181" t="str" s="8">
        <v>法力上限</v>
      </c>
      <c r="AX181" t="n" s="8">
        <v>198125</v>
      </c>
      <c r="AY181" t="str" s="8">
        <v>物防下限</v>
      </c>
      <c r="AZ181" t="n" s="8">
        <v>69740</v>
      </c>
      <c r="BA181" t="str" s="8">
        <v>物防上限</v>
      </c>
      <c r="BB181" t="n" s="8">
        <v>69740</v>
      </c>
      <c r="BC181" t="str" s="8">
        <v>法防下限</v>
      </c>
      <c r="BD181" t="n" s="8">
        <v>69740</v>
      </c>
      <c r="BE181" t="str" s="8">
        <v>法防上限</v>
      </c>
      <c r="BF181" t="n" s="8">
        <v>69740</v>
      </c>
      <c r="BG181" t="str" s="8">
        <v>移动速度</v>
      </c>
      <c r="BH181" t="n" s="8">
        <v>270</v>
      </c>
      <c r="BI181" t="str" s="8">
        <v>攻击范围</v>
      </c>
      <c r="BJ181" t="n" s="8">
        <v>160</v>
      </c>
      <c r="BK181" t="str" s="8">
        <v>警戒范围</v>
      </c>
      <c r="BL181" t="n" s="8">
        <v>550</v>
      </c>
      <c r="BM181" t="str" s="8">
        <v>攻击间隔</v>
      </c>
      <c r="BN181" t="n" s="8">
        <v>1800</v>
      </c>
      <c r="BO181" t="n" s="8">
        <v>0</v>
      </c>
      <c r="BP181" s="8"/>
      <c r="BQ181" t="n" s="8">
        <v>0</v>
      </c>
      <c r="BR181" t="n" s="8">
        <v>0</v>
      </c>
      <c r="BS181" t="n" s="8">
        <v>0</v>
      </c>
      <c r="BT181" t="n" s="8">
        <v>0</v>
      </c>
      <c r="BU181" t="str" s="8">
        <v>霁台的普通遭遇。依托本区既有水土、岩隙和可达条件活动。</v>
      </c>
      <c r="BV181" t="n">
        <v>7</v>
      </c>
      <c r="BW181" t="n">
        <v>10</v>
      </c>
      <c r="BX181" t="str">
        <v>凡品</v>
      </c>
      <c r="BY181" t="str">
        <v>native</v>
      </c>
      <c r="BZ181" t="b">
        <v>0</v>
      </c>
    </row>
    <row r="182" ht="16.5" customHeight="1" spans="2:75">
      <c r="A182"/>
      <c r="B182" t="n" s="8">
        <f>60000000+INDEX(编号表!$B:$B,MATCH(J182,编号表!$A:$A,0))*10000+INDEX(编号表!$B:$B,MATCH(K182,编号表!$C:$C,0))*1000+L182</f>
        <v>60632191</v>
      </c>
      <c r="C182" t="str" s="8">
        <v>a010</v>
      </c>
      <c r="D182" t="str" s="5">
        <v>凇痕灵蝠·异种</v>
      </c>
      <c r="E182" t="str" s="5">
        <v>R07-S2-精英-191</v>
      </c>
      <c r="F182" t="n" s="8">
        <v>70</v>
      </c>
      <c r="G182" t="str" s="8">
        <f>INDEX(编号表!$E:$E,MATCH(K182,编号表!$C:$C,0))</f>
        <v>绿色</v>
      </c>
      <c r="H182" t="n" s="8">
        <v>7</v>
      </c>
      <c r="I182" t="str" s="8">
        <v>霁台</v>
      </c>
      <c r="J182" t="str" s="8">
        <v>霁台</v>
      </c>
      <c r="K182" t="str" s="8">
        <v>精英</v>
      </c>
      <c r="L182" t="n" s="8">
        <v>191</v>
      </c>
      <c r="M182" t="n" s="8">
        <v>191</v>
      </c>
      <c r="N182" t="n" s="8">
        <v>3</v>
      </c>
      <c r="O182" s="8"/>
      <c r="P182" t="n" s="8">
        <v>40</v>
      </c>
      <c r="Q182" t="n" s="8">
        <v>180000</v>
      </c>
      <c r="R182" t="str" s="8">
        <v>首击</v>
      </c>
      <c r="S182" t="n" s="8">
        <v>30000</v>
      </c>
      <c r="T182" t="n" s="8">
        <v>11</v>
      </c>
      <c r="U182" t="n" s="16">
        <v>40900701</v>
      </c>
      <c r="V182" t="n" s="8">
        <v>41120703</v>
      </c>
      <c r="W182" t="n" s="8">
        <v>41320701</v>
      </c>
      <c r="X182" t="n" s="8">
        <v>11000001</v>
      </c>
      <c r="Y182" s="8"/>
      <c r="Z182" s="8"/>
      <c r="AA182" t="str" s="8">
        <v>妖兽</v>
      </c>
      <c r="AB182" s="21">
        <v>20154</v>
      </c>
      <c r="AC182" t="n" s="8">
        <v>1.25</v>
      </c>
      <c r="AD182" t="n" s="8">
        <v>60</v>
      </c>
      <c r="AE182" t="n" s="8">
        <v>60</v>
      </c>
      <c r="AF182" t="n" s="8">
        <v>0</v>
      </c>
      <c r="AG182" t="n" s="8">
        <v>0</v>
      </c>
      <c r="AH182" t="str" s="8">
        <v>近战</v>
      </c>
      <c r="AI182" s="8"/>
      <c r="AJ182" s="17"/>
      <c r="AK182" s="8"/>
      <c r="AL182" s="18"/>
      <c r="AM182" t="str" s="8">
        <v>生命值</v>
      </c>
      <c r="AN182" t="n" s="19">
        <v>15089200</v>
      </c>
      <c r="AO182" t="str" s="8">
        <v>灵力值</v>
      </c>
      <c r="AP182" t="n" s="8">
        <v>574562</v>
      </c>
      <c r="AQ182" t="str" s="8">
        <v>攻击下限</v>
      </c>
      <c r="AR182" t="n" s="8">
        <v>287281</v>
      </c>
      <c r="AS182" t="str" s="8">
        <v>攻击上限</v>
      </c>
      <c r="AT182" t="n" s="8">
        <v>287281</v>
      </c>
      <c r="AU182" t="str" s="8">
        <v>法力下限</v>
      </c>
      <c r="AV182" t="n" s="8">
        <v>287281</v>
      </c>
      <c r="AW182" t="str" s="8">
        <v>法力上限</v>
      </c>
      <c r="AX182" t="n" s="8">
        <v>287281</v>
      </c>
      <c r="AY182" t="str" s="8">
        <v>物防下限</v>
      </c>
      <c r="AZ182" t="n" s="8">
        <v>83688</v>
      </c>
      <c r="BA182" t="str" s="8">
        <v>物防上限</v>
      </c>
      <c r="BB182" t="n" s="8">
        <v>83688</v>
      </c>
      <c r="BC182" t="str" s="8">
        <v>法防下限</v>
      </c>
      <c r="BD182" t="n" s="8">
        <v>83688</v>
      </c>
      <c r="BE182" t="str" s="8">
        <v>法防上限</v>
      </c>
      <c r="BF182" t="n" s="8">
        <v>83688</v>
      </c>
      <c r="BG182" t="str" s="8">
        <v>移动速度</v>
      </c>
      <c r="BH182" t="n" s="8">
        <v>270</v>
      </c>
      <c r="BI182" t="str" s="8">
        <v>攻击范围</v>
      </c>
      <c r="BJ182" t="n" s="8">
        <v>160</v>
      </c>
      <c r="BK182" t="str" s="8">
        <v>警戒范围</v>
      </c>
      <c r="BL182" t="n" s="8">
        <v>550</v>
      </c>
      <c r="BM182" t="str" s="8">
        <v>攻击间隔</v>
      </c>
      <c r="BN182" t="n" s="8">
        <v>1800</v>
      </c>
      <c r="BO182" t="n" s="8">
        <v>0</v>
      </c>
      <c r="BP182" s="8"/>
      <c r="BQ182" t="n" s="8">
        <v>0</v>
      </c>
      <c r="BR182" t="n" s="8">
        <v>0</v>
      </c>
      <c r="BS182" t="n" s="8">
        <v>0</v>
      </c>
      <c r="BT182" t="n" s="8">
        <v>0</v>
      </c>
      <c r="BU182" t="str" s="8">
        <v>霁台的精英遭遇。依托本区既有水土、岩隙和可达条件活动。</v>
      </c>
      <c r="BV182" t="n">
        <v>7</v>
      </c>
      <c r="BW182" t="n">
        <v>10</v>
      </c>
      <c r="BX182" t="str">
        <v>玄品</v>
      </c>
      <c r="BY182" t="str">
        <v>native</v>
      </c>
      <c r="BZ182" t="b">
        <v>0</v>
      </c>
    </row>
    <row r="183" ht="16.5" customHeight="1" spans="2:75">
      <c r="A183"/>
      <c r="B183" t="n" s="8">
        <f>60000000+INDEX(编号表!$B:$B,MATCH(J183,编号表!$A:$A,0))*10000+INDEX(编号表!$B:$B,MATCH(K183,编号表!$C:$C,0))*1000+L183</f>
        <v>60631192</v>
      </c>
      <c r="C183" t="str" s="8">
        <v>a010</v>
      </c>
      <c r="D183" t="str" s="5">
        <v>雪脊灵狼</v>
      </c>
      <c r="E183" t="str" s="5">
        <v>R07-S2-普通-192</v>
      </c>
      <c r="F183" t="n" s="8">
        <v>70</v>
      </c>
      <c r="G183" t="str" s="8">
        <f>INDEX(编号表!$E:$E,MATCH(K183,编号表!$C:$C,0))</f>
        <v>白色</v>
      </c>
      <c r="H183" t="n" s="8">
        <v>7</v>
      </c>
      <c r="I183" t="str" s="8">
        <v>霁台</v>
      </c>
      <c r="J183" t="str" s="8">
        <v>霁台</v>
      </c>
      <c r="K183" t="str" s="8">
        <v>普通</v>
      </c>
      <c r="L183" t="n" s="8">
        <v>192</v>
      </c>
      <c r="M183" t="n" s="8">
        <v>192</v>
      </c>
      <c r="N183" t="n" s="8">
        <v>1</v>
      </c>
      <c r="O183" s="8"/>
      <c r="P183" t="n" s="8">
        <v>24</v>
      </c>
      <c r="Q183" t="n" s="8">
        <v>30000</v>
      </c>
      <c r="R183" t="str" s="8">
        <v>首击</v>
      </c>
      <c r="S183" t="n" s="8">
        <v>30000</v>
      </c>
      <c r="T183" t="n" s="8">
        <v>10</v>
      </c>
      <c r="U183" t="n" s="16">
        <v>40900700</v>
      </c>
      <c r="V183" t="n" s="8">
        <v>40910704</v>
      </c>
      <c r="W183" t="n" s="8">
        <v>40920700</v>
      </c>
      <c r="X183" t="n" s="8">
        <v>11000001</v>
      </c>
      <c r="Y183" s="8"/>
      <c r="Z183" s="8"/>
      <c r="AA183" t="str" s="8">
        <v>妖兽</v>
      </c>
      <c r="AB183" s="21">
        <v>20154</v>
      </c>
      <c r="AC183" t="n" s="8">
        <v>1</v>
      </c>
      <c r="AD183" t="n" s="8">
        <v>60</v>
      </c>
      <c r="AE183" t="n" s="8">
        <v>60</v>
      </c>
      <c r="AF183" t="n" s="8">
        <v>0</v>
      </c>
      <c r="AG183" t="n" s="8">
        <v>0</v>
      </c>
      <c r="AH183" t="str" s="8">
        <v>近战</v>
      </c>
      <c r="AI183" s="8"/>
      <c r="AJ183" s="17"/>
      <c r="AK183" s="8"/>
      <c r="AL183" s="18"/>
      <c r="AM183" t="str" s="8">
        <v>生命值</v>
      </c>
      <c r="AN183" t="n" s="19">
        <v>5389000</v>
      </c>
      <c r="AO183" t="str" s="8">
        <v>灵力值</v>
      </c>
      <c r="AP183" t="n" s="8">
        <v>396250</v>
      </c>
      <c r="AQ183" t="str" s="8">
        <v>攻击下限</v>
      </c>
      <c r="AR183" t="n" s="8">
        <v>198125</v>
      </c>
      <c r="AS183" t="str" s="8">
        <v>攻击上限</v>
      </c>
      <c r="AT183" t="n" s="8">
        <v>198125</v>
      </c>
      <c r="AU183" t="str" s="8">
        <v>法力下限</v>
      </c>
      <c r="AV183" t="n" s="8">
        <v>198125</v>
      </c>
      <c r="AW183" t="str" s="8">
        <v>法力上限</v>
      </c>
      <c r="AX183" t="n" s="8">
        <v>198125</v>
      </c>
      <c r="AY183" t="str" s="8">
        <v>物防下限</v>
      </c>
      <c r="AZ183" t="n" s="8">
        <v>69740</v>
      </c>
      <c r="BA183" t="str" s="8">
        <v>物防上限</v>
      </c>
      <c r="BB183" t="n" s="8">
        <v>69740</v>
      </c>
      <c r="BC183" t="str" s="8">
        <v>法防下限</v>
      </c>
      <c r="BD183" t="n" s="8">
        <v>69740</v>
      </c>
      <c r="BE183" t="str" s="8">
        <v>法防上限</v>
      </c>
      <c r="BF183" t="n" s="8">
        <v>69740</v>
      </c>
      <c r="BG183" t="str" s="8">
        <v>移动速度</v>
      </c>
      <c r="BH183" t="n" s="8">
        <v>270</v>
      </c>
      <c r="BI183" t="str" s="8">
        <v>攻击范围</v>
      </c>
      <c r="BJ183" t="n" s="8">
        <v>160</v>
      </c>
      <c r="BK183" t="str" s="8">
        <v>警戒范围</v>
      </c>
      <c r="BL183" t="n" s="8">
        <v>550</v>
      </c>
      <c r="BM183" t="str" s="8">
        <v>攻击间隔</v>
      </c>
      <c r="BN183" t="n" s="8">
        <v>1800</v>
      </c>
      <c r="BO183" t="n" s="8">
        <v>0</v>
      </c>
      <c r="BP183" s="8"/>
      <c r="BQ183" t="n" s="8">
        <v>0</v>
      </c>
      <c r="BR183" t="n" s="8">
        <v>0</v>
      </c>
      <c r="BS183" t="n" s="8">
        <v>0</v>
      </c>
      <c r="BT183" t="n" s="8">
        <v>0</v>
      </c>
      <c r="BU183" t="str" s="8">
        <v>霁台的普通遭遇。依托本区既有水土、岩隙和可达条件活动。</v>
      </c>
      <c r="BV183" t="n">
        <v>7</v>
      </c>
      <c r="BW183" t="n">
        <v>10</v>
      </c>
      <c r="BX183" t="str">
        <v>凡品</v>
      </c>
      <c r="BY183" t="str">
        <v>native</v>
      </c>
      <c r="BZ183" t="b">
        <v>0</v>
      </c>
    </row>
    <row r="184" ht="16.5" customHeight="1" spans="2:75">
      <c r="A184"/>
      <c r="B184" t="n" s="8">
        <f>60000000+INDEX(编号表!$B:$B,MATCH(J184,编号表!$A:$A,0))*10000+INDEX(编号表!$B:$B,MATCH(K184,编号表!$C:$C,0))*1000+L184</f>
        <v>60631193</v>
      </c>
      <c r="C184" t="str" s="8">
        <v>a010</v>
      </c>
      <c r="D184" t="str" s="5">
        <v>融沟灵蛇</v>
      </c>
      <c r="E184" t="str" s="5">
        <v>R07-S2-普通-193</v>
      </c>
      <c r="F184" t="n" s="8">
        <v>70</v>
      </c>
      <c r="G184" t="str" s="8">
        <f>INDEX(编号表!$E:$E,MATCH(K184,编号表!$C:$C,0))</f>
        <v>白色</v>
      </c>
      <c r="H184" t="n" s="8">
        <v>7</v>
      </c>
      <c r="I184" t="str" s="8">
        <v>霁台</v>
      </c>
      <c r="J184" t="str" s="8">
        <v>霁台</v>
      </c>
      <c r="K184" t="str" s="8">
        <v>普通</v>
      </c>
      <c r="L184" t="n" s="8">
        <v>193</v>
      </c>
      <c r="M184" t="n" s="8">
        <v>193</v>
      </c>
      <c r="N184" t="n" s="8">
        <v>1</v>
      </c>
      <c r="O184" s="8"/>
      <c r="P184" t="n" s="8">
        <v>24</v>
      </c>
      <c r="Q184" t="n" s="8">
        <v>30000</v>
      </c>
      <c r="R184" t="str" s="8">
        <v>首击</v>
      </c>
      <c r="S184" t="n" s="8">
        <v>30000</v>
      </c>
      <c r="T184" t="n" s="8">
        <v>10</v>
      </c>
      <c r="U184" t="n" s="16">
        <v>40900700</v>
      </c>
      <c r="V184" t="n" s="8">
        <v>40910705</v>
      </c>
      <c r="W184" t="n" s="8">
        <v>40920701</v>
      </c>
      <c r="X184" t="n" s="8">
        <v>11000001</v>
      </c>
      <c r="Y184" s="8"/>
      <c r="Z184" s="8"/>
      <c r="AA184" t="str" s="8">
        <v>妖兽</v>
      </c>
      <c r="AB184" s="21">
        <v>20155</v>
      </c>
      <c r="AC184" t="n" s="8">
        <v>1</v>
      </c>
      <c r="AD184" t="n" s="8">
        <v>60</v>
      </c>
      <c r="AE184" t="n" s="8">
        <v>60</v>
      </c>
      <c r="AF184" t="n" s="8">
        <v>0</v>
      </c>
      <c r="AG184" t="n" s="8">
        <v>0</v>
      </c>
      <c r="AH184" t="str" s="8">
        <v>近战</v>
      </c>
      <c r="AI184" s="8"/>
      <c r="AJ184" s="17"/>
      <c r="AK184" s="8"/>
      <c r="AL184" s="18"/>
      <c r="AM184" t="str" s="8">
        <v>生命值</v>
      </c>
      <c r="AN184" t="n" s="19">
        <v>5389000</v>
      </c>
      <c r="AO184" t="str" s="8">
        <v>灵力值</v>
      </c>
      <c r="AP184" t="n" s="8">
        <v>396250</v>
      </c>
      <c r="AQ184" t="str" s="8">
        <v>攻击下限</v>
      </c>
      <c r="AR184" t="n" s="8">
        <v>198125</v>
      </c>
      <c r="AS184" t="str" s="8">
        <v>攻击上限</v>
      </c>
      <c r="AT184" t="n" s="8">
        <v>198125</v>
      </c>
      <c r="AU184" t="str" s="8">
        <v>法力下限</v>
      </c>
      <c r="AV184" t="n" s="8">
        <v>198125</v>
      </c>
      <c r="AW184" t="str" s="8">
        <v>法力上限</v>
      </c>
      <c r="AX184" t="n" s="8">
        <v>198125</v>
      </c>
      <c r="AY184" t="str" s="8">
        <v>物防下限</v>
      </c>
      <c r="AZ184" t="n" s="8">
        <v>69740</v>
      </c>
      <c r="BA184" t="str" s="8">
        <v>物防上限</v>
      </c>
      <c r="BB184" t="n" s="8">
        <v>69740</v>
      </c>
      <c r="BC184" t="str" s="8">
        <v>法防下限</v>
      </c>
      <c r="BD184" t="n" s="8">
        <v>69740</v>
      </c>
      <c r="BE184" t="str" s="8">
        <v>法防上限</v>
      </c>
      <c r="BF184" t="n" s="8">
        <v>69740</v>
      </c>
      <c r="BG184" t="str" s="8">
        <v>移动速度</v>
      </c>
      <c r="BH184" t="n" s="8">
        <v>270</v>
      </c>
      <c r="BI184" t="str" s="8">
        <v>攻击范围</v>
      </c>
      <c r="BJ184" t="n" s="8">
        <v>160</v>
      </c>
      <c r="BK184" t="str" s="8">
        <v>警戒范围</v>
      </c>
      <c r="BL184" t="n" s="8">
        <v>550</v>
      </c>
      <c r="BM184" t="str" s="8">
        <v>攻击间隔</v>
      </c>
      <c r="BN184" t="n" s="8">
        <v>1800</v>
      </c>
      <c r="BO184" t="n" s="8">
        <v>0</v>
      </c>
      <c r="BP184" s="8"/>
      <c r="BQ184" t="n" s="8">
        <v>0</v>
      </c>
      <c r="BR184" t="n" s="8">
        <v>0</v>
      </c>
      <c r="BS184" t="n" s="8">
        <v>0</v>
      </c>
      <c r="BT184" t="n" s="8">
        <v>0</v>
      </c>
      <c r="BU184" t="str" s="8">
        <v>霁台的普通遭遇。依托本区既有水土、岩隙和可达条件活动。</v>
      </c>
      <c r="BV184" t="n">
        <v>7</v>
      </c>
      <c r="BW184" t="n">
        <v>10</v>
      </c>
      <c r="BX184" t="str">
        <v>凡品</v>
      </c>
      <c r="BY184" t="str">
        <v>native</v>
      </c>
      <c r="BZ184" t="b">
        <v>0</v>
      </c>
    </row>
    <row r="185" ht="16.5" customHeight="1" spans="2:75">
      <c r="A185"/>
      <c r="B185" t="n" s="8">
        <v>60661194</v>
      </c>
      <c r="C185" t="str" s="8">
        <v>a010</v>
      </c>
      <c r="D185" t="str" s="5">
        <v>裸岩灵蛇</v>
      </c>
      <c r="E185" t="str" s="5">
        <v>R08-M1-普通-194</v>
      </c>
      <c r="F185" t="n" s="8">
        <v>72</v>
      </c>
      <c r="G185" t="str" s="8">
        <v>白色</v>
      </c>
      <c r="H185" t="n" s="8">
        <v>8</v>
      </c>
      <c r="I185" t="str" s="8">
        <v>凛冽坡</v>
      </c>
      <c r="J185" t="str" s="8">
        <v>凛冽坡</v>
      </c>
      <c r="K185" t="str" s="8">
        <v>普通</v>
      </c>
      <c r="L185" t="n" s="8">
        <v>194</v>
      </c>
      <c r="M185" t="n" s="8">
        <v>194</v>
      </c>
      <c r="N185" t="n" s="8">
        <v>1</v>
      </c>
      <c r="O185" s="8"/>
      <c r="P185" t="n" s="8">
        <v>24</v>
      </c>
      <c r="Q185" t="n" s="8">
        <v>0</v>
      </c>
      <c r="R185" t="str" s="8">
        <v>首击</v>
      </c>
      <c r="S185" t="n" s="8">
        <v>30000</v>
      </c>
      <c r="T185" t="n" s="8">
        <v>10</v>
      </c>
      <c r="U185" t="n" s="16">
        <v>40900800</v>
      </c>
      <c r="V185" t="n" s="8">
        <v>40910800</v>
      </c>
      <c r="W185" t="n" s="8">
        <v>40920800</v>
      </c>
      <c r="X185" t="n" s="8">
        <v>11000001</v>
      </c>
      <c r="Y185" s="8"/>
      <c r="Z185" s="8"/>
      <c r="AA185" t="str" s="8">
        <v>妖兽</v>
      </c>
      <c r="AB185" s="21">
        <v>20166</v>
      </c>
      <c r="AC185" t="n" s="8">
        <v>1</v>
      </c>
      <c r="AD185" t="n" s="8">
        <v>60</v>
      </c>
      <c r="AE185" t="n" s="8">
        <v>60</v>
      </c>
      <c r="AF185" t="n" s="8">
        <v>0</v>
      </c>
      <c r="AG185" t="n" s="8">
        <v>0</v>
      </c>
      <c r="AH185" t="str" s="8">
        <v>近战</v>
      </c>
      <c r="AI185" s="8"/>
      <c r="AJ185" s="17"/>
      <c r="AK185" s="8"/>
      <c r="AL185" s="18"/>
      <c r="AM185" t="str" s="8">
        <v>生命值</v>
      </c>
      <c r="AN185" t="n" s="19">
        <v>15975000</v>
      </c>
      <c r="AO185" t="str" s="8">
        <v>灵力值</v>
      </c>
      <c r="AP185" t="n" s="8">
        <v>1107600</v>
      </c>
      <c r="AQ185" t="str" s="8">
        <v>攻击下限</v>
      </c>
      <c r="AR185" t="n" s="8">
        <v>553800</v>
      </c>
      <c r="AS185" t="str" s="8">
        <v>攻击上限</v>
      </c>
      <c r="AT185" t="n" s="8">
        <v>553800</v>
      </c>
      <c r="AU185" t="str" s="8">
        <v>法力下限</v>
      </c>
      <c r="AV185" t="n" s="8">
        <v>553800</v>
      </c>
      <c r="AW185" t="str" s="8">
        <v>法力上限</v>
      </c>
      <c r="AX185" t="n" s="8">
        <v>553800</v>
      </c>
      <c r="AY185" t="str" s="8">
        <v>物防下限</v>
      </c>
      <c r="AZ185" t="n" s="8">
        <v>197025</v>
      </c>
      <c r="BA185" t="str" s="8">
        <v>物防上限</v>
      </c>
      <c r="BB185" t="n" s="8">
        <v>197025</v>
      </c>
      <c r="BC185" t="str" s="8">
        <v>法防下限</v>
      </c>
      <c r="BD185" t="n" s="8">
        <v>197025</v>
      </c>
      <c r="BE185" t="str" s="8">
        <v>法防上限</v>
      </c>
      <c r="BF185" t="n" s="8">
        <v>197025</v>
      </c>
      <c r="BG185" t="str" s="8">
        <v>移动速度</v>
      </c>
      <c r="BH185" t="n" s="8">
        <v>270</v>
      </c>
      <c r="BI185" t="str" s="8">
        <v>攻击范围</v>
      </c>
      <c r="BJ185" t="n" s="8">
        <v>160</v>
      </c>
      <c r="BK185" t="str" s="8">
        <v>警戒范围</v>
      </c>
      <c r="BL185" t="n" s="8">
        <v>550</v>
      </c>
      <c r="BM185" t="str" s="8">
        <v>攻击间隔</v>
      </c>
      <c r="BN185" t="n" s="8">
        <v>1800</v>
      </c>
      <c r="BO185" t="n" s="8">
        <v>0</v>
      </c>
      <c r="BP185" s="8"/>
      <c r="BQ185" t="n" s="8">
        <v>0</v>
      </c>
      <c r="BR185" t="n" s="8">
        <v>0</v>
      </c>
      <c r="BS185" t="n" s="8">
        <v>0</v>
      </c>
      <c r="BT185" t="n" s="8">
        <v>0</v>
      </c>
      <c r="BU185" t="str" s="8">
        <v>凛冽坡的普通遭遇。依托本区既有水土、岩隙和可达条件活动。只在临时遭遇窗口出现，不设重复刷取。</v>
      </c>
      <c r="BV185" t="n">
        <v>8</v>
      </c>
      <c r="BW185" t="n">
        <v>2</v>
      </c>
      <c r="BX185" t="str">
        <v>凡品</v>
      </c>
      <c r="BY185" t="str">
        <v>native</v>
      </c>
      <c r="BZ185" t="b">
        <v>0</v>
      </c>
    </row>
    <row r="186" ht="16.5" customHeight="1" spans="2:75">
      <c r="A186"/>
      <c r="B186" t="n" s="8">
        <v>60661195</v>
      </c>
      <c r="C186" t="str" s="8">
        <v>a010</v>
      </c>
      <c r="D186" t="str" s="5">
        <v>回光岩蟹</v>
      </c>
      <c r="E186" t="str" s="5">
        <v>R08-M1-普通-195</v>
      </c>
      <c r="F186" t="n" s="8">
        <v>72</v>
      </c>
      <c r="G186" t="str" s="8">
        <v>白色</v>
      </c>
      <c r="H186" t="n" s="8">
        <v>8</v>
      </c>
      <c r="I186" t="str" s="8">
        <v>凛冽坡</v>
      </c>
      <c r="J186" t="str" s="8">
        <v>凛冽坡</v>
      </c>
      <c r="K186" t="str" s="8">
        <v>普通</v>
      </c>
      <c r="L186" t="n" s="8">
        <v>195</v>
      </c>
      <c r="M186" t="n" s="8">
        <v>195</v>
      </c>
      <c r="N186" t="n" s="8">
        <v>1</v>
      </c>
      <c r="O186" s="8"/>
      <c r="P186" t="n" s="8">
        <v>24</v>
      </c>
      <c r="Q186" t="n" s="8">
        <v>0</v>
      </c>
      <c r="R186" t="str" s="8">
        <v>首击</v>
      </c>
      <c r="S186" t="n" s="8">
        <v>30000</v>
      </c>
      <c r="T186" t="n" s="8">
        <v>10</v>
      </c>
      <c r="U186" t="n" s="16">
        <v>40900800</v>
      </c>
      <c r="V186" t="n" s="8">
        <v>40910801</v>
      </c>
      <c r="W186" t="n" s="8">
        <v>40920801</v>
      </c>
      <c r="X186" t="n" s="8">
        <v>11000001</v>
      </c>
      <c r="Y186" s="8"/>
      <c r="Z186" s="8"/>
      <c r="AA186" t="str" s="8">
        <v>妖兽</v>
      </c>
      <c r="AB186" s="21">
        <v>20167</v>
      </c>
      <c r="AC186" t="n" s="8">
        <v>1</v>
      </c>
      <c r="AD186" t="n" s="8">
        <v>60</v>
      </c>
      <c r="AE186" t="n" s="8">
        <v>60</v>
      </c>
      <c r="AF186" t="n" s="8">
        <v>0</v>
      </c>
      <c r="AG186" t="n" s="8">
        <v>0</v>
      </c>
      <c r="AH186" t="str" s="8">
        <v>近战</v>
      </c>
      <c r="AI186" s="8"/>
      <c r="AJ186" s="17"/>
      <c r="AK186" s="8"/>
      <c r="AL186" s="18"/>
      <c r="AM186" t="str" s="8">
        <v>生命值</v>
      </c>
      <c r="AN186" t="n" s="19">
        <v>15975000</v>
      </c>
      <c r="AO186" t="str" s="8">
        <v>灵力值</v>
      </c>
      <c r="AP186" t="n" s="8">
        <v>1107600</v>
      </c>
      <c r="AQ186" t="str" s="8">
        <v>攻击下限</v>
      </c>
      <c r="AR186" t="n" s="8">
        <v>553800</v>
      </c>
      <c r="AS186" t="str" s="8">
        <v>攻击上限</v>
      </c>
      <c r="AT186" t="n" s="8">
        <v>553800</v>
      </c>
      <c r="AU186" t="str" s="8">
        <v>法力下限</v>
      </c>
      <c r="AV186" t="n" s="8">
        <v>553800</v>
      </c>
      <c r="AW186" t="str" s="8">
        <v>法力上限</v>
      </c>
      <c r="AX186" t="n" s="8">
        <v>553800</v>
      </c>
      <c r="AY186" t="str" s="8">
        <v>物防下限</v>
      </c>
      <c r="AZ186" t="n" s="8">
        <v>197025</v>
      </c>
      <c r="BA186" t="str" s="8">
        <v>物防上限</v>
      </c>
      <c r="BB186" t="n" s="8">
        <v>197025</v>
      </c>
      <c r="BC186" t="str" s="8">
        <v>法防下限</v>
      </c>
      <c r="BD186" t="n" s="8">
        <v>197025</v>
      </c>
      <c r="BE186" t="str" s="8">
        <v>法防上限</v>
      </c>
      <c r="BF186" t="n" s="8">
        <v>197025</v>
      </c>
      <c r="BG186" t="str" s="8">
        <v>移动速度</v>
      </c>
      <c r="BH186" t="n" s="8">
        <v>270</v>
      </c>
      <c r="BI186" t="str" s="8">
        <v>攻击范围</v>
      </c>
      <c r="BJ186" t="n" s="8">
        <v>160</v>
      </c>
      <c r="BK186" t="str" s="8">
        <v>警戒范围</v>
      </c>
      <c r="BL186" t="n" s="8">
        <v>550</v>
      </c>
      <c r="BM186" t="str" s="8">
        <v>攻击间隔</v>
      </c>
      <c r="BN186" t="n" s="8">
        <v>1800</v>
      </c>
      <c r="BO186" t="n" s="8">
        <v>0</v>
      </c>
      <c r="BP186" s="8"/>
      <c r="BQ186" t="n" s="8">
        <v>0</v>
      </c>
      <c r="BR186" t="n" s="8">
        <v>0</v>
      </c>
      <c r="BS186" t="n" s="8">
        <v>0</v>
      </c>
      <c r="BT186" t="n" s="8">
        <v>0</v>
      </c>
      <c r="BU186" t="str" s="8">
        <v>凛冽坡的普通遭遇。依托本区既有水土、岩隙和可达条件活动。只在临时遭遇窗口出现，不设重复刷取。</v>
      </c>
      <c r="BV186" t="n">
        <v>8</v>
      </c>
      <c r="BW186" t="n">
        <v>2</v>
      </c>
      <c r="BX186" t="str">
        <v>凡品</v>
      </c>
      <c r="BY186" t="str">
        <v>native</v>
      </c>
      <c r="BZ186" t="b">
        <v>0</v>
      </c>
    </row>
    <row r="187" ht="16.5" customHeight="1" spans="2:75">
      <c r="A187"/>
      <c r="B187" t="n" s="8">
        <v>60661196</v>
      </c>
      <c r="C187" t="str" s="8">
        <v>a010</v>
      </c>
      <c r="D187" t="str" s="5">
        <v>高风灵蝠</v>
      </c>
      <c r="E187" t="str" s="5">
        <v>R08-M1-普通-196</v>
      </c>
      <c r="F187" t="n" s="8">
        <v>72</v>
      </c>
      <c r="G187" t="str" s="8">
        <v>白色</v>
      </c>
      <c r="H187" t="n" s="8">
        <v>8</v>
      </c>
      <c r="I187" t="str" s="8">
        <v>凛冽坡</v>
      </c>
      <c r="J187" t="str" s="8">
        <v>凛冽坡</v>
      </c>
      <c r="K187" t="str" s="8">
        <v>普通</v>
      </c>
      <c r="L187" t="n" s="8">
        <v>196</v>
      </c>
      <c r="M187" t="n" s="8">
        <v>196</v>
      </c>
      <c r="N187" t="n" s="8">
        <v>1</v>
      </c>
      <c r="O187" s="8"/>
      <c r="P187" t="n" s="8">
        <v>24</v>
      </c>
      <c r="Q187" t="n" s="8">
        <v>0</v>
      </c>
      <c r="R187" t="str" s="8">
        <v>首击</v>
      </c>
      <c r="S187" t="n" s="8">
        <v>30000</v>
      </c>
      <c r="T187" t="n" s="8">
        <v>10</v>
      </c>
      <c r="U187" t="n" s="16">
        <v>40900800</v>
      </c>
      <c r="V187" t="n" s="8">
        <v>40910802</v>
      </c>
      <c r="W187" t="n" s="8">
        <v>40920800</v>
      </c>
      <c r="X187" t="n" s="8">
        <v>11000001</v>
      </c>
      <c r="Y187" s="8"/>
      <c r="Z187" s="8"/>
      <c r="AA187" t="str" s="8">
        <v>妖兽</v>
      </c>
      <c r="AB187" s="21">
        <v>20168</v>
      </c>
      <c r="AC187" t="n" s="8">
        <v>1</v>
      </c>
      <c r="AD187" t="n" s="8">
        <v>60</v>
      </c>
      <c r="AE187" t="n" s="8">
        <v>60</v>
      </c>
      <c r="AF187" t="n" s="8">
        <v>0</v>
      </c>
      <c r="AG187" t="n" s="8">
        <v>0</v>
      </c>
      <c r="AH187" t="str" s="8">
        <v>近战</v>
      </c>
      <c r="AI187" s="8"/>
      <c r="AJ187" s="17"/>
      <c r="AK187" s="8"/>
      <c r="AL187" s="18"/>
      <c r="AM187" t="str" s="8">
        <v>生命值</v>
      </c>
      <c r="AN187" t="n" s="19">
        <v>15975000</v>
      </c>
      <c r="AO187" t="str" s="8">
        <v>灵力值</v>
      </c>
      <c r="AP187" t="n" s="8">
        <v>1107600</v>
      </c>
      <c r="AQ187" t="str" s="8">
        <v>攻击下限</v>
      </c>
      <c r="AR187" t="n" s="8">
        <v>553800</v>
      </c>
      <c r="AS187" t="str" s="8">
        <v>攻击上限</v>
      </c>
      <c r="AT187" t="n" s="8">
        <v>553800</v>
      </c>
      <c r="AU187" t="str" s="8">
        <v>法力下限</v>
      </c>
      <c r="AV187" t="n" s="8">
        <v>553800</v>
      </c>
      <c r="AW187" t="str" s="8">
        <v>法力上限</v>
      </c>
      <c r="AX187" t="n" s="8">
        <v>553800</v>
      </c>
      <c r="AY187" t="str" s="8">
        <v>物防下限</v>
      </c>
      <c r="AZ187" t="n" s="8">
        <v>197025</v>
      </c>
      <c r="BA187" t="str" s="8">
        <v>物防上限</v>
      </c>
      <c r="BB187" t="n" s="8">
        <v>197025</v>
      </c>
      <c r="BC187" t="str" s="8">
        <v>法防下限</v>
      </c>
      <c r="BD187" t="n" s="8">
        <v>197025</v>
      </c>
      <c r="BE187" t="str" s="8">
        <v>法防上限</v>
      </c>
      <c r="BF187" t="n" s="8">
        <v>197025</v>
      </c>
      <c r="BG187" t="str" s="8">
        <v>移动速度</v>
      </c>
      <c r="BH187" t="n" s="8">
        <v>270</v>
      </c>
      <c r="BI187" t="str" s="8">
        <v>攻击范围</v>
      </c>
      <c r="BJ187" t="n" s="8">
        <v>160</v>
      </c>
      <c r="BK187" t="str" s="8">
        <v>警戒范围</v>
      </c>
      <c r="BL187" t="n" s="8">
        <v>550</v>
      </c>
      <c r="BM187" t="str" s="8">
        <v>攻击间隔</v>
      </c>
      <c r="BN187" t="n" s="8">
        <v>1800</v>
      </c>
      <c r="BO187" t="n" s="8">
        <v>0</v>
      </c>
      <c r="BP187" s="8"/>
      <c r="BQ187" t="n" s="8">
        <v>0</v>
      </c>
      <c r="BR187" t="n" s="8">
        <v>0</v>
      </c>
      <c r="BS187" t="n" s="8">
        <v>0</v>
      </c>
      <c r="BT187" t="n" s="8">
        <v>0</v>
      </c>
      <c r="BU187" t="str" s="8">
        <v>凛冽坡的普通遭遇。依托本区既有水土、岩隙和可达条件活动。只在临时遭遇窗口出现，不设重复刷取。</v>
      </c>
      <c r="BV187" t="n">
        <v>8</v>
      </c>
      <c r="BW187" t="n">
        <v>2</v>
      </c>
      <c r="BX187" t="str">
        <v>凡品</v>
      </c>
      <c r="BY187" t="str">
        <v>native</v>
      </c>
      <c r="BZ187" t="b">
        <v>0</v>
      </c>
    </row>
    <row r="188" ht="16.5" customHeight="1" spans="2:75">
      <c r="A188"/>
      <c r="B188" t="n" s="8">
        <v>60662197</v>
      </c>
      <c r="C188" t="str" s="8">
        <v>a010</v>
      </c>
      <c r="D188" t="str" s="5">
        <v>绝顶灵狼·异种</v>
      </c>
      <c r="E188" t="str" s="5">
        <v>R08-M1-精英-197</v>
      </c>
      <c r="F188" t="n" s="8">
        <v>72</v>
      </c>
      <c r="G188" t="str" s="8">
        <v>绿色</v>
      </c>
      <c r="H188" t="n" s="8">
        <v>8</v>
      </c>
      <c r="I188" t="str" s="8">
        <v>凛冽坡</v>
      </c>
      <c r="J188" t="str" s="8">
        <v>凛冽坡</v>
      </c>
      <c r="K188" t="str" s="8">
        <v>精英</v>
      </c>
      <c r="L188" t="n" s="8">
        <v>197</v>
      </c>
      <c r="M188" t="n" s="8">
        <v>197</v>
      </c>
      <c r="N188" t="n" s="8">
        <v>3</v>
      </c>
      <c r="O188" s="8"/>
      <c r="P188" t="n" s="8">
        <v>40</v>
      </c>
      <c r="Q188" t="n" s="8">
        <v>0</v>
      </c>
      <c r="R188" t="str" s="8">
        <v>首击</v>
      </c>
      <c r="S188" t="n" s="8">
        <v>30000</v>
      </c>
      <c r="T188" t="n" s="8">
        <v>11</v>
      </c>
      <c r="U188" t="n" s="16">
        <v>40900801</v>
      </c>
      <c r="V188" t="n" s="8">
        <v>41120803</v>
      </c>
      <c r="W188" t="n" s="8">
        <v>41220801</v>
      </c>
      <c r="X188" t="n" s="8">
        <v>11000001</v>
      </c>
      <c r="Y188" s="8"/>
      <c r="Z188" s="8"/>
      <c r="AA188" t="str" s="8">
        <v>妖兽</v>
      </c>
      <c r="AB188" s="21">
        <v>20168</v>
      </c>
      <c r="AC188" t="n" s="8">
        <v>1.25</v>
      </c>
      <c r="AD188" t="n" s="8">
        <v>60</v>
      </c>
      <c r="AE188" t="n" s="8">
        <v>60</v>
      </c>
      <c r="AF188" t="n" s="8">
        <v>0</v>
      </c>
      <c r="AG188" t="n" s="8">
        <v>0</v>
      </c>
      <c r="AH188" t="str" s="8">
        <v>近战</v>
      </c>
      <c r="AI188" s="8"/>
      <c r="AJ188" s="17"/>
      <c r="AK188" s="8"/>
      <c r="AL188" s="18"/>
      <c r="AM188" t="str" s="8">
        <v>生命值</v>
      </c>
      <c r="AN188" t="n" s="19">
        <v>44730000</v>
      </c>
      <c r="AO188" t="str" s="8">
        <v>灵力值</v>
      </c>
      <c r="AP188" t="n" s="8">
        <v>1606020</v>
      </c>
      <c r="AQ188" t="str" s="8">
        <v>攻击下限</v>
      </c>
      <c r="AR188" t="n" s="8">
        <v>803010</v>
      </c>
      <c r="AS188" t="str" s="8">
        <v>攻击上限</v>
      </c>
      <c r="AT188" t="n" s="8">
        <v>803010</v>
      </c>
      <c r="AU188" t="str" s="8">
        <v>法力下限</v>
      </c>
      <c r="AV188" t="n" s="8">
        <v>803010</v>
      </c>
      <c r="AW188" t="str" s="8">
        <v>法力上限</v>
      </c>
      <c r="AX188" t="n" s="8">
        <v>803010</v>
      </c>
      <c r="AY188" t="str" s="8">
        <v>物防下限</v>
      </c>
      <c r="AZ188" t="n" s="8">
        <v>236430</v>
      </c>
      <c r="BA188" t="str" s="8">
        <v>物防上限</v>
      </c>
      <c r="BB188" t="n" s="8">
        <v>236430</v>
      </c>
      <c r="BC188" t="str" s="8">
        <v>法防下限</v>
      </c>
      <c r="BD188" t="n" s="8">
        <v>236430</v>
      </c>
      <c r="BE188" t="str" s="8">
        <v>法防上限</v>
      </c>
      <c r="BF188" t="n" s="8">
        <v>236430</v>
      </c>
      <c r="BG188" t="str" s="8">
        <v>移动速度</v>
      </c>
      <c r="BH188" t="n" s="8">
        <v>270</v>
      </c>
      <c r="BI188" t="str" s="8">
        <v>攻击范围</v>
      </c>
      <c r="BJ188" t="n" s="8">
        <v>160</v>
      </c>
      <c r="BK188" t="str" s="8">
        <v>警戒范围</v>
      </c>
      <c r="BL188" t="n" s="8">
        <v>550</v>
      </c>
      <c r="BM188" t="str" s="8">
        <v>攻击间隔</v>
      </c>
      <c r="BN188" t="n" s="8">
        <v>1800</v>
      </c>
      <c r="BO188" t="n" s="8">
        <v>0</v>
      </c>
      <c r="BP188" s="8"/>
      <c r="BQ188" t="n" s="8">
        <v>0</v>
      </c>
      <c r="BR188" t="n" s="8">
        <v>0</v>
      </c>
      <c r="BS188" t="n" s="8">
        <v>0</v>
      </c>
      <c r="BT188" t="n" s="8">
        <v>0</v>
      </c>
      <c r="BU188" t="str" s="8">
        <v>凛冽坡的精英遭遇。依托本区既有水土、岩隙和可达条件活动。只在临时遭遇窗口出现，不设重复刷取。</v>
      </c>
      <c r="BV188" t="n">
        <v>8</v>
      </c>
      <c r="BW188" t="n">
        <v>2</v>
      </c>
      <c r="BX188" t="str">
        <v>玄品</v>
      </c>
      <c r="BY188" t="str">
        <v>native</v>
      </c>
      <c r="BZ188" t="b">
        <v>0</v>
      </c>
    </row>
    <row r="189" ht="16.5" customHeight="1" spans="2:75">
      <c r="A189"/>
      <c r="B189" t="n" s="8">
        <v>60671198</v>
      </c>
      <c r="C189" t="str" s="8">
        <v>a010</v>
      </c>
      <c r="D189" t="str" s="5">
        <v>裸岩灵蛇</v>
      </c>
      <c r="E189" t="str" s="5">
        <v>R08-M2-普通-198</v>
      </c>
      <c r="F189" t="n" s="8">
        <v>75</v>
      </c>
      <c r="G189" t="str" s="8">
        <v>白色</v>
      </c>
      <c r="H189" t="n" s="8">
        <v>8</v>
      </c>
      <c r="I189" t="str" s="8">
        <v>虚浮台</v>
      </c>
      <c r="J189" t="str" s="8">
        <v>虚浮台</v>
      </c>
      <c r="K189" t="str" s="8">
        <v>普通</v>
      </c>
      <c r="L189" t="n" s="8">
        <v>198</v>
      </c>
      <c r="M189" t="n" s="8">
        <v>198</v>
      </c>
      <c r="N189" t="n" s="8">
        <v>1</v>
      </c>
      <c r="O189" s="8"/>
      <c r="P189" t="n" s="8">
        <v>24</v>
      </c>
      <c r="Q189" t="n" s="8">
        <v>0</v>
      </c>
      <c r="R189" t="str" s="8">
        <v>首击</v>
      </c>
      <c r="S189" t="n" s="8">
        <v>30000</v>
      </c>
      <c r="T189" t="n" s="8">
        <v>10</v>
      </c>
      <c r="U189" t="n" s="16">
        <v>40900800</v>
      </c>
      <c r="V189" t="n" s="8">
        <v>40910804</v>
      </c>
      <c r="W189" t="n" s="8">
        <v>40920800</v>
      </c>
      <c r="X189" t="n" s="8">
        <v>11000001</v>
      </c>
      <c r="Y189" s="8"/>
      <c r="Z189" s="8"/>
      <c r="AA189" t="str" s="8">
        <v>妖兽</v>
      </c>
      <c r="AB189" s="21">
        <v>20169</v>
      </c>
      <c r="AC189" t="n" s="8">
        <v>1</v>
      </c>
      <c r="AD189" t="n" s="8">
        <v>60</v>
      </c>
      <c r="AE189" t="n" s="8">
        <v>60</v>
      </c>
      <c r="AF189" t="n" s="8">
        <v>0</v>
      </c>
      <c r="AG189" t="n" s="8">
        <v>0</v>
      </c>
      <c r="AH189" t="str" s="8">
        <v>近战</v>
      </c>
      <c r="AI189" s="8"/>
      <c r="AJ189" s="17"/>
      <c r="AK189" s="8"/>
      <c r="AL189" s="18"/>
      <c r="AM189" t="str" s="8">
        <v>生命值</v>
      </c>
      <c r="AN189" t="n" s="19">
        <v>18900000</v>
      </c>
      <c r="AO189" t="str" s="8">
        <v>灵力值</v>
      </c>
      <c r="AP189" t="n" s="8">
        <v>1310400</v>
      </c>
      <c r="AQ189" t="str" s="8">
        <v>攻击下限</v>
      </c>
      <c r="AR189" t="n" s="8">
        <v>655200</v>
      </c>
      <c r="AS189" t="str" s="8">
        <v>攻击上限</v>
      </c>
      <c r="AT189" t="n" s="8">
        <v>655200</v>
      </c>
      <c r="AU189" t="str" s="8">
        <v>法力下限</v>
      </c>
      <c r="AV189" t="n" s="8">
        <v>655200</v>
      </c>
      <c r="AW189" t="str" s="8">
        <v>法力上限</v>
      </c>
      <c r="AX189" t="n" s="8">
        <v>655200</v>
      </c>
      <c r="AY189" t="str" s="8">
        <v>物防下限</v>
      </c>
      <c r="AZ189" t="n" s="8">
        <v>233100</v>
      </c>
      <c r="BA189" t="str" s="8">
        <v>物防上限</v>
      </c>
      <c r="BB189" t="n" s="8">
        <v>233100</v>
      </c>
      <c r="BC189" t="str" s="8">
        <v>法防下限</v>
      </c>
      <c r="BD189" t="n" s="8">
        <v>233100</v>
      </c>
      <c r="BE189" t="str" s="8">
        <v>法防上限</v>
      </c>
      <c r="BF189" t="n" s="8">
        <v>233100</v>
      </c>
      <c r="BG189" t="str" s="8">
        <v>移动速度</v>
      </c>
      <c r="BH189" t="n" s="8">
        <v>270</v>
      </c>
      <c r="BI189" t="str" s="8">
        <v>攻击范围</v>
      </c>
      <c r="BJ189" t="n" s="8">
        <v>160</v>
      </c>
      <c r="BK189" t="str" s="8">
        <v>警戒范围</v>
      </c>
      <c r="BL189" t="n" s="8">
        <v>550</v>
      </c>
      <c r="BM189" t="str" s="8">
        <v>攻击间隔</v>
      </c>
      <c r="BN189" t="n" s="8">
        <v>1800</v>
      </c>
      <c r="BO189" t="n" s="8">
        <v>0</v>
      </c>
      <c r="BP189" s="8"/>
      <c r="BQ189" t="n" s="8">
        <v>0</v>
      </c>
      <c r="BR189" t="n" s="8">
        <v>0</v>
      </c>
      <c r="BS189" t="n" s="8">
        <v>0</v>
      </c>
      <c r="BT189" t="n" s="8">
        <v>0</v>
      </c>
      <c r="BU189" t="str" s="8">
        <v>虚浮台的普通遭遇。依托本区既有水土、岩隙和可达条件活动。只在临时遭遇窗口出现，不设重复刷取。</v>
      </c>
      <c r="BV189" t="n">
        <v>8</v>
      </c>
      <c r="BW189" t="n">
        <v>5</v>
      </c>
      <c r="BX189" t="str">
        <v>凡品</v>
      </c>
      <c r="BY189" t="str">
        <v>native</v>
      </c>
      <c r="BZ189" t="b">
        <v>0</v>
      </c>
    </row>
    <row r="190" ht="16.5" customHeight="1" spans="2:75">
      <c r="A190"/>
      <c r="B190" t="n" s="8">
        <v>60671199</v>
      </c>
      <c r="C190" t="str" s="8">
        <v>a010</v>
      </c>
      <c r="D190" t="str" s="5">
        <v>回光岩蟹</v>
      </c>
      <c r="E190" t="str" s="5">
        <v>R08-M2-普通-199</v>
      </c>
      <c r="F190" t="n" s="8">
        <v>75</v>
      </c>
      <c r="G190" t="str" s="8">
        <v>白色</v>
      </c>
      <c r="H190" t="n" s="8">
        <v>8</v>
      </c>
      <c r="I190" t="str" s="8">
        <v>虚浮台</v>
      </c>
      <c r="J190" t="str" s="8">
        <v>虚浮台</v>
      </c>
      <c r="K190" t="str" s="8">
        <v>普通</v>
      </c>
      <c r="L190" t="n" s="8">
        <v>199</v>
      </c>
      <c r="M190" t="n" s="8">
        <v>199</v>
      </c>
      <c r="N190" t="n" s="8">
        <v>1</v>
      </c>
      <c r="O190" s="8"/>
      <c r="P190" t="n" s="8">
        <v>24</v>
      </c>
      <c r="Q190" t="n" s="8">
        <v>0</v>
      </c>
      <c r="R190" t="str" s="8">
        <v>首击</v>
      </c>
      <c r="S190" t="n" s="8">
        <v>30000</v>
      </c>
      <c r="T190" t="n" s="8">
        <v>10</v>
      </c>
      <c r="U190" t="n" s="16">
        <v>40900800</v>
      </c>
      <c r="V190" t="n" s="8">
        <v>40910805</v>
      </c>
      <c r="W190" t="n" s="8">
        <v>40920801</v>
      </c>
      <c r="X190" t="n" s="8">
        <v>11000001</v>
      </c>
      <c r="Y190" s="8"/>
      <c r="Z190" s="8"/>
      <c r="AA190" t="str" s="8">
        <v>妖兽</v>
      </c>
      <c r="AB190" s="21">
        <v>20170</v>
      </c>
      <c r="AC190" t="n" s="8">
        <v>1</v>
      </c>
      <c r="AD190" t="n" s="8">
        <v>60</v>
      </c>
      <c r="AE190" t="n" s="8">
        <v>60</v>
      </c>
      <c r="AF190" t="n" s="8">
        <v>0</v>
      </c>
      <c r="AG190" t="n" s="8">
        <v>0</v>
      </c>
      <c r="AH190" t="str" s="8">
        <v>近战</v>
      </c>
      <c r="AI190" s="8"/>
      <c r="AJ190" s="17"/>
      <c r="AK190" s="8"/>
      <c r="AL190" s="18"/>
      <c r="AM190" t="str" s="8">
        <v>生命值</v>
      </c>
      <c r="AN190" t="n" s="19">
        <v>18900000</v>
      </c>
      <c r="AO190" t="str" s="8">
        <v>灵力值</v>
      </c>
      <c r="AP190" t="n" s="8">
        <v>1310400</v>
      </c>
      <c r="AQ190" t="str" s="8">
        <v>攻击下限</v>
      </c>
      <c r="AR190" t="n" s="8">
        <v>655200</v>
      </c>
      <c r="AS190" t="str" s="8">
        <v>攻击上限</v>
      </c>
      <c r="AT190" t="n" s="8">
        <v>655200</v>
      </c>
      <c r="AU190" t="str" s="8">
        <v>法力下限</v>
      </c>
      <c r="AV190" t="n" s="8">
        <v>655200</v>
      </c>
      <c r="AW190" t="str" s="8">
        <v>法力上限</v>
      </c>
      <c r="AX190" t="n" s="8">
        <v>655200</v>
      </c>
      <c r="AY190" t="str" s="8">
        <v>物防下限</v>
      </c>
      <c r="AZ190" t="n" s="8">
        <v>233100</v>
      </c>
      <c r="BA190" t="str" s="8">
        <v>物防上限</v>
      </c>
      <c r="BB190" t="n" s="8">
        <v>233100</v>
      </c>
      <c r="BC190" t="str" s="8">
        <v>法防下限</v>
      </c>
      <c r="BD190" t="n" s="8">
        <v>233100</v>
      </c>
      <c r="BE190" t="str" s="8">
        <v>法防上限</v>
      </c>
      <c r="BF190" t="n" s="8">
        <v>233100</v>
      </c>
      <c r="BG190" t="str" s="8">
        <v>移动速度</v>
      </c>
      <c r="BH190" t="n" s="8">
        <v>270</v>
      </c>
      <c r="BI190" t="str" s="8">
        <v>攻击范围</v>
      </c>
      <c r="BJ190" t="n" s="8">
        <v>160</v>
      </c>
      <c r="BK190" t="str" s="8">
        <v>警戒范围</v>
      </c>
      <c r="BL190" t="n" s="8">
        <v>550</v>
      </c>
      <c r="BM190" t="str" s="8">
        <v>攻击间隔</v>
      </c>
      <c r="BN190" t="n" s="8">
        <v>1800</v>
      </c>
      <c r="BO190" t="n" s="8">
        <v>0</v>
      </c>
      <c r="BP190" s="8"/>
      <c r="BQ190" t="n" s="8">
        <v>0</v>
      </c>
      <c r="BR190" t="n" s="8">
        <v>0</v>
      </c>
      <c r="BS190" t="n" s="8">
        <v>0</v>
      </c>
      <c r="BT190" t="n" s="8">
        <v>0</v>
      </c>
      <c r="BU190" t="str" s="8">
        <v>虚浮台的普通遭遇。依托本区既有水土、岩隙和可达条件活动。只在临时遭遇窗口出现，不设重复刷取。</v>
      </c>
      <c r="BV190" t="n">
        <v>8</v>
      </c>
      <c r="BW190" t="n">
        <v>5</v>
      </c>
      <c r="BX190" t="str">
        <v>凡品</v>
      </c>
      <c r="BY190" t="str">
        <v>native</v>
      </c>
      <c r="BZ190" t="b">
        <v>0</v>
      </c>
    </row>
    <row r="191" ht="16.5" customHeight="1" spans="2:75">
      <c r="A191"/>
      <c r="B191" t="n" s="8">
        <v>60671200</v>
      </c>
      <c r="C191" t="str" s="8">
        <v>a010</v>
      </c>
      <c r="D191" t="str" s="5">
        <v>高风灵蝠</v>
      </c>
      <c r="E191" t="str" s="5">
        <v>R08-M2-普通-200</v>
      </c>
      <c r="F191" t="n" s="8">
        <v>75</v>
      </c>
      <c r="G191" t="str" s="8">
        <v>白色</v>
      </c>
      <c r="H191" t="n" s="8">
        <v>8</v>
      </c>
      <c r="I191" t="str" s="8">
        <v>虚浮台</v>
      </c>
      <c r="J191" t="str" s="8">
        <v>虚浮台</v>
      </c>
      <c r="K191" t="str" s="8">
        <v>普通</v>
      </c>
      <c r="L191" t="n" s="8">
        <v>200</v>
      </c>
      <c r="M191" t="n" s="8">
        <v>200</v>
      </c>
      <c r="N191" t="n" s="8">
        <v>1</v>
      </c>
      <c r="O191" s="8"/>
      <c r="P191" t="n" s="8">
        <v>24</v>
      </c>
      <c r="Q191" t="n" s="8">
        <v>0</v>
      </c>
      <c r="R191" t="str" s="8">
        <v>首击</v>
      </c>
      <c r="S191" t="n" s="8">
        <v>30000</v>
      </c>
      <c r="T191" t="n" s="8">
        <v>10</v>
      </c>
      <c r="U191" t="n" s="16">
        <v>40900800</v>
      </c>
      <c r="V191" t="n" s="8">
        <v>40910806</v>
      </c>
      <c r="W191" t="n" s="8">
        <v>40920800</v>
      </c>
      <c r="X191" t="n" s="8">
        <v>11000001</v>
      </c>
      <c r="Y191" s="8"/>
      <c r="Z191" s="8"/>
      <c r="AA191" t="str" s="8">
        <v>妖兽</v>
      </c>
      <c r="AB191" s="21">
        <v>20171</v>
      </c>
      <c r="AC191" t="n" s="8">
        <v>1</v>
      </c>
      <c r="AD191" t="n" s="8">
        <v>60</v>
      </c>
      <c r="AE191" t="n" s="8">
        <v>60</v>
      </c>
      <c r="AF191" t="n" s="8">
        <v>0</v>
      </c>
      <c r="AG191" t="n" s="8">
        <v>0</v>
      </c>
      <c r="AH191" t="str" s="8">
        <v>近战</v>
      </c>
      <c r="AI191" s="8"/>
      <c r="AJ191" s="17"/>
      <c r="AK191" s="8"/>
      <c r="AL191" s="18"/>
      <c r="AM191" t="str" s="8">
        <v>生命值</v>
      </c>
      <c r="AN191" t="n" s="19">
        <v>18900000</v>
      </c>
      <c r="AO191" t="str" s="8">
        <v>灵力值</v>
      </c>
      <c r="AP191" t="n" s="8">
        <v>1310400</v>
      </c>
      <c r="AQ191" t="str" s="8">
        <v>攻击下限</v>
      </c>
      <c r="AR191" t="n" s="8">
        <v>655200</v>
      </c>
      <c r="AS191" t="str" s="8">
        <v>攻击上限</v>
      </c>
      <c r="AT191" t="n" s="8">
        <v>655200</v>
      </c>
      <c r="AU191" t="str" s="8">
        <v>法力下限</v>
      </c>
      <c r="AV191" t="n" s="8">
        <v>655200</v>
      </c>
      <c r="AW191" t="str" s="8">
        <v>法力上限</v>
      </c>
      <c r="AX191" t="n" s="8">
        <v>655200</v>
      </c>
      <c r="AY191" t="str" s="8">
        <v>物防下限</v>
      </c>
      <c r="AZ191" t="n" s="8">
        <v>233100</v>
      </c>
      <c r="BA191" t="str" s="8">
        <v>物防上限</v>
      </c>
      <c r="BB191" t="n" s="8">
        <v>233100</v>
      </c>
      <c r="BC191" t="str" s="8">
        <v>法防下限</v>
      </c>
      <c r="BD191" t="n" s="8">
        <v>233100</v>
      </c>
      <c r="BE191" t="str" s="8">
        <v>法防上限</v>
      </c>
      <c r="BF191" t="n" s="8">
        <v>233100</v>
      </c>
      <c r="BG191" t="str" s="8">
        <v>移动速度</v>
      </c>
      <c r="BH191" t="n" s="8">
        <v>270</v>
      </c>
      <c r="BI191" t="str" s="8">
        <v>攻击范围</v>
      </c>
      <c r="BJ191" t="n" s="8">
        <v>160</v>
      </c>
      <c r="BK191" t="str" s="8">
        <v>警戒范围</v>
      </c>
      <c r="BL191" t="n" s="8">
        <v>550</v>
      </c>
      <c r="BM191" t="str" s="8">
        <v>攻击间隔</v>
      </c>
      <c r="BN191" t="n" s="8">
        <v>1800</v>
      </c>
      <c r="BO191" t="n" s="8">
        <v>0</v>
      </c>
      <c r="BP191" s="8"/>
      <c r="BQ191" t="n" s="8">
        <v>0</v>
      </c>
      <c r="BR191" t="n" s="8">
        <v>0</v>
      </c>
      <c r="BS191" t="n" s="8">
        <v>0</v>
      </c>
      <c r="BT191" t="n" s="8">
        <v>0</v>
      </c>
      <c r="BU191" t="str" s="8">
        <v>虚浮台的普通遭遇。依托本区既有水土、岩隙和可达条件活动。只在临时遭遇窗口出现，不设重复刷取。</v>
      </c>
      <c r="BV191" t="n">
        <v>8</v>
      </c>
      <c r="BW191" t="n">
        <v>5</v>
      </c>
      <c r="BX191" t="str">
        <v>凡品</v>
      </c>
      <c r="BY191" t="str">
        <v>native</v>
      </c>
      <c r="BZ191" t="b">
        <v>0</v>
      </c>
    </row>
    <row r="192" ht="16.5" customHeight="1" spans="2:75">
      <c r="A192"/>
      <c r="B192" t="n" s="8">
        <v>60672201</v>
      </c>
      <c r="C192" t="str" s="8">
        <v>a010</v>
      </c>
      <c r="D192" t="str" s="5">
        <v>绝顶灵狼·异种</v>
      </c>
      <c r="E192" t="str" s="5">
        <v>R08-M2-精英-201</v>
      </c>
      <c r="F192" t="n" s="8">
        <v>75</v>
      </c>
      <c r="G192" t="str" s="8">
        <v>绿色</v>
      </c>
      <c r="H192" t="n" s="8">
        <v>8</v>
      </c>
      <c r="I192" t="str" s="8">
        <v>虚浮台</v>
      </c>
      <c r="J192" t="str" s="8">
        <v>虚浮台</v>
      </c>
      <c r="K192" t="str" s="8">
        <v>精英</v>
      </c>
      <c r="L192" t="n" s="8">
        <v>201</v>
      </c>
      <c r="M192" t="n" s="8">
        <v>201</v>
      </c>
      <c r="N192" t="n" s="8">
        <v>3</v>
      </c>
      <c r="O192" s="8"/>
      <c r="P192" t="n" s="8">
        <v>40</v>
      </c>
      <c r="Q192" t="n" s="8">
        <v>0</v>
      </c>
      <c r="R192" t="str" s="8">
        <v>首击</v>
      </c>
      <c r="S192" t="n" s="8">
        <v>30000</v>
      </c>
      <c r="T192" t="n" s="8">
        <v>11</v>
      </c>
      <c r="U192" t="n" s="16">
        <v>40900801</v>
      </c>
      <c r="V192" t="n" s="8">
        <v>41120807</v>
      </c>
      <c r="W192" t="n" s="8">
        <v>41220801</v>
      </c>
      <c r="X192" t="n" s="8">
        <v>11000001</v>
      </c>
      <c r="Y192" s="8"/>
      <c r="Z192" s="8"/>
      <c r="AA192" t="str" s="8">
        <v>妖兽</v>
      </c>
      <c r="AB192" s="21">
        <v>20171</v>
      </c>
      <c r="AC192" t="n" s="8">
        <v>1.25</v>
      </c>
      <c r="AD192" t="n" s="8">
        <v>60</v>
      </c>
      <c r="AE192" t="n" s="8">
        <v>60</v>
      </c>
      <c r="AF192" t="n" s="8">
        <v>0</v>
      </c>
      <c r="AG192" t="n" s="8">
        <v>0</v>
      </c>
      <c r="AH192" t="str" s="8">
        <v>近战</v>
      </c>
      <c r="AI192" s="8"/>
      <c r="AJ192" s="17"/>
      <c r="AK192" s="8"/>
      <c r="AL192" s="18"/>
      <c r="AM192" t="str" s="8">
        <v>生命值</v>
      </c>
      <c r="AN192" t="n" s="19">
        <v>52920000</v>
      </c>
      <c r="AO192" t="str" s="8">
        <v>灵力值</v>
      </c>
      <c r="AP192" t="n" s="8">
        <v>1900080</v>
      </c>
      <c r="AQ192" t="str" s="8">
        <v>攻击下限</v>
      </c>
      <c r="AR192" t="n" s="8">
        <v>950040</v>
      </c>
      <c r="AS192" t="str" s="8">
        <v>攻击上限</v>
      </c>
      <c r="AT192" t="n" s="8">
        <v>950040</v>
      </c>
      <c r="AU192" t="str" s="8">
        <v>法力下限</v>
      </c>
      <c r="AV192" t="n" s="8">
        <v>950040</v>
      </c>
      <c r="AW192" t="str" s="8">
        <v>法力上限</v>
      </c>
      <c r="AX192" t="n" s="8">
        <v>950040</v>
      </c>
      <c r="AY192" t="str" s="8">
        <v>物防下限</v>
      </c>
      <c r="AZ192" t="n" s="8">
        <v>279720</v>
      </c>
      <c r="BA192" t="str" s="8">
        <v>物防上限</v>
      </c>
      <c r="BB192" t="n" s="8">
        <v>279720</v>
      </c>
      <c r="BC192" t="str" s="8">
        <v>法防下限</v>
      </c>
      <c r="BD192" t="n" s="8">
        <v>279720</v>
      </c>
      <c r="BE192" t="str" s="8">
        <v>法防上限</v>
      </c>
      <c r="BF192" t="n" s="8">
        <v>279720</v>
      </c>
      <c r="BG192" t="str" s="8">
        <v>移动速度</v>
      </c>
      <c r="BH192" t="n" s="8">
        <v>270</v>
      </c>
      <c r="BI192" t="str" s="8">
        <v>攻击范围</v>
      </c>
      <c r="BJ192" t="n" s="8">
        <v>160</v>
      </c>
      <c r="BK192" t="str" s="8">
        <v>警戒范围</v>
      </c>
      <c r="BL192" t="n" s="8">
        <v>550</v>
      </c>
      <c r="BM192" t="str" s="8">
        <v>攻击间隔</v>
      </c>
      <c r="BN192" t="n" s="8">
        <v>1800</v>
      </c>
      <c r="BO192" t="n" s="8">
        <v>0</v>
      </c>
      <c r="BP192" s="8"/>
      <c r="BQ192" t="n" s="8">
        <v>0</v>
      </c>
      <c r="BR192" t="n" s="8">
        <v>0</v>
      </c>
      <c r="BS192" t="n" s="8">
        <v>0</v>
      </c>
      <c r="BT192" t="n" s="8">
        <v>0</v>
      </c>
      <c r="BU192" t="str" s="8">
        <v>虚浮台的精英遭遇。依托本区既有水土、岩隙和可达条件活动。只在临时遭遇窗口出现，不设重复刷取。</v>
      </c>
      <c r="BV192" t="n">
        <v>8</v>
      </c>
      <c r="BW192" t="n">
        <v>5</v>
      </c>
      <c r="BX192" t="str">
        <v>玄品</v>
      </c>
      <c r="BY192" t="str">
        <v>native</v>
      </c>
      <c r="BZ192" t="b">
        <v>0</v>
      </c>
    </row>
    <row r="193" ht="16.5" customHeight="1" spans="2:75">
      <c r="A193"/>
      <c r="B193" t="n" s="8">
        <v>60681203</v>
      </c>
      <c r="C193" t="str" s="8">
        <v>a010</v>
      </c>
      <c r="D193" t="str" s="5">
        <v>裸岩灵蛇</v>
      </c>
      <c r="E193" t="str" s="5">
        <v>R08-M3-普通-202</v>
      </c>
      <c r="F193" t="n" s="8">
        <v>78</v>
      </c>
      <c r="G193" t="str" s="8">
        <v>白色</v>
      </c>
      <c r="H193" t="n" s="8">
        <v>8</v>
      </c>
      <c r="I193" t="str" s="8">
        <v>照影窗</v>
      </c>
      <c r="J193" t="str" s="8">
        <v>照影窗</v>
      </c>
      <c r="K193" t="str" s="8">
        <v>普通</v>
      </c>
      <c r="L193" t="n" s="8">
        <v>202</v>
      </c>
      <c r="M193" t="n" s="8">
        <v>202</v>
      </c>
      <c r="N193" t="n" s="8">
        <v>1</v>
      </c>
      <c r="O193" s="8"/>
      <c r="P193" t="n" s="8">
        <v>24</v>
      </c>
      <c r="Q193" t="n" s="8">
        <v>0</v>
      </c>
      <c r="R193" t="str" s="8">
        <v>首击</v>
      </c>
      <c r="S193" t="n" s="8">
        <v>30000</v>
      </c>
      <c r="T193" t="n" s="8">
        <v>10</v>
      </c>
      <c r="U193" t="n" s="16">
        <v>40900800</v>
      </c>
      <c r="V193" t="n" s="8">
        <v>40910808</v>
      </c>
      <c r="W193" t="n" s="8">
        <v>40920800</v>
      </c>
      <c r="X193" t="n" s="8">
        <v>11000001</v>
      </c>
      <c r="Y193" s="8"/>
      <c r="Z193" s="8"/>
      <c r="AA193" t="str" s="8">
        <v>妖兽</v>
      </c>
      <c r="AB193" s="21">
        <v>20173</v>
      </c>
      <c r="AC193" t="n" s="8">
        <v>1</v>
      </c>
      <c r="AD193" t="n" s="8">
        <v>60</v>
      </c>
      <c r="AE193" t="n" s="8">
        <v>60</v>
      </c>
      <c r="AF193" t="n" s="8">
        <v>0</v>
      </c>
      <c r="AG193" t="n" s="8">
        <v>0</v>
      </c>
      <c r="AH193" t="str" s="8">
        <v>近战</v>
      </c>
      <c r="AI193" s="8"/>
      <c r="AJ193" s="17"/>
      <c r="AK193" s="8"/>
      <c r="AL193" s="18"/>
      <c r="AM193" t="str" s="8">
        <v>生命值</v>
      </c>
      <c r="AN193" t="n" s="19">
        <v>21825000</v>
      </c>
      <c r="AO193" t="str" s="8">
        <v>灵力值</v>
      </c>
      <c r="AP193" t="n" s="8">
        <v>1513200</v>
      </c>
      <c r="AQ193" t="str" s="8">
        <v>攻击下限</v>
      </c>
      <c r="AR193" t="n" s="8">
        <v>756600</v>
      </c>
      <c r="AS193" t="str" s="8">
        <v>攻击上限</v>
      </c>
      <c r="AT193" t="n" s="8">
        <v>756600</v>
      </c>
      <c r="AU193" t="str" s="8">
        <v>法力下限</v>
      </c>
      <c r="AV193" t="n" s="8">
        <v>756600</v>
      </c>
      <c r="AW193" t="str" s="8">
        <v>法力上限</v>
      </c>
      <c r="AX193" t="n" s="8">
        <v>756600</v>
      </c>
      <c r="AY193" t="str" s="8">
        <v>物防下限</v>
      </c>
      <c r="AZ193" t="n" s="8">
        <v>269175</v>
      </c>
      <c r="BA193" t="str" s="8">
        <v>物防上限</v>
      </c>
      <c r="BB193" t="n" s="8">
        <v>269175</v>
      </c>
      <c r="BC193" t="str" s="8">
        <v>法防下限</v>
      </c>
      <c r="BD193" t="n" s="8">
        <v>269175</v>
      </c>
      <c r="BE193" t="str" s="8">
        <v>法防上限</v>
      </c>
      <c r="BF193" t="n" s="8">
        <v>269175</v>
      </c>
      <c r="BG193" t="str" s="8">
        <v>移动速度</v>
      </c>
      <c r="BH193" t="n" s="8">
        <v>270</v>
      </c>
      <c r="BI193" t="str" s="8">
        <v>攻击范围</v>
      </c>
      <c r="BJ193" t="n" s="8">
        <v>160</v>
      </c>
      <c r="BK193" t="str" s="8">
        <v>警戒范围</v>
      </c>
      <c r="BL193" t="n" s="8">
        <v>550</v>
      </c>
      <c r="BM193" t="str" s="8">
        <v>攻击间隔</v>
      </c>
      <c r="BN193" t="n" s="8">
        <v>1800</v>
      </c>
      <c r="BO193" t="n" s="8">
        <v>0</v>
      </c>
      <c r="BP193" s="8"/>
      <c r="BQ193" t="n" s="8">
        <v>0</v>
      </c>
      <c r="BR193" t="n" s="8">
        <v>0</v>
      </c>
      <c r="BS193" t="n" s="8">
        <v>0</v>
      </c>
      <c r="BT193" t="n" s="8">
        <v>0</v>
      </c>
      <c r="BU193" t="str" s="8">
        <v>照影窗的普通遭遇。依托本区既有水土、岩隙和可达条件活动。只在临时遭遇窗口出现，不设重复刷取。</v>
      </c>
      <c r="BV193" t="n">
        <v>8</v>
      </c>
      <c r="BW193" t="n">
        <v>8</v>
      </c>
      <c r="BX193" t="str">
        <v>凡品</v>
      </c>
      <c r="BY193" t="str">
        <v>native</v>
      </c>
      <c r="BZ193" t="b">
        <v>0</v>
      </c>
    </row>
    <row r="194" ht="16.5" customHeight="1" spans="2:75">
      <c r="A194"/>
      <c r="B194" t="n" s="8">
        <v>60681204</v>
      </c>
      <c r="C194" t="str" s="8">
        <v>a010</v>
      </c>
      <c r="D194" t="str" s="5">
        <v>回光岩蟹</v>
      </c>
      <c r="E194" t="str" s="5">
        <v>R08-M3-普通-203</v>
      </c>
      <c r="F194" t="n" s="8">
        <v>78</v>
      </c>
      <c r="G194" t="str" s="8">
        <v>白色</v>
      </c>
      <c r="H194" t="n" s="8">
        <v>8</v>
      </c>
      <c r="I194" t="str" s="8">
        <v>照影窗</v>
      </c>
      <c r="J194" t="str" s="8">
        <v>照影窗</v>
      </c>
      <c r="K194" t="str" s="8">
        <v>普通</v>
      </c>
      <c r="L194" t="n" s="8">
        <v>203</v>
      </c>
      <c r="M194" t="n" s="8">
        <v>203</v>
      </c>
      <c r="N194" t="n" s="8">
        <v>1</v>
      </c>
      <c r="O194" s="8"/>
      <c r="P194" t="n" s="8">
        <v>24</v>
      </c>
      <c r="Q194" t="n" s="8">
        <v>0</v>
      </c>
      <c r="R194" t="str" s="8">
        <v>首击</v>
      </c>
      <c r="S194" t="n" s="8">
        <v>30000</v>
      </c>
      <c r="T194" t="n" s="8">
        <v>10</v>
      </c>
      <c r="U194" t="n" s="16">
        <v>40900800</v>
      </c>
      <c r="V194" t="n" s="8">
        <v>40910809</v>
      </c>
      <c r="W194" t="n" s="8">
        <v>40920801</v>
      </c>
      <c r="X194" t="n" s="8">
        <v>11000001</v>
      </c>
      <c r="Y194" s="8"/>
      <c r="Z194" s="8"/>
      <c r="AA194" t="str" s="8">
        <v>妖兽</v>
      </c>
      <c r="AB194" s="21">
        <v>20174</v>
      </c>
      <c r="AC194" t="n" s="8">
        <v>1</v>
      </c>
      <c r="AD194" t="n" s="8">
        <v>60</v>
      </c>
      <c r="AE194" t="n" s="8">
        <v>60</v>
      </c>
      <c r="AF194" t="n" s="8">
        <v>0</v>
      </c>
      <c r="AG194" t="n" s="8">
        <v>0</v>
      </c>
      <c r="AH194" t="str" s="8">
        <v>近战</v>
      </c>
      <c r="AI194" s="8"/>
      <c r="AJ194" s="17"/>
      <c r="AK194" s="8"/>
      <c r="AL194" s="18"/>
      <c r="AM194" t="str" s="8">
        <v>生命值</v>
      </c>
      <c r="AN194" t="n" s="19">
        <v>21825000</v>
      </c>
      <c r="AO194" t="str" s="8">
        <v>灵力值</v>
      </c>
      <c r="AP194" t="n" s="8">
        <v>1513200</v>
      </c>
      <c r="AQ194" t="str" s="8">
        <v>攻击下限</v>
      </c>
      <c r="AR194" t="n" s="8">
        <v>756600</v>
      </c>
      <c r="AS194" t="str" s="8">
        <v>攻击上限</v>
      </c>
      <c r="AT194" t="n" s="8">
        <v>756600</v>
      </c>
      <c r="AU194" t="str" s="8">
        <v>法力下限</v>
      </c>
      <c r="AV194" t="n" s="8">
        <v>756600</v>
      </c>
      <c r="AW194" t="str" s="8">
        <v>法力上限</v>
      </c>
      <c r="AX194" t="n" s="8">
        <v>756600</v>
      </c>
      <c r="AY194" t="str" s="8">
        <v>物防下限</v>
      </c>
      <c r="AZ194" t="n" s="8">
        <v>269175</v>
      </c>
      <c r="BA194" t="str" s="8">
        <v>物防上限</v>
      </c>
      <c r="BB194" t="n" s="8">
        <v>269175</v>
      </c>
      <c r="BC194" t="str" s="8">
        <v>法防下限</v>
      </c>
      <c r="BD194" t="n" s="8">
        <v>269175</v>
      </c>
      <c r="BE194" t="str" s="8">
        <v>法防上限</v>
      </c>
      <c r="BF194" t="n" s="8">
        <v>269175</v>
      </c>
      <c r="BG194" t="str" s="8">
        <v>移动速度</v>
      </c>
      <c r="BH194" t="n" s="8">
        <v>270</v>
      </c>
      <c r="BI194" t="str" s="8">
        <v>攻击范围</v>
      </c>
      <c r="BJ194" t="n" s="8">
        <v>160</v>
      </c>
      <c r="BK194" t="str" s="8">
        <v>警戒范围</v>
      </c>
      <c r="BL194" t="n" s="8">
        <v>550</v>
      </c>
      <c r="BM194" t="str" s="8">
        <v>攻击间隔</v>
      </c>
      <c r="BN194" t="n" s="8">
        <v>1800</v>
      </c>
      <c r="BO194" t="n" s="8">
        <v>0</v>
      </c>
      <c r="BP194" s="8"/>
      <c r="BQ194" t="n" s="8">
        <v>0</v>
      </c>
      <c r="BR194" t="n" s="8">
        <v>0</v>
      </c>
      <c r="BS194" t="n" s="8">
        <v>0</v>
      </c>
      <c r="BT194" t="n" s="8">
        <v>0</v>
      </c>
      <c r="BU194" t="str" s="8">
        <v>照影窗的普通遭遇。依托本区既有水土、岩隙和可达条件活动。只在临时遭遇窗口出现，不设重复刷取。</v>
      </c>
      <c r="BV194" t="n">
        <v>8</v>
      </c>
      <c r="BW194" t="n">
        <v>8</v>
      </c>
      <c r="BX194" t="str">
        <v>凡品</v>
      </c>
      <c r="BY194" t="str">
        <v>native</v>
      </c>
      <c r="BZ194" t="b">
        <v>0</v>
      </c>
    </row>
    <row r="195" ht="16.5" customHeight="1" spans="2:75">
      <c r="A195"/>
      <c r="B195" t="n" s="8">
        <v>60682205</v>
      </c>
      <c r="C195" t="str" s="8">
        <v>a010</v>
      </c>
      <c r="D195" t="str" s="5">
        <v>高风灵蝠·异种</v>
      </c>
      <c r="E195" t="str" s="5">
        <v>R08-M3-精英-204</v>
      </c>
      <c r="F195" t="n" s="8">
        <v>78</v>
      </c>
      <c r="G195" t="str" s="8">
        <v>绿色</v>
      </c>
      <c r="H195" t="n" s="8">
        <v>8</v>
      </c>
      <c r="I195" t="str" s="8">
        <v>照影窗</v>
      </c>
      <c r="J195" t="str" s="8">
        <v>照影窗</v>
      </c>
      <c r="K195" t="str" s="8">
        <v>精英</v>
      </c>
      <c r="L195" t="n" s="8">
        <v>204</v>
      </c>
      <c r="M195" t="n" s="8">
        <v>204</v>
      </c>
      <c r="N195" t="n" s="8">
        <v>3</v>
      </c>
      <c r="O195" s="8"/>
      <c r="P195" t="n" s="8">
        <v>40</v>
      </c>
      <c r="Q195" t="n" s="8">
        <v>0</v>
      </c>
      <c r="R195" t="str" s="8">
        <v>首击</v>
      </c>
      <c r="S195" t="n" s="8">
        <v>30000</v>
      </c>
      <c r="T195" t="n" s="8">
        <v>11</v>
      </c>
      <c r="U195" t="n" s="16">
        <v>40900801</v>
      </c>
      <c r="V195" t="n" s="8">
        <v>41120810</v>
      </c>
      <c r="W195" t="n" s="8">
        <v>41220800</v>
      </c>
      <c r="X195" t="n" s="8">
        <v>11000001</v>
      </c>
      <c r="Y195" s="8"/>
      <c r="Z195" s="8"/>
      <c r="AA195" t="str" s="8">
        <v>妖兽</v>
      </c>
      <c r="AB195" s="21">
        <v>20174</v>
      </c>
      <c r="AC195" t="n" s="8">
        <v>1.25</v>
      </c>
      <c r="AD195" t="n" s="8">
        <v>60</v>
      </c>
      <c r="AE195" t="n" s="8">
        <v>60</v>
      </c>
      <c r="AF195" t="n" s="8">
        <v>0</v>
      </c>
      <c r="AG195" t="n" s="8">
        <v>0</v>
      </c>
      <c r="AH195" t="str" s="8">
        <v>近战</v>
      </c>
      <c r="AI195" s="8"/>
      <c r="AJ195" s="17"/>
      <c r="AK195" s="8"/>
      <c r="AL195" s="18"/>
      <c r="AM195" t="str" s="8">
        <v>生命值</v>
      </c>
      <c r="AN195" t="n" s="19">
        <v>61110000</v>
      </c>
      <c r="AO195" t="str" s="8">
        <v>灵力值</v>
      </c>
      <c r="AP195" t="n" s="8">
        <v>2194140</v>
      </c>
      <c r="AQ195" t="str" s="8">
        <v>攻击下限</v>
      </c>
      <c r="AR195" t="n" s="8">
        <v>1097070</v>
      </c>
      <c r="AS195" t="str" s="8">
        <v>攻击上限</v>
      </c>
      <c r="AT195" t="n" s="8">
        <v>1097070</v>
      </c>
      <c r="AU195" t="str" s="8">
        <v>法力下限</v>
      </c>
      <c r="AV195" t="n" s="8">
        <v>1097070</v>
      </c>
      <c r="AW195" t="str" s="8">
        <v>法力上限</v>
      </c>
      <c r="AX195" t="n" s="8">
        <v>1097070</v>
      </c>
      <c r="AY195" t="str" s="8">
        <v>物防下限</v>
      </c>
      <c r="AZ195" t="n" s="8">
        <v>323010</v>
      </c>
      <c r="BA195" t="str" s="8">
        <v>物防上限</v>
      </c>
      <c r="BB195" t="n" s="8">
        <v>323010</v>
      </c>
      <c r="BC195" t="str" s="8">
        <v>法防下限</v>
      </c>
      <c r="BD195" t="n" s="8">
        <v>323010</v>
      </c>
      <c r="BE195" t="str" s="8">
        <v>法防上限</v>
      </c>
      <c r="BF195" t="n" s="8">
        <v>323010</v>
      </c>
      <c r="BG195" t="str" s="8">
        <v>移动速度</v>
      </c>
      <c r="BH195" t="n" s="8">
        <v>270</v>
      </c>
      <c r="BI195" t="str" s="8">
        <v>攻击范围</v>
      </c>
      <c r="BJ195" t="n" s="8">
        <v>160</v>
      </c>
      <c r="BK195" t="str" s="8">
        <v>警戒范围</v>
      </c>
      <c r="BL195" t="n" s="8">
        <v>550</v>
      </c>
      <c r="BM195" t="str" s="8">
        <v>攻击间隔</v>
      </c>
      <c r="BN195" t="n" s="8">
        <v>1800</v>
      </c>
      <c r="BO195" t="n" s="8">
        <v>0</v>
      </c>
      <c r="BP195" s="8"/>
      <c r="BQ195" t="n" s="8">
        <v>0</v>
      </c>
      <c r="BR195" t="n" s="8">
        <v>0</v>
      </c>
      <c r="BS195" t="n" s="8">
        <v>0</v>
      </c>
      <c r="BT195" t="n" s="8">
        <v>0</v>
      </c>
      <c r="BU195" t="str" s="8">
        <v>照影窗的精英遭遇。依托本区既有水土、岩隙和可达条件活动。只在临时遭遇窗口出现，不设重复刷取。</v>
      </c>
      <c r="BV195" t="n">
        <v>8</v>
      </c>
      <c r="BW195" t="n">
        <v>8</v>
      </c>
      <c r="BX195" t="str">
        <v>玄品</v>
      </c>
      <c r="BY195" t="str">
        <v>native</v>
      </c>
      <c r="BZ195" t="b">
        <v>0</v>
      </c>
    </row>
    <row r="196" ht="16.5" customHeight="1" spans="2:75">
      <c r="A196"/>
      <c r="B196" t="n" s="8">
        <v>60684206</v>
      </c>
      <c r="C196" t="str" s="8">
        <v>a010</v>
      </c>
      <c r="D196" t="str" s="5">
        <v>绝顶灵狼·首领</v>
      </c>
      <c r="E196" t="str" s="5">
        <v>R08-M3-BOSS-205</v>
      </c>
      <c r="F196" t="n" s="8">
        <v>78</v>
      </c>
      <c r="G196" t="str" s="8">
        <v>橙色</v>
      </c>
      <c r="H196" t="n" s="8">
        <v>8</v>
      </c>
      <c r="I196" t="str" s="8">
        <v>照影窗</v>
      </c>
      <c r="J196" t="str" s="8">
        <v>照影窗</v>
      </c>
      <c r="K196" t="str" s="8">
        <v>BOSS</v>
      </c>
      <c r="L196" t="n" s="8">
        <v>205</v>
      </c>
      <c r="M196" t="n" s="8">
        <v>205</v>
      </c>
      <c r="N196" t="n" s="8">
        <v>5</v>
      </c>
      <c r="O196" s="8"/>
      <c r="P196" t="n" s="8">
        <v>40</v>
      </c>
      <c r="Q196" t="n" s="8">
        <v>0</v>
      </c>
      <c r="R196" t="str" s="8">
        <v>首击</v>
      </c>
      <c r="S196" t="n" s="8">
        <v>30000</v>
      </c>
      <c r="T196" t="n" s="8">
        <v>12</v>
      </c>
      <c r="U196" t="n" s="16">
        <v>40900802</v>
      </c>
      <c r="V196" t="n" s="8">
        <v>41130811</v>
      </c>
      <c r="W196" t="n" s="8">
        <v>41230801</v>
      </c>
      <c r="X196" t="n" s="8">
        <v>11000001</v>
      </c>
      <c r="Y196" s="8"/>
      <c r="Z196" s="8"/>
      <c r="AA196" t="str" s="8">
        <v>妖兽</v>
      </c>
      <c r="AB196" s="21">
        <v>20172</v>
      </c>
      <c r="AC196" t="n" s="8">
        <v>1.6</v>
      </c>
      <c r="AD196" t="n" s="8">
        <v>60</v>
      </c>
      <c r="AE196" t="n" s="8">
        <v>60</v>
      </c>
      <c r="AF196" t="n" s="8">
        <v>0</v>
      </c>
      <c r="AG196" t="n" s="8">
        <v>0</v>
      </c>
      <c r="AH196" t="str" s="8">
        <v>近战</v>
      </c>
      <c r="AI196" s="8"/>
      <c r="AJ196" s="17"/>
      <c r="AK196" s="8"/>
      <c r="AL196" s="18"/>
      <c r="AM196" t="str" s="8">
        <v>生命值</v>
      </c>
      <c r="AN196" t="n" s="19">
        <v>218250000</v>
      </c>
      <c r="AO196" t="str" s="8">
        <v>灵力值</v>
      </c>
      <c r="AP196" t="n" s="8">
        <v>3177720</v>
      </c>
      <c r="AQ196" t="str" s="8">
        <v>攻击下限</v>
      </c>
      <c r="AR196" t="n" s="8">
        <v>1588860</v>
      </c>
      <c r="AS196" t="str" s="8">
        <v>攻击上限</v>
      </c>
      <c r="AT196" t="n" s="8">
        <v>1588860</v>
      </c>
      <c r="AU196" t="str" s="8">
        <v>法力下限</v>
      </c>
      <c r="AV196" t="n" s="8">
        <v>1588860</v>
      </c>
      <c r="AW196" t="str" s="8">
        <v>法力上限</v>
      </c>
      <c r="AX196" t="n" s="8">
        <v>1588860</v>
      </c>
      <c r="AY196" t="str" s="8">
        <v>物防下限</v>
      </c>
      <c r="AZ196" t="n" s="8">
        <v>403762</v>
      </c>
      <c r="BA196" t="str" s="8">
        <v>物防上限</v>
      </c>
      <c r="BB196" t="n" s="8">
        <v>403762</v>
      </c>
      <c r="BC196" t="str" s="8">
        <v>法防下限</v>
      </c>
      <c r="BD196" t="n" s="8">
        <v>403762</v>
      </c>
      <c r="BE196" t="str" s="8">
        <v>法防上限</v>
      </c>
      <c r="BF196" t="n" s="8">
        <v>403762</v>
      </c>
      <c r="BG196" t="str" s="8">
        <v>移动速度</v>
      </c>
      <c r="BH196" t="n" s="8">
        <v>270</v>
      </c>
      <c r="BI196" t="str" s="8">
        <v>攻击范围</v>
      </c>
      <c r="BJ196" t="n" s="8">
        <v>160</v>
      </c>
      <c r="BK196" t="str" s="8">
        <v>警戒范围</v>
      </c>
      <c r="BL196" t="n" s="8">
        <v>700</v>
      </c>
      <c r="BM196" t="str" s="8">
        <v>攻击间隔</v>
      </c>
      <c r="BN196" t="n" s="8">
        <v>2200</v>
      </c>
      <c r="BO196" t="n" s="8">
        <v>0</v>
      </c>
      <c r="BP196" s="8"/>
      <c r="BQ196" t="n" s="8">
        <v>0</v>
      </c>
      <c r="BR196" t="n" s="8">
        <v>0</v>
      </c>
      <c r="BS196" t="n" s="8">
        <v>0</v>
      </c>
      <c r="BT196" t="n" s="8">
        <v>0</v>
      </c>
      <c r="BU196" t="str" s="8">
        <v>照影窗的BOSS遭遇。依托本区既有水土、岩隙和可达条件活动。只在临时遭遇窗口出现，不设重复刷取。</v>
      </c>
      <c r="BV196" t="n">
        <v>8</v>
      </c>
      <c r="BW196" t="n">
        <v>8</v>
      </c>
      <c r="BX196" t="str">
        <v>仙品</v>
      </c>
      <c r="BY196" t="str">
        <v>native</v>
      </c>
      <c r="BZ196" t="b">
        <v>1</v>
      </c>
    </row>
    <row r="197" ht="16.5" customHeight="1" spans="2:75">
      <c r="A197"/>
      <c r="B197" t="n" s="8">
        <v>60691207</v>
      </c>
      <c r="C197" t="str" s="8">
        <v>a010</v>
      </c>
      <c r="D197" t="str" s="5">
        <v>裸岩灵蛇</v>
      </c>
      <c r="E197" t="str" s="5">
        <v>R08-P1-普通-206</v>
      </c>
      <c r="F197" t="n" s="8">
        <v>73</v>
      </c>
      <c r="G197" t="str" s="8">
        <v>白色</v>
      </c>
      <c r="H197" t="n" s="8">
        <v>8</v>
      </c>
      <c r="I197" t="str" s="8">
        <v>回光藓</v>
      </c>
      <c r="J197" t="str" s="8">
        <v>回光藓</v>
      </c>
      <c r="K197" t="str" s="8">
        <v>普通</v>
      </c>
      <c r="L197" t="n" s="8">
        <v>206</v>
      </c>
      <c r="M197" t="n" s="8">
        <v>206</v>
      </c>
      <c r="N197" t="n" s="8">
        <v>1</v>
      </c>
      <c r="O197" s="8"/>
      <c r="P197" t="n" s="8">
        <v>24</v>
      </c>
      <c r="Q197" t="n" s="8">
        <v>0</v>
      </c>
      <c r="R197" t="str" s="8">
        <v>首击</v>
      </c>
      <c r="S197" t="n" s="8">
        <v>30000</v>
      </c>
      <c r="T197" t="n" s="8">
        <v>10</v>
      </c>
      <c r="U197" t="n" s="16">
        <v>40900800</v>
      </c>
      <c r="V197" t="n" s="8">
        <v>40910812</v>
      </c>
      <c r="W197" t="n" s="8">
        <v>40920800</v>
      </c>
      <c r="X197" t="n" s="8">
        <v>11000001</v>
      </c>
      <c r="Y197" s="8"/>
      <c r="Z197" s="8"/>
      <c r="AA197" t="str" s="8">
        <v>妖兽</v>
      </c>
      <c r="AB197" s="21">
        <v>20175</v>
      </c>
      <c r="AC197" t="n" s="8">
        <v>1</v>
      </c>
      <c r="AD197" t="n" s="8">
        <v>60</v>
      </c>
      <c r="AE197" t="n" s="8">
        <v>60</v>
      </c>
      <c r="AF197" t="n" s="8">
        <v>0</v>
      </c>
      <c r="AG197" t="n" s="8">
        <v>0</v>
      </c>
      <c r="AH197" t="str" s="8">
        <v>近战</v>
      </c>
      <c r="AI197" s="8"/>
      <c r="AJ197" s="17"/>
      <c r="AK197" s="8"/>
      <c r="AL197" s="18"/>
      <c r="AM197" t="str" s="8">
        <v>生命值</v>
      </c>
      <c r="AN197" t="n" s="19">
        <v>16950000</v>
      </c>
      <c r="AO197" t="str" s="8">
        <v>灵力值</v>
      </c>
      <c r="AP197" t="n" s="8">
        <v>1175200</v>
      </c>
      <c r="AQ197" t="str" s="8">
        <v>攻击下限</v>
      </c>
      <c r="AR197" t="n" s="8">
        <v>587600</v>
      </c>
      <c r="AS197" t="str" s="8">
        <v>攻击上限</v>
      </c>
      <c r="AT197" t="n" s="8">
        <v>587600</v>
      </c>
      <c r="AU197" t="str" s="8">
        <v>法力下限</v>
      </c>
      <c r="AV197" t="n" s="8">
        <v>587600</v>
      </c>
      <c r="AW197" t="str" s="8">
        <v>法力上限</v>
      </c>
      <c r="AX197" t="n" s="8">
        <v>587600</v>
      </c>
      <c r="AY197" t="str" s="8">
        <v>物防下限</v>
      </c>
      <c r="AZ197" t="n" s="8">
        <v>209050</v>
      </c>
      <c r="BA197" t="str" s="8">
        <v>物防上限</v>
      </c>
      <c r="BB197" t="n" s="8">
        <v>209050</v>
      </c>
      <c r="BC197" t="str" s="8">
        <v>法防下限</v>
      </c>
      <c r="BD197" t="n" s="8">
        <v>209050</v>
      </c>
      <c r="BE197" t="str" s="8">
        <v>法防上限</v>
      </c>
      <c r="BF197" t="n" s="8">
        <v>209050</v>
      </c>
      <c r="BG197" t="str" s="8">
        <v>移动速度</v>
      </c>
      <c r="BH197" t="n" s="8">
        <v>270</v>
      </c>
      <c r="BI197" t="str" s="8">
        <v>攻击范围</v>
      </c>
      <c r="BJ197" t="n" s="8">
        <v>160</v>
      </c>
      <c r="BK197" t="str" s="8">
        <v>警戒范围</v>
      </c>
      <c r="BL197" t="n" s="8">
        <v>550</v>
      </c>
      <c r="BM197" t="str" s="8">
        <v>攻击间隔</v>
      </c>
      <c r="BN197" t="n" s="8">
        <v>1800</v>
      </c>
      <c r="BO197" t="n" s="8">
        <v>0</v>
      </c>
      <c r="BP197" s="8"/>
      <c r="BQ197" t="n" s="8">
        <v>0</v>
      </c>
      <c r="BR197" t="n" s="8">
        <v>0</v>
      </c>
      <c r="BS197" t="n" s="8">
        <v>0</v>
      </c>
      <c r="BT197" t="n" s="8">
        <v>0</v>
      </c>
      <c r="BU197" t="str" s="8">
        <v>回光藓的普通遭遇。依托本区既有水土、岩隙和可达条件活动。只在临时遭遇窗口出现，不设重复刷取。</v>
      </c>
      <c r="BV197" t="n">
        <v>8</v>
      </c>
      <c r="BW197" t="n">
        <v>3</v>
      </c>
      <c r="BX197" t="str">
        <v>凡品</v>
      </c>
      <c r="BY197" t="str">
        <v>native</v>
      </c>
      <c r="BZ197" t="b">
        <v>0</v>
      </c>
    </row>
    <row r="198" ht="16.5" customHeight="1" spans="2:75">
      <c r="A198"/>
      <c r="B198" t="n" s="8">
        <v>60701208</v>
      </c>
      <c r="C198" t="str" s="8">
        <v>a010</v>
      </c>
      <c r="D198" t="str" s="5">
        <v>回光岩蟹</v>
      </c>
      <c r="E198" t="str" s="5">
        <v>R08-P2-普通-207</v>
      </c>
      <c r="F198" t="n" s="8">
        <v>76</v>
      </c>
      <c r="G198" t="str" s="8">
        <v>白色</v>
      </c>
      <c r="H198" t="n" s="8">
        <v>8</v>
      </c>
      <c r="I198" t="str" s="8">
        <v>风偃枝</v>
      </c>
      <c r="J198" t="str" s="8">
        <v>风偃枝</v>
      </c>
      <c r="K198" t="str" s="8">
        <v>普通</v>
      </c>
      <c r="L198" t="n" s="8">
        <v>207</v>
      </c>
      <c r="M198" t="n" s="8">
        <v>207</v>
      </c>
      <c r="N198" t="n" s="8">
        <v>1</v>
      </c>
      <c r="O198" s="8"/>
      <c r="P198" t="n" s="8">
        <v>24</v>
      </c>
      <c r="Q198" t="n" s="8">
        <v>0</v>
      </c>
      <c r="R198" t="str" s="8">
        <v>首击</v>
      </c>
      <c r="S198" t="n" s="8">
        <v>30000</v>
      </c>
      <c r="T198" t="n" s="8">
        <v>10</v>
      </c>
      <c r="U198" t="n" s="16">
        <v>40900800</v>
      </c>
      <c r="V198" t="n" s="8">
        <v>40910800</v>
      </c>
      <c r="W198" t="n" s="8">
        <v>40920801</v>
      </c>
      <c r="X198" t="n" s="8">
        <v>11000001</v>
      </c>
      <c r="Y198" s="8"/>
      <c r="Z198" s="8"/>
      <c r="AA198" t="str" s="8">
        <v>妖兽</v>
      </c>
      <c r="AB198" s="21">
        <v>20176</v>
      </c>
      <c r="AC198" t="n" s="8">
        <v>1</v>
      </c>
      <c r="AD198" t="n" s="8">
        <v>60</v>
      </c>
      <c r="AE198" t="n" s="8">
        <v>60</v>
      </c>
      <c r="AF198" t="n" s="8">
        <v>0</v>
      </c>
      <c r="AG198" t="n" s="8">
        <v>0</v>
      </c>
      <c r="AH198" t="str" s="8">
        <v>近战</v>
      </c>
      <c r="AI198" s="8"/>
      <c r="AJ198" s="17"/>
      <c r="AK198" s="8"/>
      <c r="AL198" s="18"/>
      <c r="AM198" t="str" s="8">
        <v>生命值</v>
      </c>
      <c r="AN198" t="n" s="19">
        <v>19875000</v>
      </c>
      <c r="AO198" t="str" s="8">
        <v>灵力值</v>
      </c>
      <c r="AP198" t="n" s="8">
        <v>1378000</v>
      </c>
      <c r="AQ198" t="str" s="8">
        <v>攻击下限</v>
      </c>
      <c r="AR198" t="n" s="8">
        <v>689000</v>
      </c>
      <c r="AS198" t="str" s="8">
        <v>攻击上限</v>
      </c>
      <c r="AT198" t="n" s="8">
        <v>689000</v>
      </c>
      <c r="AU198" t="str" s="8">
        <v>法力下限</v>
      </c>
      <c r="AV198" t="n" s="8">
        <v>689000</v>
      </c>
      <c r="AW198" t="str" s="8">
        <v>法力上限</v>
      </c>
      <c r="AX198" t="n" s="8">
        <v>689000</v>
      </c>
      <c r="AY198" t="str" s="8">
        <v>物防下限</v>
      </c>
      <c r="AZ198" t="n" s="8">
        <v>245125</v>
      </c>
      <c r="BA198" t="str" s="8">
        <v>物防上限</v>
      </c>
      <c r="BB198" t="n" s="8">
        <v>245125</v>
      </c>
      <c r="BC198" t="str" s="8">
        <v>法防下限</v>
      </c>
      <c r="BD198" t="n" s="8">
        <v>245125</v>
      </c>
      <c r="BE198" t="str" s="8">
        <v>法防上限</v>
      </c>
      <c r="BF198" t="n" s="8">
        <v>245125</v>
      </c>
      <c r="BG198" t="str" s="8">
        <v>移动速度</v>
      </c>
      <c r="BH198" t="n" s="8">
        <v>270</v>
      </c>
      <c r="BI198" t="str" s="8">
        <v>攻击范围</v>
      </c>
      <c r="BJ198" t="n" s="8">
        <v>160</v>
      </c>
      <c r="BK198" t="str" s="8">
        <v>警戒范围</v>
      </c>
      <c r="BL198" t="n" s="8">
        <v>550</v>
      </c>
      <c r="BM198" t="str" s="8">
        <v>攻击间隔</v>
      </c>
      <c r="BN198" t="n" s="8">
        <v>1800</v>
      </c>
      <c r="BO198" t="n" s="8">
        <v>0</v>
      </c>
      <c r="BP198" s="8"/>
      <c r="BQ198" t="n" s="8">
        <v>0</v>
      </c>
      <c r="BR198" t="n" s="8">
        <v>0</v>
      </c>
      <c r="BS198" t="n" s="8">
        <v>0</v>
      </c>
      <c r="BT198" t="n" s="8">
        <v>0</v>
      </c>
      <c r="BU198" t="str" s="8">
        <v>风偃枝的普通遭遇。依托本区既有水土、岩隙和可达条件活动。只在临时遭遇窗口出现，不设重复刷取。</v>
      </c>
      <c r="BV198" t="n">
        <v>8</v>
      </c>
      <c r="BW198" t="n">
        <v>6</v>
      </c>
      <c r="BX198" t="str">
        <v>凡品</v>
      </c>
      <c r="BY198" t="str">
        <v>native</v>
      </c>
      <c r="BZ198" t="b">
        <v>0</v>
      </c>
    </row>
    <row r="199" ht="16.5" customHeight="1" spans="2:75">
      <c r="A199"/>
      <c r="B199" t="n" s="8">
        <v>60711209</v>
      </c>
      <c r="C199" t="str" s="8">
        <v>a010</v>
      </c>
      <c r="D199" t="str" s="5">
        <v>高风灵蝠</v>
      </c>
      <c r="E199" t="str" s="5">
        <v>R08-S1-普通-208</v>
      </c>
      <c r="F199" t="n" s="8">
        <v>79</v>
      </c>
      <c r="G199" t="str" s="8">
        <v>白色</v>
      </c>
      <c r="H199" t="n" s="8">
        <v>8</v>
      </c>
      <c r="I199" t="str" s="8">
        <v>阖岫口</v>
      </c>
      <c r="J199" t="str" s="8">
        <v>阖岫口</v>
      </c>
      <c r="K199" t="str" s="8">
        <v>普通</v>
      </c>
      <c r="L199" t="n" s="8">
        <v>208</v>
      </c>
      <c r="M199" t="n" s="8">
        <v>208</v>
      </c>
      <c r="N199" t="n" s="8">
        <v>1</v>
      </c>
      <c r="O199" s="8"/>
      <c r="P199" t="n" s="8">
        <v>24</v>
      </c>
      <c r="Q199" t="n" s="8">
        <v>0</v>
      </c>
      <c r="R199" t="str" s="8">
        <v>首击</v>
      </c>
      <c r="S199" t="n" s="8">
        <v>30000</v>
      </c>
      <c r="T199" t="n" s="8">
        <v>10</v>
      </c>
      <c r="U199" t="n" s="16">
        <v>40900800</v>
      </c>
      <c r="V199" t="n" s="8">
        <v>40910801</v>
      </c>
      <c r="W199" t="n" s="8">
        <v>40920800</v>
      </c>
      <c r="X199" t="n" s="8">
        <v>11000001</v>
      </c>
      <c r="Y199" s="8"/>
      <c r="Z199" s="8"/>
      <c r="AA199" t="str" s="8">
        <v>妖兽</v>
      </c>
      <c r="AB199" s="21">
        <v>20177</v>
      </c>
      <c r="AC199" t="n" s="8">
        <v>1</v>
      </c>
      <c r="AD199" t="n" s="8">
        <v>60</v>
      </c>
      <c r="AE199" t="n" s="8">
        <v>60</v>
      </c>
      <c r="AF199" t="n" s="8">
        <v>0</v>
      </c>
      <c r="AG199" t="n" s="8">
        <v>0</v>
      </c>
      <c r="AH199" t="str" s="8">
        <v>近战</v>
      </c>
      <c r="AI199" s="8"/>
      <c r="AJ199" s="17"/>
      <c r="AK199" s="8"/>
      <c r="AL199" s="18"/>
      <c r="AM199" t="str" s="8">
        <v>生命值</v>
      </c>
      <c r="AN199" t="n" s="19">
        <v>22800000</v>
      </c>
      <c r="AO199" t="str" s="8">
        <v>灵力值</v>
      </c>
      <c r="AP199" t="n" s="8">
        <v>1580800</v>
      </c>
      <c r="AQ199" t="str" s="8">
        <v>攻击下限</v>
      </c>
      <c r="AR199" t="n" s="8">
        <v>790400</v>
      </c>
      <c r="AS199" t="str" s="8">
        <v>攻击上限</v>
      </c>
      <c r="AT199" t="n" s="8">
        <v>790400</v>
      </c>
      <c r="AU199" t="str" s="8">
        <v>法力下限</v>
      </c>
      <c r="AV199" t="n" s="8">
        <v>790400</v>
      </c>
      <c r="AW199" t="str" s="8">
        <v>法力上限</v>
      </c>
      <c r="AX199" t="n" s="8">
        <v>790400</v>
      </c>
      <c r="AY199" t="str" s="8">
        <v>物防下限</v>
      </c>
      <c r="AZ199" t="n" s="8">
        <v>281200</v>
      </c>
      <c r="BA199" t="str" s="8">
        <v>物防上限</v>
      </c>
      <c r="BB199" t="n" s="8">
        <v>281200</v>
      </c>
      <c r="BC199" t="str" s="8">
        <v>法防下限</v>
      </c>
      <c r="BD199" t="n" s="8">
        <v>281200</v>
      </c>
      <c r="BE199" t="str" s="8">
        <v>法防上限</v>
      </c>
      <c r="BF199" t="n" s="8">
        <v>281200</v>
      </c>
      <c r="BG199" t="str" s="8">
        <v>移动速度</v>
      </c>
      <c r="BH199" t="n" s="8">
        <v>270</v>
      </c>
      <c r="BI199" t="str" s="8">
        <v>攻击范围</v>
      </c>
      <c r="BJ199" t="n" s="8">
        <v>160</v>
      </c>
      <c r="BK199" t="str" s="8">
        <v>警戒范围</v>
      </c>
      <c r="BL199" t="n" s="8">
        <v>550</v>
      </c>
      <c r="BM199" t="str" s="8">
        <v>攻击间隔</v>
      </c>
      <c r="BN199" t="n" s="8">
        <v>1800</v>
      </c>
      <c r="BO199" t="n" s="8">
        <v>0</v>
      </c>
      <c r="BP199" s="8"/>
      <c r="BQ199" t="n" s="8">
        <v>0</v>
      </c>
      <c r="BR199" t="n" s="8">
        <v>0</v>
      </c>
      <c r="BS199" t="n" s="8">
        <v>0</v>
      </c>
      <c r="BT199" t="n" s="8">
        <v>0</v>
      </c>
      <c r="BU199" t="str" s="8">
        <v>阖岫口的普通遭遇。依托本区既有水土、岩隙和可达条件活动。只在临时遭遇窗口出现，不设重复刷取。</v>
      </c>
      <c r="BV199" t="n">
        <v>8</v>
      </c>
      <c r="BW199" t="n">
        <v>9</v>
      </c>
      <c r="BX199" t="str">
        <v>凡品</v>
      </c>
      <c r="BY199" t="str">
        <v>native</v>
      </c>
      <c r="BZ199" t="b">
        <v>0</v>
      </c>
    </row>
    <row r="200" ht="16.5" customHeight="1" spans="2:75">
      <c r="A200"/>
      <c r="B200" t="n" s="8">
        <v>60711211</v>
      </c>
      <c r="C200" t="str" s="8">
        <v>a010</v>
      </c>
      <c r="D200" t="str" s="5">
        <v>绝顶灵狼</v>
      </c>
      <c r="E200" t="str" s="5">
        <v>R08-S1-普通-209</v>
      </c>
      <c r="F200" t="n" s="8">
        <v>79</v>
      </c>
      <c r="G200" t="str" s="8">
        <v>白色</v>
      </c>
      <c r="H200" t="n" s="8">
        <v>8</v>
      </c>
      <c r="I200" t="str" s="8">
        <v>阖岫口</v>
      </c>
      <c r="J200" t="str" s="8">
        <v>阖岫口</v>
      </c>
      <c r="K200" t="str" s="8">
        <v>普通</v>
      </c>
      <c r="L200" t="n" s="8">
        <v>209</v>
      </c>
      <c r="M200" t="n" s="8">
        <v>209</v>
      </c>
      <c r="N200" t="n" s="8">
        <v>1</v>
      </c>
      <c r="O200" s="8"/>
      <c r="P200" t="n" s="8">
        <v>24</v>
      </c>
      <c r="Q200" t="n" s="8">
        <v>0</v>
      </c>
      <c r="R200" t="str" s="8">
        <v>首击</v>
      </c>
      <c r="S200" t="n" s="8">
        <v>30000</v>
      </c>
      <c r="T200" t="n" s="8">
        <v>10</v>
      </c>
      <c r="U200" t="n" s="16">
        <v>40900800</v>
      </c>
      <c r="V200" t="n" s="8">
        <v>40910802</v>
      </c>
      <c r="W200" t="n" s="8">
        <v>40920801</v>
      </c>
      <c r="X200" t="n" s="8">
        <v>11000001</v>
      </c>
      <c r="Y200" s="8"/>
      <c r="Z200" s="8"/>
      <c r="AA200" t="str" s="8">
        <v>妖兽</v>
      </c>
      <c r="AB200" s="21">
        <v>20179</v>
      </c>
      <c r="AC200" t="n" s="8">
        <v>1</v>
      </c>
      <c r="AD200" t="n" s="8">
        <v>60</v>
      </c>
      <c r="AE200" t="n" s="8">
        <v>60</v>
      </c>
      <c r="AF200" t="n" s="8">
        <v>0</v>
      </c>
      <c r="AG200" t="n" s="8">
        <v>0</v>
      </c>
      <c r="AH200" t="str" s="8">
        <v>近战</v>
      </c>
      <c r="AI200" s="8"/>
      <c r="AJ200" s="17"/>
      <c r="AK200" s="8"/>
      <c r="AL200" s="18"/>
      <c r="AM200" t="str" s="8">
        <v>生命值</v>
      </c>
      <c r="AN200" t="n" s="19">
        <v>22800000</v>
      </c>
      <c r="AO200" t="str" s="8">
        <v>灵力值</v>
      </c>
      <c r="AP200" t="n" s="8">
        <v>1580800</v>
      </c>
      <c r="AQ200" t="str" s="8">
        <v>攻击下限</v>
      </c>
      <c r="AR200" t="n" s="8">
        <v>790400</v>
      </c>
      <c r="AS200" t="str" s="8">
        <v>攻击上限</v>
      </c>
      <c r="AT200" t="n" s="8">
        <v>790400</v>
      </c>
      <c r="AU200" t="str" s="8">
        <v>法力下限</v>
      </c>
      <c r="AV200" t="n" s="8">
        <v>790400</v>
      </c>
      <c r="AW200" t="str" s="8">
        <v>法力上限</v>
      </c>
      <c r="AX200" t="n" s="8">
        <v>790400</v>
      </c>
      <c r="AY200" t="str" s="8">
        <v>物防下限</v>
      </c>
      <c r="AZ200" t="n" s="8">
        <v>281200</v>
      </c>
      <c r="BA200" t="str" s="8">
        <v>物防上限</v>
      </c>
      <c r="BB200" t="n" s="8">
        <v>281200</v>
      </c>
      <c r="BC200" t="str" s="8">
        <v>法防下限</v>
      </c>
      <c r="BD200" t="n" s="8">
        <v>281200</v>
      </c>
      <c r="BE200" t="str" s="8">
        <v>法防上限</v>
      </c>
      <c r="BF200" t="n" s="8">
        <v>281200</v>
      </c>
      <c r="BG200" t="str" s="8">
        <v>移动速度</v>
      </c>
      <c r="BH200" t="n" s="8">
        <v>270</v>
      </c>
      <c r="BI200" t="str" s="8">
        <v>攻击范围</v>
      </c>
      <c r="BJ200" t="n" s="8">
        <v>160</v>
      </c>
      <c r="BK200" t="str" s="8">
        <v>警戒范围</v>
      </c>
      <c r="BL200" t="n" s="8">
        <v>550</v>
      </c>
      <c r="BM200" t="str" s="8">
        <v>攻击间隔</v>
      </c>
      <c r="BN200" t="n" s="8">
        <v>1800</v>
      </c>
      <c r="BO200" t="n" s="8">
        <v>0</v>
      </c>
      <c r="BP200" s="8"/>
      <c r="BQ200" t="n" s="8">
        <v>0</v>
      </c>
      <c r="BR200" t="n" s="8">
        <v>0</v>
      </c>
      <c r="BS200" t="n" s="8">
        <v>0</v>
      </c>
      <c r="BT200" t="n" s="8">
        <v>0</v>
      </c>
      <c r="BU200" t="str" s="8">
        <v>阖岫口的普通遭遇。依托本区既有水土、岩隙和可达条件活动。只在临时遭遇窗口出现，不设重复刷取。</v>
      </c>
      <c r="BV200" t="n">
        <v>8</v>
      </c>
      <c r="BW200" t="n">
        <v>9</v>
      </c>
      <c r="BX200" t="str">
        <v>凡品</v>
      </c>
      <c r="BY200" t="str">
        <v>native</v>
      </c>
      <c r="BZ200" t="b">
        <v>0</v>
      </c>
    </row>
    <row r="201" ht="16.5" customHeight="1" spans="2:75">
      <c r="A201"/>
      <c r="B201" t="n" s="8">
        <v>60712212</v>
      </c>
      <c r="C201" t="str" s="8">
        <v>a010</v>
      </c>
      <c r="D201" t="str" s="5">
        <v>裸岩灵蛇·异种</v>
      </c>
      <c r="E201" t="str" s="5">
        <v>R08-S1-精英-210</v>
      </c>
      <c r="F201" t="n" s="8">
        <v>79</v>
      </c>
      <c r="G201" t="str" s="8">
        <v>绿色</v>
      </c>
      <c r="H201" t="n" s="8">
        <v>8</v>
      </c>
      <c r="I201" t="str" s="8">
        <v>阖岫口</v>
      </c>
      <c r="J201" t="str" s="8">
        <v>阖岫口</v>
      </c>
      <c r="K201" t="str" s="8">
        <v>精英</v>
      </c>
      <c r="L201" t="n" s="8">
        <v>210</v>
      </c>
      <c r="M201" t="n" s="8">
        <v>210</v>
      </c>
      <c r="N201" t="n" s="8">
        <v>3</v>
      </c>
      <c r="O201" s="8"/>
      <c r="P201" t="n" s="8">
        <v>40</v>
      </c>
      <c r="Q201" t="n" s="8">
        <v>0</v>
      </c>
      <c r="R201" t="str" s="8">
        <v>首击</v>
      </c>
      <c r="S201" t="n" s="8">
        <v>30000</v>
      </c>
      <c r="T201" t="n" s="8">
        <v>11</v>
      </c>
      <c r="U201" t="n" s="16">
        <v>40900801</v>
      </c>
      <c r="V201" t="n" s="8">
        <v>41120803</v>
      </c>
      <c r="W201" t="n" s="8">
        <v>41220800</v>
      </c>
      <c r="X201" t="n" s="8">
        <v>11000001</v>
      </c>
      <c r="Y201" s="8"/>
      <c r="Z201" s="8"/>
      <c r="AA201" t="str" s="8">
        <v>妖兽</v>
      </c>
      <c r="AB201" s="21">
        <v>20179</v>
      </c>
      <c r="AC201" t="n" s="8">
        <v>1.25</v>
      </c>
      <c r="AD201" t="n" s="8">
        <v>60</v>
      </c>
      <c r="AE201" t="n" s="8">
        <v>60</v>
      </c>
      <c r="AF201" t="n" s="8">
        <v>0</v>
      </c>
      <c r="AG201" t="n" s="8">
        <v>0</v>
      </c>
      <c r="AH201" t="str" s="8">
        <v>近战</v>
      </c>
      <c r="AI201" s="8"/>
      <c r="AJ201" s="17"/>
      <c r="AK201" s="8"/>
      <c r="AL201" s="18"/>
      <c r="AM201" t="str" s="8">
        <v>生命值</v>
      </c>
      <c r="AN201" t="n" s="19">
        <v>63840000</v>
      </c>
      <c r="AO201" t="str" s="8">
        <v>灵力值</v>
      </c>
      <c r="AP201" t="n" s="8">
        <v>2292160</v>
      </c>
      <c r="AQ201" t="str" s="8">
        <v>攻击下限</v>
      </c>
      <c r="AR201" t="n" s="8">
        <v>1146080</v>
      </c>
      <c r="AS201" t="str" s="8">
        <v>攻击上限</v>
      </c>
      <c r="AT201" t="n" s="8">
        <v>1146080</v>
      </c>
      <c r="AU201" t="str" s="8">
        <v>法力下限</v>
      </c>
      <c r="AV201" t="n" s="8">
        <v>1146080</v>
      </c>
      <c r="AW201" t="str" s="8">
        <v>法力上限</v>
      </c>
      <c r="AX201" t="n" s="8">
        <v>1146080</v>
      </c>
      <c r="AY201" t="str" s="8">
        <v>物防下限</v>
      </c>
      <c r="AZ201" t="n" s="8">
        <v>337440</v>
      </c>
      <c r="BA201" t="str" s="8">
        <v>物防上限</v>
      </c>
      <c r="BB201" t="n" s="8">
        <v>337440</v>
      </c>
      <c r="BC201" t="str" s="8">
        <v>法防下限</v>
      </c>
      <c r="BD201" t="n" s="8">
        <v>337440</v>
      </c>
      <c r="BE201" t="str" s="8">
        <v>法防上限</v>
      </c>
      <c r="BF201" t="n" s="8">
        <v>337440</v>
      </c>
      <c r="BG201" t="str" s="8">
        <v>移动速度</v>
      </c>
      <c r="BH201" t="n" s="8">
        <v>270</v>
      </c>
      <c r="BI201" t="str" s="8">
        <v>攻击范围</v>
      </c>
      <c r="BJ201" t="n" s="8">
        <v>160</v>
      </c>
      <c r="BK201" t="str" s="8">
        <v>警戒范围</v>
      </c>
      <c r="BL201" t="n" s="8">
        <v>550</v>
      </c>
      <c r="BM201" t="str" s="8">
        <v>攻击间隔</v>
      </c>
      <c r="BN201" t="n" s="8">
        <v>1800</v>
      </c>
      <c r="BO201" t="n" s="8">
        <v>0</v>
      </c>
      <c r="BP201" s="8"/>
      <c r="BQ201" t="n" s="8">
        <v>0</v>
      </c>
      <c r="BR201" t="n" s="8">
        <v>0</v>
      </c>
      <c r="BS201" t="n" s="8">
        <v>0</v>
      </c>
      <c r="BT201" t="n" s="8">
        <v>0</v>
      </c>
      <c r="BU201" t="str" s="8">
        <v>阖岫口的精英遭遇。依托本区既有水土、岩隙和可达条件活动。只在临时遭遇窗口出现，不设重复刷取。</v>
      </c>
      <c r="BV201" t="n">
        <v>8</v>
      </c>
      <c r="BW201" t="n">
        <v>9</v>
      </c>
      <c r="BX201" t="str">
        <v>玄品</v>
      </c>
      <c r="BY201" t="str">
        <v>native</v>
      </c>
      <c r="BZ201" t="b">
        <v>0</v>
      </c>
    </row>
    <row r="202" ht="16.5" customHeight="1" spans="2:75">
      <c r="A202"/>
      <c r="B202" t="n" s="8">
        <v>60714213</v>
      </c>
      <c r="C202" t="str" s="8">
        <v>a010</v>
      </c>
      <c r="D202" t="str" s="5">
        <v>回光岩蟹·首领</v>
      </c>
      <c r="E202" t="str" s="5">
        <v>R08-S1-BOSS-211</v>
      </c>
      <c r="F202" t="n" s="8">
        <v>79</v>
      </c>
      <c r="G202" t="str" s="8">
        <v>橙色</v>
      </c>
      <c r="H202" t="n" s="8">
        <v>8</v>
      </c>
      <c r="I202" t="str" s="8">
        <v>阖岫口</v>
      </c>
      <c r="J202" t="str" s="8">
        <v>阖岫口</v>
      </c>
      <c r="K202" t="str" s="8">
        <v>BOSS</v>
      </c>
      <c r="L202" t="n" s="8">
        <v>211</v>
      </c>
      <c r="M202" t="n" s="8">
        <v>211</v>
      </c>
      <c r="N202" t="n" s="8">
        <v>5</v>
      </c>
      <c r="O202" s="8"/>
      <c r="P202" t="n" s="8">
        <v>40</v>
      </c>
      <c r="Q202" t="n" s="8">
        <v>0</v>
      </c>
      <c r="R202" t="str" s="8">
        <v>首击</v>
      </c>
      <c r="S202" t="n" s="8">
        <v>30000</v>
      </c>
      <c r="T202" t="n" s="8">
        <v>12</v>
      </c>
      <c r="U202" t="n" s="16">
        <v>40900802</v>
      </c>
      <c r="V202" t="n" s="8">
        <v>41130804</v>
      </c>
      <c r="W202" t="n" s="8">
        <v>41230801</v>
      </c>
      <c r="X202" t="n" s="8">
        <v>11000001</v>
      </c>
      <c r="Y202" s="8"/>
      <c r="Z202" s="8"/>
      <c r="AA202" t="str" s="8">
        <v>妖兽</v>
      </c>
      <c r="AB202" s="21">
        <v>20178</v>
      </c>
      <c r="AC202" t="n" s="8">
        <v>1.6</v>
      </c>
      <c r="AD202" t="n" s="8">
        <v>60</v>
      </c>
      <c r="AE202" t="n" s="8">
        <v>60</v>
      </c>
      <c r="AF202" t="n" s="8">
        <v>0</v>
      </c>
      <c r="AG202" t="n" s="8">
        <v>0</v>
      </c>
      <c r="AH202" t="str" s="8">
        <v>近战</v>
      </c>
      <c r="AI202" s="8"/>
      <c r="AJ202" s="17"/>
      <c r="AK202" s="8"/>
      <c r="AL202" s="18"/>
      <c r="AM202" t="str" s="8">
        <v>生命值</v>
      </c>
      <c r="AN202" t="n" s="19">
        <v>228000000</v>
      </c>
      <c r="AO202" t="str" s="8">
        <v>灵力值</v>
      </c>
      <c r="AP202" t="n" s="8">
        <v>3319680</v>
      </c>
      <c r="AQ202" t="str" s="8">
        <v>攻击下限</v>
      </c>
      <c r="AR202" t="n" s="8">
        <v>1659840</v>
      </c>
      <c r="AS202" t="str" s="8">
        <v>攻击上限</v>
      </c>
      <c r="AT202" t="n" s="8">
        <v>1659840</v>
      </c>
      <c r="AU202" t="str" s="8">
        <v>法力下限</v>
      </c>
      <c r="AV202" t="n" s="8">
        <v>1659840</v>
      </c>
      <c r="AW202" t="str" s="8">
        <v>法力上限</v>
      </c>
      <c r="AX202" t="n" s="8">
        <v>1659840</v>
      </c>
      <c r="AY202" t="str" s="8">
        <v>物防下限</v>
      </c>
      <c r="AZ202" t="n" s="8">
        <v>421800</v>
      </c>
      <c r="BA202" t="str" s="8">
        <v>物防上限</v>
      </c>
      <c r="BB202" t="n" s="8">
        <v>421800</v>
      </c>
      <c r="BC202" t="str" s="8">
        <v>法防下限</v>
      </c>
      <c r="BD202" t="n" s="8">
        <v>421800</v>
      </c>
      <c r="BE202" t="str" s="8">
        <v>法防上限</v>
      </c>
      <c r="BF202" t="n" s="8">
        <v>421800</v>
      </c>
      <c r="BG202" t="str" s="8">
        <v>移动速度</v>
      </c>
      <c r="BH202" t="n" s="8">
        <v>270</v>
      </c>
      <c r="BI202" t="str" s="8">
        <v>攻击范围</v>
      </c>
      <c r="BJ202" t="n" s="8">
        <v>160</v>
      </c>
      <c r="BK202" t="str" s="8">
        <v>警戒范围</v>
      </c>
      <c r="BL202" t="n" s="8">
        <v>700</v>
      </c>
      <c r="BM202" t="str" s="8">
        <v>攻击间隔</v>
      </c>
      <c r="BN202" t="n" s="8">
        <v>2200</v>
      </c>
      <c r="BO202" t="n" s="8">
        <v>0</v>
      </c>
      <c r="BP202" s="8"/>
      <c r="BQ202" t="n" s="8">
        <v>0</v>
      </c>
      <c r="BR202" t="n" s="8">
        <v>0</v>
      </c>
      <c r="BS202" t="n" s="8">
        <v>0</v>
      </c>
      <c r="BT202" t="n" s="8">
        <v>0</v>
      </c>
      <c r="BU202" t="str" s="8">
        <v>阖岫口的BOSS遭遇。依托本区既有水土、岩隙和可达条件活动。只在临时遭遇窗口出现，不设重复刷取。</v>
      </c>
      <c r="BV202" t="n">
        <v>8</v>
      </c>
      <c r="BW202" t="n">
        <v>9</v>
      </c>
      <c r="BX202" t="str">
        <v>仙品</v>
      </c>
      <c r="BY202" t="str">
        <v>native</v>
      </c>
      <c r="BZ202" t="b">
        <v>1</v>
      </c>
    </row>
    <row r="203" ht="16.5" customHeight="1" spans="2:75">
      <c r="A203"/>
      <c r="B203" t="n" s="8">
        <v>60721214</v>
      </c>
      <c r="C203" t="str" s="8">
        <v>a010</v>
      </c>
      <c r="D203" t="str" s="5">
        <v>高风灵蝠</v>
      </c>
      <c r="E203" t="str" s="5">
        <v>R08-S2-普通-212</v>
      </c>
      <c r="F203" t="n" s="8">
        <v>80</v>
      </c>
      <c r="G203" t="str" s="8">
        <v>白色</v>
      </c>
      <c r="H203" t="n" s="8">
        <v>8</v>
      </c>
      <c r="I203" t="str" s="8">
        <v>坠尽渊</v>
      </c>
      <c r="J203" t="str" s="8">
        <v>坠尽渊</v>
      </c>
      <c r="K203" t="str" s="8">
        <v>普通</v>
      </c>
      <c r="L203" t="n" s="8">
        <v>212</v>
      </c>
      <c r="M203" t="n" s="8">
        <v>212</v>
      </c>
      <c r="N203" t="n" s="8">
        <v>1</v>
      </c>
      <c r="O203" s="8"/>
      <c r="P203" t="n" s="8">
        <v>24</v>
      </c>
      <c r="Q203" t="n" s="8">
        <v>0</v>
      </c>
      <c r="R203" t="str" s="8">
        <v>首击</v>
      </c>
      <c r="S203" t="n" s="8">
        <v>30000</v>
      </c>
      <c r="T203" t="n" s="8">
        <v>10</v>
      </c>
      <c r="U203" t="n" s="16">
        <v>40900800</v>
      </c>
      <c r="V203" t="n" s="8">
        <v>40910805</v>
      </c>
      <c r="W203" t="n" s="8">
        <v>40920800</v>
      </c>
      <c r="X203" t="n" s="8">
        <v>11000001</v>
      </c>
      <c r="Y203" s="8"/>
      <c r="Z203" s="8"/>
      <c r="AA203" t="str" s="8">
        <v>妖兽</v>
      </c>
      <c r="AB203" s="21">
        <v>20180</v>
      </c>
      <c r="AC203" t="n" s="8">
        <v>1</v>
      </c>
      <c r="AD203" t="n" s="8">
        <v>60</v>
      </c>
      <c r="AE203" t="n" s="8">
        <v>60</v>
      </c>
      <c r="AF203" t="n" s="8">
        <v>0</v>
      </c>
      <c r="AG203" t="n" s="8">
        <v>0</v>
      </c>
      <c r="AH203" t="str" s="8">
        <v>近战</v>
      </c>
      <c r="AI203" s="8"/>
      <c r="AJ203" s="17"/>
      <c r="AK203" s="8"/>
      <c r="AL203" s="18"/>
      <c r="AM203" t="str" s="8">
        <v>生命值</v>
      </c>
      <c r="AN203" t="n" s="19">
        <v>23775000</v>
      </c>
      <c r="AO203" t="str" s="8">
        <v>灵力值</v>
      </c>
      <c r="AP203" t="n" s="8">
        <v>1648400</v>
      </c>
      <c r="AQ203" t="str" s="8">
        <v>攻击下限</v>
      </c>
      <c r="AR203" t="n" s="8">
        <v>824200</v>
      </c>
      <c r="AS203" t="str" s="8">
        <v>攻击上限</v>
      </c>
      <c r="AT203" t="n" s="8">
        <v>824200</v>
      </c>
      <c r="AU203" t="str" s="8">
        <v>法力下限</v>
      </c>
      <c r="AV203" t="n" s="8">
        <v>824200</v>
      </c>
      <c r="AW203" t="str" s="8">
        <v>法力上限</v>
      </c>
      <c r="AX203" t="n" s="8">
        <v>824200</v>
      </c>
      <c r="AY203" t="str" s="8">
        <v>物防下限</v>
      </c>
      <c r="AZ203" t="n" s="8">
        <v>293225</v>
      </c>
      <c r="BA203" t="str" s="8">
        <v>物防上限</v>
      </c>
      <c r="BB203" t="n" s="8">
        <v>293225</v>
      </c>
      <c r="BC203" t="str" s="8">
        <v>法防下限</v>
      </c>
      <c r="BD203" t="n" s="8">
        <v>293225</v>
      </c>
      <c r="BE203" t="str" s="8">
        <v>法防上限</v>
      </c>
      <c r="BF203" t="n" s="8">
        <v>293225</v>
      </c>
      <c r="BG203" t="str" s="8">
        <v>移动速度</v>
      </c>
      <c r="BH203" t="n" s="8">
        <v>270</v>
      </c>
      <c r="BI203" t="str" s="8">
        <v>攻击范围</v>
      </c>
      <c r="BJ203" t="n" s="8">
        <v>160</v>
      </c>
      <c r="BK203" t="str" s="8">
        <v>警戒范围</v>
      </c>
      <c r="BL203" t="n" s="8">
        <v>550</v>
      </c>
      <c r="BM203" t="str" s="8">
        <v>攻击间隔</v>
      </c>
      <c r="BN203" t="n" s="8">
        <v>1800</v>
      </c>
      <c r="BO203" t="n" s="8">
        <v>0</v>
      </c>
      <c r="BP203" s="8"/>
      <c r="BQ203" t="n" s="8">
        <v>0</v>
      </c>
      <c r="BR203" t="n" s="8">
        <v>0</v>
      </c>
      <c r="BS203" t="n" s="8">
        <v>0</v>
      </c>
      <c r="BT203" t="n" s="8">
        <v>0</v>
      </c>
      <c r="BU203" t="str" s="8">
        <v>坠尽渊的普通遭遇。依托本区既有水土、岩隙和可达条件活动。只在临时遭遇窗口出现，不设重复刷取。</v>
      </c>
      <c r="BV203" t="n">
        <v>8</v>
      </c>
      <c r="BW203" t="n">
        <v>10</v>
      </c>
      <c r="BX203" t="str">
        <v>凡品</v>
      </c>
      <c r="BY203" t="str">
        <v>native</v>
      </c>
      <c r="BZ203" t="b">
        <v>0</v>
      </c>
    </row>
    <row r="204" ht="16.5" customHeight="1" spans="2:75">
      <c r="A204"/>
      <c r="B204" t="n" s="8">
        <v>60721215</v>
      </c>
      <c r="C204" t="str" s="8">
        <v>a010</v>
      </c>
      <c r="D204" t="str" s="5">
        <v>绝顶灵狼</v>
      </c>
      <c r="E204" t="str" s="5">
        <v>R08-S2-普通-213</v>
      </c>
      <c r="F204" t="n" s="8">
        <v>80</v>
      </c>
      <c r="G204" t="str" s="8">
        <v>白色</v>
      </c>
      <c r="H204" t="n" s="8">
        <v>8</v>
      </c>
      <c r="I204" t="str" s="8">
        <v>坠尽渊</v>
      </c>
      <c r="J204" t="str" s="8">
        <v>坠尽渊</v>
      </c>
      <c r="K204" t="str" s="8">
        <v>普通</v>
      </c>
      <c r="L204" t="n" s="8">
        <v>213</v>
      </c>
      <c r="M204" t="n" s="8">
        <v>213</v>
      </c>
      <c r="N204" t="n" s="8">
        <v>1</v>
      </c>
      <c r="O204" s="8"/>
      <c r="P204" t="n" s="8">
        <v>24</v>
      </c>
      <c r="Q204" t="n" s="8">
        <v>0</v>
      </c>
      <c r="R204" t="str" s="8">
        <v>首击</v>
      </c>
      <c r="S204" t="n" s="8">
        <v>30000</v>
      </c>
      <c r="T204" t="n" s="8">
        <v>10</v>
      </c>
      <c r="U204" t="n" s="16">
        <v>40900800</v>
      </c>
      <c r="V204" t="n" s="8">
        <v>40910806</v>
      </c>
      <c r="W204" t="n" s="8">
        <v>40920801</v>
      </c>
      <c r="X204" t="n" s="8">
        <v>11000001</v>
      </c>
      <c r="Y204" s="8"/>
      <c r="Z204" s="8"/>
      <c r="AA204" t="str" s="8">
        <v>妖兽</v>
      </c>
      <c r="AB204" s="21">
        <v>20181</v>
      </c>
      <c r="AC204" t="n" s="8">
        <v>1</v>
      </c>
      <c r="AD204" t="n" s="8">
        <v>60</v>
      </c>
      <c r="AE204" t="n" s="8">
        <v>60</v>
      </c>
      <c r="AF204" t="n" s="8">
        <v>0</v>
      </c>
      <c r="AG204" t="n" s="8">
        <v>0</v>
      </c>
      <c r="AH204" t="str" s="8">
        <v>近战</v>
      </c>
      <c r="AI204" s="8"/>
      <c r="AJ204" s="17"/>
      <c r="AK204" s="8"/>
      <c r="AL204" s="18"/>
      <c r="AM204" t="str" s="8">
        <v>生命值</v>
      </c>
      <c r="AN204" t="n" s="19">
        <v>23775000</v>
      </c>
      <c r="AO204" t="str" s="8">
        <v>灵力值</v>
      </c>
      <c r="AP204" t="n" s="8">
        <v>1648400</v>
      </c>
      <c r="AQ204" t="str" s="8">
        <v>攻击下限</v>
      </c>
      <c r="AR204" t="n" s="8">
        <v>824200</v>
      </c>
      <c r="AS204" t="str" s="8">
        <v>攻击上限</v>
      </c>
      <c r="AT204" t="n" s="8">
        <v>824200</v>
      </c>
      <c r="AU204" t="str" s="8">
        <v>法力下限</v>
      </c>
      <c r="AV204" t="n" s="8">
        <v>824200</v>
      </c>
      <c r="AW204" t="str" s="8">
        <v>法力上限</v>
      </c>
      <c r="AX204" t="n" s="8">
        <v>824200</v>
      </c>
      <c r="AY204" t="str" s="8">
        <v>物防下限</v>
      </c>
      <c r="AZ204" t="n" s="8">
        <v>293225</v>
      </c>
      <c r="BA204" t="str" s="8">
        <v>物防上限</v>
      </c>
      <c r="BB204" t="n" s="8">
        <v>293225</v>
      </c>
      <c r="BC204" t="str" s="8">
        <v>法防下限</v>
      </c>
      <c r="BD204" t="n" s="8">
        <v>293225</v>
      </c>
      <c r="BE204" t="str" s="8">
        <v>法防上限</v>
      </c>
      <c r="BF204" t="n" s="8">
        <v>293225</v>
      </c>
      <c r="BG204" t="str" s="8">
        <v>移动速度</v>
      </c>
      <c r="BH204" t="n" s="8">
        <v>270</v>
      </c>
      <c r="BI204" t="str" s="8">
        <v>攻击范围</v>
      </c>
      <c r="BJ204" t="n" s="8">
        <v>160</v>
      </c>
      <c r="BK204" t="str" s="8">
        <v>警戒范围</v>
      </c>
      <c r="BL204" t="n" s="8">
        <v>550</v>
      </c>
      <c r="BM204" t="str" s="8">
        <v>攻击间隔</v>
      </c>
      <c r="BN204" t="n" s="8">
        <v>1800</v>
      </c>
      <c r="BO204" t="n" s="8">
        <v>0</v>
      </c>
      <c r="BP204" s="8"/>
      <c r="BQ204" t="n" s="8">
        <v>0</v>
      </c>
      <c r="BR204" t="n" s="8">
        <v>0</v>
      </c>
      <c r="BS204" t="n" s="8">
        <v>0</v>
      </c>
      <c r="BT204" t="n" s="8">
        <v>0</v>
      </c>
      <c r="BU204" t="str" s="8">
        <v>坠尽渊的普通遭遇。依托本区既有水土、岩隙和可达条件活动。只在临时遭遇窗口出现，不设重复刷取。</v>
      </c>
      <c r="BV204" t="n">
        <v>8</v>
      </c>
      <c r="BW204" t="n">
        <v>10</v>
      </c>
      <c r="BX204" t="str">
        <v>凡品</v>
      </c>
      <c r="BY204" t="str">
        <v>native</v>
      </c>
      <c r="BZ204" t="b">
        <v>0</v>
      </c>
    </row>
    <row r="205" ht="16.5" customHeight="1" spans="2:75">
      <c r="A205"/>
      <c r="B205" t="n" s="8">
        <v>60721216</v>
      </c>
      <c r="C205" t="str" s="8">
        <v>a010</v>
      </c>
      <c r="D205" t="str" s="5">
        <v>裸岩灵蛇</v>
      </c>
      <c r="E205" t="str" s="5">
        <v>R08-S2-普通-214</v>
      </c>
      <c r="F205" t="n" s="8">
        <v>80</v>
      </c>
      <c r="G205" t="str" s="8">
        <v>白色</v>
      </c>
      <c r="H205" t="n" s="8">
        <v>8</v>
      </c>
      <c r="I205" t="str" s="8">
        <v>坠尽渊</v>
      </c>
      <c r="J205" t="str" s="8">
        <v>坠尽渊</v>
      </c>
      <c r="K205" t="str" s="8">
        <v>普通</v>
      </c>
      <c r="L205" t="n" s="8">
        <v>214</v>
      </c>
      <c r="M205" t="n" s="8">
        <v>214</v>
      </c>
      <c r="N205" t="n" s="8">
        <v>1</v>
      </c>
      <c r="O205" s="8"/>
      <c r="P205" t="n" s="8">
        <v>24</v>
      </c>
      <c r="Q205" t="n" s="8">
        <v>0</v>
      </c>
      <c r="R205" t="str" s="8">
        <v>首击</v>
      </c>
      <c r="S205" t="n" s="8">
        <v>30000</v>
      </c>
      <c r="T205" t="n" s="8">
        <v>10</v>
      </c>
      <c r="U205" t="n" s="16">
        <v>40900800</v>
      </c>
      <c r="V205" t="n" s="8">
        <v>40910807</v>
      </c>
      <c r="W205" t="n" s="8">
        <v>40920800</v>
      </c>
      <c r="X205" t="n" s="8">
        <v>11000001</v>
      </c>
      <c r="Y205" s="8"/>
      <c r="Z205" s="8"/>
      <c r="AA205" t="str" s="8">
        <v>妖兽</v>
      </c>
      <c r="AB205" s="21">
        <v>20182</v>
      </c>
      <c r="AC205" t="n" s="8">
        <v>1</v>
      </c>
      <c r="AD205" t="n" s="8">
        <v>60</v>
      </c>
      <c r="AE205" t="n" s="8">
        <v>60</v>
      </c>
      <c r="AF205" t="n" s="8">
        <v>0</v>
      </c>
      <c r="AG205" t="n" s="8">
        <v>0</v>
      </c>
      <c r="AH205" t="str" s="8">
        <v>近战</v>
      </c>
      <c r="AI205" s="8"/>
      <c r="AJ205" s="17"/>
      <c r="AK205" s="8"/>
      <c r="AL205" s="18"/>
      <c r="AM205" t="str" s="8">
        <v>生命值</v>
      </c>
      <c r="AN205" t="n" s="19">
        <v>23775000</v>
      </c>
      <c r="AO205" t="str" s="8">
        <v>灵力值</v>
      </c>
      <c r="AP205" t="n" s="8">
        <v>1648400</v>
      </c>
      <c r="AQ205" t="str" s="8">
        <v>攻击下限</v>
      </c>
      <c r="AR205" t="n" s="8">
        <v>824200</v>
      </c>
      <c r="AS205" t="str" s="8">
        <v>攻击上限</v>
      </c>
      <c r="AT205" t="n" s="8">
        <v>824200</v>
      </c>
      <c r="AU205" t="str" s="8">
        <v>法力下限</v>
      </c>
      <c r="AV205" t="n" s="8">
        <v>824200</v>
      </c>
      <c r="AW205" t="str" s="8">
        <v>法力上限</v>
      </c>
      <c r="AX205" t="n" s="8">
        <v>824200</v>
      </c>
      <c r="AY205" t="str" s="8">
        <v>物防下限</v>
      </c>
      <c r="AZ205" t="n" s="8">
        <v>293225</v>
      </c>
      <c r="BA205" t="str" s="8">
        <v>物防上限</v>
      </c>
      <c r="BB205" t="n" s="8">
        <v>293225</v>
      </c>
      <c r="BC205" t="str" s="8">
        <v>法防下限</v>
      </c>
      <c r="BD205" t="n" s="8">
        <v>293225</v>
      </c>
      <c r="BE205" t="str" s="8">
        <v>法防上限</v>
      </c>
      <c r="BF205" t="n" s="8">
        <v>293225</v>
      </c>
      <c r="BG205" t="str" s="8">
        <v>移动速度</v>
      </c>
      <c r="BH205" t="n" s="8">
        <v>270</v>
      </c>
      <c r="BI205" t="str" s="8">
        <v>攻击范围</v>
      </c>
      <c r="BJ205" t="n" s="8">
        <v>160</v>
      </c>
      <c r="BK205" t="str" s="8">
        <v>警戒范围</v>
      </c>
      <c r="BL205" t="n" s="8">
        <v>550</v>
      </c>
      <c r="BM205" t="str" s="8">
        <v>攻击间隔</v>
      </c>
      <c r="BN205" t="n" s="8">
        <v>1800</v>
      </c>
      <c r="BO205" t="n" s="8">
        <v>0</v>
      </c>
      <c r="BP205" s="8"/>
      <c r="BQ205" t="n" s="8">
        <v>0</v>
      </c>
      <c r="BR205" t="n" s="8">
        <v>0</v>
      </c>
      <c r="BS205" t="n" s="8">
        <v>0</v>
      </c>
      <c r="BT205" t="n" s="8">
        <v>0</v>
      </c>
      <c r="BU205" t="str" s="8">
        <v>坠尽渊的普通遭遇。依托本区既有水土、岩隙和可达条件活动。只在临时遭遇窗口出现，不设重复刷取。</v>
      </c>
      <c r="BV205" t="n">
        <v>8</v>
      </c>
      <c r="BW205" t="n">
        <v>10</v>
      </c>
      <c r="BX205" t="str">
        <v>凡品</v>
      </c>
      <c r="BY205" t="str">
        <v>native</v>
      </c>
      <c r="BZ205" t="b">
        <v>0</v>
      </c>
    </row>
    <row r="206" ht="16.5" customHeight="1" spans="2:75">
      <c r="A206"/>
      <c r="B206" t="n" s="8">
        <v>60722217</v>
      </c>
      <c r="C206" t="str" s="8">
        <v>a010</v>
      </c>
      <c r="D206" t="str" s="5">
        <v>回光岩蟹·异种</v>
      </c>
      <c r="E206" t="str" s="5">
        <v>R08-S2-精英-215</v>
      </c>
      <c r="F206" t="n" s="8">
        <v>80</v>
      </c>
      <c r="G206" t="str" s="8">
        <v>绿色</v>
      </c>
      <c r="H206" t="n" s="8">
        <v>8</v>
      </c>
      <c r="I206" t="str" s="8">
        <v>坠尽渊</v>
      </c>
      <c r="J206" t="str" s="8">
        <v>坠尽渊</v>
      </c>
      <c r="K206" t="str" s="8">
        <v>精英</v>
      </c>
      <c r="L206" t="n" s="8">
        <v>215</v>
      </c>
      <c r="M206" t="n" s="8">
        <v>215</v>
      </c>
      <c r="N206" t="n" s="8">
        <v>3</v>
      </c>
      <c r="O206" s="8"/>
      <c r="P206" t="n" s="8">
        <v>40</v>
      </c>
      <c r="Q206" t="n" s="8">
        <v>0</v>
      </c>
      <c r="R206" t="str" s="8">
        <v>首击</v>
      </c>
      <c r="S206" t="n" s="8">
        <v>30000</v>
      </c>
      <c r="T206" t="n" s="8">
        <v>11</v>
      </c>
      <c r="U206" t="n" s="16">
        <v>40900801</v>
      </c>
      <c r="V206" t="n" s="8">
        <v>41120808</v>
      </c>
      <c r="W206" t="n" s="8">
        <v>41220801</v>
      </c>
      <c r="X206" t="n" s="8">
        <v>11000001</v>
      </c>
      <c r="Y206" s="8"/>
      <c r="Z206" s="8"/>
      <c r="AA206" t="str" s="8">
        <v>妖兽</v>
      </c>
      <c r="AB206" s="21">
        <v>20180</v>
      </c>
      <c r="AC206" t="n" s="8">
        <v>1.25</v>
      </c>
      <c r="AD206" t="n" s="8">
        <v>60</v>
      </c>
      <c r="AE206" t="n" s="8">
        <v>60</v>
      </c>
      <c r="AF206" t="n" s="8">
        <v>0</v>
      </c>
      <c r="AG206" t="n" s="8">
        <v>0</v>
      </c>
      <c r="AH206" t="str" s="8">
        <v>近战</v>
      </c>
      <c r="AI206" s="8"/>
      <c r="AJ206" s="17"/>
      <c r="AK206" s="8"/>
      <c r="AL206" s="18"/>
      <c r="AM206" t="str" s="8">
        <v>生命值</v>
      </c>
      <c r="AN206" t="n" s="19">
        <v>66570000</v>
      </c>
      <c r="AO206" t="str" s="8">
        <v>灵力值</v>
      </c>
      <c r="AP206" t="n" s="8">
        <v>2390180</v>
      </c>
      <c r="AQ206" t="str" s="8">
        <v>攻击下限</v>
      </c>
      <c r="AR206" t="n" s="8">
        <v>1195090</v>
      </c>
      <c r="AS206" t="str" s="8">
        <v>攻击上限</v>
      </c>
      <c r="AT206" t="n" s="8">
        <v>1195090</v>
      </c>
      <c r="AU206" t="str" s="8">
        <v>法力下限</v>
      </c>
      <c r="AV206" t="n" s="8">
        <v>1195090</v>
      </c>
      <c r="AW206" t="str" s="8">
        <v>法力上限</v>
      </c>
      <c r="AX206" t="n" s="8">
        <v>1195090</v>
      </c>
      <c r="AY206" t="str" s="8">
        <v>物防下限</v>
      </c>
      <c r="AZ206" t="n" s="8">
        <v>351870</v>
      </c>
      <c r="BA206" t="str" s="8">
        <v>物防上限</v>
      </c>
      <c r="BB206" t="n" s="8">
        <v>351870</v>
      </c>
      <c r="BC206" t="str" s="8">
        <v>法防下限</v>
      </c>
      <c r="BD206" t="n" s="8">
        <v>351870</v>
      </c>
      <c r="BE206" t="str" s="8">
        <v>法防上限</v>
      </c>
      <c r="BF206" t="n" s="8">
        <v>351870</v>
      </c>
      <c r="BG206" t="str" s="8">
        <v>移动速度</v>
      </c>
      <c r="BH206" t="n" s="8">
        <v>270</v>
      </c>
      <c r="BI206" t="str" s="8">
        <v>攻击范围</v>
      </c>
      <c r="BJ206" t="n" s="8">
        <v>160</v>
      </c>
      <c r="BK206" t="str" s="8">
        <v>警戒范围</v>
      </c>
      <c r="BL206" t="n" s="8">
        <v>550</v>
      </c>
      <c r="BM206" t="str" s="8">
        <v>攻击间隔</v>
      </c>
      <c r="BN206" t="n" s="8">
        <v>1800</v>
      </c>
      <c r="BO206" t="n" s="8">
        <v>0</v>
      </c>
      <c r="BP206" s="8"/>
      <c r="BQ206" t="n" s="8">
        <v>0</v>
      </c>
      <c r="BR206" t="n" s="8">
        <v>0</v>
      </c>
      <c r="BS206" t="n" s="8">
        <v>0</v>
      </c>
      <c r="BT206" t="n" s="8">
        <v>0</v>
      </c>
      <c r="BU206" t="str" s="8">
        <v>坠尽渊的精英遭遇。依托本区既有水土、岩隙和可达条件活动。只在临时遭遇窗口出现，不设重复刷取。</v>
      </c>
      <c r="BV206" t="n">
        <v>8</v>
      </c>
      <c r="BW206" t="n">
        <v>10</v>
      </c>
      <c r="BX206" t="str">
        <v>玄品</v>
      </c>
      <c r="BY206" t="str">
        <v>native</v>
      </c>
      <c r="BZ206" t="b">
        <v>0</v>
      </c>
    </row>
    <row r="207" ht="16.5" customHeight="1" spans="2:75">
      <c r="A207"/>
      <c r="B207" t="n" s="8">
        <v>60731219</v>
      </c>
      <c r="C207" t="str" s="8">
        <v>a010</v>
      </c>
      <c r="D207" t="str" s="5">
        <v>魔化高风灵蝠</v>
      </c>
      <c r="E207" t="str" s="5">
        <v>R08-D1-普通-216</v>
      </c>
      <c r="F207" t="n" s="8">
        <v>78</v>
      </c>
      <c r="G207" t="str" s="8">
        <v>白色</v>
      </c>
      <c r="H207" t="n" s="8">
        <v>8</v>
      </c>
      <c r="I207" t="str" s="8">
        <v>昏金岩</v>
      </c>
      <c r="J207" t="str" s="8">
        <v>昏金岩</v>
      </c>
      <c r="K207" t="str" s="8">
        <v>普通</v>
      </c>
      <c r="L207" t="n" s="8">
        <v>216</v>
      </c>
      <c r="M207" t="n" s="8">
        <v>216</v>
      </c>
      <c r="N207" t="n" s="8">
        <v>1</v>
      </c>
      <c r="O207" s="8"/>
      <c r="P207" t="n" s="8">
        <v>24</v>
      </c>
      <c r="Q207" t="n" s="8">
        <v>0</v>
      </c>
      <c r="R207" t="str" s="8">
        <v>首击</v>
      </c>
      <c r="S207" t="n" s="8">
        <v>30000</v>
      </c>
      <c r="T207" t="n" s="8">
        <v>10</v>
      </c>
      <c r="U207" t="n" s="16">
        <v>40900800</v>
      </c>
      <c r="V207" t="n" s="8">
        <v>40910809</v>
      </c>
      <c r="W207" t="n" s="8">
        <v>40920800</v>
      </c>
      <c r="X207" t="n" s="8">
        <v>11000001</v>
      </c>
      <c r="Y207" s="8"/>
      <c r="Z207" s="8"/>
      <c r="AA207" t="str" s="8">
        <v>妖兽</v>
      </c>
      <c r="AB207" s="21">
        <v>20184</v>
      </c>
      <c r="AC207" t="n" s="8">
        <v>1</v>
      </c>
      <c r="AD207" t="n" s="8">
        <v>60</v>
      </c>
      <c r="AE207" t="n" s="8">
        <v>60</v>
      </c>
      <c r="AF207" t="n" s="8">
        <v>0</v>
      </c>
      <c r="AG207" t="n" s="8">
        <v>0</v>
      </c>
      <c r="AH207" t="str" s="8">
        <v>近战</v>
      </c>
      <c r="AI207" s="8"/>
      <c r="AJ207" s="17"/>
      <c r="AK207" s="8"/>
      <c r="AL207" s="18"/>
      <c r="AM207" t="str" s="8">
        <v>生命值</v>
      </c>
      <c r="AN207" t="n" s="19">
        <v>21825000</v>
      </c>
      <c r="AO207" t="str" s="8">
        <v>灵力值</v>
      </c>
      <c r="AP207" t="n" s="8">
        <v>1513200</v>
      </c>
      <c r="AQ207" t="str" s="8">
        <v>攻击下限</v>
      </c>
      <c r="AR207" t="n" s="8">
        <v>756600</v>
      </c>
      <c r="AS207" t="str" s="8">
        <v>攻击上限</v>
      </c>
      <c r="AT207" t="n" s="8">
        <v>756600</v>
      </c>
      <c r="AU207" t="str" s="8">
        <v>法力下限</v>
      </c>
      <c r="AV207" t="n" s="8">
        <v>756600</v>
      </c>
      <c r="AW207" t="str" s="8">
        <v>法力上限</v>
      </c>
      <c r="AX207" t="n" s="8">
        <v>756600</v>
      </c>
      <c r="AY207" t="str" s="8">
        <v>物防下限</v>
      </c>
      <c r="AZ207" t="n" s="8">
        <v>269175</v>
      </c>
      <c r="BA207" t="str" s="8">
        <v>物防上限</v>
      </c>
      <c r="BB207" t="n" s="8">
        <v>269175</v>
      </c>
      <c r="BC207" t="str" s="8">
        <v>法防下限</v>
      </c>
      <c r="BD207" t="n" s="8">
        <v>269175</v>
      </c>
      <c r="BE207" t="str" s="8">
        <v>法防上限</v>
      </c>
      <c r="BF207" t="n" s="8">
        <v>269175</v>
      </c>
      <c r="BG207" t="str" s="8">
        <v>移动速度</v>
      </c>
      <c r="BH207" t="n" s="8">
        <v>270</v>
      </c>
      <c r="BI207" t="str" s="8">
        <v>攻击范围</v>
      </c>
      <c r="BJ207" t="n" s="8">
        <v>160</v>
      </c>
      <c r="BK207" t="str" s="8">
        <v>警戒范围</v>
      </c>
      <c r="BL207" t="n" s="8">
        <v>550</v>
      </c>
      <c r="BM207" t="str" s="8">
        <v>攻击间隔</v>
      </c>
      <c r="BN207" t="n" s="8">
        <v>1800</v>
      </c>
      <c r="BO207" t="n" s="8">
        <v>0</v>
      </c>
      <c r="BP207" s="8"/>
      <c r="BQ207" t="n" s="8">
        <v>0</v>
      </c>
      <c r="BR207" t="n" s="8">
        <v>0</v>
      </c>
      <c r="BS207" t="n" s="8">
        <v>0</v>
      </c>
      <c r="BT207" t="n" s="8">
        <v>0</v>
      </c>
      <c r="BU207" t="str" s="8">
        <v>昏金岩的普通遭遇。裂隙渗漏造成的短时魔化，非本区新增裂隙。只在临时遭遇窗口出现，不设重复刷取。</v>
      </c>
      <c r="BV207" t="n">
        <v>8</v>
      </c>
      <c r="BW207" t="n">
        <v>8</v>
      </c>
      <c r="BX207" t="str">
        <v>凡品</v>
      </c>
      <c r="BY207" t="str">
        <v>corrupted</v>
      </c>
      <c r="BZ207" t="b">
        <v>0</v>
      </c>
    </row>
    <row r="208" ht="16.5" customHeight="1" spans="2:75">
      <c r="A208"/>
      <c r="B208" t="n" s="8">
        <v>60731220</v>
      </c>
      <c r="C208" t="str" s="8">
        <v>a010</v>
      </c>
      <c r="D208" t="str" s="5">
        <v>魔化绝顶灵狼</v>
      </c>
      <c r="E208" t="str" s="5">
        <v>R08-D1-普通-217</v>
      </c>
      <c r="F208" t="n" s="8">
        <v>78</v>
      </c>
      <c r="G208" t="str" s="8">
        <v>白色</v>
      </c>
      <c r="H208" t="n" s="8">
        <v>8</v>
      </c>
      <c r="I208" t="str" s="8">
        <v>昏金岩</v>
      </c>
      <c r="J208" t="str" s="8">
        <v>昏金岩</v>
      </c>
      <c r="K208" t="str" s="8">
        <v>普通</v>
      </c>
      <c r="L208" t="n" s="8">
        <v>217</v>
      </c>
      <c r="M208" t="n" s="8">
        <v>217</v>
      </c>
      <c r="N208" t="n" s="8">
        <v>1</v>
      </c>
      <c r="O208" s="8"/>
      <c r="P208" t="n" s="8">
        <v>24</v>
      </c>
      <c r="Q208" t="n" s="8">
        <v>0</v>
      </c>
      <c r="R208" t="str" s="8">
        <v>首击</v>
      </c>
      <c r="S208" t="n" s="8">
        <v>30000</v>
      </c>
      <c r="T208" t="n" s="8">
        <v>10</v>
      </c>
      <c r="U208" t="n" s="16">
        <v>40900800</v>
      </c>
      <c r="V208" t="n" s="8">
        <v>40910810</v>
      </c>
      <c r="W208" t="n" s="8">
        <v>40920801</v>
      </c>
      <c r="X208" t="n" s="8">
        <v>11000001</v>
      </c>
      <c r="Y208" s="8"/>
      <c r="Z208" s="8"/>
      <c r="AA208" t="str" s="8">
        <v>妖兽</v>
      </c>
      <c r="AB208" s="21">
        <v>20185</v>
      </c>
      <c r="AC208" t="n" s="8">
        <v>1</v>
      </c>
      <c r="AD208" t="n" s="8">
        <v>60</v>
      </c>
      <c r="AE208" t="n" s="8">
        <v>60</v>
      </c>
      <c r="AF208" t="n" s="8">
        <v>0</v>
      </c>
      <c r="AG208" t="n" s="8">
        <v>0</v>
      </c>
      <c r="AH208" t="str" s="8">
        <v>近战</v>
      </c>
      <c r="AI208" s="8"/>
      <c r="AJ208" s="17"/>
      <c r="AK208" s="8"/>
      <c r="AL208" s="18"/>
      <c r="AM208" t="str" s="8">
        <v>生命值</v>
      </c>
      <c r="AN208" t="n" s="19">
        <v>21825000</v>
      </c>
      <c r="AO208" t="str" s="8">
        <v>灵力值</v>
      </c>
      <c r="AP208" t="n" s="8">
        <v>1513200</v>
      </c>
      <c r="AQ208" t="str" s="8">
        <v>攻击下限</v>
      </c>
      <c r="AR208" t="n" s="8">
        <v>756600</v>
      </c>
      <c r="AS208" t="str" s="8">
        <v>攻击上限</v>
      </c>
      <c r="AT208" t="n" s="8">
        <v>756600</v>
      </c>
      <c r="AU208" t="str" s="8">
        <v>法力下限</v>
      </c>
      <c r="AV208" t="n" s="8">
        <v>756600</v>
      </c>
      <c r="AW208" t="str" s="8">
        <v>法力上限</v>
      </c>
      <c r="AX208" t="n" s="8">
        <v>756600</v>
      </c>
      <c r="AY208" t="str" s="8">
        <v>物防下限</v>
      </c>
      <c r="AZ208" t="n" s="8">
        <v>269175</v>
      </c>
      <c r="BA208" t="str" s="8">
        <v>物防上限</v>
      </c>
      <c r="BB208" t="n" s="8">
        <v>269175</v>
      </c>
      <c r="BC208" t="str" s="8">
        <v>法防下限</v>
      </c>
      <c r="BD208" t="n" s="8">
        <v>269175</v>
      </c>
      <c r="BE208" t="str" s="8">
        <v>法防上限</v>
      </c>
      <c r="BF208" t="n" s="8">
        <v>269175</v>
      </c>
      <c r="BG208" t="str" s="8">
        <v>移动速度</v>
      </c>
      <c r="BH208" t="n" s="8">
        <v>270</v>
      </c>
      <c r="BI208" t="str" s="8">
        <v>攻击范围</v>
      </c>
      <c r="BJ208" t="n" s="8">
        <v>160</v>
      </c>
      <c r="BK208" t="str" s="8">
        <v>警戒范围</v>
      </c>
      <c r="BL208" t="n" s="8">
        <v>550</v>
      </c>
      <c r="BM208" t="str" s="8">
        <v>攻击间隔</v>
      </c>
      <c r="BN208" t="n" s="8">
        <v>1800</v>
      </c>
      <c r="BO208" t="n" s="8">
        <v>0</v>
      </c>
      <c r="BP208" s="8"/>
      <c r="BQ208" t="n" s="8">
        <v>0</v>
      </c>
      <c r="BR208" t="n" s="8">
        <v>0</v>
      </c>
      <c r="BS208" t="n" s="8">
        <v>0</v>
      </c>
      <c r="BT208" t="n" s="8">
        <v>0</v>
      </c>
      <c r="BU208" t="str" s="8">
        <v>昏金岩的普通遭遇。裂隙渗漏造成的短时魔化，非本区新增裂隙。只在临时遭遇窗口出现，不设重复刷取。</v>
      </c>
      <c r="BV208" t="n">
        <v>8</v>
      </c>
      <c r="BW208" t="n">
        <v>8</v>
      </c>
      <c r="BX208" t="str">
        <v>凡品</v>
      </c>
      <c r="BY208" t="str">
        <v>corrupted</v>
      </c>
      <c r="BZ208" t="b">
        <v>0</v>
      </c>
    </row>
    <row r="209" ht="16.5" customHeight="1" spans="2:75">
      <c r="A209"/>
      <c r="B209" t="n" s="8">
        <v>60732221</v>
      </c>
      <c r="C209" t="str" s="8">
        <v>a010</v>
      </c>
      <c r="D209" t="str" s="5">
        <v>魔化裸岩灵蛇·异种</v>
      </c>
      <c r="E209" t="str" s="5">
        <v>R08-D1-精英-218</v>
      </c>
      <c r="F209" t="n" s="8">
        <v>78</v>
      </c>
      <c r="G209" t="str" s="8">
        <v>绿色</v>
      </c>
      <c r="H209" t="n" s="8">
        <v>8</v>
      </c>
      <c r="I209" t="str" s="8">
        <v>昏金岩</v>
      </c>
      <c r="J209" t="str" s="8">
        <v>昏金岩</v>
      </c>
      <c r="K209" t="str" s="8">
        <v>精英</v>
      </c>
      <c r="L209" t="n" s="8">
        <v>218</v>
      </c>
      <c r="M209" t="n" s="8">
        <v>218</v>
      </c>
      <c r="N209" t="n" s="8">
        <v>3</v>
      </c>
      <c r="O209" s="8"/>
      <c r="P209" t="n" s="8">
        <v>40</v>
      </c>
      <c r="Q209" t="n" s="8">
        <v>0</v>
      </c>
      <c r="R209" t="str" s="8">
        <v>首击</v>
      </c>
      <c r="S209" t="n" s="8">
        <v>30000</v>
      </c>
      <c r="T209" t="n" s="8">
        <v>11</v>
      </c>
      <c r="U209" t="n" s="16">
        <v>40900801</v>
      </c>
      <c r="V209" t="n" s="8">
        <v>41120811</v>
      </c>
      <c r="W209" t="n" s="8">
        <v>41220800</v>
      </c>
      <c r="X209" t="n" s="8">
        <v>11000001</v>
      </c>
      <c r="Y209" s="8"/>
      <c r="Z209" s="8"/>
      <c r="AA209" t="str" s="8">
        <v>妖兽</v>
      </c>
      <c r="AB209" s="21">
        <v>20184</v>
      </c>
      <c r="AC209" t="n" s="8">
        <v>1.25</v>
      </c>
      <c r="AD209" t="n" s="8">
        <v>60</v>
      </c>
      <c r="AE209" t="n" s="8">
        <v>60</v>
      </c>
      <c r="AF209" t="n" s="8">
        <v>0</v>
      </c>
      <c r="AG209" t="n" s="8">
        <v>0</v>
      </c>
      <c r="AH209" t="str" s="8">
        <v>近战</v>
      </c>
      <c r="AI209" s="8"/>
      <c r="AJ209" s="17"/>
      <c r="AK209" s="8"/>
      <c r="AL209" s="18"/>
      <c r="AM209" t="str" s="8">
        <v>生命值</v>
      </c>
      <c r="AN209" t="n" s="19">
        <v>61110000</v>
      </c>
      <c r="AO209" t="str" s="8">
        <v>灵力值</v>
      </c>
      <c r="AP209" t="n" s="8">
        <v>2194140</v>
      </c>
      <c r="AQ209" t="str" s="8">
        <v>攻击下限</v>
      </c>
      <c r="AR209" t="n" s="8">
        <v>1097070</v>
      </c>
      <c r="AS209" t="str" s="8">
        <v>攻击上限</v>
      </c>
      <c r="AT209" t="n" s="8">
        <v>1097070</v>
      </c>
      <c r="AU209" t="str" s="8">
        <v>法力下限</v>
      </c>
      <c r="AV209" t="n" s="8">
        <v>1097070</v>
      </c>
      <c r="AW209" t="str" s="8">
        <v>法力上限</v>
      </c>
      <c r="AX209" t="n" s="8">
        <v>1097070</v>
      </c>
      <c r="AY209" t="str" s="8">
        <v>物防下限</v>
      </c>
      <c r="AZ209" t="n" s="8">
        <v>323010</v>
      </c>
      <c r="BA209" t="str" s="8">
        <v>物防上限</v>
      </c>
      <c r="BB209" t="n" s="8">
        <v>323010</v>
      </c>
      <c r="BC209" t="str" s="8">
        <v>法防下限</v>
      </c>
      <c r="BD209" t="n" s="8">
        <v>323010</v>
      </c>
      <c r="BE209" t="str" s="8">
        <v>法防上限</v>
      </c>
      <c r="BF209" t="n" s="8">
        <v>323010</v>
      </c>
      <c r="BG209" t="str" s="8">
        <v>移动速度</v>
      </c>
      <c r="BH209" t="n" s="8">
        <v>270</v>
      </c>
      <c r="BI209" t="str" s="8">
        <v>攻击范围</v>
      </c>
      <c r="BJ209" t="n" s="8">
        <v>160</v>
      </c>
      <c r="BK209" t="str" s="8">
        <v>警戒范围</v>
      </c>
      <c r="BL209" t="n" s="8">
        <v>550</v>
      </c>
      <c r="BM209" t="str" s="8">
        <v>攻击间隔</v>
      </c>
      <c r="BN209" t="n" s="8">
        <v>1800</v>
      </c>
      <c r="BO209" t="n" s="8">
        <v>0</v>
      </c>
      <c r="BP209" s="8"/>
      <c r="BQ209" t="n" s="8">
        <v>0</v>
      </c>
      <c r="BR209" t="n" s="8">
        <v>0</v>
      </c>
      <c r="BS209" t="n" s="8">
        <v>0</v>
      </c>
      <c r="BT209" t="n" s="8">
        <v>0</v>
      </c>
      <c r="BU209" t="str" s="8">
        <v>昏金岩的精英遭遇。裂隙渗漏造成的短时魔化，非本区新增裂隙。只在临时遭遇窗口出现，不设重复刷取。</v>
      </c>
      <c r="BV209" t="n">
        <v>8</v>
      </c>
      <c r="BW209" t="n">
        <v>8</v>
      </c>
      <c r="BX209" t="str">
        <v>玄品</v>
      </c>
      <c r="BY209" t="str">
        <v>corrupted</v>
      </c>
      <c r="BZ209" t="b">
        <v>0</v>
      </c>
    </row>
    <row r="210" ht="16.5" customHeight="1" spans="2:75">
      <c r="A210"/>
      <c r="B210" t="n" s="8">
        <v>60734222</v>
      </c>
      <c r="C210" t="str" s="8">
        <v>a010</v>
      </c>
      <c r="D210" t="str" s="5">
        <v>魔化回光岩蟹·首领</v>
      </c>
      <c r="E210" t="str" s="5">
        <v>R08-D1-BOSS-219</v>
      </c>
      <c r="F210" t="n" s="8">
        <v>78</v>
      </c>
      <c r="G210" t="str" s="8">
        <v>橙色</v>
      </c>
      <c r="H210" t="n" s="8">
        <v>8</v>
      </c>
      <c r="I210" t="str" s="8">
        <v>昏金岩</v>
      </c>
      <c r="J210" t="str" s="8">
        <v>昏金岩</v>
      </c>
      <c r="K210" t="str" s="8">
        <v>BOSS</v>
      </c>
      <c r="L210" t="n" s="8">
        <v>219</v>
      </c>
      <c r="M210" t="n" s="8">
        <v>219</v>
      </c>
      <c r="N210" t="n" s="8">
        <v>5</v>
      </c>
      <c r="O210" s="8"/>
      <c r="P210" t="n" s="8">
        <v>40</v>
      </c>
      <c r="Q210" t="n" s="8">
        <v>0</v>
      </c>
      <c r="R210" t="str" s="8">
        <v>首击</v>
      </c>
      <c r="S210" t="n" s="8">
        <v>30000</v>
      </c>
      <c r="T210" t="n" s="8">
        <v>12</v>
      </c>
      <c r="U210" t="n" s="16">
        <v>40900802</v>
      </c>
      <c r="V210" t="n" s="8">
        <v>41130812</v>
      </c>
      <c r="W210" t="n" s="8">
        <v>41230801</v>
      </c>
      <c r="X210" t="n" s="8">
        <v>11000001</v>
      </c>
      <c r="Y210" s="8"/>
      <c r="Z210" s="8"/>
      <c r="AA210" t="str" s="8">
        <v>妖兽</v>
      </c>
      <c r="AB210" s="21">
        <v>20183</v>
      </c>
      <c r="AC210" t="n" s="8">
        <v>1.6</v>
      </c>
      <c r="AD210" t="n" s="8">
        <v>60</v>
      </c>
      <c r="AE210" t="n" s="8">
        <v>60</v>
      </c>
      <c r="AF210" t="n" s="8">
        <v>0</v>
      </c>
      <c r="AG210" t="n" s="8">
        <v>0</v>
      </c>
      <c r="AH210" t="str" s="8">
        <v>近战</v>
      </c>
      <c r="AI210" s="8"/>
      <c r="AJ210" s="17"/>
      <c r="AK210" s="8"/>
      <c r="AL210" s="18"/>
      <c r="AM210" t="str" s="8">
        <v>生命值</v>
      </c>
      <c r="AN210" t="n" s="19">
        <v>218250000</v>
      </c>
      <c r="AO210" t="str" s="8">
        <v>灵力值</v>
      </c>
      <c r="AP210" t="n" s="8">
        <v>3177720</v>
      </c>
      <c r="AQ210" t="str" s="8">
        <v>攻击下限</v>
      </c>
      <c r="AR210" t="n" s="8">
        <v>1588860</v>
      </c>
      <c r="AS210" t="str" s="8">
        <v>攻击上限</v>
      </c>
      <c r="AT210" t="n" s="8">
        <v>1588860</v>
      </c>
      <c r="AU210" t="str" s="8">
        <v>法力下限</v>
      </c>
      <c r="AV210" t="n" s="8">
        <v>1588860</v>
      </c>
      <c r="AW210" t="str" s="8">
        <v>法力上限</v>
      </c>
      <c r="AX210" t="n" s="8">
        <v>1588860</v>
      </c>
      <c r="AY210" t="str" s="8">
        <v>物防下限</v>
      </c>
      <c r="AZ210" t="n" s="8">
        <v>403762</v>
      </c>
      <c r="BA210" t="str" s="8">
        <v>物防上限</v>
      </c>
      <c r="BB210" t="n" s="8">
        <v>403762</v>
      </c>
      <c r="BC210" t="str" s="8">
        <v>法防下限</v>
      </c>
      <c r="BD210" t="n" s="8">
        <v>403762</v>
      </c>
      <c r="BE210" t="str" s="8">
        <v>法防上限</v>
      </c>
      <c r="BF210" t="n" s="8">
        <v>403762</v>
      </c>
      <c r="BG210" t="str" s="8">
        <v>移动速度</v>
      </c>
      <c r="BH210" t="n" s="8">
        <v>270</v>
      </c>
      <c r="BI210" t="str" s="8">
        <v>攻击范围</v>
      </c>
      <c r="BJ210" t="n" s="8">
        <v>160</v>
      </c>
      <c r="BK210" t="str" s="8">
        <v>警戒范围</v>
      </c>
      <c r="BL210" t="n" s="8">
        <v>700</v>
      </c>
      <c r="BM210" t="str" s="8">
        <v>攻击间隔</v>
      </c>
      <c r="BN210" t="n" s="8">
        <v>2200</v>
      </c>
      <c r="BO210" t="n" s="8">
        <v>0</v>
      </c>
      <c r="BP210" s="8"/>
      <c r="BQ210" t="n" s="8">
        <v>0</v>
      </c>
      <c r="BR210" t="n" s="8">
        <v>0</v>
      </c>
      <c r="BS210" t="n" s="8">
        <v>0</v>
      </c>
      <c r="BT210" t="n" s="8">
        <v>0</v>
      </c>
      <c r="BU210" t="str" s="8">
        <v>昏金岩的BOSS遭遇。裂隙渗漏造成的短时魔化，非本区新增裂隙。只在临时遭遇窗口出现，不设重复刷取。</v>
      </c>
      <c r="BV210" t="n">
        <v>8</v>
      </c>
      <c r="BW210" t="n">
        <v>8</v>
      </c>
      <c r="BX210" t="str">
        <v>仙品</v>
      </c>
      <c r="BY210" t="str">
        <v>corrupted</v>
      </c>
      <c r="BZ210" t="b">
        <v>1</v>
      </c>
    </row>
    <row r="211" s="8" customFormat="1" spans="2:75">
      <c r="A211"/>
      <c r="B211" t="n" s="8">
        <v>61001001</v>
      </c>
      <c r="C211" t="str" s="8">
        <v>a010</v>
      </c>
      <c r="D211" t="str" s="5">
        <v>湿壁灵蝠</v>
      </c>
      <c r="E211" t="str" s="5">
        <v>R02-M1-普通-1</v>
      </c>
      <c r="F211" t="n" s="8">
        <v>12</v>
      </c>
      <c r="G211" s="8"/>
      <c r="H211" t="n" s="8">
        <v>2</v>
      </c>
      <c r="I211" t="str" s="8">
        <v>渍岩罅</v>
      </c>
      <c r="J211" t="str" s="8">
        <v>渍岩罅</v>
      </c>
      <c r="K211" t="str" s="8">
        <v>普通</v>
      </c>
      <c r="L211" t="n" s="8">
        <v>1</v>
      </c>
      <c r="M211" t="n" s="8">
        <v>1</v>
      </c>
      <c r="N211" t="n" s="8">
        <v>1</v>
      </c>
      <c r="O211" s="8"/>
      <c r="P211" t="n" s="8">
        <v>24</v>
      </c>
      <c r="Q211" t="n" s="8">
        <v>30000</v>
      </c>
      <c r="R211" t="str" s="8">
        <v>首击</v>
      </c>
      <c r="S211" t="n" s="8">
        <v>30000</v>
      </c>
      <c r="T211" t="n" s="8">
        <v>10</v>
      </c>
      <c r="U211" t="n" s="16">
        <v>40900200</v>
      </c>
      <c r="V211" t="n" s="8">
        <v>40910200</v>
      </c>
      <c r="W211" t="n" s="8">
        <v>40920200</v>
      </c>
      <c r="X211" t="n" s="8">
        <v>11000001</v>
      </c>
      <c r="Y211" s="8"/>
      <c r="Z211" s="8"/>
      <c r="AA211" t="str" s="8">
        <v>妖兽</v>
      </c>
      <c r="AB211" t="n" s="11">
        <v>20008</v>
      </c>
      <c r="AC211" t="n" s="8">
        <v>1</v>
      </c>
      <c r="AD211" t="n" s="8">
        <v>60</v>
      </c>
      <c r="AE211" t="n" s="8">
        <v>60</v>
      </c>
      <c r="AF211" t="n" s="8">
        <v>0</v>
      </c>
      <c r="AG211" t="n" s="8">
        <v>0</v>
      </c>
      <c r="AH211" t="str" s="8">
        <v>近战</v>
      </c>
      <c r="AI211" s="8"/>
      <c r="AJ211" s="17"/>
      <c r="AK211" s="8"/>
      <c r="AL211" s="18"/>
      <c r="AM211" t="str" s="8">
        <v>生命值</v>
      </c>
      <c r="AN211" t="n" s="19">
        <v>1598</v>
      </c>
      <c r="AO211" t="str" s="8">
        <v>灵力值</v>
      </c>
      <c r="AP211" t="n" s="8">
        <v>224</v>
      </c>
      <c r="AQ211" t="str" s="8">
        <v>攻击下限</v>
      </c>
      <c r="AR211" t="n" s="8">
        <v>112</v>
      </c>
      <c r="AS211" t="str" s="8">
        <v>攻击上限</v>
      </c>
      <c r="AT211" t="n" s="8">
        <v>112</v>
      </c>
      <c r="AU211" t="str" s="8">
        <v>法力下限</v>
      </c>
      <c r="AV211" t="n" s="8">
        <v>112</v>
      </c>
      <c r="AW211" t="str" s="8">
        <v>法力上限</v>
      </c>
      <c r="AX211" t="n" s="8">
        <v>112</v>
      </c>
      <c r="AY211" t="str" s="8">
        <v>物防下限</v>
      </c>
      <c r="AZ211" t="n" s="8">
        <v>32</v>
      </c>
      <c r="BA211" t="str" s="8">
        <v>物防上限</v>
      </c>
      <c r="BB211" t="n" s="8">
        <v>32</v>
      </c>
      <c r="BC211" t="str" s="8">
        <v>法防下限</v>
      </c>
      <c r="BD211" t="n" s="8">
        <v>32</v>
      </c>
      <c r="BE211" t="str" s="8">
        <v>法防上限</v>
      </c>
      <c r="BF211" t="n" s="8">
        <v>32</v>
      </c>
      <c r="BG211" t="str" s="8">
        <v>移动速度</v>
      </c>
      <c r="BH211" t="n" s="8">
        <v>240</v>
      </c>
      <c r="BI211" t="str" s="8">
        <v>攻击范围</v>
      </c>
      <c r="BJ211" t="n" s="8">
        <v>160</v>
      </c>
      <c r="BK211" t="str" s="8">
        <v>警戒范围</v>
      </c>
      <c r="BL211" t="n" s="8">
        <v>550</v>
      </c>
      <c r="BM211" t="str" s="8">
        <v>攻击间隔</v>
      </c>
      <c r="BN211" t="n" s="8">
        <v>1800</v>
      </c>
      <c r="BO211" t="n" s="8">
        <v>0</v>
      </c>
      <c r="BP211" s="8"/>
      <c r="BQ211" t="n" s="8">
        <v>0</v>
      </c>
      <c r="BR211" t="n" s="8">
        <v>0</v>
      </c>
      <c r="BS211" t="n" s="8">
        <v>0</v>
      </c>
      <c r="BT211" t="n" s="8">
        <v>0</v>
      </c>
      <c r="BU211" t="str" s="8">
        <v>渍岩罅的普通遭遇。依托本区既有水土、岩隙和可达条件活动。</v>
      </c>
      <c r="BV211" t="n">
        <v>2</v>
      </c>
      <c r="BW211" t="n">
        <v>2</v>
      </c>
      <c r="BX211" t="str">
        <v>凡品</v>
      </c>
      <c r="BY211" t="str">
        <v>native</v>
      </c>
      <c r="BZ211" t="b">
        <v>0</v>
      </c>
    </row>
    <row r="212" s="8" customFormat="1" spans="28:28">
      <c r="A212"/>
      <c r="B212" t="n" s="8">
        <v>61001002</v>
      </c>
      <c r="C212" t="str" s="8">
        <v>a010</v>
      </c>
      <c r="D212" t="str" s="5">
        <v>湍流石蟹</v>
      </c>
      <c r="E212" t="str" s="5">
        <v>R02-M1-普通-2</v>
      </c>
      <c r="F212" t="n" s="8">
        <v>12</v>
      </c>
      <c r="G212" s="8"/>
      <c r="H212" t="n" s="8">
        <v>2</v>
      </c>
      <c r="I212" t="str" s="8">
        <v>渍岩罅</v>
      </c>
      <c r="J212" t="str" s="8">
        <v>渍岩罅</v>
      </c>
      <c r="K212" t="str" s="8">
        <v>普通</v>
      </c>
      <c r="L212" t="n" s="8">
        <v>2</v>
      </c>
      <c r="M212" t="n" s="8">
        <v>2</v>
      </c>
      <c r="N212" t="n" s="8">
        <v>1</v>
      </c>
      <c r="O212" s="8"/>
      <c r="P212" t="n" s="8">
        <v>24</v>
      </c>
      <c r="Q212" t="n" s="8">
        <v>30000</v>
      </c>
      <c r="R212" t="str" s="8">
        <v>首击</v>
      </c>
      <c r="S212" t="n" s="8">
        <v>30000</v>
      </c>
      <c r="T212" t="n" s="8">
        <v>10</v>
      </c>
      <c r="U212" t="n" s="16">
        <v>40900200</v>
      </c>
      <c r="V212" t="n" s="8">
        <v>40910201</v>
      </c>
      <c r="W212" t="n" s="8">
        <v>40920201</v>
      </c>
      <c r="X212" t="n" s="8">
        <v>11000001</v>
      </c>
      <c r="Y212" s="8"/>
      <c r="Z212" s="8"/>
      <c r="AA212" t="str" s="8">
        <v>妖兽</v>
      </c>
      <c r="AB212" t="n" s="11">
        <v>20008</v>
      </c>
      <c r="AC212" t="n" s="8">
        <v>1</v>
      </c>
      <c r="AD212" t="n" s="8">
        <v>60</v>
      </c>
      <c r="AE212" t="n" s="8">
        <v>60</v>
      </c>
      <c r="AF212" t="n" s="8">
        <v>0</v>
      </c>
      <c r="AG212" t="n" s="8">
        <v>0</v>
      </c>
      <c r="AH212" t="str" s="8">
        <v>近战</v>
      </c>
      <c r="AI212" s="8"/>
      <c r="AJ212" s="17"/>
      <c r="AK212" s="8"/>
      <c r="AL212" s="18"/>
      <c r="AM212" t="str" s="8">
        <v>生命值</v>
      </c>
      <c r="AN212" t="n" s="19">
        <v>1598</v>
      </c>
      <c r="AO212" t="str" s="8">
        <v>灵力值</v>
      </c>
      <c r="AP212" t="n" s="8">
        <v>224</v>
      </c>
      <c r="AQ212" t="str" s="8">
        <v>攻击下限</v>
      </c>
      <c r="AR212" t="n" s="8">
        <v>112</v>
      </c>
      <c r="AS212" t="str" s="8">
        <v>攻击上限</v>
      </c>
      <c r="AT212" t="n" s="8">
        <v>112</v>
      </c>
      <c r="AU212" t="str" s="8">
        <v>法力下限</v>
      </c>
      <c r="AV212" t="n" s="8">
        <v>112</v>
      </c>
      <c r="AW212" t="str" s="8">
        <v>法力上限</v>
      </c>
      <c r="AX212" t="n" s="8">
        <v>112</v>
      </c>
      <c r="AY212" t="str" s="8">
        <v>物防下限</v>
      </c>
      <c r="AZ212" t="n" s="8">
        <v>32</v>
      </c>
      <c r="BA212" t="str" s="8">
        <v>物防上限</v>
      </c>
      <c r="BB212" t="n" s="8">
        <v>32</v>
      </c>
      <c r="BC212" t="str" s="8">
        <v>法防下限</v>
      </c>
      <c r="BD212" t="n" s="8">
        <v>32</v>
      </c>
      <c r="BE212" t="str" s="8">
        <v>法防上限</v>
      </c>
      <c r="BF212" t="n" s="8">
        <v>32</v>
      </c>
      <c r="BG212" t="str" s="8">
        <v>移动速度</v>
      </c>
      <c r="BH212" t="n" s="8">
        <v>240</v>
      </c>
      <c r="BI212" t="str" s="8">
        <v>攻击范围</v>
      </c>
      <c r="BJ212" t="n" s="8">
        <v>160</v>
      </c>
      <c r="BK212" t="str" s="8">
        <v>警戒范围</v>
      </c>
      <c r="BL212" t="n" s="8">
        <v>550</v>
      </c>
      <c r="BM212" t="str" s="8">
        <v>攻击间隔</v>
      </c>
      <c r="BN212" t="n" s="8">
        <v>1800</v>
      </c>
      <c r="BO212" t="n" s="8">
        <v>0</v>
      </c>
      <c r="BP212" s="8"/>
      <c r="BQ212" t="n" s="8">
        <v>0</v>
      </c>
      <c r="BR212" t="n" s="8">
        <v>0</v>
      </c>
      <c r="BS212" t="n" s="8">
        <v>0</v>
      </c>
      <c r="BT212" t="n" s="8">
        <v>0</v>
      </c>
      <c r="BU212" t="str" s="8">
        <v>渍岩罅的普通遭遇。依托本区既有水土、岩隙和可达条件活动。</v>
      </c>
      <c r="BV212" t="n">
        <v>2</v>
      </c>
      <c r="BW212" t="n">
        <v>2</v>
      </c>
      <c r="BX212" t="str">
        <v>凡品</v>
      </c>
      <c r="BY212" t="str">
        <v>native</v>
      </c>
      <c r="BZ212" t="b">
        <v>0</v>
      </c>
    </row>
    <row r="213" s="8" customFormat="1" spans="28:28">
      <c r="A213"/>
      <c r="B213" t="n" s="8">
        <v>61002003</v>
      </c>
      <c r="C213" t="str" s="8">
        <v>a010</v>
      </c>
      <c r="D213" t="str" s="5">
        <v>峡岩灵狼·异种</v>
      </c>
      <c r="E213" t="str" s="5">
        <v>R02-M1-精英-3</v>
      </c>
      <c r="F213" t="n" s="8">
        <v>12</v>
      </c>
      <c r="G213" s="8"/>
      <c r="H213" t="n" s="8">
        <v>2</v>
      </c>
      <c r="I213" t="str" s="8">
        <v>渍岩罅</v>
      </c>
      <c r="J213" t="str" s="8">
        <v>渍岩罅</v>
      </c>
      <c r="K213" t="str" s="8">
        <v>精英</v>
      </c>
      <c r="L213" t="n" s="8">
        <v>3</v>
      </c>
      <c r="M213" t="n" s="8">
        <v>3</v>
      </c>
      <c r="N213" t="n" s="8">
        <v>3</v>
      </c>
      <c r="O213" s="8"/>
      <c r="P213" t="n" s="8">
        <v>40</v>
      </c>
      <c r="Q213" t="n" s="8">
        <v>180000</v>
      </c>
      <c r="R213" t="str" s="8">
        <v>首击</v>
      </c>
      <c r="S213" t="n" s="8">
        <v>30000</v>
      </c>
      <c r="T213" t="n" s="8">
        <v>11</v>
      </c>
      <c r="U213" t="n" s="16">
        <v>40900201</v>
      </c>
      <c r="V213" t="n" s="8">
        <v>41120202</v>
      </c>
      <c r="W213" t="n" s="8">
        <v>41320200</v>
      </c>
      <c r="X213" t="n" s="8">
        <v>11000001</v>
      </c>
      <c r="Y213" s="8"/>
      <c r="Z213" s="8"/>
      <c r="AA213" t="str" s="8">
        <v>妖兽</v>
      </c>
      <c r="AB213" t="n" s="11">
        <v>20008</v>
      </c>
      <c r="AC213" t="n" s="8">
        <v>1.25</v>
      </c>
      <c r="AD213" t="n" s="8">
        <v>60</v>
      </c>
      <c r="AE213" t="n" s="8">
        <v>60</v>
      </c>
      <c r="AF213" t="n" s="8">
        <v>0</v>
      </c>
      <c r="AG213" t="n" s="8">
        <v>0</v>
      </c>
      <c r="AH213" t="str" s="8">
        <v>近战</v>
      </c>
      <c r="AI213" s="8"/>
      <c r="AJ213" s="17"/>
      <c r="AK213" s="8"/>
      <c r="AL213" s="18"/>
      <c r="AM213" t="str" s="8">
        <v>生命值</v>
      </c>
      <c r="AN213" t="n" s="19">
        <v>4473</v>
      </c>
      <c r="AO213" t="str" s="8">
        <v>灵力值</v>
      </c>
      <c r="AP213" t="n" s="8">
        <v>324</v>
      </c>
      <c r="AQ213" t="str" s="8">
        <v>攻击下限</v>
      </c>
      <c r="AR213" t="n" s="8">
        <v>162</v>
      </c>
      <c r="AS213" t="str" s="8">
        <v>攻击上限</v>
      </c>
      <c r="AT213" t="n" s="8">
        <v>162</v>
      </c>
      <c r="AU213" t="str" s="8">
        <v>法力下限</v>
      </c>
      <c r="AV213" t="n" s="8">
        <v>162</v>
      </c>
      <c r="AW213" t="str" s="8">
        <v>法力上限</v>
      </c>
      <c r="AX213" t="n" s="8">
        <v>162</v>
      </c>
      <c r="AY213" t="str" s="8">
        <v>物防下限</v>
      </c>
      <c r="AZ213" t="n" s="8">
        <v>38</v>
      </c>
      <c r="BA213" t="str" s="8">
        <v>物防上限</v>
      </c>
      <c r="BB213" t="n" s="8">
        <v>38</v>
      </c>
      <c r="BC213" t="str" s="8">
        <v>法防下限</v>
      </c>
      <c r="BD213" t="n" s="8">
        <v>38</v>
      </c>
      <c r="BE213" t="str" s="8">
        <v>法防上限</v>
      </c>
      <c r="BF213" t="n" s="8">
        <v>38</v>
      </c>
      <c r="BG213" t="str" s="8">
        <v>移动速度</v>
      </c>
      <c r="BH213" t="n" s="8">
        <v>240</v>
      </c>
      <c r="BI213" t="str" s="8">
        <v>攻击范围</v>
      </c>
      <c r="BJ213" t="n" s="8">
        <v>160</v>
      </c>
      <c r="BK213" t="str" s="8">
        <v>警戒范围</v>
      </c>
      <c r="BL213" t="n" s="8">
        <v>550</v>
      </c>
      <c r="BM213" t="str" s="8">
        <v>攻击间隔</v>
      </c>
      <c r="BN213" t="n" s="8">
        <v>1800</v>
      </c>
      <c r="BO213" t="n" s="8">
        <v>0</v>
      </c>
      <c r="BP213" s="8"/>
      <c r="BQ213" t="n" s="8">
        <v>0</v>
      </c>
      <c r="BR213" t="n" s="8">
        <v>0</v>
      </c>
      <c r="BS213" t="n" s="8">
        <v>0</v>
      </c>
      <c r="BT213" t="n" s="8">
        <v>0</v>
      </c>
      <c r="BU213" t="str" s="8">
        <v>渍岩罅的精英遭遇。依托本区既有水土、岩隙和可达条件活动。</v>
      </c>
      <c r="BV213" t="n">
        <v>2</v>
      </c>
      <c r="BW213" t="n">
        <v>2</v>
      </c>
      <c r="BX213" t="str">
        <v>玄品</v>
      </c>
      <c r="BY213" t="str">
        <v>native</v>
      </c>
      <c r="BZ213" t="b">
        <v>0</v>
      </c>
    </row>
    <row r="214" s="8" customFormat="1" spans="28:28">
      <c r="A214"/>
      <c r="B214" t="n" s="8">
        <v>61011001</v>
      </c>
      <c r="C214" t="str" s="8">
        <v>a010</v>
      </c>
      <c r="D214" t="str" s="5">
        <v>湿壁灵蝠</v>
      </c>
      <c r="E214" t="str" s="5">
        <v>R02-M2-普通-1</v>
      </c>
      <c r="F214" t="n" s="8">
        <v>15</v>
      </c>
      <c r="G214" s="8"/>
      <c r="H214" t="n" s="8">
        <v>2</v>
      </c>
      <c r="I214" t="str" s="8">
        <v>危石夹</v>
      </c>
      <c r="J214" t="str" s="8">
        <v>危石夹</v>
      </c>
      <c r="K214" t="str" s="8">
        <v>普通</v>
      </c>
      <c r="L214" t="n" s="8">
        <v>1</v>
      </c>
      <c r="M214" t="n" s="8">
        <v>1</v>
      </c>
      <c r="N214" t="n" s="8">
        <v>1</v>
      </c>
      <c r="O214" s="8"/>
      <c r="P214" t="n" s="8">
        <v>24</v>
      </c>
      <c r="Q214" t="n" s="8">
        <v>30000</v>
      </c>
      <c r="R214" t="str" s="8">
        <v>首击</v>
      </c>
      <c r="S214" t="n" s="8">
        <v>30000</v>
      </c>
      <c r="T214" t="n" s="8">
        <v>10</v>
      </c>
      <c r="U214" t="n" s="16">
        <v>40900200</v>
      </c>
      <c r="V214" t="n" s="8">
        <v>40910203</v>
      </c>
      <c r="W214" t="n" s="8">
        <v>40920201</v>
      </c>
      <c r="X214" t="n" s="8">
        <v>11000001</v>
      </c>
      <c r="Y214" s="8"/>
      <c r="Z214" s="8"/>
      <c r="AA214" t="str" s="8">
        <v>妖兽</v>
      </c>
      <c r="AB214" t="n" s="11">
        <v>20008</v>
      </c>
      <c r="AC214" t="n" s="8">
        <v>1</v>
      </c>
      <c r="AD214" t="n" s="8">
        <v>60</v>
      </c>
      <c r="AE214" t="n" s="8">
        <v>60</v>
      </c>
      <c r="AF214" t="n" s="8">
        <v>0</v>
      </c>
      <c r="AG214" t="n" s="8">
        <v>0</v>
      </c>
      <c r="AH214" t="str" s="8">
        <v>近战</v>
      </c>
      <c r="AI214" s="8"/>
      <c r="AJ214" s="17"/>
      <c r="AK214" s="8"/>
      <c r="AL214" s="18"/>
      <c r="AM214" t="str" s="8">
        <v>生命值</v>
      </c>
      <c r="AN214" t="n" s="19">
        <v>1890</v>
      </c>
      <c r="AO214" t="str" s="8">
        <v>灵力值</v>
      </c>
      <c r="AP214" t="n" s="8">
        <v>264</v>
      </c>
      <c r="AQ214" t="str" s="8">
        <v>攻击下限</v>
      </c>
      <c r="AR214" t="n" s="8">
        <v>132</v>
      </c>
      <c r="AS214" t="str" s="8">
        <v>攻击上限</v>
      </c>
      <c r="AT214" t="n" s="8">
        <v>132</v>
      </c>
      <c r="AU214" t="str" s="8">
        <v>法力下限</v>
      </c>
      <c r="AV214" t="n" s="8">
        <v>132</v>
      </c>
      <c r="AW214" t="str" s="8">
        <v>法力上限</v>
      </c>
      <c r="AX214" t="n" s="8">
        <v>132</v>
      </c>
      <c r="AY214" t="str" s="8">
        <v>物防下限</v>
      </c>
      <c r="AZ214" t="n" s="8">
        <v>38</v>
      </c>
      <c r="BA214" t="str" s="8">
        <v>物防上限</v>
      </c>
      <c r="BB214" t="n" s="8">
        <v>38</v>
      </c>
      <c r="BC214" t="str" s="8">
        <v>法防下限</v>
      </c>
      <c r="BD214" t="n" s="8">
        <v>38</v>
      </c>
      <c r="BE214" t="str" s="8">
        <v>法防上限</v>
      </c>
      <c r="BF214" t="n" s="8">
        <v>38</v>
      </c>
      <c r="BG214" t="str" s="8">
        <v>移动速度</v>
      </c>
      <c r="BH214" t="n" s="8">
        <v>240</v>
      </c>
      <c r="BI214" t="str" s="8">
        <v>攻击范围</v>
      </c>
      <c r="BJ214" t="n" s="8">
        <v>160</v>
      </c>
      <c r="BK214" t="str" s="8">
        <v>警戒范围</v>
      </c>
      <c r="BL214" t="n" s="8">
        <v>550</v>
      </c>
      <c r="BM214" t="str" s="8">
        <v>攻击间隔</v>
      </c>
      <c r="BN214" t="n" s="8">
        <v>1800</v>
      </c>
      <c r="BO214" t="n" s="8">
        <v>0</v>
      </c>
      <c r="BP214" s="8"/>
      <c r="BQ214" t="n" s="8">
        <v>0</v>
      </c>
      <c r="BR214" t="n" s="8">
        <v>0</v>
      </c>
      <c r="BS214" t="n" s="8">
        <v>0</v>
      </c>
      <c r="BT214" t="n" s="8">
        <v>0</v>
      </c>
      <c r="BU214" t="str" s="8">
        <v>危石夹的普通遭遇。依托本区既有水土、岩隙和可达条件活动。</v>
      </c>
      <c r="BV214" t="n">
        <v>2</v>
      </c>
      <c r="BW214" t="n">
        <v>5</v>
      </c>
      <c r="BX214" t="str">
        <v>凡品</v>
      </c>
      <c r="BY214" t="str">
        <v>native</v>
      </c>
      <c r="BZ214" t="b">
        <v>0</v>
      </c>
    </row>
    <row r="215" s="8" customFormat="1" spans="28:28">
      <c r="A215"/>
      <c r="B215" t="n" s="8">
        <v>61011002</v>
      </c>
      <c r="C215" t="str" s="8">
        <v>a010</v>
      </c>
      <c r="D215" t="str" s="5">
        <v>湍流石蟹</v>
      </c>
      <c r="E215" t="str" s="5">
        <v>R02-M2-普通-2</v>
      </c>
      <c r="F215" t="n" s="8">
        <v>15</v>
      </c>
      <c r="G215" s="8"/>
      <c r="H215" t="n" s="8">
        <v>2</v>
      </c>
      <c r="I215" t="str" s="8">
        <v>危石夹</v>
      </c>
      <c r="J215" t="str" s="8">
        <v>危石夹</v>
      </c>
      <c r="K215" t="str" s="8">
        <v>普通</v>
      </c>
      <c r="L215" t="n" s="8">
        <v>2</v>
      </c>
      <c r="M215" t="n" s="8">
        <v>2</v>
      </c>
      <c r="N215" t="n" s="8">
        <v>1</v>
      </c>
      <c r="O215" s="8"/>
      <c r="P215" t="n" s="8">
        <v>24</v>
      </c>
      <c r="Q215" t="n" s="8">
        <v>30000</v>
      </c>
      <c r="R215" t="str" s="8">
        <v>首击</v>
      </c>
      <c r="S215" t="n" s="8">
        <v>30000</v>
      </c>
      <c r="T215" t="n" s="8">
        <v>10</v>
      </c>
      <c r="U215" t="n" s="16">
        <v>40900200</v>
      </c>
      <c r="V215" t="n" s="8">
        <v>40910204</v>
      </c>
      <c r="W215" t="n" s="8">
        <v>40920200</v>
      </c>
      <c r="X215" t="n" s="8">
        <v>11000001</v>
      </c>
      <c r="Y215" s="8"/>
      <c r="Z215" s="8"/>
      <c r="AA215" t="str" s="8">
        <v>妖兽</v>
      </c>
      <c r="AB215" t="n" s="11">
        <v>20008</v>
      </c>
      <c r="AC215" t="n" s="8">
        <v>1</v>
      </c>
      <c r="AD215" t="n" s="8">
        <v>60</v>
      </c>
      <c r="AE215" t="n" s="8">
        <v>60</v>
      </c>
      <c r="AF215" t="n" s="8">
        <v>0</v>
      </c>
      <c r="AG215" t="n" s="8">
        <v>0</v>
      </c>
      <c r="AH215" t="str" s="8">
        <v>近战</v>
      </c>
      <c r="AI215" s="8"/>
      <c r="AJ215" s="17"/>
      <c r="AK215" s="8"/>
      <c r="AL215" s="18"/>
      <c r="AM215" t="str" s="8">
        <v>生命值</v>
      </c>
      <c r="AN215" t="n" s="19">
        <v>1890</v>
      </c>
      <c r="AO215" t="str" s="8">
        <v>灵力值</v>
      </c>
      <c r="AP215" t="n" s="8">
        <v>264</v>
      </c>
      <c r="AQ215" t="str" s="8">
        <v>攻击下限</v>
      </c>
      <c r="AR215" t="n" s="8">
        <v>132</v>
      </c>
      <c r="AS215" t="str" s="8">
        <v>攻击上限</v>
      </c>
      <c r="AT215" t="n" s="8">
        <v>132</v>
      </c>
      <c r="AU215" t="str" s="8">
        <v>法力下限</v>
      </c>
      <c r="AV215" t="n" s="8">
        <v>132</v>
      </c>
      <c r="AW215" t="str" s="8">
        <v>法力上限</v>
      </c>
      <c r="AX215" t="n" s="8">
        <v>132</v>
      </c>
      <c r="AY215" t="str" s="8">
        <v>物防下限</v>
      </c>
      <c r="AZ215" t="n" s="8">
        <v>38</v>
      </c>
      <c r="BA215" t="str" s="8">
        <v>物防上限</v>
      </c>
      <c r="BB215" t="n" s="8">
        <v>38</v>
      </c>
      <c r="BC215" t="str" s="8">
        <v>法防下限</v>
      </c>
      <c r="BD215" t="n" s="8">
        <v>38</v>
      </c>
      <c r="BE215" t="str" s="8">
        <v>法防上限</v>
      </c>
      <c r="BF215" t="n" s="8">
        <v>38</v>
      </c>
      <c r="BG215" t="str" s="8">
        <v>移动速度</v>
      </c>
      <c r="BH215" t="n" s="8">
        <v>240</v>
      </c>
      <c r="BI215" t="str" s="8">
        <v>攻击范围</v>
      </c>
      <c r="BJ215" t="n" s="8">
        <v>160</v>
      </c>
      <c r="BK215" t="str" s="8">
        <v>警戒范围</v>
      </c>
      <c r="BL215" t="n" s="8">
        <v>550</v>
      </c>
      <c r="BM215" t="str" s="8">
        <v>攻击间隔</v>
      </c>
      <c r="BN215" t="n" s="8">
        <v>1800</v>
      </c>
      <c r="BO215" t="n" s="8">
        <v>0</v>
      </c>
      <c r="BP215" s="8"/>
      <c r="BQ215" t="n" s="8">
        <v>0</v>
      </c>
      <c r="BR215" t="n" s="8">
        <v>0</v>
      </c>
      <c r="BS215" t="n" s="8">
        <v>0</v>
      </c>
      <c r="BT215" t="n" s="8">
        <v>0</v>
      </c>
      <c r="BU215" t="str" s="8">
        <v>危石夹的普通遭遇。依托本区既有水土、岩隙和可达条件活动。</v>
      </c>
      <c r="BV215" t="n">
        <v>2</v>
      </c>
      <c r="BW215" t="n">
        <v>5</v>
      </c>
      <c r="BX215" t="str">
        <v>凡品</v>
      </c>
      <c r="BY215" t="str">
        <v>native</v>
      </c>
      <c r="BZ215" t="b">
        <v>0</v>
      </c>
    </row>
    <row r="216" s="8" customFormat="1" spans="28:28">
      <c r="A216"/>
      <c r="B216" t="n" s="8">
        <v>61012003</v>
      </c>
      <c r="C216" t="str" s="8">
        <v>a010</v>
      </c>
      <c r="D216" t="str" s="5">
        <v>峡岩灵狼·异种</v>
      </c>
      <c r="E216" t="str" s="5">
        <v>R02-M2-精英-3</v>
      </c>
      <c r="F216" t="n" s="8">
        <v>15</v>
      </c>
      <c r="G216" s="8"/>
      <c r="H216" t="n" s="8">
        <v>2</v>
      </c>
      <c r="I216" t="str" s="8">
        <v>危石夹</v>
      </c>
      <c r="J216" t="str" s="8">
        <v>危石夹</v>
      </c>
      <c r="K216" t="str" s="8">
        <v>精英</v>
      </c>
      <c r="L216" t="n" s="8">
        <v>3</v>
      </c>
      <c r="M216" t="n" s="8">
        <v>3</v>
      </c>
      <c r="N216" t="n" s="8">
        <v>3</v>
      </c>
      <c r="O216" s="8"/>
      <c r="P216" t="n" s="8">
        <v>40</v>
      </c>
      <c r="Q216" t="n" s="8">
        <v>180000</v>
      </c>
      <c r="R216" t="str" s="8">
        <v>首击</v>
      </c>
      <c r="S216" t="n" s="8">
        <v>30000</v>
      </c>
      <c r="T216" t="n" s="8">
        <v>11</v>
      </c>
      <c r="U216" t="n" s="16">
        <v>40900201</v>
      </c>
      <c r="V216" t="n" s="8">
        <v>41120205</v>
      </c>
      <c r="W216" t="n" s="8">
        <v>41320201</v>
      </c>
      <c r="X216" t="n" s="8">
        <v>11000001</v>
      </c>
      <c r="Y216" s="8"/>
      <c r="Z216" s="8"/>
      <c r="AA216" t="str" s="8">
        <v>妖兽</v>
      </c>
      <c r="AB216" t="n" s="11">
        <v>20008</v>
      </c>
      <c r="AC216" t="n" s="8">
        <v>1.25</v>
      </c>
      <c r="AD216" t="n" s="8">
        <v>60</v>
      </c>
      <c r="AE216" t="n" s="8">
        <v>60</v>
      </c>
      <c r="AF216" t="n" s="8">
        <v>0</v>
      </c>
      <c r="AG216" t="n" s="8">
        <v>0</v>
      </c>
      <c r="AH216" t="str" s="8">
        <v>近战</v>
      </c>
      <c r="AI216" s="8"/>
      <c r="AJ216" s="17"/>
      <c r="AK216" s="8"/>
      <c r="AL216" s="18"/>
      <c r="AM216" t="str" s="8">
        <v>生命值</v>
      </c>
      <c r="AN216" t="n" s="19">
        <v>5292</v>
      </c>
      <c r="AO216" t="str" s="8">
        <v>灵力值</v>
      </c>
      <c r="AP216" t="n" s="8">
        <v>384</v>
      </c>
      <c r="AQ216" t="str" s="8">
        <v>攻击下限</v>
      </c>
      <c r="AR216" t="n" s="8">
        <v>192</v>
      </c>
      <c r="AS216" t="str" s="8">
        <v>攻击上限</v>
      </c>
      <c r="AT216" t="n" s="8">
        <v>192</v>
      </c>
      <c r="AU216" t="str" s="8">
        <v>法力下限</v>
      </c>
      <c r="AV216" t="n" s="8">
        <v>192</v>
      </c>
      <c r="AW216" t="str" s="8">
        <v>法力上限</v>
      </c>
      <c r="AX216" t="n" s="8">
        <v>192</v>
      </c>
      <c r="AY216" t="str" s="8">
        <v>物防下限</v>
      </c>
      <c r="AZ216" t="n" s="8">
        <v>45</v>
      </c>
      <c r="BA216" t="str" s="8">
        <v>物防上限</v>
      </c>
      <c r="BB216" t="n" s="8">
        <v>45</v>
      </c>
      <c r="BC216" t="str" s="8">
        <v>法防下限</v>
      </c>
      <c r="BD216" t="n" s="8">
        <v>45</v>
      </c>
      <c r="BE216" t="str" s="8">
        <v>法防上限</v>
      </c>
      <c r="BF216" t="n" s="8">
        <v>45</v>
      </c>
      <c r="BG216" t="str" s="8">
        <v>移动速度</v>
      </c>
      <c r="BH216" t="n" s="8">
        <v>240</v>
      </c>
      <c r="BI216" t="str" s="8">
        <v>攻击范围</v>
      </c>
      <c r="BJ216" t="n" s="8">
        <v>160</v>
      </c>
      <c r="BK216" t="str" s="8">
        <v>警戒范围</v>
      </c>
      <c r="BL216" t="n" s="8">
        <v>550</v>
      </c>
      <c r="BM216" t="str" s="8">
        <v>攻击间隔</v>
      </c>
      <c r="BN216" t="n" s="8">
        <v>1800</v>
      </c>
      <c r="BO216" t="n" s="8">
        <v>0</v>
      </c>
      <c r="BP216" s="8"/>
      <c r="BQ216" t="n" s="8">
        <v>0</v>
      </c>
      <c r="BR216" t="n" s="8">
        <v>0</v>
      </c>
      <c r="BS216" t="n" s="8">
        <v>0</v>
      </c>
      <c r="BT216" t="n" s="8">
        <v>0</v>
      </c>
      <c r="BU216" t="str" s="8">
        <v>危石夹的精英遭遇。依托本区既有水土、岩隙和可达条件活动。</v>
      </c>
      <c r="BV216" t="n">
        <v>2</v>
      </c>
      <c r="BW216" t="n">
        <v>5</v>
      </c>
      <c r="BX216" t="str">
        <v>玄品</v>
      </c>
      <c r="BY216" t="str">
        <v>native</v>
      </c>
      <c r="BZ216" t="b">
        <v>0</v>
      </c>
    </row>
    <row r="217" s="8" customFormat="1" spans="28:28">
      <c r="A217"/>
      <c r="B217" t="n" s="8">
        <v>61021001</v>
      </c>
      <c r="C217" t="str" s="8">
        <v>a010</v>
      </c>
      <c r="D217" t="str" s="5">
        <v>湿壁灵蝠</v>
      </c>
      <c r="E217" t="str" s="5">
        <v>R02-M3-普通-1</v>
      </c>
      <c r="F217" t="n" s="8">
        <v>18</v>
      </c>
      <c r="G217" s="8"/>
      <c r="H217" t="n" s="8">
        <v>2</v>
      </c>
      <c r="I217" t="str" s="8">
        <v>一线湍</v>
      </c>
      <c r="J217" t="str" s="8">
        <v>一线湍</v>
      </c>
      <c r="K217" t="str" s="8">
        <v>普通</v>
      </c>
      <c r="L217" t="n" s="8">
        <v>1</v>
      </c>
      <c r="M217" t="n" s="8">
        <v>1</v>
      </c>
      <c r="N217" t="n" s="8">
        <v>1</v>
      </c>
      <c r="O217" s="8"/>
      <c r="P217" t="n" s="8">
        <v>24</v>
      </c>
      <c r="Q217" t="n" s="8">
        <v>30000</v>
      </c>
      <c r="R217" t="str" s="8">
        <v>首击</v>
      </c>
      <c r="S217" t="n" s="8">
        <v>30000</v>
      </c>
      <c r="T217" t="n" s="8">
        <v>10</v>
      </c>
      <c r="U217" t="n" s="16">
        <v>40900200</v>
      </c>
      <c r="V217" t="n" s="8">
        <v>40910206</v>
      </c>
      <c r="W217" t="n" s="8">
        <v>40920200</v>
      </c>
      <c r="X217" t="n" s="8">
        <v>11000001</v>
      </c>
      <c r="Y217" s="8"/>
      <c r="Z217" s="8"/>
      <c r="AA217" t="str" s="8">
        <v>妖兽</v>
      </c>
      <c r="AB217" t="n" s="11">
        <v>20008</v>
      </c>
      <c r="AC217" t="n" s="8">
        <v>1</v>
      </c>
      <c r="AD217" t="n" s="8">
        <v>60</v>
      </c>
      <c r="AE217" t="n" s="8">
        <v>60</v>
      </c>
      <c r="AF217" t="n" s="8">
        <v>0</v>
      </c>
      <c r="AG217" t="n" s="8">
        <v>0</v>
      </c>
      <c r="AH217" t="str" s="8">
        <v>近战</v>
      </c>
      <c r="AI217" s="8"/>
      <c r="AJ217" s="17"/>
      <c r="AK217" s="8"/>
      <c r="AL217" s="18"/>
      <c r="AM217" t="str" s="8">
        <v>生命值</v>
      </c>
      <c r="AN217" t="n" s="19">
        <v>2182</v>
      </c>
      <c r="AO217" t="str" s="8">
        <v>灵力值</v>
      </c>
      <c r="AP217" t="n" s="8">
        <v>306</v>
      </c>
      <c r="AQ217" t="str" s="8">
        <v>攻击下限</v>
      </c>
      <c r="AR217" t="n" s="8">
        <v>153</v>
      </c>
      <c r="AS217" t="str" s="8">
        <v>攻击上限</v>
      </c>
      <c r="AT217" t="n" s="8">
        <v>153</v>
      </c>
      <c r="AU217" t="str" s="8">
        <v>法力下限</v>
      </c>
      <c r="AV217" t="n" s="8">
        <v>153</v>
      </c>
      <c r="AW217" t="str" s="8">
        <v>法力上限</v>
      </c>
      <c r="AX217" t="n" s="8">
        <v>153</v>
      </c>
      <c r="AY217" t="str" s="8">
        <v>物防下限</v>
      </c>
      <c r="AZ217" t="n" s="8">
        <v>44</v>
      </c>
      <c r="BA217" t="str" s="8">
        <v>物防上限</v>
      </c>
      <c r="BB217" t="n" s="8">
        <v>44</v>
      </c>
      <c r="BC217" t="str" s="8">
        <v>法防下限</v>
      </c>
      <c r="BD217" t="n" s="8">
        <v>44</v>
      </c>
      <c r="BE217" t="str" s="8">
        <v>法防上限</v>
      </c>
      <c r="BF217" t="n" s="8">
        <v>44</v>
      </c>
      <c r="BG217" t="str" s="8">
        <v>移动速度</v>
      </c>
      <c r="BH217" t="n" s="8">
        <v>240</v>
      </c>
      <c r="BI217" t="str" s="8">
        <v>攻击范围</v>
      </c>
      <c r="BJ217" t="n" s="8">
        <v>160</v>
      </c>
      <c r="BK217" t="str" s="8">
        <v>警戒范围</v>
      </c>
      <c r="BL217" t="n" s="8">
        <v>550</v>
      </c>
      <c r="BM217" t="str" s="8">
        <v>攻击间隔</v>
      </c>
      <c r="BN217" t="n" s="8">
        <v>1800</v>
      </c>
      <c r="BO217" t="n" s="8">
        <v>0</v>
      </c>
      <c r="BP217" s="8"/>
      <c r="BQ217" t="n" s="8">
        <v>0</v>
      </c>
      <c r="BR217" t="n" s="8">
        <v>0</v>
      </c>
      <c r="BS217" t="n" s="8">
        <v>0</v>
      </c>
      <c r="BT217" t="n" s="8">
        <v>0</v>
      </c>
      <c r="BU217" t="str" s="8">
        <v>一线湍的普通遭遇。依托本区既有水土、岩隙和可达条件活动。</v>
      </c>
      <c r="BV217" t="n">
        <v>2</v>
      </c>
      <c r="BW217" t="n">
        <v>8</v>
      </c>
      <c r="BX217" t="str">
        <v>凡品</v>
      </c>
      <c r="BY217" t="str">
        <v>native</v>
      </c>
      <c r="BZ217" t="b">
        <v>0</v>
      </c>
    </row>
    <row r="218" s="8" customFormat="1" spans="28:28">
      <c r="A218"/>
      <c r="B218" t="n" s="8">
        <v>61021002</v>
      </c>
      <c r="C218" t="str" s="8">
        <v>a010</v>
      </c>
      <c r="D218" t="str" s="5">
        <v>湍流石蟹</v>
      </c>
      <c r="E218" t="str" s="5">
        <v>R02-M3-普通-2</v>
      </c>
      <c r="F218" t="n" s="8">
        <v>18</v>
      </c>
      <c r="G218" s="8"/>
      <c r="H218" t="n" s="8">
        <v>2</v>
      </c>
      <c r="I218" t="str" s="8">
        <v>一线湍</v>
      </c>
      <c r="J218" t="str" s="8">
        <v>一线湍</v>
      </c>
      <c r="K218" t="str" s="8">
        <v>普通</v>
      </c>
      <c r="L218" t="n" s="8">
        <v>2</v>
      </c>
      <c r="M218" t="n" s="8">
        <v>2</v>
      </c>
      <c r="N218" t="n" s="8">
        <v>1</v>
      </c>
      <c r="O218" s="8"/>
      <c r="P218" t="n" s="8">
        <v>24</v>
      </c>
      <c r="Q218" t="n" s="8">
        <v>30000</v>
      </c>
      <c r="R218" t="str" s="8">
        <v>首击</v>
      </c>
      <c r="S218" t="n" s="8">
        <v>30000</v>
      </c>
      <c r="T218" t="n" s="8">
        <v>10</v>
      </c>
      <c r="U218" t="n" s="16">
        <v>40900200</v>
      </c>
      <c r="V218" t="n" s="8">
        <v>40910207</v>
      </c>
      <c r="W218" t="n" s="8">
        <v>40920201</v>
      </c>
      <c r="X218" t="n" s="8">
        <v>11000001</v>
      </c>
      <c r="Y218" s="8"/>
      <c r="Z218" s="8"/>
      <c r="AA218" t="str" s="8">
        <v>妖兽</v>
      </c>
      <c r="AB218" t="n" s="11">
        <v>20008</v>
      </c>
      <c r="AC218" t="n" s="8">
        <v>1</v>
      </c>
      <c r="AD218" t="n" s="8">
        <v>60</v>
      </c>
      <c r="AE218" t="n" s="8">
        <v>60</v>
      </c>
      <c r="AF218" t="n" s="8">
        <v>0</v>
      </c>
      <c r="AG218" t="n" s="8">
        <v>0</v>
      </c>
      <c r="AH218" t="str" s="8">
        <v>近战</v>
      </c>
      <c r="AI218" s="8"/>
      <c r="AJ218" s="17"/>
      <c r="AK218" s="8"/>
      <c r="AL218" s="18"/>
      <c r="AM218" t="str" s="8">
        <v>生命值</v>
      </c>
      <c r="AN218" t="n" s="19">
        <v>2182</v>
      </c>
      <c r="AO218" t="str" s="8">
        <v>灵力值</v>
      </c>
      <c r="AP218" t="n" s="8">
        <v>306</v>
      </c>
      <c r="AQ218" t="str" s="8">
        <v>攻击下限</v>
      </c>
      <c r="AR218" t="n" s="8">
        <v>153</v>
      </c>
      <c r="AS218" t="str" s="8">
        <v>攻击上限</v>
      </c>
      <c r="AT218" t="n" s="8">
        <v>153</v>
      </c>
      <c r="AU218" t="str" s="8">
        <v>法力下限</v>
      </c>
      <c r="AV218" t="n" s="8">
        <v>153</v>
      </c>
      <c r="AW218" t="str" s="8">
        <v>法力上限</v>
      </c>
      <c r="AX218" t="n" s="8">
        <v>153</v>
      </c>
      <c r="AY218" t="str" s="8">
        <v>物防下限</v>
      </c>
      <c r="AZ218" t="n" s="8">
        <v>44</v>
      </c>
      <c r="BA218" t="str" s="8">
        <v>物防上限</v>
      </c>
      <c r="BB218" t="n" s="8">
        <v>44</v>
      </c>
      <c r="BC218" t="str" s="8">
        <v>法防下限</v>
      </c>
      <c r="BD218" t="n" s="8">
        <v>44</v>
      </c>
      <c r="BE218" t="str" s="8">
        <v>法防上限</v>
      </c>
      <c r="BF218" t="n" s="8">
        <v>44</v>
      </c>
      <c r="BG218" t="str" s="8">
        <v>移动速度</v>
      </c>
      <c r="BH218" t="n" s="8">
        <v>240</v>
      </c>
      <c r="BI218" t="str" s="8">
        <v>攻击范围</v>
      </c>
      <c r="BJ218" t="n" s="8">
        <v>160</v>
      </c>
      <c r="BK218" t="str" s="8">
        <v>警戒范围</v>
      </c>
      <c r="BL218" t="n" s="8">
        <v>550</v>
      </c>
      <c r="BM218" t="str" s="8">
        <v>攻击间隔</v>
      </c>
      <c r="BN218" t="n" s="8">
        <v>1800</v>
      </c>
      <c r="BO218" t="n" s="8">
        <v>0</v>
      </c>
      <c r="BP218" s="8"/>
      <c r="BQ218" t="n" s="8">
        <v>0</v>
      </c>
      <c r="BR218" t="n" s="8">
        <v>0</v>
      </c>
      <c r="BS218" t="n" s="8">
        <v>0</v>
      </c>
      <c r="BT218" t="n" s="8">
        <v>0</v>
      </c>
      <c r="BU218" t="str" s="8">
        <v>一线湍的普通遭遇。依托本区既有水土、岩隙和可达条件活动。</v>
      </c>
      <c r="BV218" t="n">
        <v>2</v>
      </c>
      <c r="BW218" t="n">
        <v>8</v>
      </c>
      <c r="BX218" t="str">
        <v>凡品</v>
      </c>
      <c r="BY218" t="str">
        <v>native</v>
      </c>
      <c r="BZ218" t="b">
        <v>0</v>
      </c>
    </row>
    <row r="219" s="8" customFormat="1" spans="28:28">
      <c r="A219"/>
      <c r="B219" t="n" s="8">
        <v>61022003</v>
      </c>
      <c r="C219" t="str" s="8">
        <v>a010</v>
      </c>
      <c r="D219" t="str" s="5">
        <v>峡岩灵狼·异种</v>
      </c>
      <c r="E219" t="str" s="5">
        <v>R02-M3-精英-3</v>
      </c>
      <c r="F219" t="n" s="8">
        <v>18</v>
      </c>
      <c r="G219" s="8"/>
      <c r="H219" t="n" s="8">
        <v>2</v>
      </c>
      <c r="I219" t="str" s="8">
        <v>一线湍</v>
      </c>
      <c r="J219" t="str" s="8">
        <v>一线湍</v>
      </c>
      <c r="K219" t="str" s="8">
        <v>精英</v>
      </c>
      <c r="L219" t="n" s="8">
        <v>3</v>
      </c>
      <c r="M219" t="n" s="8">
        <v>3</v>
      </c>
      <c r="N219" t="n" s="8">
        <v>3</v>
      </c>
      <c r="O219" s="8"/>
      <c r="P219" t="n" s="8">
        <v>40</v>
      </c>
      <c r="Q219" t="n" s="8">
        <v>180000</v>
      </c>
      <c r="R219" t="str" s="8">
        <v>首击</v>
      </c>
      <c r="S219" t="n" s="8">
        <v>30000</v>
      </c>
      <c r="T219" t="n" s="8">
        <v>11</v>
      </c>
      <c r="U219" t="n" s="16">
        <v>40900201</v>
      </c>
      <c r="V219" t="n" s="8">
        <v>41120208</v>
      </c>
      <c r="W219" t="n" s="8">
        <v>41320202</v>
      </c>
      <c r="X219" t="n" s="8">
        <v>11000001</v>
      </c>
      <c r="Y219" s="8"/>
      <c r="Z219" s="8"/>
      <c r="AA219" t="str" s="8">
        <v>妖兽</v>
      </c>
      <c r="AB219" t="n" s="11">
        <v>20008</v>
      </c>
      <c r="AC219" t="n" s="8">
        <v>1.25</v>
      </c>
      <c r="AD219" t="n" s="8">
        <v>60</v>
      </c>
      <c r="AE219" t="n" s="8">
        <v>60</v>
      </c>
      <c r="AF219" t="n" s="8">
        <v>0</v>
      </c>
      <c r="AG219" t="n" s="8">
        <v>0</v>
      </c>
      <c r="AH219" t="str" s="8">
        <v>近战</v>
      </c>
      <c r="AI219" s="8"/>
      <c r="AJ219" s="17"/>
      <c r="AK219" s="8"/>
      <c r="AL219" s="18"/>
      <c r="AM219" t="str" s="8">
        <v>生命值</v>
      </c>
      <c r="AN219" t="n" s="19">
        <v>6111</v>
      </c>
      <c r="AO219" t="str" s="8">
        <v>灵力值</v>
      </c>
      <c r="AP219" t="n" s="8">
        <v>444</v>
      </c>
      <c r="AQ219" t="str" s="8">
        <v>攻击下限</v>
      </c>
      <c r="AR219" t="n" s="8">
        <v>222</v>
      </c>
      <c r="AS219" t="str" s="8">
        <v>攻击上限</v>
      </c>
      <c r="AT219" t="n" s="8">
        <v>222</v>
      </c>
      <c r="AU219" t="str" s="8">
        <v>法力下限</v>
      </c>
      <c r="AV219" t="n" s="8">
        <v>222</v>
      </c>
      <c r="AW219" t="str" s="8">
        <v>法力上限</v>
      </c>
      <c r="AX219" t="n" s="8">
        <v>222</v>
      </c>
      <c r="AY219" t="str" s="8">
        <v>物防下限</v>
      </c>
      <c r="AZ219" t="n" s="8">
        <v>52</v>
      </c>
      <c r="BA219" t="str" s="8">
        <v>物防上限</v>
      </c>
      <c r="BB219" t="n" s="8">
        <v>52</v>
      </c>
      <c r="BC219" t="str" s="8">
        <v>法防下限</v>
      </c>
      <c r="BD219" t="n" s="8">
        <v>52</v>
      </c>
      <c r="BE219" t="str" s="8">
        <v>法防上限</v>
      </c>
      <c r="BF219" t="n" s="8">
        <v>52</v>
      </c>
      <c r="BG219" t="str" s="8">
        <v>移动速度</v>
      </c>
      <c r="BH219" t="n" s="8">
        <v>240</v>
      </c>
      <c r="BI219" t="str" s="8">
        <v>攻击范围</v>
      </c>
      <c r="BJ219" t="n" s="8">
        <v>160</v>
      </c>
      <c r="BK219" t="str" s="8">
        <v>警戒范围</v>
      </c>
      <c r="BL219" t="n" s="8">
        <v>550</v>
      </c>
      <c r="BM219" t="str" s="8">
        <v>攻击间隔</v>
      </c>
      <c r="BN219" t="n" s="8">
        <v>1800</v>
      </c>
      <c r="BO219" t="n" s="8">
        <v>0</v>
      </c>
      <c r="BP219" s="8"/>
      <c r="BQ219" t="n" s="8">
        <v>0</v>
      </c>
      <c r="BR219" t="n" s="8">
        <v>0</v>
      </c>
      <c r="BS219" t="n" s="8">
        <v>0</v>
      </c>
      <c r="BT219" t="n" s="8">
        <v>0</v>
      </c>
      <c r="BU219" t="str" s="8">
        <v>一线湍的精英遭遇。依托本区既有水土、岩隙和可达条件活动。</v>
      </c>
      <c r="BV219" t="n">
        <v>2</v>
      </c>
      <c r="BW219" t="n">
        <v>8</v>
      </c>
      <c r="BX219" t="str">
        <v>玄品</v>
      </c>
      <c r="BY219" t="str">
        <v>native</v>
      </c>
      <c r="BZ219" t="b">
        <v>0</v>
      </c>
    </row>
    <row r="220" s="8" customFormat="1" spans="28:28">
      <c r="A220"/>
      <c r="B220" t="n" s="8">
        <v>61024004</v>
      </c>
      <c r="C220" t="str" s="8">
        <v>a010</v>
      </c>
      <c r="D220" t="str" s="5">
        <v>裂罅灵蛇·首领</v>
      </c>
      <c r="E220" t="str" s="5">
        <v>R02-M3-BOSS-4</v>
      </c>
      <c r="F220" t="n" s="8">
        <v>18</v>
      </c>
      <c r="G220" s="8"/>
      <c r="H220" t="n" s="8">
        <v>2</v>
      </c>
      <c r="I220" t="str" s="8">
        <v>一线湍</v>
      </c>
      <c r="J220" t="str" s="8">
        <v>一线湍</v>
      </c>
      <c r="K220" t="str" s="8">
        <v>BOSS</v>
      </c>
      <c r="L220" t="n" s="8">
        <v>4</v>
      </c>
      <c r="M220" t="n" s="8">
        <v>4</v>
      </c>
      <c r="N220" t="n" s="8">
        <v>5</v>
      </c>
      <c r="O220" s="8"/>
      <c r="P220" t="n" s="8">
        <v>40</v>
      </c>
      <c r="Q220" t="n" s="8">
        <v>900000</v>
      </c>
      <c r="R220" t="str" s="8">
        <v>首击</v>
      </c>
      <c r="S220" t="n" s="8">
        <v>30000</v>
      </c>
      <c r="T220" t="n" s="8">
        <v>12</v>
      </c>
      <c r="U220" t="n" s="16">
        <v>40900202</v>
      </c>
      <c r="V220" t="n" s="8">
        <v>41130209</v>
      </c>
      <c r="W220" t="n" s="8">
        <v>41330203</v>
      </c>
      <c r="X220" t="n" s="8">
        <v>11000001</v>
      </c>
      <c r="Y220" s="8"/>
      <c r="Z220" s="8"/>
      <c r="AA220" t="str" s="8">
        <v>妖兽</v>
      </c>
      <c r="AB220" t="n" s="11">
        <v>20008</v>
      </c>
      <c r="AC220" t="n" s="8">
        <v>1.6</v>
      </c>
      <c r="AD220" t="n" s="8">
        <v>60</v>
      </c>
      <c r="AE220" t="n" s="8">
        <v>60</v>
      </c>
      <c r="AF220" t="n" s="8">
        <v>0</v>
      </c>
      <c r="AG220" t="n" s="8">
        <v>0</v>
      </c>
      <c r="AH220" t="str" s="8">
        <v>近战</v>
      </c>
      <c r="AI220" s="8"/>
      <c r="AJ220" s="17"/>
      <c r="AK220" s="8"/>
      <c r="AL220" s="18"/>
      <c r="AM220" t="str" s="8">
        <v>生命值</v>
      </c>
      <c r="AN220" t="n" s="19">
        <v>21825</v>
      </c>
      <c r="AO220" t="str" s="8">
        <v>灵力值</v>
      </c>
      <c r="AP220" t="n" s="8">
        <v>642</v>
      </c>
      <c r="AQ220" t="str" s="8">
        <v>攻击下限</v>
      </c>
      <c r="AR220" t="n" s="8">
        <v>321</v>
      </c>
      <c r="AS220" t="str" s="8">
        <v>攻击上限</v>
      </c>
      <c r="AT220" t="n" s="8">
        <v>321</v>
      </c>
      <c r="AU220" t="str" s="8">
        <v>法力下限</v>
      </c>
      <c r="AV220" t="n" s="8">
        <v>321</v>
      </c>
      <c r="AW220" t="str" s="8">
        <v>法力上限</v>
      </c>
      <c r="AX220" t="n" s="8">
        <v>321</v>
      </c>
      <c r="AY220" t="str" s="8">
        <v>物防下限</v>
      </c>
      <c r="AZ220" t="n" s="8">
        <v>65</v>
      </c>
      <c r="BA220" t="str" s="8">
        <v>物防上限</v>
      </c>
      <c r="BB220" t="n" s="8">
        <v>65</v>
      </c>
      <c r="BC220" t="str" s="8">
        <v>法防下限</v>
      </c>
      <c r="BD220" t="n" s="8">
        <v>65</v>
      </c>
      <c r="BE220" t="str" s="8">
        <v>法防上限</v>
      </c>
      <c r="BF220" t="n" s="8">
        <v>65</v>
      </c>
      <c r="BG220" t="str" s="8">
        <v>移动速度</v>
      </c>
      <c r="BH220" t="n" s="8">
        <v>240</v>
      </c>
      <c r="BI220" t="str" s="8">
        <v>攻击范围</v>
      </c>
      <c r="BJ220" t="n" s="8">
        <v>160</v>
      </c>
      <c r="BK220" t="str" s="8">
        <v>警戒范围</v>
      </c>
      <c r="BL220" t="n" s="8">
        <v>700</v>
      </c>
      <c r="BM220" t="str" s="8">
        <v>攻击间隔</v>
      </c>
      <c r="BN220" t="n" s="8">
        <v>2200</v>
      </c>
      <c r="BO220" t="n" s="8">
        <v>0</v>
      </c>
      <c r="BP220" s="8"/>
      <c r="BQ220" t="n" s="8">
        <v>0</v>
      </c>
      <c r="BR220" t="n" s="8">
        <v>0</v>
      </c>
      <c r="BS220" t="n" s="8">
        <v>0</v>
      </c>
      <c r="BT220" t="n" s="8">
        <v>0</v>
      </c>
      <c r="BU220" t="str" s="8">
        <v>一线湍的BOSS遭遇。依托本区既有水土、岩隙和可达条件活动。</v>
      </c>
      <c r="BV220" t="n">
        <v>2</v>
      </c>
      <c r="BW220" t="n">
        <v>8</v>
      </c>
      <c r="BX220" t="str">
        <v>仙品</v>
      </c>
      <c r="BY220" t="str">
        <v>native</v>
      </c>
      <c r="BZ220" t="b">
        <v>1</v>
      </c>
    </row>
    <row r="221" s="8" customFormat="1" spans="28:28">
      <c r="A221"/>
      <c r="B221" t="n" s="8">
        <v>61031001</v>
      </c>
      <c r="C221" t="str" s="8">
        <v>a010</v>
      </c>
      <c r="D221" t="str" s="5">
        <v>湿壁灵蝠</v>
      </c>
      <c r="E221" t="str" s="5">
        <v>R02-P1-普通-1</v>
      </c>
      <c r="F221" t="n" s="8">
        <v>13</v>
      </c>
      <c r="G221" s="8"/>
      <c r="H221" t="n" s="8">
        <v>2</v>
      </c>
      <c r="I221" t="str" s="8">
        <v>垂水衣</v>
      </c>
      <c r="J221" t="str" s="8">
        <v>垂水衣</v>
      </c>
      <c r="K221" t="str" s="8">
        <v>普通</v>
      </c>
      <c r="L221" t="n" s="8">
        <v>1</v>
      </c>
      <c r="M221" t="n" s="8">
        <v>1</v>
      </c>
      <c r="N221" t="n" s="8">
        <v>1</v>
      </c>
      <c r="O221" s="8"/>
      <c r="P221" t="n" s="8">
        <v>24</v>
      </c>
      <c r="Q221" t="n" s="8">
        <v>30000</v>
      </c>
      <c r="R221" t="str" s="8">
        <v>首击</v>
      </c>
      <c r="S221" t="n" s="8">
        <v>30000</v>
      </c>
      <c r="T221" t="n" s="8">
        <v>10</v>
      </c>
      <c r="U221" t="n" s="16">
        <v>40900200</v>
      </c>
      <c r="V221" t="n" s="8">
        <v>40910210</v>
      </c>
      <c r="W221" t="n" s="8">
        <v>40920200</v>
      </c>
      <c r="X221" t="n" s="8">
        <v>11000001</v>
      </c>
      <c r="Y221" s="8"/>
      <c r="Z221" s="8"/>
      <c r="AA221" t="str" s="8">
        <v>妖兽</v>
      </c>
      <c r="AB221" t="n" s="11">
        <v>20008</v>
      </c>
      <c r="AC221" t="n" s="8">
        <v>1</v>
      </c>
      <c r="AD221" t="n" s="8">
        <v>60</v>
      </c>
      <c r="AE221" t="n" s="8">
        <v>60</v>
      </c>
      <c r="AF221" t="n" s="8">
        <v>0</v>
      </c>
      <c r="AG221" t="n" s="8">
        <v>0</v>
      </c>
      <c r="AH221" t="str" s="8">
        <v>近战</v>
      </c>
      <c r="AI221" s="8"/>
      <c r="AJ221" s="17"/>
      <c r="AK221" s="8"/>
      <c r="AL221" s="18"/>
      <c r="AM221" t="str" s="8">
        <v>生命值</v>
      </c>
      <c r="AN221" t="n" s="19">
        <v>1695</v>
      </c>
      <c r="AO221" t="str" s="8">
        <v>灵力值</v>
      </c>
      <c r="AP221" t="n" s="8">
        <v>238</v>
      </c>
      <c r="AQ221" t="str" s="8">
        <v>攻击下限</v>
      </c>
      <c r="AR221" t="n" s="8">
        <v>119</v>
      </c>
      <c r="AS221" t="str" s="8">
        <v>攻击上限</v>
      </c>
      <c r="AT221" t="n" s="8">
        <v>119</v>
      </c>
      <c r="AU221" t="str" s="8">
        <v>法力下限</v>
      </c>
      <c r="AV221" t="n" s="8">
        <v>119</v>
      </c>
      <c r="AW221" t="str" s="8">
        <v>法力上限</v>
      </c>
      <c r="AX221" t="n" s="8">
        <v>119</v>
      </c>
      <c r="AY221" t="str" s="8">
        <v>物防下限</v>
      </c>
      <c r="AZ221" t="n" s="8">
        <v>34</v>
      </c>
      <c r="BA221" t="str" s="8">
        <v>物防上限</v>
      </c>
      <c r="BB221" t="n" s="8">
        <v>34</v>
      </c>
      <c r="BC221" t="str" s="8">
        <v>法防下限</v>
      </c>
      <c r="BD221" t="n" s="8">
        <v>34</v>
      </c>
      <c r="BE221" t="str" s="8">
        <v>法防上限</v>
      </c>
      <c r="BF221" t="n" s="8">
        <v>34</v>
      </c>
      <c r="BG221" t="str" s="8">
        <v>移动速度</v>
      </c>
      <c r="BH221" t="n" s="8">
        <v>240</v>
      </c>
      <c r="BI221" t="str" s="8">
        <v>攻击范围</v>
      </c>
      <c r="BJ221" t="n" s="8">
        <v>160</v>
      </c>
      <c r="BK221" t="str" s="8">
        <v>警戒范围</v>
      </c>
      <c r="BL221" t="n" s="8">
        <v>550</v>
      </c>
      <c r="BM221" t="str" s="8">
        <v>攻击间隔</v>
      </c>
      <c r="BN221" t="n" s="8">
        <v>1800</v>
      </c>
      <c r="BO221" t="n" s="8">
        <v>0</v>
      </c>
      <c r="BP221" s="8"/>
      <c r="BQ221" t="n" s="8">
        <v>0</v>
      </c>
      <c r="BR221" t="n" s="8">
        <v>0</v>
      </c>
      <c r="BS221" t="n" s="8">
        <v>0</v>
      </c>
      <c r="BT221" t="n" s="8">
        <v>0</v>
      </c>
      <c r="BU221" t="str" s="8">
        <v>垂水衣的普通遭遇。依托本区既有水土、岩隙和可达条件活动。</v>
      </c>
      <c r="BV221" t="n">
        <v>2</v>
      </c>
      <c r="BW221" t="n">
        <v>3</v>
      </c>
      <c r="BX221" t="str">
        <v>凡品</v>
      </c>
      <c r="BY221" t="str">
        <v>native</v>
      </c>
      <c r="BZ221" t="b">
        <v>0</v>
      </c>
    </row>
    <row r="222" s="8" customFormat="1" spans="28:28">
      <c r="A222"/>
      <c r="B222" t="n" s="8">
        <v>61031002</v>
      </c>
      <c r="C222" t="str" s="8">
        <v>a010</v>
      </c>
      <c r="D222" t="str" s="5">
        <v>湍流石蟹</v>
      </c>
      <c r="E222" t="str" s="5">
        <v>R02-P1-普通-2</v>
      </c>
      <c r="F222" t="n" s="8">
        <v>13</v>
      </c>
      <c r="G222" s="8"/>
      <c r="H222" t="n" s="8">
        <v>2</v>
      </c>
      <c r="I222" t="str" s="8">
        <v>垂水衣</v>
      </c>
      <c r="J222" t="str" s="8">
        <v>垂水衣</v>
      </c>
      <c r="K222" t="str" s="8">
        <v>普通</v>
      </c>
      <c r="L222" t="n" s="8">
        <v>2</v>
      </c>
      <c r="M222" t="n" s="8">
        <v>2</v>
      </c>
      <c r="N222" t="n" s="8">
        <v>1</v>
      </c>
      <c r="O222" s="8"/>
      <c r="P222" t="n" s="8">
        <v>24</v>
      </c>
      <c r="Q222" t="n" s="8">
        <v>30000</v>
      </c>
      <c r="R222" t="str" s="8">
        <v>首击</v>
      </c>
      <c r="S222" t="n" s="8">
        <v>30000</v>
      </c>
      <c r="T222" t="n" s="8">
        <v>10</v>
      </c>
      <c r="U222" t="n" s="16">
        <v>40900200</v>
      </c>
      <c r="V222" t="n" s="8">
        <v>40910200</v>
      </c>
      <c r="W222" t="n" s="8">
        <v>40920201</v>
      </c>
      <c r="X222" t="n" s="8">
        <v>11000001</v>
      </c>
      <c r="Y222" s="8"/>
      <c r="Z222" s="8"/>
      <c r="AA222" t="str" s="8">
        <v>妖兽</v>
      </c>
      <c r="AB222" t="n" s="11">
        <v>20008</v>
      </c>
      <c r="AC222" t="n" s="8">
        <v>1</v>
      </c>
      <c r="AD222" t="n" s="8">
        <v>60</v>
      </c>
      <c r="AE222" t="n" s="8">
        <v>60</v>
      </c>
      <c r="AF222" t="n" s="8">
        <v>0</v>
      </c>
      <c r="AG222" t="n" s="8">
        <v>0</v>
      </c>
      <c r="AH222" t="str" s="8">
        <v>近战</v>
      </c>
      <c r="AI222" s="8"/>
      <c r="AJ222" s="17"/>
      <c r="AK222" s="8"/>
      <c r="AL222" s="18"/>
      <c r="AM222" t="str" s="8">
        <v>生命值</v>
      </c>
      <c r="AN222" t="n" s="19">
        <v>1695</v>
      </c>
      <c r="AO222" t="str" s="8">
        <v>灵力值</v>
      </c>
      <c r="AP222" t="n" s="8">
        <v>238</v>
      </c>
      <c r="AQ222" t="str" s="8">
        <v>攻击下限</v>
      </c>
      <c r="AR222" t="n" s="8">
        <v>119</v>
      </c>
      <c r="AS222" t="str" s="8">
        <v>攻击上限</v>
      </c>
      <c r="AT222" t="n" s="8">
        <v>119</v>
      </c>
      <c r="AU222" t="str" s="8">
        <v>法力下限</v>
      </c>
      <c r="AV222" t="n" s="8">
        <v>119</v>
      </c>
      <c r="AW222" t="str" s="8">
        <v>法力上限</v>
      </c>
      <c r="AX222" t="n" s="8">
        <v>119</v>
      </c>
      <c r="AY222" t="str" s="8">
        <v>物防下限</v>
      </c>
      <c r="AZ222" t="n" s="8">
        <v>34</v>
      </c>
      <c r="BA222" t="str" s="8">
        <v>物防上限</v>
      </c>
      <c r="BB222" t="n" s="8">
        <v>34</v>
      </c>
      <c r="BC222" t="str" s="8">
        <v>法防下限</v>
      </c>
      <c r="BD222" t="n" s="8">
        <v>34</v>
      </c>
      <c r="BE222" t="str" s="8">
        <v>法防上限</v>
      </c>
      <c r="BF222" t="n" s="8">
        <v>34</v>
      </c>
      <c r="BG222" t="str" s="8">
        <v>移动速度</v>
      </c>
      <c r="BH222" t="n" s="8">
        <v>240</v>
      </c>
      <c r="BI222" t="str" s="8">
        <v>攻击范围</v>
      </c>
      <c r="BJ222" t="n" s="8">
        <v>160</v>
      </c>
      <c r="BK222" t="str" s="8">
        <v>警戒范围</v>
      </c>
      <c r="BL222" t="n" s="8">
        <v>550</v>
      </c>
      <c r="BM222" t="str" s="8">
        <v>攻击间隔</v>
      </c>
      <c r="BN222" t="n" s="8">
        <v>1800</v>
      </c>
      <c r="BO222" t="n" s="8">
        <v>0</v>
      </c>
      <c r="BP222" s="8"/>
      <c r="BQ222" t="n" s="8">
        <v>0</v>
      </c>
      <c r="BR222" t="n" s="8">
        <v>0</v>
      </c>
      <c r="BS222" t="n" s="8">
        <v>0</v>
      </c>
      <c r="BT222" t="n" s="8">
        <v>0</v>
      </c>
      <c r="BU222" t="str" s="8">
        <v>垂水衣的普通遭遇。依托本区既有水土、岩隙和可达条件活动。</v>
      </c>
      <c r="BV222" t="n">
        <v>2</v>
      </c>
      <c r="BW222" t="n">
        <v>3</v>
      </c>
      <c r="BX222" t="str">
        <v>凡品</v>
      </c>
      <c r="BY222" t="str">
        <v>native</v>
      </c>
      <c r="BZ222" t="b">
        <v>0</v>
      </c>
    </row>
    <row r="223" s="8" customFormat="1" spans="28:28">
      <c r="A223"/>
      <c r="B223" t="n" s="8">
        <v>61032003</v>
      </c>
      <c r="C223" t="str" s="8">
        <v>a010</v>
      </c>
      <c r="D223" t="str" s="5">
        <v>峡岩灵狼·异种</v>
      </c>
      <c r="E223" t="str" s="5">
        <v>R02-P1-精英-3</v>
      </c>
      <c r="F223" t="n" s="8">
        <v>13</v>
      </c>
      <c r="G223" s="8"/>
      <c r="H223" t="n" s="8">
        <v>2</v>
      </c>
      <c r="I223" t="str" s="8">
        <v>垂水衣</v>
      </c>
      <c r="J223" t="str" s="8">
        <v>垂水衣</v>
      </c>
      <c r="K223" t="str" s="8">
        <v>精英</v>
      </c>
      <c r="L223" t="n" s="8">
        <v>3</v>
      </c>
      <c r="M223" t="n" s="8">
        <v>3</v>
      </c>
      <c r="N223" t="n" s="8">
        <v>3</v>
      </c>
      <c r="O223" s="8"/>
      <c r="P223" t="n" s="8">
        <v>40</v>
      </c>
      <c r="Q223" t="n" s="8">
        <v>180000</v>
      </c>
      <c r="R223" t="str" s="8">
        <v>首击</v>
      </c>
      <c r="S223" t="n" s="8">
        <v>30000</v>
      </c>
      <c r="T223" t="n" s="8">
        <v>11</v>
      </c>
      <c r="U223" t="n" s="16">
        <v>40900201</v>
      </c>
      <c r="V223" t="n" s="8">
        <v>41120201</v>
      </c>
      <c r="W223" t="n" s="8">
        <v>41320204</v>
      </c>
      <c r="X223" t="n" s="8">
        <v>11000001</v>
      </c>
      <c r="Y223" s="8"/>
      <c r="Z223" s="8"/>
      <c r="AA223" t="str" s="8">
        <v>妖兽</v>
      </c>
      <c r="AB223" t="n" s="11">
        <v>20008</v>
      </c>
      <c r="AC223" t="n" s="8">
        <v>1.25</v>
      </c>
      <c r="AD223" t="n" s="8">
        <v>60</v>
      </c>
      <c r="AE223" t="n" s="8">
        <v>60</v>
      </c>
      <c r="AF223" t="n" s="8">
        <v>0</v>
      </c>
      <c r="AG223" t="n" s="8">
        <v>0</v>
      </c>
      <c r="AH223" t="str" s="8">
        <v>近战</v>
      </c>
      <c r="AI223" s="8"/>
      <c r="AJ223" s="17"/>
      <c r="AK223" s="8"/>
      <c r="AL223" s="18"/>
      <c r="AM223" t="str" s="8">
        <v>生命值</v>
      </c>
      <c r="AN223" t="n" s="19">
        <v>4746</v>
      </c>
      <c r="AO223" t="str" s="8">
        <v>灵力值</v>
      </c>
      <c r="AP223" t="n" s="8">
        <v>344</v>
      </c>
      <c r="AQ223" t="str" s="8">
        <v>攻击下限</v>
      </c>
      <c r="AR223" t="n" s="8">
        <v>172</v>
      </c>
      <c r="AS223" t="str" s="8">
        <v>攻击上限</v>
      </c>
      <c r="AT223" t="n" s="8">
        <v>172</v>
      </c>
      <c r="AU223" t="str" s="8">
        <v>法力下限</v>
      </c>
      <c r="AV223" t="n" s="8">
        <v>172</v>
      </c>
      <c r="AW223" t="str" s="8">
        <v>法力上限</v>
      </c>
      <c r="AX223" t="n" s="8">
        <v>172</v>
      </c>
      <c r="AY223" t="str" s="8">
        <v>物防下限</v>
      </c>
      <c r="AZ223" t="n" s="8">
        <v>41</v>
      </c>
      <c r="BA223" t="str" s="8">
        <v>物防上限</v>
      </c>
      <c r="BB223" t="n" s="8">
        <v>41</v>
      </c>
      <c r="BC223" t="str" s="8">
        <v>法防下限</v>
      </c>
      <c r="BD223" t="n" s="8">
        <v>41</v>
      </c>
      <c r="BE223" t="str" s="8">
        <v>法防上限</v>
      </c>
      <c r="BF223" t="n" s="8">
        <v>41</v>
      </c>
      <c r="BG223" t="str" s="8">
        <v>移动速度</v>
      </c>
      <c r="BH223" t="n" s="8">
        <v>240</v>
      </c>
      <c r="BI223" t="str" s="8">
        <v>攻击范围</v>
      </c>
      <c r="BJ223" t="n" s="8">
        <v>160</v>
      </c>
      <c r="BK223" t="str" s="8">
        <v>警戒范围</v>
      </c>
      <c r="BL223" t="n" s="8">
        <v>550</v>
      </c>
      <c r="BM223" t="str" s="8">
        <v>攻击间隔</v>
      </c>
      <c r="BN223" t="n" s="8">
        <v>1800</v>
      </c>
      <c r="BO223" t="n" s="8">
        <v>0</v>
      </c>
      <c r="BP223" s="8"/>
      <c r="BQ223" t="n" s="8">
        <v>0</v>
      </c>
      <c r="BR223" t="n" s="8">
        <v>0</v>
      </c>
      <c r="BS223" t="n" s="8">
        <v>0</v>
      </c>
      <c r="BT223" t="n" s="8">
        <v>0</v>
      </c>
      <c r="BU223" t="str" s="8">
        <v>垂水衣的精英遭遇。依托本区既有水土、岩隙和可达条件活动。</v>
      </c>
      <c r="BV223" t="n">
        <v>2</v>
      </c>
      <c r="BW223" t="n">
        <v>3</v>
      </c>
      <c r="BX223" t="str">
        <v>玄品</v>
      </c>
      <c r="BY223" t="str">
        <v>native</v>
      </c>
      <c r="BZ223" t="b">
        <v>0</v>
      </c>
    </row>
    <row r="224" s="8" customFormat="1" spans="28:28">
      <c r="A224"/>
      <c r="B224" t="n" s="8">
        <v>61041001</v>
      </c>
      <c r="C224" t="str" s="8">
        <v>a010</v>
      </c>
      <c r="D224" t="str" s="5">
        <v>湿壁灵蝠</v>
      </c>
      <c r="E224" t="str" s="5">
        <v>R02-P2-普通-1</v>
      </c>
      <c r="F224" t="n" s="8">
        <v>16</v>
      </c>
      <c r="G224" s="8"/>
      <c r="H224" t="n" s="8">
        <v>2</v>
      </c>
      <c r="I224" t="str" s="8">
        <v>余光蕨</v>
      </c>
      <c r="J224" t="str" s="8">
        <v>余光蕨</v>
      </c>
      <c r="K224" t="str" s="8">
        <v>普通</v>
      </c>
      <c r="L224" t="n" s="8">
        <v>1</v>
      </c>
      <c r="M224" t="n" s="8">
        <v>1</v>
      </c>
      <c r="N224" t="n" s="8">
        <v>1</v>
      </c>
      <c r="O224" s="8"/>
      <c r="P224" t="n" s="8">
        <v>24</v>
      </c>
      <c r="Q224" t="n" s="8">
        <v>30000</v>
      </c>
      <c r="R224" t="str" s="8">
        <v>首击</v>
      </c>
      <c r="S224" t="n" s="8">
        <v>30000</v>
      </c>
      <c r="T224" t="n" s="8">
        <v>10</v>
      </c>
      <c r="U224" t="n" s="16">
        <v>40900200</v>
      </c>
      <c r="V224" t="n" s="8">
        <v>40910202</v>
      </c>
      <c r="W224" t="n" s="8">
        <v>40920201</v>
      </c>
      <c r="X224" t="n" s="8">
        <v>11000001</v>
      </c>
      <c r="Y224" s="8"/>
      <c r="Z224" s="8"/>
      <c r="AA224" t="str" s="8">
        <v>妖兽</v>
      </c>
      <c r="AB224" t="n" s="11">
        <v>20008</v>
      </c>
      <c r="AC224" t="n" s="8">
        <v>1</v>
      </c>
      <c r="AD224" t="n" s="8">
        <v>60</v>
      </c>
      <c r="AE224" t="n" s="8">
        <v>60</v>
      </c>
      <c r="AF224" t="n" s="8">
        <v>0</v>
      </c>
      <c r="AG224" t="n" s="8">
        <v>0</v>
      </c>
      <c r="AH224" t="str" s="8">
        <v>近战</v>
      </c>
      <c r="AI224" s="8"/>
      <c r="AJ224" s="17"/>
      <c r="AK224" s="8"/>
      <c r="AL224" s="18"/>
      <c r="AM224" t="str" s="8">
        <v>生命值</v>
      </c>
      <c r="AN224" t="n" s="19">
        <v>1988</v>
      </c>
      <c r="AO224" t="str" s="8">
        <v>灵力值</v>
      </c>
      <c r="AP224" t="n" s="8">
        <v>278</v>
      </c>
      <c r="AQ224" t="str" s="8">
        <v>攻击下限</v>
      </c>
      <c r="AR224" t="n" s="8">
        <v>139</v>
      </c>
      <c r="AS224" t="str" s="8">
        <v>攻击上限</v>
      </c>
      <c r="AT224" t="n" s="8">
        <v>139</v>
      </c>
      <c r="AU224" t="str" s="8">
        <v>法力下限</v>
      </c>
      <c r="AV224" t="n" s="8">
        <v>139</v>
      </c>
      <c r="AW224" t="str" s="8">
        <v>法力上限</v>
      </c>
      <c r="AX224" t="n" s="8">
        <v>139</v>
      </c>
      <c r="AY224" t="str" s="8">
        <v>物防下限</v>
      </c>
      <c r="AZ224" t="n" s="8">
        <v>40</v>
      </c>
      <c r="BA224" t="str" s="8">
        <v>物防上限</v>
      </c>
      <c r="BB224" t="n" s="8">
        <v>40</v>
      </c>
      <c r="BC224" t="str" s="8">
        <v>法防下限</v>
      </c>
      <c r="BD224" t="n" s="8">
        <v>40</v>
      </c>
      <c r="BE224" t="str" s="8">
        <v>法防上限</v>
      </c>
      <c r="BF224" t="n" s="8">
        <v>40</v>
      </c>
      <c r="BG224" t="str" s="8">
        <v>移动速度</v>
      </c>
      <c r="BH224" t="n" s="8">
        <v>240</v>
      </c>
      <c r="BI224" t="str" s="8">
        <v>攻击范围</v>
      </c>
      <c r="BJ224" t="n" s="8">
        <v>160</v>
      </c>
      <c r="BK224" t="str" s="8">
        <v>警戒范围</v>
      </c>
      <c r="BL224" t="n" s="8">
        <v>550</v>
      </c>
      <c r="BM224" t="str" s="8">
        <v>攻击间隔</v>
      </c>
      <c r="BN224" t="n" s="8">
        <v>1800</v>
      </c>
      <c r="BO224" t="n" s="8">
        <v>0</v>
      </c>
      <c r="BP224" s="8"/>
      <c r="BQ224" t="n" s="8">
        <v>0</v>
      </c>
      <c r="BR224" t="n" s="8">
        <v>0</v>
      </c>
      <c r="BS224" t="n" s="8">
        <v>0</v>
      </c>
      <c r="BT224" t="n" s="8">
        <v>0</v>
      </c>
      <c r="BU224" t="str" s="8">
        <v>余光蕨的普通遭遇。依托本区既有水土、岩隙和可达条件活动。</v>
      </c>
      <c r="BV224" t="n">
        <v>2</v>
      </c>
      <c r="BW224" t="n">
        <v>6</v>
      </c>
      <c r="BX224" t="str">
        <v>凡品</v>
      </c>
      <c r="BY224" t="str">
        <v>native</v>
      </c>
      <c r="BZ224" t="b">
        <v>0</v>
      </c>
    </row>
    <row r="225" s="8" customFormat="1" spans="28:28">
      <c r="A225"/>
      <c r="B225" t="n" s="8">
        <v>61041002</v>
      </c>
      <c r="C225" t="str" s="8">
        <v>a010</v>
      </c>
      <c r="D225" t="str" s="5">
        <v>湍流石蟹</v>
      </c>
      <c r="E225" t="str" s="5">
        <v>R02-P2-普通-2</v>
      </c>
      <c r="F225" t="n" s="8">
        <v>16</v>
      </c>
      <c r="G225" s="8"/>
      <c r="H225" t="n" s="8">
        <v>2</v>
      </c>
      <c r="I225" t="str" s="8">
        <v>余光蕨</v>
      </c>
      <c r="J225" t="str" s="8">
        <v>余光蕨</v>
      </c>
      <c r="K225" t="str" s="8">
        <v>普通</v>
      </c>
      <c r="L225" t="n" s="8">
        <v>2</v>
      </c>
      <c r="M225" t="n" s="8">
        <v>2</v>
      </c>
      <c r="N225" t="n" s="8">
        <v>1</v>
      </c>
      <c r="O225" s="8"/>
      <c r="P225" t="n" s="8">
        <v>24</v>
      </c>
      <c r="Q225" t="n" s="8">
        <v>30000</v>
      </c>
      <c r="R225" t="str" s="8">
        <v>首击</v>
      </c>
      <c r="S225" t="n" s="8">
        <v>30000</v>
      </c>
      <c r="T225" t="n" s="8">
        <v>10</v>
      </c>
      <c r="U225" t="n" s="16">
        <v>40900200</v>
      </c>
      <c r="V225" t="n" s="8">
        <v>40910203</v>
      </c>
      <c r="W225" t="n" s="8">
        <v>40920200</v>
      </c>
      <c r="X225" t="n" s="8">
        <v>11000001</v>
      </c>
      <c r="Y225" s="8"/>
      <c r="Z225" s="8"/>
      <c r="AA225" t="str" s="8">
        <v>妖兽</v>
      </c>
      <c r="AB225" t="n" s="11">
        <v>20008</v>
      </c>
      <c r="AC225" t="n" s="8">
        <v>1</v>
      </c>
      <c r="AD225" t="n" s="8">
        <v>60</v>
      </c>
      <c r="AE225" t="n" s="8">
        <v>60</v>
      </c>
      <c r="AF225" t="n" s="8">
        <v>0</v>
      </c>
      <c r="AG225" t="n" s="8">
        <v>0</v>
      </c>
      <c r="AH225" t="str" s="8">
        <v>近战</v>
      </c>
      <c r="AI225" s="8"/>
      <c r="AJ225" s="17"/>
      <c r="AK225" s="8"/>
      <c r="AL225" s="18"/>
      <c r="AM225" t="str" s="8">
        <v>生命值</v>
      </c>
      <c r="AN225" t="n" s="19">
        <v>1988</v>
      </c>
      <c r="AO225" t="str" s="8">
        <v>灵力值</v>
      </c>
      <c r="AP225" t="n" s="8">
        <v>278</v>
      </c>
      <c r="AQ225" t="str" s="8">
        <v>攻击下限</v>
      </c>
      <c r="AR225" t="n" s="8">
        <v>139</v>
      </c>
      <c r="AS225" t="str" s="8">
        <v>攻击上限</v>
      </c>
      <c r="AT225" t="n" s="8">
        <v>139</v>
      </c>
      <c r="AU225" t="str" s="8">
        <v>法力下限</v>
      </c>
      <c r="AV225" t="n" s="8">
        <v>139</v>
      </c>
      <c r="AW225" t="str" s="8">
        <v>法力上限</v>
      </c>
      <c r="AX225" t="n" s="8">
        <v>139</v>
      </c>
      <c r="AY225" t="str" s="8">
        <v>物防下限</v>
      </c>
      <c r="AZ225" t="n" s="8">
        <v>40</v>
      </c>
      <c r="BA225" t="str" s="8">
        <v>物防上限</v>
      </c>
      <c r="BB225" t="n" s="8">
        <v>40</v>
      </c>
      <c r="BC225" t="str" s="8">
        <v>法防下限</v>
      </c>
      <c r="BD225" t="n" s="8">
        <v>40</v>
      </c>
      <c r="BE225" t="str" s="8">
        <v>法防上限</v>
      </c>
      <c r="BF225" t="n" s="8">
        <v>40</v>
      </c>
      <c r="BG225" t="str" s="8">
        <v>移动速度</v>
      </c>
      <c r="BH225" t="n" s="8">
        <v>240</v>
      </c>
      <c r="BI225" t="str" s="8">
        <v>攻击范围</v>
      </c>
      <c r="BJ225" t="n" s="8">
        <v>160</v>
      </c>
      <c r="BK225" t="str" s="8">
        <v>警戒范围</v>
      </c>
      <c r="BL225" t="n" s="8">
        <v>550</v>
      </c>
      <c r="BM225" t="str" s="8">
        <v>攻击间隔</v>
      </c>
      <c r="BN225" t="n" s="8">
        <v>1800</v>
      </c>
      <c r="BO225" t="n" s="8">
        <v>0</v>
      </c>
      <c r="BP225" s="8"/>
      <c r="BQ225" t="n" s="8">
        <v>0</v>
      </c>
      <c r="BR225" t="n" s="8">
        <v>0</v>
      </c>
      <c r="BS225" t="n" s="8">
        <v>0</v>
      </c>
      <c r="BT225" t="n" s="8">
        <v>0</v>
      </c>
      <c r="BU225" t="str" s="8">
        <v>余光蕨的普通遭遇。依托本区既有水土、岩隙和可达条件活动。</v>
      </c>
      <c r="BV225" t="n">
        <v>2</v>
      </c>
      <c r="BW225" t="n">
        <v>6</v>
      </c>
      <c r="BX225" t="str">
        <v>凡品</v>
      </c>
      <c r="BY225" t="str">
        <v>native</v>
      </c>
      <c r="BZ225" t="b">
        <v>0</v>
      </c>
    </row>
    <row r="226" s="8" customFormat="1" spans="28:28">
      <c r="A226"/>
      <c r="B226" t="n" s="8">
        <v>61042003</v>
      </c>
      <c r="C226" t="str" s="8">
        <v>a010</v>
      </c>
      <c r="D226" t="str" s="5">
        <v>峡岩灵狼·异种</v>
      </c>
      <c r="E226" t="str" s="5">
        <v>R02-P2-精英-3</v>
      </c>
      <c r="F226" t="n" s="8">
        <v>16</v>
      </c>
      <c r="G226" s="8"/>
      <c r="H226" t="n" s="8">
        <v>2</v>
      </c>
      <c r="I226" t="str" s="8">
        <v>余光蕨</v>
      </c>
      <c r="J226" t="str" s="8">
        <v>余光蕨</v>
      </c>
      <c r="K226" t="str" s="8">
        <v>精英</v>
      </c>
      <c r="L226" t="n" s="8">
        <v>3</v>
      </c>
      <c r="M226" t="n" s="8">
        <v>3</v>
      </c>
      <c r="N226" t="n" s="8">
        <v>3</v>
      </c>
      <c r="O226" s="8"/>
      <c r="P226" t="n" s="8">
        <v>40</v>
      </c>
      <c r="Q226" t="n" s="8">
        <v>180000</v>
      </c>
      <c r="R226" t="str" s="8">
        <v>首击</v>
      </c>
      <c r="S226" t="n" s="8">
        <v>30000</v>
      </c>
      <c r="T226" t="n" s="8">
        <v>11</v>
      </c>
      <c r="U226" t="n" s="16">
        <v>40900201</v>
      </c>
      <c r="V226" t="n" s="8">
        <v>41120204</v>
      </c>
      <c r="W226" t="n" s="8">
        <v>41320205</v>
      </c>
      <c r="X226" t="n" s="8">
        <v>11000001</v>
      </c>
      <c r="Y226" s="8"/>
      <c r="Z226" s="8"/>
      <c r="AA226" t="str" s="8">
        <v>妖兽</v>
      </c>
      <c r="AB226" t="n" s="11">
        <v>20008</v>
      </c>
      <c r="AC226" t="n" s="8">
        <v>1.25</v>
      </c>
      <c r="AD226" t="n" s="8">
        <v>60</v>
      </c>
      <c r="AE226" t="n" s="8">
        <v>60</v>
      </c>
      <c r="AF226" t="n" s="8">
        <v>0</v>
      </c>
      <c r="AG226" t="n" s="8">
        <v>0</v>
      </c>
      <c r="AH226" t="str" s="8">
        <v>近战</v>
      </c>
      <c r="AI226" s="8"/>
      <c r="AJ226" s="17"/>
      <c r="AK226" s="8"/>
      <c r="AL226" s="18"/>
      <c r="AM226" t="str" s="8">
        <v>生命值</v>
      </c>
      <c r="AN226" t="n" s="19">
        <v>5565</v>
      </c>
      <c r="AO226" t="str" s="8">
        <v>灵力值</v>
      </c>
      <c r="AP226" t="n" s="8">
        <v>404</v>
      </c>
      <c r="AQ226" t="str" s="8">
        <v>攻击下限</v>
      </c>
      <c r="AR226" t="n" s="8">
        <v>202</v>
      </c>
      <c r="AS226" t="str" s="8">
        <v>攻击上限</v>
      </c>
      <c r="AT226" t="n" s="8">
        <v>202</v>
      </c>
      <c r="AU226" t="str" s="8">
        <v>法力下限</v>
      </c>
      <c r="AV226" t="n" s="8">
        <v>202</v>
      </c>
      <c r="AW226" t="str" s="8">
        <v>法力上限</v>
      </c>
      <c r="AX226" t="n" s="8">
        <v>202</v>
      </c>
      <c r="AY226" t="str" s="8">
        <v>物防下限</v>
      </c>
      <c r="AZ226" t="n" s="8">
        <v>48</v>
      </c>
      <c r="BA226" t="str" s="8">
        <v>物防上限</v>
      </c>
      <c r="BB226" t="n" s="8">
        <v>48</v>
      </c>
      <c r="BC226" t="str" s="8">
        <v>法防下限</v>
      </c>
      <c r="BD226" t="n" s="8">
        <v>48</v>
      </c>
      <c r="BE226" t="str" s="8">
        <v>法防上限</v>
      </c>
      <c r="BF226" t="n" s="8">
        <v>48</v>
      </c>
      <c r="BG226" t="str" s="8">
        <v>移动速度</v>
      </c>
      <c r="BH226" t="n" s="8">
        <v>240</v>
      </c>
      <c r="BI226" t="str" s="8">
        <v>攻击范围</v>
      </c>
      <c r="BJ226" t="n" s="8">
        <v>160</v>
      </c>
      <c r="BK226" t="str" s="8">
        <v>警戒范围</v>
      </c>
      <c r="BL226" t="n" s="8">
        <v>550</v>
      </c>
      <c r="BM226" t="str" s="8">
        <v>攻击间隔</v>
      </c>
      <c r="BN226" t="n" s="8">
        <v>1800</v>
      </c>
      <c r="BO226" t="n" s="8">
        <v>0</v>
      </c>
      <c r="BP226" s="8"/>
      <c r="BQ226" t="n" s="8">
        <v>0</v>
      </c>
      <c r="BR226" t="n" s="8">
        <v>0</v>
      </c>
      <c r="BS226" t="n" s="8">
        <v>0</v>
      </c>
      <c r="BT226" t="n" s="8">
        <v>0</v>
      </c>
      <c r="BU226" t="str" s="8">
        <v>余光蕨的精英遭遇。依托本区既有水土、岩隙和可达条件活动。</v>
      </c>
      <c r="BV226" t="n">
        <v>2</v>
      </c>
      <c r="BW226" t="n">
        <v>6</v>
      </c>
      <c r="BX226" t="str">
        <v>玄品</v>
      </c>
      <c r="BY226" t="str">
        <v>native</v>
      </c>
      <c r="BZ226" t="b">
        <v>0</v>
      </c>
    </row>
    <row r="227" s="8" customFormat="1" spans="28:28">
      <c r="A227"/>
      <c r="B227" t="n" s="8">
        <v>61051001</v>
      </c>
      <c r="C227" t="str" s="8">
        <v>a010</v>
      </c>
      <c r="D227" t="str" s="5">
        <v>湿壁灵蝠</v>
      </c>
      <c r="E227" t="str" s="5">
        <v>R02-S1-普通-1</v>
      </c>
      <c r="F227" t="n" s="8">
        <v>19</v>
      </c>
      <c r="G227" s="8"/>
      <c r="H227" t="n" s="8">
        <v>2</v>
      </c>
      <c r="I227" t="str" s="8">
        <v>掩流口</v>
      </c>
      <c r="J227" t="str" s="8">
        <v>掩流口</v>
      </c>
      <c r="K227" t="str" s="8">
        <v>普通</v>
      </c>
      <c r="L227" t="n" s="8">
        <v>1</v>
      </c>
      <c r="M227" t="n" s="8">
        <v>1</v>
      </c>
      <c r="N227" t="n" s="8">
        <v>1</v>
      </c>
      <c r="O227" s="8"/>
      <c r="P227" t="n" s="8">
        <v>24</v>
      </c>
      <c r="Q227" t="n" s="8">
        <v>30000</v>
      </c>
      <c r="R227" t="str" s="8">
        <v>首击</v>
      </c>
      <c r="S227" t="n" s="8">
        <v>30000</v>
      </c>
      <c r="T227" t="n" s="8">
        <v>10</v>
      </c>
      <c r="U227" t="n" s="16">
        <v>40900200</v>
      </c>
      <c r="V227" t="n" s="8">
        <v>40910205</v>
      </c>
      <c r="W227" t="n" s="8">
        <v>40920200</v>
      </c>
      <c r="X227" t="n" s="8">
        <v>11000001</v>
      </c>
      <c r="Y227" s="8"/>
      <c r="Z227" s="8"/>
      <c r="AA227" t="str" s="8">
        <v>妖兽</v>
      </c>
      <c r="AB227" t="n" s="11">
        <v>20008</v>
      </c>
      <c r="AC227" t="n" s="8">
        <v>1</v>
      </c>
      <c r="AD227" t="n" s="8">
        <v>60</v>
      </c>
      <c r="AE227" t="n" s="8">
        <v>60</v>
      </c>
      <c r="AF227" t="n" s="8">
        <v>0</v>
      </c>
      <c r="AG227" t="n" s="8">
        <v>0</v>
      </c>
      <c r="AH227" t="str" s="8">
        <v>近战</v>
      </c>
      <c r="AI227" s="8"/>
      <c r="AJ227" s="17"/>
      <c r="AK227" s="8"/>
      <c r="AL227" s="18"/>
      <c r="AM227" t="str" s="8">
        <v>生命值</v>
      </c>
      <c r="AN227" t="n" s="19">
        <v>2280</v>
      </c>
      <c r="AO227" t="str" s="8">
        <v>灵力值</v>
      </c>
      <c r="AP227" t="n" s="8">
        <v>320</v>
      </c>
      <c r="AQ227" t="str" s="8">
        <v>攻击下限</v>
      </c>
      <c r="AR227" t="n" s="8">
        <v>160</v>
      </c>
      <c r="AS227" t="str" s="8">
        <v>攻击上限</v>
      </c>
      <c r="AT227" t="n" s="8">
        <v>160</v>
      </c>
      <c r="AU227" t="str" s="8">
        <v>法力下限</v>
      </c>
      <c r="AV227" t="n" s="8">
        <v>160</v>
      </c>
      <c r="AW227" t="str" s="8">
        <v>法力上限</v>
      </c>
      <c r="AX227" t="n" s="8">
        <v>160</v>
      </c>
      <c r="AY227" t="str" s="8">
        <v>物防下限</v>
      </c>
      <c r="AZ227" t="n" s="8">
        <v>46</v>
      </c>
      <c r="BA227" t="str" s="8">
        <v>物防上限</v>
      </c>
      <c r="BB227" t="n" s="8">
        <v>46</v>
      </c>
      <c r="BC227" t="str" s="8">
        <v>法防下限</v>
      </c>
      <c r="BD227" t="n" s="8">
        <v>46</v>
      </c>
      <c r="BE227" t="str" s="8">
        <v>法防上限</v>
      </c>
      <c r="BF227" t="n" s="8">
        <v>46</v>
      </c>
      <c r="BG227" t="str" s="8">
        <v>移动速度</v>
      </c>
      <c r="BH227" t="n" s="8">
        <v>240</v>
      </c>
      <c r="BI227" t="str" s="8">
        <v>攻击范围</v>
      </c>
      <c r="BJ227" t="n" s="8">
        <v>160</v>
      </c>
      <c r="BK227" t="str" s="8">
        <v>警戒范围</v>
      </c>
      <c r="BL227" t="n" s="8">
        <v>550</v>
      </c>
      <c r="BM227" t="str" s="8">
        <v>攻击间隔</v>
      </c>
      <c r="BN227" t="n" s="8">
        <v>1800</v>
      </c>
      <c r="BO227" t="n" s="8">
        <v>0</v>
      </c>
      <c r="BP227" s="8"/>
      <c r="BQ227" t="n" s="8">
        <v>0</v>
      </c>
      <c r="BR227" t="n" s="8">
        <v>0</v>
      </c>
      <c r="BS227" t="n" s="8">
        <v>0</v>
      </c>
      <c r="BT227" t="n" s="8">
        <v>0</v>
      </c>
      <c r="BU227" t="str" s="8">
        <v>掩流口的普通遭遇。依托本区既有水土、岩隙和可达条件活动。</v>
      </c>
      <c r="BV227" t="n">
        <v>2</v>
      </c>
      <c r="BW227" t="n">
        <v>9</v>
      </c>
      <c r="BX227" t="str">
        <v>凡品</v>
      </c>
      <c r="BY227" t="str">
        <v>native</v>
      </c>
      <c r="BZ227" t="b">
        <v>0</v>
      </c>
    </row>
    <row r="228" s="8" customFormat="1" spans="28:28">
      <c r="A228"/>
      <c r="B228" t="n" s="8">
        <v>61051002</v>
      </c>
      <c r="C228" t="str" s="8">
        <v>a010</v>
      </c>
      <c r="D228" t="str" s="5">
        <v>湍流石蟹</v>
      </c>
      <c r="E228" t="str" s="5">
        <v>R02-S1-普通-2</v>
      </c>
      <c r="F228" t="n" s="8">
        <v>19</v>
      </c>
      <c r="G228" s="8"/>
      <c r="H228" t="n" s="8">
        <v>2</v>
      </c>
      <c r="I228" t="str" s="8">
        <v>掩流口</v>
      </c>
      <c r="J228" t="str" s="8">
        <v>掩流口</v>
      </c>
      <c r="K228" t="str" s="8">
        <v>普通</v>
      </c>
      <c r="L228" t="n" s="8">
        <v>2</v>
      </c>
      <c r="M228" t="n" s="8">
        <v>2</v>
      </c>
      <c r="N228" t="n" s="8">
        <v>1</v>
      </c>
      <c r="O228" s="8"/>
      <c r="P228" t="n" s="8">
        <v>24</v>
      </c>
      <c r="Q228" t="n" s="8">
        <v>30000</v>
      </c>
      <c r="R228" t="str" s="8">
        <v>首击</v>
      </c>
      <c r="S228" t="n" s="8">
        <v>30000</v>
      </c>
      <c r="T228" t="n" s="8">
        <v>10</v>
      </c>
      <c r="U228" t="n" s="16">
        <v>40900200</v>
      </c>
      <c r="V228" t="n" s="8">
        <v>40910206</v>
      </c>
      <c r="W228" t="n" s="8">
        <v>40920201</v>
      </c>
      <c r="X228" t="n" s="8">
        <v>11000001</v>
      </c>
      <c r="Y228" s="8"/>
      <c r="Z228" s="8"/>
      <c r="AA228" t="str" s="8">
        <v>妖兽</v>
      </c>
      <c r="AB228" t="n" s="11">
        <v>20008</v>
      </c>
      <c r="AC228" t="n" s="8">
        <v>1</v>
      </c>
      <c r="AD228" t="n" s="8">
        <v>60</v>
      </c>
      <c r="AE228" t="n" s="8">
        <v>60</v>
      </c>
      <c r="AF228" t="n" s="8">
        <v>0</v>
      </c>
      <c r="AG228" t="n" s="8">
        <v>0</v>
      </c>
      <c r="AH228" t="str" s="8">
        <v>近战</v>
      </c>
      <c r="AI228" s="8"/>
      <c r="AJ228" s="17"/>
      <c r="AK228" s="8"/>
      <c r="AL228" s="18"/>
      <c r="AM228" t="str" s="8">
        <v>生命值</v>
      </c>
      <c r="AN228" t="n" s="19">
        <v>2280</v>
      </c>
      <c r="AO228" t="str" s="8">
        <v>灵力值</v>
      </c>
      <c r="AP228" t="n" s="8">
        <v>320</v>
      </c>
      <c r="AQ228" t="str" s="8">
        <v>攻击下限</v>
      </c>
      <c r="AR228" t="n" s="8">
        <v>160</v>
      </c>
      <c r="AS228" t="str" s="8">
        <v>攻击上限</v>
      </c>
      <c r="AT228" t="n" s="8">
        <v>160</v>
      </c>
      <c r="AU228" t="str" s="8">
        <v>法力下限</v>
      </c>
      <c r="AV228" t="n" s="8">
        <v>160</v>
      </c>
      <c r="AW228" t="str" s="8">
        <v>法力上限</v>
      </c>
      <c r="AX228" t="n" s="8">
        <v>160</v>
      </c>
      <c r="AY228" t="str" s="8">
        <v>物防下限</v>
      </c>
      <c r="AZ228" t="n" s="8">
        <v>46</v>
      </c>
      <c r="BA228" t="str" s="8">
        <v>物防上限</v>
      </c>
      <c r="BB228" t="n" s="8">
        <v>46</v>
      </c>
      <c r="BC228" t="str" s="8">
        <v>法防下限</v>
      </c>
      <c r="BD228" t="n" s="8">
        <v>46</v>
      </c>
      <c r="BE228" t="str" s="8">
        <v>法防上限</v>
      </c>
      <c r="BF228" t="n" s="8">
        <v>46</v>
      </c>
      <c r="BG228" t="str" s="8">
        <v>移动速度</v>
      </c>
      <c r="BH228" t="n" s="8">
        <v>240</v>
      </c>
      <c r="BI228" t="str" s="8">
        <v>攻击范围</v>
      </c>
      <c r="BJ228" t="n" s="8">
        <v>160</v>
      </c>
      <c r="BK228" t="str" s="8">
        <v>警戒范围</v>
      </c>
      <c r="BL228" t="n" s="8">
        <v>550</v>
      </c>
      <c r="BM228" t="str" s="8">
        <v>攻击间隔</v>
      </c>
      <c r="BN228" t="n" s="8">
        <v>1800</v>
      </c>
      <c r="BO228" t="n" s="8">
        <v>0</v>
      </c>
      <c r="BP228" s="8"/>
      <c r="BQ228" t="n" s="8">
        <v>0</v>
      </c>
      <c r="BR228" t="n" s="8">
        <v>0</v>
      </c>
      <c r="BS228" t="n" s="8">
        <v>0</v>
      </c>
      <c r="BT228" t="n" s="8">
        <v>0</v>
      </c>
      <c r="BU228" t="str" s="8">
        <v>掩流口的普通遭遇。依托本区既有水土、岩隙和可达条件活动。</v>
      </c>
      <c r="BV228" t="n">
        <v>2</v>
      </c>
      <c r="BW228" t="n">
        <v>9</v>
      </c>
      <c r="BX228" t="str">
        <v>凡品</v>
      </c>
      <c r="BY228" t="str">
        <v>native</v>
      </c>
      <c r="BZ228" t="b">
        <v>0</v>
      </c>
    </row>
    <row r="229" s="8" customFormat="1" spans="28:28">
      <c r="A229"/>
      <c r="B229" t="n" s="8">
        <v>61052003</v>
      </c>
      <c r="C229" t="str" s="8">
        <v>a010</v>
      </c>
      <c r="D229" t="str" s="5">
        <v>峡岩灵狼·异种</v>
      </c>
      <c r="E229" t="str" s="5">
        <v>R02-S1-精英-3</v>
      </c>
      <c r="F229" t="n" s="8">
        <v>19</v>
      </c>
      <c r="G229" s="8"/>
      <c r="H229" t="n" s="8">
        <v>2</v>
      </c>
      <c r="I229" t="str" s="8">
        <v>掩流口</v>
      </c>
      <c r="J229" t="str" s="8">
        <v>掩流口</v>
      </c>
      <c r="K229" t="str" s="8">
        <v>精英</v>
      </c>
      <c r="L229" t="n" s="8">
        <v>3</v>
      </c>
      <c r="M229" t="n" s="8">
        <v>3</v>
      </c>
      <c r="N229" t="n" s="8">
        <v>3</v>
      </c>
      <c r="O229" s="8"/>
      <c r="P229" t="n" s="8">
        <v>40</v>
      </c>
      <c r="Q229" t="n" s="8">
        <v>180000</v>
      </c>
      <c r="R229" t="str" s="8">
        <v>首击</v>
      </c>
      <c r="S229" t="n" s="8">
        <v>30000</v>
      </c>
      <c r="T229" t="n" s="8">
        <v>11</v>
      </c>
      <c r="U229" t="n" s="16">
        <v>40900201</v>
      </c>
      <c r="V229" t="n" s="8">
        <v>41120207</v>
      </c>
      <c r="W229" t="n" s="8">
        <v>41320206</v>
      </c>
      <c r="X229" t="n" s="8">
        <v>11000001</v>
      </c>
      <c r="Y229" s="8"/>
      <c r="Z229" s="8"/>
      <c r="AA229" t="str" s="8">
        <v>妖兽</v>
      </c>
      <c r="AB229" t="n" s="11">
        <v>20008</v>
      </c>
      <c r="AC229" t="n" s="8">
        <v>1.25</v>
      </c>
      <c r="AD229" t="n" s="8">
        <v>60</v>
      </c>
      <c r="AE229" t="n" s="8">
        <v>60</v>
      </c>
      <c r="AF229" t="n" s="8">
        <v>0</v>
      </c>
      <c r="AG229" t="n" s="8">
        <v>0</v>
      </c>
      <c r="AH229" t="str" s="8">
        <v>近战</v>
      </c>
      <c r="AI229" s="8"/>
      <c r="AJ229" s="17"/>
      <c r="AK229" s="8"/>
      <c r="AL229" s="18"/>
      <c r="AM229" t="str" s="8">
        <v>生命值</v>
      </c>
      <c r="AN229" t="n" s="19">
        <v>6384</v>
      </c>
      <c r="AO229" t="str" s="8">
        <v>灵力值</v>
      </c>
      <c r="AP229" t="n" s="8">
        <v>462</v>
      </c>
      <c r="AQ229" t="str" s="8">
        <v>攻击下限</v>
      </c>
      <c r="AR229" t="n" s="8">
        <v>231</v>
      </c>
      <c r="AS229" t="str" s="8">
        <v>攻击上限</v>
      </c>
      <c r="AT229" t="n" s="8">
        <v>231</v>
      </c>
      <c r="AU229" t="str" s="8">
        <v>法力下限</v>
      </c>
      <c r="AV229" t="n" s="8">
        <v>231</v>
      </c>
      <c r="AW229" t="str" s="8">
        <v>法力上限</v>
      </c>
      <c r="AX229" t="n" s="8">
        <v>231</v>
      </c>
      <c r="AY229" t="str" s="8">
        <v>物防下限</v>
      </c>
      <c r="AZ229" t="n" s="8">
        <v>55</v>
      </c>
      <c r="BA229" t="str" s="8">
        <v>物防上限</v>
      </c>
      <c r="BB229" t="n" s="8">
        <v>55</v>
      </c>
      <c r="BC229" t="str" s="8">
        <v>法防下限</v>
      </c>
      <c r="BD229" t="n" s="8">
        <v>55</v>
      </c>
      <c r="BE229" t="str" s="8">
        <v>法防上限</v>
      </c>
      <c r="BF229" t="n" s="8">
        <v>55</v>
      </c>
      <c r="BG229" t="str" s="8">
        <v>移动速度</v>
      </c>
      <c r="BH229" t="n" s="8">
        <v>240</v>
      </c>
      <c r="BI229" t="str" s="8">
        <v>攻击范围</v>
      </c>
      <c r="BJ229" t="n" s="8">
        <v>160</v>
      </c>
      <c r="BK229" t="str" s="8">
        <v>警戒范围</v>
      </c>
      <c r="BL229" t="n" s="8">
        <v>550</v>
      </c>
      <c r="BM229" t="str" s="8">
        <v>攻击间隔</v>
      </c>
      <c r="BN229" t="n" s="8">
        <v>1800</v>
      </c>
      <c r="BO229" t="n" s="8">
        <v>0</v>
      </c>
      <c r="BP229" s="8"/>
      <c r="BQ229" t="n" s="8">
        <v>0</v>
      </c>
      <c r="BR229" t="n" s="8">
        <v>0</v>
      </c>
      <c r="BS229" t="n" s="8">
        <v>0</v>
      </c>
      <c r="BT229" t="n" s="8">
        <v>0</v>
      </c>
      <c r="BU229" t="str" s="8">
        <v>掩流口的精英遭遇。依托本区既有水土、岩隙和可达条件活动。</v>
      </c>
      <c r="BV229" t="n">
        <v>2</v>
      </c>
      <c r="BW229" t="n">
        <v>9</v>
      </c>
      <c r="BX229" t="str">
        <v>玄品</v>
      </c>
      <c r="BY229" t="str">
        <v>native</v>
      </c>
      <c r="BZ229" t="b">
        <v>0</v>
      </c>
    </row>
    <row r="230" s="8" customFormat="1" spans="28:28">
      <c r="A230"/>
      <c r="B230" t="n" s="8">
        <v>61054004</v>
      </c>
      <c r="C230" t="str" s="8">
        <v>a010</v>
      </c>
      <c r="D230" t="str" s="5">
        <v>裂罅灵蛇·首领</v>
      </c>
      <c r="E230" t="str" s="5">
        <v>R02-S1-BOSS-4</v>
      </c>
      <c r="F230" t="n" s="8">
        <v>19</v>
      </c>
      <c r="G230" s="8"/>
      <c r="H230" t="n" s="8">
        <v>2</v>
      </c>
      <c r="I230" t="str" s="8">
        <v>掩流口</v>
      </c>
      <c r="J230" t="str" s="8">
        <v>掩流口</v>
      </c>
      <c r="K230" t="str" s="8">
        <v>BOSS</v>
      </c>
      <c r="L230" t="n" s="8">
        <v>4</v>
      </c>
      <c r="M230" t="n" s="8">
        <v>4</v>
      </c>
      <c r="N230" t="n" s="8">
        <v>5</v>
      </c>
      <c r="O230" s="8"/>
      <c r="P230" t="n" s="8">
        <v>40</v>
      </c>
      <c r="Q230" t="n" s="8">
        <v>900000</v>
      </c>
      <c r="R230" t="str" s="8">
        <v>首击</v>
      </c>
      <c r="S230" t="n" s="8">
        <v>30000</v>
      </c>
      <c r="T230" t="n" s="8">
        <v>12</v>
      </c>
      <c r="U230" t="n" s="16">
        <v>40900202</v>
      </c>
      <c r="V230" t="n" s="8">
        <v>41130208</v>
      </c>
      <c r="W230" t="n" s="8">
        <v>41330200</v>
      </c>
      <c r="X230" t="n" s="8">
        <v>11000001</v>
      </c>
      <c r="Y230" s="8"/>
      <c r="Z230" s="8"/>
      <c r="AA230" t="str" s="8">
        <v>妖兽</v>
      </c>
      <c r="AB230" t="n" s="11">
        <v>20008</v>
      </c>
      <c r="AC230" t="n" s="8">
        <v>1.6</v>
      </c>
      <c r="AD230" t="n" s="8">
        <v>60</v>
      </c>
      <c r="AE230" t="n" s="8">
        <v>60</v>
      </c>
      <c r="AF230" t="n" s="8">
        <v>0</v>
      </c>
      <c r="AG230" t="n" s="8">
        <v>0</v>
      </c>
      <c r="AH230" t="str" s="8">
        <v>近战</v>
      </c>
      <c r="AI230" s="8"/>
      <c r="AJ230" s="17"/>
      <c r="AK230" s="8"/>
      <c r="AL230" s="18"/>
      <c r="AM230" t="str" s="8">
        <v>生命值</v>
      </c>
      <c r="AN230" t="n" s="19">
        <v>22800</v>
      </c>
      <c r="AO230" t="str" s="8">
        <v>灵力值</v>
      </c>
      <c r="AP230" t="n" s="8">
        <v>670</v>
      </c>
      <c r="AQ230" t="str" s="8">
        <v>攻击下限</v>
      </c>
      <c r="AR230" t="n" s="8">
        <v>335</v>
      </c>
      <c r="AS230" t="str" s="8">
        <v>攻击上限</v>
      </c>
      <c r="AT230" t="n" s="8">
        <v>335</v>
      </c>
      <c r="AU230" t="str" s="8">
        <v>法力下限</v>
      </c>
      <c r="AV230" t="n" s="8">
        <v>335</v>
      </c>
      <c r="AW230" t="str" s="8">
        <v>法力上限</v>
      </c>
      <c r="AX230" t="n" s="8">
        <v>335</v>
      </c>
      <c r="AY230" t="str" s="8">
        <v>物防下限</v>
      </c>
      <c r="AZ230" t="n" s="8">
        <v>68</v>
      </c>
      <c r="BA230" t="str" s="8">
        <v>物防上限</v>
      </c>
      <c r="BB230" t="n" s="8">
        <v>68</v>
      </c>
      <c r="BC230" t="str" s="8">
        <v>法防下限</v>
      </c>
      <c r="BD230" t="n" s="8">
        <v>68</v>
      </c>
      <c r="BE230" t="str" s="8">
        <v>法防上限</v>
      </c>
      <c r="BF230" t="n" s="8">
        <v>68</v>
      </c>
      <c r="BG230" t="str" s="8">
        <v>移动速度</v>
      </c>
      <c r="BH230" t="n" s="8">
        <v>240</v>
      </c>
      <c r="BI230" t="str" s="8">
        <v>攻击范围</v>
      </c>
      <c r="BJ230" t="n" s="8">
        <v>160</v>
      </c>
      <c r="BK230" t="str" s="8">
        <v>警戒范围</v>
      </c>
      <c r="BL230" t="n" s="8">
        <v>700</v>
      </c>
      <c r="BM230" t="str" s="8">
        <v>攻击间隔</v>
      </c>
      <c r="BN230" t="n" s="8">
        <v>2200</v>
      </c>
      <c r="BO230" t="n" s="8">
        <v>0</v>
      </c>
      <c r="BP230" s="8"/>
      <c r="BQ230" t="n" s="8">
        <v>0</v>
      </c>
      <c r="BR230" t="n" s="8">
        <v>0</v>
      </c>
      <c r="BS230" t="n" s="8">
        <v>0</v>
      </c>
      <c r="BT230" t="n" s="8">
        <v>0</v>
      </c>
      <c r="BU230" t="str" s="8">
        <v>掩流口的BOSS遭遇。依托本区既有水土、岩隙和可达条件活动。</v>
      </c>
      <c r="BV230" t="n">
        <v>2</v>
      </c>
      <c r="BW230" t="n">
        <v>9</v>
      </c>
      <c r="BX230" t="str">
        <v>仙品</v>
      </c>
      <c r="BY230" t="str">
        <v>native</v>
      </c>
      <c r="BZ230" t="b">
        <v>1</v>
      </c>
    </row>
    <row r="231" s="8" customFormat="1" spans="28:28">
      <c r="A231"/>
      <c r="B231" t="n" s="8">
        <v>61061001</v>
      </c>
      <c r="C231" t="str" s="8">
        <v>a010</v>
      </c>
      <c r="D231" t="str" s="5">
        <v>湿壁灵蝠</v>
      </c>
      <c r="E231" t="str" s="5">
        <v>R02-S2-普通-1</v>
      </c>
      <c r="F231" t="n" s="8">
        <v>20</v>
      </c>
      <c r="G231" s="8"/>
      <c r="H231" t="n" s="8">
        <v>2</v>
      </c>
      <c r="I231" t="str" s="8">
        <v>涔缝</v>
      </c>
      <c r="J231" t="str" s="8">
        <v>涔缝</v>
      </c>
      <c r="K231" t="str" s="8">
        <v>普通</v>
      </c>
      <c r="L231" t="n" s="8">
        <v>1</v>
      </c>
      <c r="M231" t="n" s="8">
        <v>1</v>
      </c>
      <c r="N231" t="n" s="8">
        <v>1</v>
      </c>
      <c r="O231" s="8"/>
      <c r="P231" t="n" s="8">
        <v>24</v>
      </c>
      <c r="Q231" t="n" s="8">
        <v>30000</v>
      </c>
      <c r="R231" t="str" s="8">
        <v>首击</v>
      </c>
      <c r="S231" t="n" s="8">
        <v>30000</v>
      </c>
      <c r="T231" t="n" s="8">
        <v>10</v>
      </c>
      <c r="U231" t="n" s="16">
        <v>40900200</v>
      </c>
      <c r="V231" t="n" s="8">
        <v>40910209</v>
      </c>
      <c r="W231" t="n" s="8">
        <v>40920200</v>
      </c>
      <c r="X231" t="n" s="8">
        <v>11000001</v>
      </c>
      <c r="Y231" s="8"/>
      <c r="Z231" s="8"/>
      <c r="AA231" t="str" s="8">
        <v>妖兽</v>
      </c>
      <c r="AB231" t="n" s="11">
        <v>20008</v>
      </c>
      <c r="AC231" t="n" s="8">
        <v>1</v>
      </c>
      <c r="AD231" t="n" s="8">
        <v>60</v>
      </c>
      <c r="AE231" t="n" s="8">
        <v>60</v>
      </c>
      <c r="AF231" t="n" s="8">
        <v>0</v>
      </c>
      <c r="AG231" t="n" s="8">
        <v>0</v>
      </c>
      <c r="AH231" t="str" s="8">
        <v>近战</v>
      </c>
      <c r="AI231" s="8"/>
      <c r="AJ231" s="17"/>
      <c r="AK231" s="8"/>
      <c r="AL231" s="18"/>
      <c r="AM231" t="str" s="8">
        <v>生命值</v>
      </c>
      <c r="AN231" t="n" s="19">
        <v>2378</v>
      </c>
      <c r="AO231" t="str" s="8">
        <v>灵力值</v>
      </c>
      <c r="AP231" t="n" s="8">
        <v>332</v>
      </c>
      <c r="AQ231" t="str" s="8">
        <v>攻击下限</v>
      </c>
      <c r="AR231" t="n" s="8">
        <v>166</v>
      </c>
      <c r="AS231" t="str" s="8">
        <v>攻击上限</v>
      </c>
      <c r="AT231" t="n" s="8">
        <v>166</v>
      </c>
      <c r="AU231" t="str" s="8">
        <v>法力下限</v>
      </c>
      <c r="AV231" t="n" s="8">
        <v>166</v>
      </c>
      <c r="AW231" t="str" s="8">
        <v>法力上限</v>
      </c>
      <c r="AX231" t="n" s="8">
        <v>166</v>
      </c>
      <c r="AY231" t="str" s="8">
        <v>物防下限</v>
      </c>
      <c r="AZ231" t="n" s="8">
        <v>48</v>
      </c>
      <c r="BA231" t="str" s="8">
        <v>物防上限</v>
      </c>
      <c r="BB231" t="n" s="8">
        <v>48</v>
      </c>
      <c r="BC231" t="str" s="8">
        <v>法防下限</v>
      </c>
      <c r="BD231" t="n" s="8">
        <v>48</v>
      </c>
      <c r="BE231" t="str" s="8">
        <v>法防上限</v>
      </c>
      <c r="BF231" t="n" s="8">
        <v>48</v>
      </c>
      <c r="BG231" t="str" s="8">
        <v>移动速度</v>
      </c>
      <c r="BH231" t="n" s="8">
        <v>240</v>
      </c>
      <c r="BI231" t="str" s="8">
        <v>攻击范围</v>
      </c>
      <c r="BJ231" t="n" s="8">
        <v>160</v>
      </c>
      <c r="BK231" t="str" s="8">
        <v>警戒范围</v>
      </c>
      <c r="BL231" t="n" s="8">
        <v>550</v>
      </c>
      <c r="BM231" t="str" s="8">
        <v>攻击间隔</v>
      </c>
      <c r="BN231" t="n" s="8">
        <v>1800</v>
      </c>
      <c r="BO231" t="n" s="8">
        <v>0</v>
      </c>
      <c r="BP231" s="8"/>
      <c r="BQ231" t="n" s="8">
        <v>0</v>
      </c>
      <c r="BR231" t="n" s="8">
        <v>0</v>
      </c>
      <c r="BS231" t="n" s="8">
        <v>0</v>
      </c>
      <c r="BT231" t="n" s="8">
        <v>0</v>
      </c>
      <c r="BU231" t="str" s="8">
        <v>涔缝的普通遭遇。依托本区既有水土、岩隙和可达条件活动。</v>
      </c>
      <c r="BV231" t="n">
        <v>2</v>
      </c>
      <c r="BW231" t="n">
        <v>10</v>
      </c>
      <c r="BX231" t="str">
        <v>凡品</v>
      </c>
      <c r="BY231" t="str">
        <v>native</v>
      </c>
      <c r="BZ231" t="b">
        <v>0</v>
      </c>
    </row>
    <row r="232" s="8" customFormat="1" spans="28:28">
      <c r="A232"/>
      <c r="B232" t="n" s="8">
        <v>61061002</v>
      </c>
      <c r="C232" t="str" s="8">
        <v>a010</v>
      </c>
      <c r="D232" t="str" s="5">
        <v>湍流石蟹</v>
      </c>
      <c r="E232" t="str" s="5">
        <v>R02-S2-普通-2</v>
      </c>
      <c r="F232" t="n" s="8">
        <v>20</v>
      </c>
      <c r="G232" s="8"/>
      <c r="H232" t="n" s="8">
        <v>2</v>
      </c>
      <c r="I232" t="str" s="8">
        <v>涔缝</v>
      </c>
      <c r="J232" t="str" s="8">
        <v>涔缝</v>
      </c>
      <c r="K232" t="str" s="8">
        <v>普通</v>
      </c>
      <c r="L232" t="n" s="8">
        <v>2</v>
      </c>
      <c r="M232" t="n" s="8">
        <v>2</v>
      </c>
      <c r="N232" t="n" s="8">
        <v>1</v>
      </c>
      <c r="O232" s="8"/>
      <c r="P232" t="n" s="8">
        <v>24</v>
      </c>
      <c r="Q232" t="n" s="8">
        <v>30000</v>
      </c>
      <c r="R232" t="str" s="8">
        <v>首击</v>
      </c>
      <c r="S232" t="n" s="8">
        <v>30000</v>
      </c>
      <c r="T232" t="n" s="8">
        <v>10</v>
      </c>
      <c r="U232" t="n" s="16">
        <v>40900200</v>
      </c>
      <c r="V232" t="n" s="8">
        <v>40910210</v>
      </c>
      <c r="W232" t="n" s="8">
        <v>40920201</v>
      </c>
      <c r="X232" t="n" s="8">
        <v>11000001</v>
      </c>
      <c r="Y232" s="8"/>
      <c r="Z232" s="8"/>
      <c r="AA232" t="str" s="8">
        <v>妖兽</v>
      </c>
      <c r="AB232" t="n" s="11">
        <v>20008</v>
      </c>
      <c r="AC232" t="n" s="8">
        <v>1</v>
      </c>
      <c r="AD232" t="n" s="8">
        <v>60</v>
      </c>
      <c r="AE232" t="n" s="8">
        <v>60</v>
      </c>
      <c r="AF232" t="n" s="8">
        <v>0</v>
      </c>
      <c r="AG232" t="n" s="8">
        <v>0</v>
      </c>
      <c r="AH232" t="str" s="8">
        <v>近战</v>
      </c>
      <c r="AI232" s="8"/>
      <c r="AJ232" s="17"/>
      <c r="AK232" s="8"/>
      <c r="AL232" s="18"/>
      <c r="AM232" t="str" s="8">
        <v>生命值</v>
      </c>
      <c r="AN232" t="n" s="19">
        <v>2378</v>
      </c>
      <c r="AO232" t="str" s="8">
        <v>灵力值</v>
      </c>
      <c r="AP232" t="n" s="8">
        <v>332</v>
      </c>
      <c r="AQ232" t="str" s="8">
        <v>攻击下限</v>
      </c>
      <c r="AR232" t="n" s="8">
        <v>166</v>
      </c>
      <c r="AS232" t="str" s="8">
        <v>攻击上限</v>
      </c>
      <c r="AT232" t="n" s="8">
        <v>166</v>
      </c>
      <c r="AU232" t="str" s="8">
        <v>法力下限</v>
      </c>
      <c r="AV232" t="n" s="8">
        <v>166</v>
      </c>
      <c r="AW232" t="str" s="8">
        <v>法力上限</v>
      </c>
      <c r="AX232" t="n" s="8">
        <v>166</v>
      </c>
      <c r="AY232" t="str" s="8">
        <v>物防下限</v>
      </c>
      <c r="AZ232" t="n" s="8">
        <v>48</v>
      </c>
      <c r="BA232" t="str" s="8">
        <v>物防上限</v>
      </c>
      <c r="BB232" t="n" s="8">
        <v>48</v>
      </c>
      <c r="BC232" t="str" s="8">
        <v>法防下限</v>
      </c>
      <c r="BD232" t="n" s="8">
        <v>48</v>
      </c>
      <c r="BE232" t="str" s="8">
        <v>法防上限</v>
      </c>
      <c r="BF232" t="n" s="8">
        <v>48</v>
      </c>
      <c r="BG232" t="str" s="8">
        <v>移动速度</v>
      </c>
      <c r="BH232" t="n" s="8">
        <v>240</v>
      </c>
      <c r="BI232" t="str" s="8">
        <v>攻击范围</v>
      </c>
      <c r="BJ232" t="n" s="8">
        <v>160</v>
      </c>
      <c r="BK232" t="str" s="8">
        <v>警戒范围</v>
      </c>
      <c r="BL232" t="n" s="8">
        <v>550</v>
      </c>
      <c r="BM232" t="str" s="8">
        <v>攻击间隔</v>
      </c>
      <c r="BN232" t="n" s="8">
        <v>1800</v>
      </c>
      <c r="BO232" t="n" s="8">
        <v>0</v>
      </c>
      <c r="BP232" s="8"/>
      <c r="BQ232" t="n" s="8">
        <v>0</v>
      </c>
      <c r="BR232" t="n" s="8">
        <v>0</v>
      </c>
      <c r="BS232" t="n" s="8">
        <v>0</v>
      </c>
      <c r="BT232" t="n" s="8">
        <v>0</v>
      </c>
      <c r="BU232" t="str" s="8">
        <v>涔缝的普通遭遇。依托本区既有水土、岩隙和可达条件活动。</v>
      </c>
      <c r="BV232" t="n">
        <v>2</v>
      </c>
      <c r="BW232" t="n">
        <v>10</v>
      </c>
      <c r="BX232" t="str">
        <v>凡品</v>
      </c>
      <c r="BY232" t="str">
        <v>native</v>
      </c>
      <c r="BZ232" t="b">
        <v>0</v>
      </c>
    </row>
    <row r="233" s="8" customFormat="1" spans="28:28">
      <c r="A233"/>
      <c r="B233" t="n" s="8">
        <v>61062003</v>
      </c>
      <c r="C233" t="str" s="8">
        <v>a010</v>
      </c>
      <c r="D233" t="str" s="5">
        <v>峡岩灵狼·异种</v>
      </c>
      <c r="E233" t="str" s="5">
        <v>R02-S2-精英-3</v>
      </c>
      <c r="F233" t="n" s="8">
        <v>20</v>
      </c>
      <c r="G233" s="8"/>
      <c r="H233" t="n" s="8">
        <v>2</v>
      </c>
      <c r="I233" t="str" s="8">
        <v>涔缝</v>
      </c>
      <c r="J233" t="str" s="8">
        <v>涔缝</v>
      </c>
      <c r="K233" t="str" s="8">
        <v>精英</v>
      </c>
      <c r="L233" t="n" s="8">
        <v>3</v>
      </c>
      <c r="M233" t="n" s="8">
        <v>3</v>
      </c>
      <c r="N233" t="n" s="8">
        <v>3</v>
      </c>
      <c r="O233" s="8"/>
      <c r="P233" t="n" s="8">
        <v>40</v>
      </c>
      <c r="Q233" t="n" s="8">
        <v>180000</v>
      </c>
      <c r="R233" t="str" s="8">
        <v>首击</v>
      </c>
      <c r="S233" t="n" s="8">
        <v>30000</v>
      </c>
      <c r="T233" t="n" s="8">
        <v>11</v>
      </c>
      <c r="U233" t="n" s="16">
        <v>40900201</v>
      </c>
      <c r="V233" t="n" s="8">
        <v>41120200</v>
      </c>
      <c r="W233" t="n" s="8">
        <v>41320201</v>
      </c>
      <c r="X233" t="n" s="8">
        <v>11000001</v>
      </c>
      <c r="Y233" s="8"/>
      <c r="Z233" s="8"/>
      <c r="AA233" t="str" s="8">
        <v>妖兽</v>
      </c>
      <c r="AB233" t="n" s="11">
        <v>20008</v>
      </c>
      <c r="AC233" t="n" s="8">
        <v>1.25</v>
      </c>
      <c r="AD233" t="n" s="8">
        <v>60</v>
      </c>
      <c r="AE233" t="n" s="8">
        <v>60</v>
      </c>
      <c r="AF233" t="n" s="8">
        <v>0</v>
      </c>
      <c r="AG233" t="n" s="8">
        <v>0</v>
      </c>
      <c r="AH233" t="str" s="8">
        <v>近战</v>
      </c>
      <c r="AI233" s="8"/>
      <c r="AJ233" s="17"/>
      <c r="AK233" s="8"/>
      <c r="AL233" s="18"/>
      <c r="AM233" t="str" s="8">
        <v>生命值</v>
      </c>
      <c r="AN233" t="n" s="19">
        <v>6657</v>
      </c>
      <c r="AO233" t="str" s="8">
        <v>灵力值</v>
      </c>
      <c r="AP233" t="n" s="8">
        <v>482</v>
      </c>
      <c r="AQ233" t="str" s="8">
        <v>攻击下限</v>
      </c>
      <c r="AR233" t="n" s="8">
        <v>241</v>
      </c>
      <c r="AS233" t="str" s="8">
        <v>攻击上限</v>
      </c>
      <c r="AT233" t="n" s="8">
        <v>241</v>
      </c>
      <c r="AU233" t="str" s="8">
        <v>法力下限</v>
      </c>
      <c r="AV233" t="n" s="8">
        <v>241</v>
      </c>
      <c r="AW233" t="str" s="8">
        <v>法力上限</v>
      </c>
      <c r="AX233" t="n" s="8">
        <v>241</v>
      </c>
      <c r="AY233" t="str" s="8">
        <v>物防下限</v>
      </c>
      <c r="AZ233" t="n" s="8">
        <v>57</v>
      </c>
      <c r="BA233" t="str" s="8">
        <v>物防上限</v>
      </c>
      <c r="BB233" t="n" s="8">
        <v>57</v>
      </c>
      <c r="BC233" t="str" s="8">
        <v>法防下限</v>
      </c>
      <c r="BD233" t="n" s="8">
        <v>57</v>
      </c>
      <c r="BE233" t="str" s="8">
        <v>法防上限</v>
      </c>
      <c r="BF233" t="n" s="8">
        <v>57</v>
      </c>
      <c r="BG233" t="str" s="8">
        <v>移动速度</v>
      </c>
      <c r="BH233" t="n" s="8">
        <v>240</v>
      </c>
      <c r="BI233" t="str" s="8">
        <v>攻击范围</v>
      </c>
      <c r="BJ233" t="n" s="8">
        <v>160</v>
      </c>
      <c r="BK233" t="str" s="8">
        <v>警戒范围</v>
      </c>
      <c r="BL233" t="n" s="8">
        <v>550</v>
      </c>
      <c r="BM233" t="str" s="8">
        <v>攻击间隔</v>
      </c>
      <c r="BN233" t="n" s="8">
        <v>1800</v>
      </c>
      <c r="BO233" t="n" s="8">
        <v>0</v>
      </c>
      <c r="BP233" s="8"/>
      <c r="BQ233" t="n" s="8">
        <v>0</v>
      </c>
      <c r="BR233" t="n" s="8">
        <v>0</v>
      </c>
      <c r="BS233" t="n" s="8">
        <v>0</v>
      </c>
      <c r="BT233" t="n" s="8">
        <v>0</v>
      </c>
      <c r="BU233" t="str" s="8">
        <v>涔缝的精英遭遇。依托本区既有水土、岩隙和可达条件活动。</v>
      </c>
      <c r="BV233" t="n">
        <v>2</v>
      </c>
      <c r="BW233" t="n">
        <v>10</v>
      </c>
      <c r="BX233" t="str">
        <v>玄品</v>
      </c>
      <c r="BY233" t="str">
        <v>native</v>
      </c>
      <c r="BZ233" t="b">
        <v>0</v>
      </c>
    </row>
    <row r="234" s="8" customFormat="1" spans="28:28">
      <c r="A234"/>
      <c r="B234" t="n" s="8">
        <v>61064004</v>
      </c>
      <c r="C234" t="str" s="8">
        <v>a010</v>
      </c>
      <c r="D234" t="str" s="5">
        <v>裂罅灵蛇·首领</v>
      </c>
      <c r="E234" t="str" s="5">
        <v>R02-S2-BOSS-4</v>
      </c>
      <c r="F234" t="n" s="8">
        <v>20</v>
      </c>
      <c r="G234" s="8"/>
      <c r="H234" t="n" s="8">
        <v>2</v>
      </c>
      <c r="I234" t="str" s="8">
        <v>涔缝</v>
      </c>
      <c r="J234" t="str" s="8">
        <v>涔缝</v>
      </c>
      <c r="K234" t="str" s="8">
        <v>BOSS</v>
      </c>
      <c r="L234" t="n" s="8">
        <v>4</v>
      </c>
      <c r="M234" t="n" s="8">
        <v>4</v>
      </c>
      <c r="N234" t="n" s="8">
        <v>5</v>
      </c>
      <c r="O234" s="8"/>
      <c r="P234" t="n" s="8">
        <v>40</v>
      </c>
      <c r="Q234" t="n" s="8">
        <v>900000</v>
      </c>
      <c r="R234" t="str" s="8">
        <v>首击</v>
      </c>
      <c r="S234" t="n" s="8">
        <v>30000</v>
      </c>
      <c r="T234" t="n" s="8">
        <v>12</v>
      </c>
      <c r="U234" t="n" s="16">
        <v>40900202</v>
      </c>
      <c r="V234" t="n" s="8">
        <v>41130201</v>
      </c>
      <c r="W234" t="n" s="8">
        <v>41330202</v>
      </c>
      <c r="X234" t="n" s="8">
        <v>11000001</v>
      </c>
      <c r="Y234" s="8"/>
      <c r="Z234" s="8"/>
      <c r="AA234" t="str" s="8">
        <v>妖兽</v>
      </c>
      <c r="AB234" t="n" s="11">
        <v>20008</v>
      </c>
      <c r="AC234" t="n" s="8">
        <v>1.6</v>
      </c>
      <c r="AD234" t="n" s="8">
        <v>60</v>
      </c>
      <c r="AE234" t="n" s="8">
        <v>60</v>
      </c>
      <c r="AF234" t="n" s="8">
        <v>0</v>
      </c>
      <c r="AG234" t="n" s="8">
        <v>0</v>
      </c>
      <c r="AH234" t="str" s="8">
        <v>近战</v>
      </c>
      <c r="AI234" s="8"/>
      <c r="AJ234" s="17"/>
      <c r="AK234" s="8"/>
      <c r="AL234" s="18"/>
      <c r="AM234" t="str" s="8">
        <v>生命值</v>
      </c>
      <c r="AN234" t="n" s="19">
        <v>23775</v>
      </c>
      <c r="AO234" t="str" s="8">
        <v>灵力值</v>
      </c>
      <c r="AP234" t="n" s="8">
        <v>698</v>
      </c>
      <c r="AQ234" t="str" s="8">
        <v>攻击下限</v>
      </c>
      <c r="AR234" t="n" s="8">
        <v>349</v>
      </c>
      <c r="AS234" t="str" s="8">
        <v>攻击上限</v>
      </c>
      <c r="AT234" t="n" s="8">
        <v>349</v>
      </c>
      <c r="AU234" t="str" s="8">
        <v>法力下限</v>
      </c>
      <c r="AV234" t="n" s="8">
        <v>349</v>
      </c>
      <c r="AW234" t="str" s="8">
        <v>法力上限</v>
      </c>
      <c r="AX234" t="n" s="8">
        <v>349</v>
      </c>
      <c r="AY234" t="str" s="8">
        <v>物防下限</v>
      </c>
      <c r="AZ234" t="n" s="8">
        <v>71</v>
      </c>
      <c r="BA234" t="str" s="8">
        <v>物防上限</v>
      </c>
      <c r="BB234" t="n" s="8">
        <v>71</v>
      </c>
      <c r="BC234" t="str" s="8">
        <v>法防下限</v>
      </c>
      <c r="BD234" t="n" s="8">
        <v>71</v>
      </c>
      <c r="BE234" t="str" s="8">
        <v>法防上限</v>
      </c>
      <c r="BF234" t="n" s="8">
        <v>71</v>
      </c>
      <c r="BG234" t="str" s="8">
        <v>移动速度</v>
      </c>
      <c r="BH234" t="n" s="8">
        <v>240</v>
      </c>
      <c r="BI234" t="str" s="8">
        <v>攻击范围</v>
      </c>
      <c r="BJ234" t="n" s="8">
        <v>160</v>
      </c>
      <c r="BK234" t="str" s="8">
        <v>警戒范围</v>
      </c>
      <c r="BL234" t="n" s="8">
        <v>700</v>
      </c>
      <c r="BM234" t="str" s="8">
        <v>攻击间隔</v>
      </c>
      <c r="BN234" t="n" s="8">
        <v>2200</v>
      </c>
      <c r="BO234" t="n" s="8">
        <v>0</v>
      </c>
      <c r="BP234" s="8"/>
      <c r="BQ234" t="n" s="8">
        <v>0</v>
      </c>
      <c r="BR234" t="n" s="8">
        <v>0</v>
      </c>
      <c r="BS234" t="n" s="8">
        <v>0</v>
      </c>
      <c r="BT234" t="n" s="8">
        <v>0</v>
      </c>
      <c r="BU234" t="str" s="8">
        <v>涔缝的BOSS遭遇。依托本区既有水土、岩隙和可达条件活动。</v>
      </c>
      <c r="BV234" t="n">
        <v>2</v>
      </c>
      <c r="BW234" t="n">
        <v>10</v>
      </c>
      <c r="BX234" t="str">
        <v>仙品</v>
      </c>
      <c r="BY234" t="str">
        <v>native</v>
      </c>
      <c r="BZ234" t="b">
        <v>1</v>
      </c>
    </row>
    <row r="235" s="8" customFormat="1" spans="28:28">
      <c r="A235"/>
      <c r="B235" t="n" s="8">
        <v>61071001</v>
      </c>
      <c r="C235" t="str" s="8">
        <v>a010</v>
      </c>
      <c r="D235" t="str" s="5">
        <v>魔化湿壁灵蝠</v>
      </c>
      <c r="E235" t="str" s="5">
        <v>R02-D1-普通-1</v>
      </c>
      <c r="F235" t="n" s="8">
        <v>18</v>
      </c>
      <c r="G235" s="8"/>
      <c r="H235" t="n" s="8">
        <v>2</v>
      </c>
      <c r="I235" t="str" s="8">
        <v>浊影洄</v>
      </c>
      <c r="J235" t="str" s="8">
        <v>浊影洄</v>
      </c>
      <c r="K235" t="str" s="8">
        <v>普通</v>
      </c>
      <c r="L235" t="n" s="8">
        <v>1</v>
      </c>
      <c r="M235" t="n" s="8">
        <v>1</v>
      </c>
      <c r="N235" t="n" s="8">
        <v>1</v>
      </c>
      <c r="O235" s="8"/>
      <c r="P235" t="n" s="8">
        <v>24</v>
      </c>
      <c r="Q235" t="n" s="8">
        <v>30000</v>
      </c>
      <c r="R235" t="str" s="8">
        <v>首击</v>
      </c>
      <c r="S235" t="n" s="8">
        <v>30000</v>
      </c>
      <c r="T235" t="n" s="8">
        <v>10</v>
      </c>
      <c r="U235" t="n" s="16">
        <v>40900200</v>
      </c>
      <c r="V235" t="n" s="8">
        <v>40910202</v>
      </c>
      <c r="W235" t="n" s="8">
        <v>40920200</v>
      </c>
      <c r="X235" t="n" s="8">
        <v>11000001</v>
      </c>
      <c r="Y235" s="8"/>
      <c r="Z235" s="8"/>
      <c r="AA235" t="str" s="8">
        <v>妖兽</v>
      </c>
      <c r="AB235" t="n" s="11">
        <v>20008</v>
      </c>
      <c r="AC235" t="n" s="8">
        <v>1</v>
      </c>
      <c r="AD235" t="n" s="8">
        <v>60</v>
      </c>
      <c r="AE235" t="n" s="8">
        <v>60</v>
      </c>
      <c r="AF235" t="n" s="8">
        <v>0</v>
      </c>
      <c r="AG235" t="n" s="8">
        <v>0</v>
      </c>
      <c r="AH235" t="str" s="8">
        <v>近战</v>
      </c>
      <c r="AI235" s="8"/>
      <c r="AJ235" s="17"/>
      <c r="AK235" s="8"/>
      <c r="AL235" s="18"/>
      <c r="AM235" t="str" s="8">
        <v>生命值</v>
      </c>
      <c r="AN235" t="n" s="19">
        <v>2182</v>
      </c>
      <c r="AO235" t="str" s="8">
        <v>灵力值</v>
      </c>
      <c r="AP235" t="n" s="8">
        <v>306</v>
      </c>
      <c r="AQ235" t="str" s="8">
        <v>攻击下限</v>
      </c>
      <c r="AR235" t="n" s="8">
        <v>153</v>
      </c>
      <c r="AS235" t="str" s="8">
        <v>攻击上限</v>
      </c>
      <c r="AT235" t="n" s="8">
        <v>153</v>
      </c>
      <c r="AU235" t="str" s="8">
        <v>法力下限</v>
      </c>
      <c r="AV235" t="n" s="8">
        <v>153</v>
      </c>
      <c r="AW235" t="str" s="8">
        <v>法力上限</v>
      </c>
      <c r="AX235" t="n" s="8">
        <v>153</v>
      </c>
      <c r="AY235" t="str" s="8">
        <v>物防下限</v>
      </c>
      <c r="AZ235" t="n" s="8">
        <v>44</v>
      </c>
      <c r="BA235" t="str" s="8">
        <v>物防上限</v>
      </c>
      <c r="BB235" t="n" s="8">
        <v>44</v>
      </c>
      <c r="BC235" t="str" s="8">
        <v>法防下限</v>
      </c>
      <c r="BD235" t="n" s="8">
        <v>44</v>
      </c>
      <c r="BE235" t="str" s="8">
        <v>法防上限</v>
      </c>
      <c r="BF235" t="n" s="8">
        <v>44</v>
      </c>
      <c r="BG235" t="str" s="8">
        <v>移动速度</v>
      </c>
      <c r="BH235" t="n" s="8">
        <v>240</v>
      </c>
      <c r="BI235" t="str" s="8">
        <v>攻击范围</v>
      </c>
      <c r="BJ235" t="n" s="8">
        <v>160</v>
      </c>
      <c r="BK235" t="str" s="8">
        <v>警戒范围</v>
      </c>
      <c r="BL235" t="n" s="8">
        <v>550</v>
      </c>
      <c r="BM235" t="str" s="8">
        <v>攻击间隔</v>
      </c>
      <c r="BN235" t="n" s="8">
        <v>1800</v>
      </c>
      <c r="BO235" t="n" s="8">
        <v>0</v>
      </c>
      <c r="BP235" s="8"/>
      <c r="BQ235" t="n" s="8">
        <v>0</v>
      </c>
      <c r="BR235" t="n" s="8">
        <v>0</v>
      </c>
      <c r="BS235" t="n" s="8">
        <v>0</v>
      </c>
      <c r="BT235" t="n" s="8">
        <v>0</v>
      </c>
      <c r="BU235" t="str" s="8">
        <v>浊影洄的普通遭遇。裂隙渗漏造成的短时魔化，非本区新增裂隙。</v>
      </c>
      <c r="BV235" t="n">
        <v>2</v>
      </c>
      <c r="BW235" t="n">
        <v>8</v>
      </c>
      <c r="BX235" t="str">
        <v>凡品</v>
      </c>
      <c r="BY235" t="str">
        <v>corrupted</v>
      </c>
      <c r="BZ235" t="b">
        <v>0</v>
      </c>
    </row>
    <row r="236" s="8" customFormat="1" spans="28:28">
      <c r="A236"/>
      <c r="B236" t="n" s="8">
        <v>61071002</v>
      </c>
      <c r="C236" t="str" s="8">
        <v>a010</v>
      </c>
      <c r="D236" t="str" s="5">
        <v>魔化湍流石蟹</v>
      </c>
      <c r="E236" t="str" s="5">
        <v>R02-D1-普通-2</v>
      </c>
      <c r="F236" t="n" s="8">
        <v>18</v>
      </c>
      <c r="G236" s="8"/>
      <c r="H236" t="n" s="8">
        <v>2</v>
      </c>
      <c r="I236" t="str" s="8">
        <v>浊影洄</v>
      </c>
      <c r="J236" t="str" s="8">
        <v>浊影洄</v>
      </c>
      <c r="K236" t="str" s="8">
        <v>普通</v>
      </c>
      <c r="L236" t="n" s="8">
        <v>2</v>
      </c>
      <c r="M236" t="n" s="8">
        <v>2</v>
      </c>
      <c r="N236" t="n" s="8">
        <v>1</v>
      </c>
      <c r="O236" s="8"/>
      <c r="P236" t="n" s="8">
        <v>24</v>
      </c>
      <c r="Q236" t="n" s="8">
        <v>30000</v>
      </c>
      <c r="R236" t="str" s="8">
        <v>首击</v>
      </c>
      <c r="S236" t="n" s="8">
        <v>30000</v>
      </c>
      <c r="T236" t="n" s="8">
        <v>10</v>
      </c>
      <c r="U236" t="n" s="16">
        <v>40900200</v>
      </c>
      <c r="V236" t="n" s="8">
        <v>40910203</v>
      </c>
      <c r="W236" t="n" s="8">
        <v>40920201</v>
      </c>
      <c r="X236" t="n" s="8">
        <v>11000001</v>
      </c>
      <c r="Y236" s="8"/>
      <c r="Z236" s="8"/>
      <c r="AA236" t="str" s="8">
        <v>妖兽</v>
      </c>
      <c r="AB236" t="n" s="11">
        <v>20008</v>
      </c>
      <c r="AC236" t="n" s="8">
        <v>1</v>
      </c>
      <c r="AD236" t="n" s="8">
        <v>60</v>
      </c>
      <c r="AE236" t="n" s="8">
        <v>60</v>
      </c>
      <c r="AF236" t="n" s="8">
        <v>0</v>
      </c>
      <c r="AG236" t="n" s="8">
        <v>0</v>
      </c>
      <c r="AH236" t="str" s="8">
        <v>近战</v>
      </c>
      <c r="AI236" s="8"/>
      <c r="AJ236" s="17"/>
      <c r="AK236" s="8"/>
      <c r="AL236" s="18"/>
      <c r="AM236" t="str" s="8">
        <v>生命值</v>
      </c>
      <c r="AN236" t="n" s="19">
        <v>2182</v>
      </c>
      <c r="AO236" t="str" s="8">
        <v>灵力值</v>
      </c>
      <c r="AP236" t="n" s="8">
        <v>306</v>
      </c>
      <c r="AQ236" t="str" s="8">
        <v>攻击下限</v>
      </c>
      <c r="AR236" t="n" s="8">
        <v>153</v>
      </c>
      <c r="AS236" t="str" s="8">
        <v>攻击上限</v>
      </c>
      <c r="AT236" t="n" s="8">
        <v>153</v>
      </c>
      <c r="AU236" t="str" s="8">
        <v>法力下限</v>
      </c>
      <c r="AV236" t="n" s="8">
        <v>153</v>
      </c>
      <c r="AW236" t="str" s="8">
        <v>法力上限</v>
      </c>
      <c r="AX236" t="n" s="8">
        <v>153</v>
      </c>
      <c r="AY236" t="str" s="8">
        <v>物防下限</v>
      </c>
      <c r="AZ236" t="n" s="8">
        <v>44</v>
      </c>
      <c r="BA236" t="str" s="8">
        <v>物防上限</v>
      </c>
      <c r="BB236" t="n" s="8">
        <v>44</v>
      </c>
      <c r="BC236" t="str" s="8">
        <v>法防下限</v>
      </c>
      <c r="BD236" t="n" s="8">
        <v>44</v>
      </c>
      <c r="BE236" t="str" s="8">
        <v>法防上限</v>
      </c>
      <c r="BF236" t="n" s="8">
        <v>44</v>
      </c>
      <c r="BG236" t="str" s="8">
        <v>移动速度</v>
      </c>
      <c r="BH236" t="n" s="8">
        <v>240</v>
      </c>
      <c r="BI236" t="str" s="8">
        <v>攻击范围</v>
      </c>
      <c r="BJ236" t="n" s="8">
        <v>160</v>
      </c>
      <c r="BK236" t="str" s="8">
        <v>警戒范围</v>
      </c>
      <c r="BL236" t="n" s="8">
        <v>550</v>
      </c>
      <c r="BM236" t="str" s="8">
        <v>攻击间隔</v>
      </c>
      <c r="BN236" t="n" s="8">
        <v>1800</v>
      </c>
      <c r="BO236" t="n" s="8">
        <v>0</v>
      </c>
      <c r="BP236" s="8"/>
      <c r="BQ236" t="n" s="8">
        <v>0</v>
      </c>
      <c r="BR236" t="n" s="8">
        <v>0</v>
      </c>
      <c r="BS236" t="n" s="8">
        <v>0</v>
      </c>
      <c r="BT236" t="n" s="8">
        <v>0</v>
      </c>
      <c r="BU236" t="str" s="8">
        <v>浊影洄的普通遭遇。裂隙渗漏造成的短时魔化，非本区新增裂隙。</v>
      </c>
      <c r="BV236" t="n">
        <v>2</v>
      </c>
      <c r="BW236" t="n">
        <v>8</v>
      </c>
      <c r="BX236" t="str">
        <v>凡品</v>
      </c>
      <c r="BY236" t="str">
        <v>corrupted</v>
      </c>
      <c r="BZ236" t="b">
        <v>0</v>
      </c>
    </row>
    <row r="237" s="8" customFormat="1" spans="28:28">
      <c r="A237"/>
      <c r="B237" t="n" s="8">
        <v>61072003</v>
      </c>
      <c r="C237" t="str" s="8">
        <v>a010</v>
      </c>
      <c r="D237" t="str" s="5">
        <v>魔化峡岩灵狼·异种</v>
      </c>
      <c r="E237" t="str" s="5">
        <v>R02-D1-精英-3</v>
      </c>
      <c r="F237" t="n" s="8">
        <v>18</v>
      </c>
      <c r="G237" s="8"/>
      <c r="H237" t="n" s="8">
        <v>2</v>
      </c>
      <c r="I237" t="str" s="8">
        <v>浊影洄</v>
      </c>
      <c r="J237" t="str" s="8">
        <v>浊影洄</v>
      </c>
      <c r="K237" t="str" s="8">
        <v>精英</v>
      </c>
      <c r="L237" t="n" s="8">
        <v>3</v>
      </c>
      <c r="M237" t="n" s="8">
        <v>3</v>
      </c>
      <c r="N237" t="n" s="8">
        <v>3</v>
      </c>
      <c r="O237" s="8"/>
      <c r="P237" t="n" s="8">
        <v>40</v>
      </c>
      <c r="Q237" t="n" s="8">
        <v>180000</v>
      </c>
      <c r="R237" t="str" s="8">
        <v>首击</v>
      </c>
      <c r="S237" t="n" s="8">
        <v>30000</v>
      </c>
      <c r="T237" t="n" s="8">
        <v>11</v>
      </c>
      <c r="U237" t="n" s="16">
        <v>40900201</v>
      </c>
      <c r="V237" t="n" s="8">
        <v>41120204</v>
      </c>
      <c r="W237" t="n" s="8">
        <v>41320203</v>
      </c>
      <c r="X237" t="n" s="8">
        <v>11000001</v>
      </c>
      <c r="Y237" s="8"/>
      <c r="Z237" s="8"/>
      <c r="AA237" t="str" s="8">
        <v>妖兽</v>
      </c>
      <c r="AB237" t="n" s="11">
        <v>20008</v>
      </c>
      <c r="AC237" t="n" s="8">
        <v>1.25</v>
      </c>
      <c r="AD237" t="n" s="8">
        <v>60</v>
      </c>
      <c r="AE237" t="n" s="8">
        <v>60</v>
      </c>
      <c r="AF237" t="n" s="8">
        <v>0</v>
      </c>
      <c r="AG237" t="n" s="8">
        <v>0</v>
      </c>
      <c r="AH237" t="str" s="8">
        <v>近战</v>
      </c>
      <c r="AI237" s="8"/>
      <c r="AJ237" s="17"/>
      <c r="AK237" s="8"/>
      <c r="AL237" s="18"/>
      <c r="AM237" t="str" s="8">
        <v>生命值</v>
      </c>
      <c r="AN237" t="n" s="19">
        <v>6111</v>
      </c>
      <c r="AO237" t="str" s="8">
        <v>灵力值</v>
      </c>
      <c r="AP237" t="n" s="8">
        <v>444</v>
      </c>
      <c r="AQ237" t="str" s="8">
        <v>攻击下限</v>
      </c>
      <c r="AR237" t="n" s="8">
        <v>222</v>
      </c>
      <c r="AS237" t="str" s="8">
        <v>攻击上限</v>
      </c>
      <c r="AT237" t="n" s="8">
        <v>222</v>
      </c>
      <c r="AU237" t="str" s="8">
        <v>法力下限</v>
      </c>
      <c r="AV237" t="n" s="8">
        <v>222</v>
      </c>
      <c r="AW237" t="str" s="8">
        <v>法力上限</v>
      </c>
      <c r="AX237" t="n" s="8">
        <v>222</v>
      </c>
      <c r="AY237" t="str" s="8">
        <v>物防下限</v>
      </c>
      <c r="AZ237" t="n" s="8">
        <v>52</v>
      </c>
      <c r="BA237" t="str" s="8">
        <v>物防上限</v>
      </c>
      <c r="BB237" t="n" s="8">
        <v>52</v>
      </c>
      <c r="BC237" t="str" s="8">
        <v>法防下限</v>
      </c>
      <c r="BD237" t="n" s="8">
        <v>52</v>
      </c>
      <c r="BE237" t="str" s="8">
        <v>法防上限</v>
      </c>
      <c r="BF237" t="n" s="8">
        <v>52</v>
      </c>
      <c r="BG237" t="str" s="8">
        <v>移动速度</v>
      </c>
      <c r="BH237" t="n" s="8">
        <v>240</v>
      </c>
      <c r="BI237" t="str" s="8">
        <v>攻击范围</v>
      </c>
      <c r="BJ237" t="n" s="8">
        <v>160</v>
      </c>
      <c r="BK237" t="str" s="8">
        <v>警戒范围</v>
      </c>
      <c r="BL237" t="n" s="8">
        <v>550</v>
      </c>
      <c r="BM237" t="str" s="8">
        <v>攻击间隔</v>
      </c>
      <c r="BN237" t="n" s="8">
        <v>1800</v>
      </c>
      <c r="BO237" t="n" s="8">
        <v>0</v>
      </c>
      <c r="BP237" s="8"/>
      <c r="BQ237" t="n" s="8">
        <v>0</v>
      </c>
      <c r="BR237" t="n" s="8">
        <v>0</v>
      </c>
      <c r="BS237" t="n" s="8">
        <v>0</v>
      </c>
      <c r="BT237" t="n" s="8">
        <v>0</v>
      </c>
      <c r="BU237" t="str" s="8">
        <v>浊影洄的精英遭遇。裂隙渗漏造成的短时魔化，非本区新增裂隙。</v>
      </c>
      <c r="BV237" t="n">
        <v>2</v>
      </c>
      <c r="BW237" t="n">
        <v>8</v>
      </c>
      <c r="BX237" t="str">
        <v>玄品</v>
      </c>
      <c r="BY237" t="str">
        <v>corrupted</v>
      </c>
      <c r="BZ237" t="b">
        <v>0</v>
      </c>
    </row>
    <row r="238" s="8" customFormat="1" spans="28:28">
      <c r="A238"/>
      <c r="B238" t="n" s="8">
        <v>61074004</v>
      </c>
      <c r="C238" t="str" s="8">
        <v>a010</v>
      </c>
      <c r="D238" t="str" s="5">
        <v>魔化裂罅灵蛇·首领</v>
      </c>
      <c r="E238" t="str" s="5">
        <v>R02-D1-BOSS-4</v>
      </c>
      <c r="F238" t="n" s="8">
        <v>18</v>
      </c>
      <c r="G238" s="8"/>
      <c r="H238" t="n" s="8">
        <v>2</v>
      </c>
      <c r="I238" t="str" s="8">
        <v>浊影洄</v>
      </c>
      <c r="J238" t="str" s="8">
        <v>浊影洄</v>
      </c>
      <c r="K238" t="str" s="8">
        <v>BOSS</v>
      </c>
      <c r="L238" t="n" s="8">
        <v>4</v>
      </c>
      <c r="M238" t="n" s="8">
        <v>4</v>
      </c>
      <c r="N238" t="n" s="8">
        <v>5</v>
      </c>
      <c r="O238" s="8"/>
      <c r="P238" t="n" s="8">
        <v>40</v>
      </c>
      <c r="Q238" t="n" s="8">
        <v>900000</v>
      </c>
      <c r="R238" t="str" s="8">
        <v>首击</v>
      </c>
      <c r="S238" t="n" s="8">
        <v>30000</v>
      </c>
      <c r="T238" t="n" s="8">
        <v>12</v>
      </c>
      <c r="U238" t="n" s="16">
        <v>40900202</v>
      </c>
      <c r="V238" t="n" s="8">
        <v>41130205</v>
      </c>
      <c r="W238" t="n" s="8">
        <v>41330204</v>
      </c>
      <c r="X238" t="n" s="8">
        <v>11000001</v>
      </c>
      <c r="Y238" s="8"/>
      <c r="Z238" s="8"/>
      <c r="AA238" t="str" s="8">
        <v>妖兽</v>
      </c>
      <c r="AB238" t="n" s="11">
        <v>20008</v>
      </c>
      <c r="AC238" t="n" s="8">
        <v>1.6</v>
      </c>
      <c r="AD238" t="n" s="8">
        <v>60</v>
      </c>
      <c r="AE238" t="n" s="8">
        <v>60</v>
      </c>
      <c r="AF238" t="n" s="8">
        <v>0</v>
      </c>
      <c r="AG238" t="n" s="8">
        <v>0</v>
      </c>
      <c r="AH238" t="str" s="8">
        <v>近战</v>
      </c>
      <c r="AI238" s="8"/>
      <c r="AJ238" s="17"/>
      <c r="AK238" s="8"/>
      <c r="AL238" s="18"/>
      <c r="AM238" t="str" s="8">
        <v>生命值</v>
      </c>
      <c r="AN238" t="n" s="19">
        <v>21825</v>
      </c>
      <c r="AO238" t="str" s="8">
        <v>灵力值</v>
      </c>
      <c r="AP238" t="n" s="8">
        <v>642</v>
      </c>
      <c r="AQ238" t="str" s="8">
        <v>攻击下限</v>
      </c>
      <c r="AR238" t="n" s="8">
        <v>321</v>
      </c>
      <c r="AS238" t="str" s="8">
        <v>攻击上限</v>
      </c>
      <c r="AT238" t="n" s="8">
        <v>321</v>
      </c>
      <c r="AU238" t="str" s="8">
        <v>法力下限</v>
      </c>
      <c r="AV238" t="n" s="8">
        <v>321</v>
      </c>
      <c r="AW238" t="str" s="8">
        <v>法力上限</v>
      </c>
      <c r="AX238" t="n" s="8">
        <v>321</v>
      </c>
      <c r="AY238" t="str" s="8">
        <v>物防下限</v>
      </c>
      <c r="AZ238" t="n" s="8">
        <v>65</v>
      </c>
      <c r="BA238" t="str" s="8">
        <v>物防上限</v>
      </c>
      <c r="BB238" t="n" s="8">
        <v>65</v>
      </c>
      <c r="BC238" t="str" s="8">
        <v>法防下限</v>
      </c>
      <c r="BD238" t="n" s="8">
        <v>65</v>
      </c>
      <c r="BE238" t="str" s="8">
        <v>法防上限</v>
      </c>
      <c r="BF238" t="n" s="8">
        <v>65</v>
      </c>
      <c r="BG238" t="str" s="8">
        <v>移动速度</v>
      </c>
      <c r="BH238" t="n" s="8">
        <v>240</v>
      </c>
      <c r="BI238" t="str" s="8">
        <v>攻击范围</v>
      </c>
      <c r="BJ238" t="n" s="8">
        <v>160</v>
      </c>
      <c r="BK238" t="str" s="8">
        <v>警戒范围</v>
      </c>
      <c r="BL238" t="n" s="8">
        <v>700</v>
      </c>
      <c r="BM238" t="str" s="8">
        <v>攻击间隔</v>
      </c>
      <c r="BN238" t="n" s="8">
        <v>2200</v>
      </c>
      <c r="BO238" t="n" s="8">
        <v>0</v>
      </c>
      <c r="BP238" s="8"/>
      <c r="BQ238" t="n" s="8">
        <v>0</v>
      </c>
      <c r="BR238" t="n" s="8">
        <v>0</v>
      </c>
      <c r="BS238" t="n" s="8">
        <v>0</v>
      </c>
      <c r="BT238" t="n" s="8">
        <v>0</v>
      </c>
      <c r="BU238" t="str" s="8">
        <v>浊影洄的BOSS遭遇。裂隙渗漏造成的短时魔化，非本区新增裂隙。</v>
      </c>
      <c r="BV238" t="n">
        <v>2</v>
      </c>
      <c r="BW238" t="n">
        <v>8</v>
      </c>
      <c r="BX238" t="str">
        <v>仙品</v>
      </c>
      <c r="BY238" t="str">
        <v>corrupted</v>
      </c>
      <c r="BZ238" t="b">
        <v>1</v>
      </c>
    </row>
    <row r="239" s="8" customFormat="1" spans="28:28">
      <c r="A239"/>
      <c r="B239" t="n" s="8">
        <v>60062903</v>
      </c>
      <c r="C239" t="str" s="8">
        <v>a010</v>
      </c>
      <c r="D239" t="str" s="5">
        <v>岩隙灵蝠·异种</v>
      </c>
      <c r="E239" t="str" s="5">
        <v>R01-P1-精英-903</v>
      </c>
      <c r="F239" t="n" s="8">
        <v>3</v>
      </c>
      <c r="G239" s="8"/>
      <c r="H239" t="n" s="8">
        <v>1</v>
      </c>
      <c r="I239" t="str" s="8">
        <v>异霭浦</v>
      </c>
      <c r="J239" t="str" s="8">
        <v>异霭浦</v>
      </c>
      <c r="K239" t="str" s="8">
        <v>精英</v>
      </c>
      <c r="L239" t="n" s="8">
        <v>903</v>
      </c>
      <c r="M239" t="n" s="8">
        <v>903</v>
      </c>
      <c r="N239" t="n" s="8">
        <v>3</v>
      </c>
      <c r="O239" s="8"/>
      <c r="P239" t="n" s="8">
        <v>40</v>
      </c>
      <c r="Q239" t="n" s="8">
        <v>180000</v>
      </c>
      <c r="R239" t="str" s="8">
        <v>首击</v>
      </c>
      <c r="S239" t="n" s="8">
        <v>30000</v>
      </c>
      <c r="T239" t="n" s="8">
        <v>11</v>
      </c>
      <c r="U239" t="n" s="16">
        <v>40900101</v>
      </c>
      <c r="V239" t="n" s="8">
        <v>41120106</v>
      </c>
      <c r="W239" t="n" s="8">
        <v>41320101</v>
      </c>
      <c r="X239" t="n" s="8">
        <v>11000001</v>
      </c>
      <c r="Y239" s="8"/>
      <c r="Z239" s="8"/>
      <c r="AA239" t="str" s="8">
        <v>妖兽</v>
      </c>
      <c r="AB239" t="n" s="11">
        <v>20008</v>
      </c>
      <c r="AC239" t="n" s="8">
        <v>1.25</v>
      </c>
      <c r="AD239" t="n" s="8">
        <v>60</v>
      </c>
      <c r="AE239" t="n" s="8">
        <v>60</v>
      </c>
      <c r="AF239" t="n" s="8">
        <v>0</v>
      </c>
      <c r="AG239" t="n" s="8">
        <v>0</v>
      </c>
      <c r="AH239" t="str" s="8">
        <v>近战</v>
      </c>
      <c r="AI239" s="8"/>
      <c r="AJ239" s="17"/>
      <c r="AK239" s="8"/>
      <c r="AL239" s="18"/>
      <c r="AM239" t="str" s="8">
        <v>生命值</v>
      </c>
      <c r="AN239" t="n" s="19">
        <v>823</v>
      </c>
      <c r="AO239" t="str" s="8">
        <v>灵力值</v>
      </c>
      <c r="AP239" t="n" s="8">
        <v>72</v>
      </c>
      <c r="AQ239" t="str" s="8">
        <v>攻击下限</v>
      </c>
      <c r="AR239" t="n" s="8">
        <v>36</v>
      </c>
      <c r="AS239" t="str" s="8">
        <v>攻击上限</v>
      </c>
      <c r="AT239" t="n" s="8">
        <v>36</v>
      </c>
      <c r="AU239" t="str" s="8">
        <v>法力下限</v>
      </c>
      <c r="AV239" t="n" s="8">
        <v>36</v>
      </c>
      <c r="AW239" t="str" s="8">
        <v>法力上限</v>
      </c>
      <c r="AX239" t="n" s="8">
        <v>36</v>
      </c>
      <c r="AY239" t="str" s="8">
        <v>物防下限</v>
      </c>
      <c r="AZ239" t="n" s="8">
        <v>7</v>
      </c>
      <c r="BA239" t="str" s="8">
        <v>物防上限</v>
      </c>
      <c r="BB239" t="n" s="8">
        <v>7</v>
      </c>
      <c r="BC239" t="str" s="8">
        <v>法防下限</v>
      </c>
      <c r="BD239" t="n" s="8">
        <v>7</v>
      </c>
      <c r="BE239" t="str" s="8">
        <v>法防上限</v>
      </c>
      <c r="BF239" t="n" s="8">
        <v>7</v>
      </c>
      <c r="BG239" t="str" s="8">
        <v>移动速度</v>
      </c>
      <c r="BH239" t="n" s="8">
        <v>240</v>
      </c>
      <c r="BI239" t="str" s="8">
        <v>攻击范围</v>
      </c>
      <c r="BJ239" t="n" s="8">
        <v>160</v>
      </c>
      <c r="BK239" t="str" s="8">
        <v>警戒范围</v>
      </c>
      <c r="BL239" t="n" s="8">
        <v>550</v>
      </c>
      <c r="BM239" t="str" s="8">
        <v>攻击间隔</v>
      </c>
      <c r="BN239" t="n" s="8">
        <v>1800</v>
      </c>
      <c r="BO239" t="n" s="8">
        <v>0</v>
      </c>
      <c r="BP239" s="8"/>
      <c r="BQ239" t="n" s="8">
        <v>0</v>
      </c>
      <c r="BR239" t="n" s="8">
        <v>0</v>
      </c>
      <c r="BS239" t="n" s="8">
        <v>0</v>
      </c>
      <c r="BT239" t="n" s="8">
        <v>0</v>
      </c>
      <c r="BU239" t="str" s="8">
        <v>异霭浦的精英遭遇。依托本区既有水土、岩隙和可达条件活动。</v>
      </c>
      <c r="BV239" t="n">
        <v>1</v>
      </c>
      <c r="BW239" t="n">
        <v>3</v>
      </c>
      <c r="BX239" t="str">
        <v>玄品</v>
      </c>
      <c r="BY239" t="str">
        <v>native</v>
      </c>
      <c r="BZ239" t="b">
        <v>0</v>
      </c>
    </row>
    <row r="240" s="8" customFormat="1" spans="28:28">
      <c r="A240"/>
      <c r="B240" t="n" s="8">
        <v>60072903</v>
      </c>
      <c r="C240" t="str" s="8">
        <v>a010</v>
      </c>
      <c r="D240" t="str" s="5">
        <v>岩隙灵蝠·异种</v>
      </c>
      <c r="E240" t="str" s="5">
        <v>R01-P2-精英-903</v>
      </c>
      <c r="F240" t="n" s="8">
        <v>6</v>
      </c>
      <c r="G240" s="8"/>
      <c r="H240" t="n" s="8">
        <v>1</v>
      </c>
      <c r="I240" t="str" s="8">
        <v>砾台</v>
      </c>
      <c r="J240" t="str" s="8">
        <v>砾台</v>
      </c>
      <c r="K240" t="str" s="8">
        <v>精英</v>
      </c>
      <c r="L240" t="n" s="8">
        <v>903</v>
      </c>
      <c r="M240" t="n" s="8">
        <v>903</v>
      </c>
      <c r="N240" t="n" s="8">
        <v>3</v>
      </c>
      <c r="O240" s="8"/>
      <c r="P240" t="n" s="8">
        <v>40</v>
      </c>
      <c r="Q240" t="n" s="8">
        <v>180000</v>
      </c>
      <c r="R240" t="str" s="8">
        <v>首击</v>
      </c>
      <c r="S240" t="n" s="8">
        <v>30000</v>
      </c>
      <c r="T240" t="n" s="8">
        <v>11</v>
      </c>
      <c r="U240" t="n" s="16">
        <v>40900101</v>
      </c>
      <c r="V240" t="n" s="8">
        <v>41120107</v>
      </c>
      <c r="W240" t="n" s="8">
        <v>41320102</v>
      </c>
      <c r="X240" t="n" s="8">
        <v>11000001</v>
      </c>
      <c r="Y240" s="8"/>
      <c r="Z240" s="8"/>
      <c r="AA240" t="str" s="8">
        <v>妖兽</v>
      </c>
      <c r="AB240" t="n" s="11">
        <v>20008</v>
      </c>
      <c r="AC240" t="n" s="8">
        <v>1.25</v>
      </c>
      <c r="AD240" t="n" s="8">
        <v>60</v>
      </c>
      <c r="AE240" t="n" s="8">
        <v>60</v>
      </c>
      <c r="AF240" t="n" s="8">
        <v>0</v>
      </c>
      <c r="AG240" t="n" s="8">
        <v>0</v>
      </c>
      <c r="AH240" t="str" s="8">
        <v>近战</v>
      </c>
      <c r="AI240" s="8"/>
      <c r="AJ240" s="17"/>
      <c r="AK240" s="8"/>
      <c r="AL240" s="18"/>
      <c r="AM240" t="str" s="8">
        <v>生命值</v>
      </c>
      <c r="AN240" t="n" s="19">
        <v>965</v>
      </c>
      <c r="AO240" t="str" s="8">
        <v>灵力值</v>
      </c>
      <c r="AP240" t="n" s="8">
        <v>84</v>
      </c>
      <c r="AQ240" t="str" s="8">
        <v>攻击下限</v>
      </c>
      <c r="AR240" t="n" s="8">
        <v>42</v>
      </c>
      <c r="AS240" t="str" s="8">
        <v>攻击上限</v>
      </c>
      <c r="AT240" t="n" s="8">
        <v>42</v>
      </c>
      <c r="AU240" t="str" s="8">
        <v>法力下限</v>
      </c>
      <c r="AV240" t="n" s="8">
        <v>42</v>
      </c>
      <c r="AW240" t="str" s="8">
        <v>法力上限</v>
      </c>
      <c r="AX240" t="n" s="8">
        <v>42</v>
      </c>
      <c r="AY240" t="str" s="8">
        <v>物防下限</v>
      </c>
      <c r="AZ240" t="n" s="8">
        <v>8</v>
      </c>
      <c r="BA240" t="str" s="8">
        <v>物防上限</v>
      </c>
      <c r="BB240" t="n" s="8">
        <v>8</v>
      </c>
      <c r="BC240" t="str" s="8">
        <v>法防下限</v>
      </c>
      <c r="BD240" t="n" s="8">
        <v>8</v>
      </c>
      <c r="BE240" t="str" s="8">
        <v>法防上限</v>
      </c>
      <c r="BF240" t="n" s="8">
        <v>8</v>
      </c>
      <c r="BG240" t="str" s="8">
        <v>移动速度</v>
      </c>
      <c r="BH240" t="n" s="8">
        <v>240</v>
      </c>
      <c r="BI240" t="str" s="8">
        <v>攻击范围</v>
      </c>
      <c r="BJ240" t="n" s="8">
        <v>160</v>
      </c>
      <c r="BK240" t="str" s="8">
        <v>警戒范围</v>
      </c>
      <c r="BL240" t="n" s="8">
        <v>550</v>
      </c>
      <c r="BM240" t="str" s="8">
        <v>攻击间隔</v>
      </c>
      <c r="BN240" t="n" s="8">
        <v>1800</v>
      </c>
      <c r="BO240" t="n" s="8">
        <v>0</v>
      </c>
      <c r="BP240" s="8"/>
      <c r="BQ240" t="n" s="8">
        <v>0</v>
      </c>
      <c r="BR240" t="n" s="8">
        <v>0</v>
      </c>
      <c r="BS240" t="n" s="8">
        <v>0</v>
      </c>
      <c r="BT240" t="n" s="8">
        <v>0</v>
      </c>
      <c r="BU240" t="str" s="8">
        <v>砾台的精英遭遇。依托本区既有水土、岩隙和可达条件活动。</v>
      </c>
      <c r="BV240" t="n">
        <v>1</v>
      </c>
      <c r="BW240" t="n">
        <v>6</v>
      </c>
      <c r="BX240" t="str">
        <v>玄品</v>
      </c>
      <c r="BY240" t="str">
        <v>native</v>
      </c>
      <c r="BZ240" t="b">
        <v>0</v>
      </c>
    </row>
    <row r="241" s="8" customFormat="1" spans="28:28">
      <c r="A241"/>
      <c r="B241" t="n" s="8">
        <v>60104905</v>
      </c>
      <c r="C241" t="str" s="8">
        <v>a010</v>
      </c>
      <c r="D241" t="str" s="5">
        <v>浅汊水蛇·首领</v>
      </c>
      <c r="E241" t="str" s="5">
        <v>R01-S2-BOSS-905</v>
      </c>
      <c r="F241" t="n" s="8">
        <v>10</v>
      </c>
      <c r="G241" s="8"/>
      <c r="H241" t="n" s="8">
        <v>1</v>
      </c>
      <c r="I241" t="str" s="8">
        <v>水镜滩</v>
      </c>
      <ns0:c xmlns:ns0="http://schemas.openxmlformats.org/spreadsheetml/2006/main" r="J241" s="8" t="inlineStr">
        <ns0:is>
          <ns0:t>水镜滩·水退方见</ns0:t>
        </ns0:is>
      </ns0:c>
      <c r="K241" t="str" s="8">
        <v>BOSS</v>
      </c>
      <c r="L241" t="n" s="8">
        <v>905</v>
      </c>
      <c r="M241" t="n" s="8">
        <v>905</v>
      </c>
      <c r="N241" t="n" s="8">
        <v>5</v>
      </c>
      <c r="O241" s="8"/>
      <c r="P241" t="n" s="8">
        <v>40</v>
      </c>
      <c r="Q241" t="n" s="8">
        <v>900000</v>
      </c>
      <c r="R241" t="str" s="8">
        <v>首击</v>
      </c>
      <c r="S241" t="n" s="8">
        <v>30000</v>
      </c>
      <c r="T241" t="n" s="8">
        <v>12</v>
      </c>
      <c r="U241" t="n" s="16">
        <v>40900102</v>
      </c>
      <c r="V241" t="n" s="8">
        <v>41130108</v>
      </c>
      <c r="W241" t="n" s="8">
        <v>41330103</v>
      </c>
      <c r="X241" t="n" s="8">
        <v>11000001</v>
      </c>
      <c r="Y241" s="8"/>
      <c r="Z241" s="8"/>
      <c r="AA241" t="str" s="8">
        <v>妖兽</v>
      </c>
      <c r="AB241" t="n" s="11">
        <v>20008</v>
      </c>
      <c r="AC241" t="n" s="8">
        <v>1.6</v>
      </c>
      <c r="AD241" t="n" s="8">
        <v>60</v>
      </c>
      <c r="AE241" t="n" s="8">
        <v>60</v>
      </c>
      <c r="AF241" t="n" s="8">
        <v>0</v>
      </c>
      <c r="AG241" t="n" s="8">
        <v>0</v>
      </c>
      <c r="AH241" t="str" s="8">
        <v>近战</v>
      </c>
      <c r="AI241" s="8"/>
      <c r="AJ241" s="17"/>
      <c r="AK241" s="8"/>
      <c r="AL241" s="18"/>
      <c r="AM241" t="str" s="8">
        <v>生命值</v>
      </c>
      <c r="AN241" t="n" s="19">
        <v>4121</v>
      </c>
      <c r="AO241" t="str" s="8">
        <v>灵力值</v>
      </c>
      <c r="AP241" t="n" s="8">
        <v>146</v>
      </c>
      <c r="AQ241" t="str" s="8">
        <v>攻击下限</v>
      </c>
      <c r="AR241" t="n" s="8">
        <v>73</v>
      </c>
      <c r="AS241" t="str" s="8">
        <v>攻击上限</v>
      </c>
      <c r="AT241" t="n" s="8">
        <v>73</v>
      </c>
      <c r="AU241" t="str" s="8">
        <v>法力下限</v>
      </c>
      <c r="AV241" t="n" s="8">
        <v>73</v>
      </c>
      <c r="AW241" t="str" s="8">
        <v>法力上限</v>
      </c>
      <c r="AX241" t="n" s="8">
        <v>73</v>
      </c>
      <c r="AY241" t="str" s="8">
        <v>物防下限</v>
      </c>
      <c r="AZ241" t="n" s="8">
        <v>12</v>
      </c>
      <c r="BA241" t="str" s="8">
        <v>物防上限</v>
      </c>
      <c r="BB241" t="n" s="8">
        <v>12</v>
      </c>
      <c r="BC241" t="str" s="8">
        <v>法防下限</v>
      </c>
      <c r="BD241" t="n" s="8">
        <v>12</v>
      </c>
      <c r="BE241" t="str" s="8">
        <v>法防上限</v>
      </c>
      <c r="BF241" t="n" s="8">
        <v>12</v>
      </c>
      <c r="BG241" t="str" s="8">
        <v>移动速度</v>
      </c>
      <c r="BH241" t="n" s="8">
        <v>240</v>
      </c>
      <c r="BI241" t="str" s="8">
        <v>攻击范围</v>
      </c>
      <c r="BJ241" t="n" s="8">
        <v>160</v>
      </c>
      <c r="BK241" t="str" s="8">
        <v>警戒范围</v>
      </c>
      <c r="BL241" t="n" s="8">
        <v>700</v>
      </c>
      <c r="BM241" t="str" s="8">
        <v>攻击间隔</v>
      </c>
      <c r="BN241" t="n" s="8">
        <v>2200</v>
      </c>
      <c r="BO241" t="n" s="8">
        <v>0</v>
      </c>
      <c r="BP241" s="8"/>
      <c r="BQ241" t="n" s="8">
        <v>0</v>
      </c>
      <c r="BR241" t="n" s="8">
        <v>0</v>
      </c>
      <c r="BS241" t="n" s="8">
        <v>0</v>
      </c>
      <c r="BT241" t="n" s="8">
        <v>0</v>
      </c>
      <c r="BU241" t="str" s="8">
        <v>水镜滩的BOSS遭遇。依托本区既有水土、岩隙和可达条件活动。</v>
      </c>
      <c r="BV241" t="n">
        <v>1</v>
      </c>
      <c r="BW241" t="n">
        <v>10</v>
      </c>
      <c r="BX241" t="str">
        <v>仙品</v>
      </c>
      <c r="BY241" t="str">
        <v>native</v>
      </c>
      <c r="BZ241" t="b">
        <v>1</v>
      </c>
    </row>
    <row r="242" s="8" customFormat="1" spans="28:28">
      <c r="A242"/>
      <c r="B242" t="n" s="8">
        <v>60142903</v>
      </c>
      <c r="C242" t="str" s="8">
        <v>a010</v>
      </c>
      <c r="D242" t="str" s="5">
        <v>末分岩蟹·异种</v>
      </c>
      <c r="E242" t="str" s="5">
        <v>R03-P1-精英-903</v>
      </c>
      <c r="F242" t="n" s="8">
        <v>23</v>
      </c>
      <c r="G242" s="8"/>
      <c r="H242" t="n" s="8">
        <v>3</v>
      </c>
      <c r="I242" t="str" s="8">
        <v>粉浪风</v>
      </c>
      <c r="J242" t="str" s="8">
        <v>粉浪风</v>
      </c>
      <c r="K242" t="str" s="8">
        <v>精英</v>
      </c>
      <c r="L242" t="n" s="8">
        <v>903</v>
      </c>
      <c r="M242" t="n" s="8">
        <v>903</v>
      </c>
      <c r="N242" t="n" s="8">
        <v>3</v>
      </c>
      <c r="O242" s="8"/>
      <c r="P242" t="n" s="8">
        <v>40</v>
      </c>
      <c r="Q242" t="n" s="8">
        <v>180000</v>
      </c>
      <c r="R242" t="str" s="8">
        <v>首击</v>
      </c>
      <c r="S242" t="n" s="8">
        <v>30000</v>
      </c>
      <c r="T242" t="n" s="8">
        <v>11</v>
      </c>
      <c r="U242" t="n" s="16">
        <v>40900301</v>
      </c>
      <c r="V242" t="n" s="8">
        <v>41120307</v>
      </c>
      <c r="W242" t="n" s="8">
        <v>41320302</v>
      </c>
      <c r="X242" t="n" s="8">
        <v>11000001</v>
      </c>
      <c r="Y242" s="8"/>
      <c r="Z242" s="8"/>
      <c r="AA242" t="str" s="8">
        <v>妖兽</v>
      </c>
      <c r="AB242" t="n" s="11">
        <v>20008</v>
      </c>
      <c r="AC242" t="n" s="8">
        <v>1.25</v>
      </c>
      <c r="AD242" t="n" s="8">
        <v>60</v>
      </c>
      <c r="AE242" t="n" s="8">
        <v>60</v>
      </c>
      <c r="AF242" t="n" s="8">
        <v>0</v>
      </c>
      <c r="AG242" t="n" s="8">
        <v>0</v>
      </c>
      <c r="AH242" t="str" s="8">
        <v>近战</v>
      </c>
      <c r="AI242" s="8"/>
      <c r="AJ242" s="17"/>
      <c r="AK242" s="8"/>
      <c r="AL242" s="18"/>
      <c r="AM242" t="str" s="8">
        <v>生命值</v>
      </c>
      <c r="AN242" t="n" s="19">
        <v>22781</v>
      </c>
      <c r="AO242" t="str" s="8">
        <v>灵力值</v>
      </c>
      <c r="AP242" t="n" s="8">
        <v>1344</v>
      </c>
      <c r="AQ242" t="str" s="8">
        <v>攻击下限</v>
      </c>
      <c r="AR242" t="n" s="8">
        <v>672</v>
      </c>
      <c r="AS242" t="str" s="8">
        <v>攻击上限</v>
      </c>
      <c r="AT242" t="n" s="8">
        <v>672</v>
      </c>
      <c r="AU242" t="str" s="8">
        <v>法力下限</v>
      </c>
      <c r="AV242" t="n" s="8">
        <v>672</v>
      </c>
      <c r="AW242" t="str" s="8">
        <v>法力上限</v>
      </c>
      <c r="AX242" t="n" s="8">
        <v>672</v>
      </c>
      <c r="AY242" t="str" s="8">
        <v>物防下限</v>
      </c>
      <c r="AZ242" t="n" s="8">
        <v>183</v>
      </c>
      <c r="BA242" t="str" s="8">
        <v>物防上限</v>
      </c>
      <c r="BB242" t="n" s="8">
        <v>183</v>
      </c>
      <c r="BC242" t="str" s="8">
        <v>法防下限</v>
      </c>
      <c r="BD242" t="n" s="8">
        <v>183</v>
      </c>
      <c r="BE242" t="str" s="8">
        <v>法防上限</v>
      </c>
      <c r="BF242" t="n" s="8">
        <v>183</v>
      </c>
      <c r="BG242" t="str" s="8">
        <v>移动速度</v>
      </c>
      <c r="BH242" t="n" s="8">
        <v>240</v>
      </c>
      <c r="BI242" t="str" s="8">
        <v>攻击范围</v>
      </c>
      <c r="BJ242" t="n" s="8">
        <v>160</v>
      </c>
      <c r="BK242" t="str" s="8">
        <v>警戒范围</v>
      </c>
      <c r="BL242" t="n" s="8">
        <v>550</v>
      </c>
      <c r="BM242" t="str" s="8">
        <v>攻击间隔</v>
      </c>
      <c r="BN242" t="n" s="8">
        <v>1800</v>
      </c>
      <c r="BO242" t="n" s="8">
        <v>0</v>
      </c>
      <c r="BP242" s="8"/>
      <c r="BQ242" t="n" s="8">
        <v>0</v>
      </c>
      <c r="BR242" t="n" s="8">
        <v>0</v>
      </c>
      <c r="BS242" t="n" s="8">
        <v>0</v>
      </c>
      <c r="BT242" t="n" s="8">
        <v>0</v>
      </c>
      <c r="BU242" t="str" s="8">
        <v>粉浪风的精英遭遇。依托本区既有水土、岩隙和可达条件活动。</v>
      </c>
      <c r="BV242" t="n">
        <v>3</v>
      </c>
      <c r="BW242" t="n">
        <v>3</v>
      </c>
      <c r="BX242" t="str">
        <v>玄品</v>
      </c>
      <c r="BY242" t="str">
        <v>native</v>
      </c>
      <c r="BZ242" t="b">
        <v>0</v>
      </c>
    </row>
    <row r="243" s="8" customFormat="1" spans="28:28">
      <c r="A243"/>
      <c r="B243" t="n" s="8">
        <v>60152902</v>
      </c>
      <c r="C243" t="str" s="8">
        <v>a010</v>
      </c>
      <c r="D243" t="str" s="5">
        <v>低岛灵狼·异种</v>
      </c>
      <c r="E243" t="str" s="5">
        <v>R03-P2-精英-902</v>
      </c>
      <c r="F243" t="n" s="8">
        <v>26</v>
      </c>
      <c r="G243" s="8"/>
      <c r="H243" t="n" s="8">
        <v>3</v>
      </c>
      <c r="I243" t="str" s="8">
        <v>漫莎台</v>
      </c>
      <c r="J243" t="str" s="8">
        <v>漫莎台</v>
      </c>
      <c r="K243" t="str" s="8">
        <v>精英</v>
      </c>
      <c r="L243" t="n" s="8">
        <v>902</v>
      </c>
      <c r="M243" t="n" s="8">
        <v>902</v>
      </c>
      <c r="N243" t="n" s="8">
        <v>3</v>
      </c>
      <c r="O243" s="8"/>
      <c r="P243" t="n" s="8">
        <v>40</v>
      </c>
      <c r="Q243" t="n" s="8">
        <v>180000</v>
      </c>
      <c r="R243" t="str" s="8">
        <v>首击</v>
      </c>
      <c r="S243" t="n" s="8">
        <v>30000</v>
      </c>
      <c r="T243" t="n" s="8">
        <v>11</v>
      </c>
      <c r="U243" t="n" s="16">
        <v>40900301</v>
      </c>
      <c r="V243" t="n" s="8">
        <v>41120308</v>
      </c>
      <c r="W243" t="n" s="8">
        <v>41320303</v>
      </c>
      <c r="X243" t="n" s="8">
        <v>11000001</v>
      </c>
      <c r="Y243" s="8"/>
      <c r="Z243" s="8"/>
      <c r="AA243" t="str" s="8">
        <v>妖兽</v>
      </c>
      <c r="AB243" t="n" s="11">
        <v>20008</v>
      </c>
      <c r="AC243" t="n" s="8">
        <v>1.25</v>
      </c>
      <c r="AD243" t="n" s="8">
        <v>60</v>
      </c>
      <c r="AE243" t="n" s="8">
        <v>60</v>
      </c>
      <c r="AF243" t="n" s="8">
        <v>0</v>
      </c>
      <c r="AG243" t="n" s="8">
        <v>0</v>
      </c>
      <c r="AH243" t="str" s="8">
        <v>近战</v>
      </c>
      <c r="AI243" s="8"/>
      <c r="AJ243" s="17"/>
      <c r="AK243" s="8"/>
      <c r="AL243" s="18"/>
      <c r="AM243" t="str" s="8">
        <v>生命值</v>
      </c>
      <c r="AN243" t="n" s="19">
        <v>26712</v>
      </c>
      <c r="AO243" t="str" s="8">
        <v>灵力值</v>
      </c>
      <c r="AP243" t="n" s="8">
        <v>1576</v>
      </c>
      <c r="AQ243" t="str" s="8">
        <v>攻击下限</v>
      </c>
      <c r="AR243" t="n" s="8">
        <v>788</v>
      </c>
      <c r="AS243" t="str" s="8">
        <v>攻击上限</v>
      </c>
      <c r="AT243" t="n" s="8">
        <v>788</v>
      </c>
      <c r="AU243" t="str" s="8">
        <v>法力下限</v>
      </c>
      <c r="AV243" t="n" s="8">
        <v>788</v>
      </c>
      <c r="AW243" t="str" s="8">
        <v>法力上限</v>
      </c>
      <c r="AX243" t="n" s="8">
        <v>788</v>
      </c>
      <c r="AY243" t="str" s="8">
        <v>物防下限</v>
      </c>
      <c r="AZ243" t="n" s="8">
        <v>215</v>
      </c>
      <c r="BA243" t="str" s="8">
        <v>物防上限</v>
      </c>
      <c r="BB243" t="n" s="8">
        <v>215</v>
      </c>
      <c r="BC243" t="str" s="8">
        <v>法防下限</v>
      </c>
      <c r="BD243" t="n" s="8">
        <v>215</v>
      </c>
      <c r="BE243" t="str" s="8">
        <v>法防上限</v>
      </c>
      <c r="BF243" t="n" s="8">
        <v>215</v>
      </c>
      <c r="BG243" t="str" s="8">
        <v>移动速度</v>
      </c>
      <c r="BH243" t="n" s="8">
        <v>240</v>
      </c>
      <c r="BI243" t="str" s="8">
        <v>攻击范围</v>
      </c>
      <c r="BJ243" t="n" s="8">
        <v>160</v>
      </c>
      <c r="BK243" t="str" s="8">
        <v>警戒范围</v>
      </c>
      <c r="BL243" t="n" s="8">
        <v>550</v>
      </c>
      <c r="BM243" t="str" s="8">
        <v>攻击间隔</v>
      </c>
      <c r="BN243" t="n" s="8">
        <v>1800</v>
      </c>
      <c r="BO243" t="n" s="8">
        <v>0</v>
      </c>
      <c r="BP243" s="8"/>
      <c r="BQ243" t="n" s="8">
        <v>0</v>
      </c>
      <c r="BR243" t="n" s="8">
        <v>0</v>
      </c>
      <c r="BS243" t="n" s="8">
        <v>0</v>
      </c>
      <c r="BT243" t="n" s="8">
        <v>0</v>
      </c>
      <c r="BU243" t="str" s="8">
        <v>漫莎台的精英遭遇。依托本区既有水土、岩隙和可达条件活动。</v>
      </c>
      <c r="BV243" t="n">
        <v>3</v>
      </c>
      <c r="BW243" t="n">
        <v>6</v>
      </c>
      <c r="BX243" t="str">
        <v>玄品</v>
      </c>
      <c r="BY243" t="str">
        <v>native</v>
      </c>
      <c r="BZ243" t="b">
        <v>0</v>
      </c>
    </row>
    <row r="244" s="8" customFormat="1" spans="28:28">
      <c r="A244"/>
      <c r="B244" t="n" s="8">
        <v>60222902</v>
      </c>
      <c r="C244" t="str" s="8">
        <v>a010</v>
      </c>
      <c r="D244" t="str" s="5">
        <v>沟底石蟹·异种</v>
      </c>
      <c r="E244" t="str" s="5">
        <v>R04-P1-精英-902</v>
      </c>
      <c r="F244" t="n" s="8">
        <v>33</v>
      </c>
      <c r="G244" s="8"/>
      <c r="H244" t="n" s="8">
        <v>4</v>
      </c>
      <c r="I244" t="str" s="8">
        <v>褐苔含润</v>
      </c>
      <c r="J244" t="str" s="8">
        <v>褐苔含润</v>
      </c>
      <c r="K244" t="str" s="8">
        <v>精英</v>
      </c>
      <c r="L244" t="n" s="8">
        <v>902</v>
      </c>
      <c r="M244" t="n" s="8">
        <v>902</v>
      </c>
      <c r="N244" t="n" s="8">
        <v>3</v>
      </c>
      <c r="O244" s="8"/>
      <c r="P244" t="n" s="8">
        <v>40</v>
      </c>
      <c r="Q244" t="n" s="8">
        <v>180000</v>
      </c>
      <c r="R244" t="str" s="8">
        <v>首击</v>
      </c>
      <c r="S244" t="n" s="8">
        <v>30000</v>
      </c>
      <c r="T244" t="n" s="8">
        <v>11</v>
      </c>
      <c r="U244" t="n" s="16">
        <v>40900401</v>
      </c>
      <c r="V244" t="n" s="8">
        <v>41120404</v>
      </c>
      <c r="W244" t="n" s="8">
        <v>41220400</v>
      </c>
      <c r="X244" t="n" s="8">
        <v>11000001</v>
      </c>
      <c r="Y244" s="8"/>
      <c r="Z244" s="8"/>
      <c r="AA244" t="str" s="8">
        <v>妖兽</v>
      </c>
      <c r="AB244" t="n" s="11">
        <v>20008</v>
      </c>
      <c r="AC244" t="n" s="8">
        <v>1.25</v>
      </c>
      <c r="AD244" t="n" s="8">
        <v>60</v>
      </c>
      <c r="AE244" t="n" s="8">
        <v>60</v>
      </c>
      <c r="AF244" t="n" s="8">
        <v>0</v>
      </c>
      <c r="AG244" t="n" s="8">
        <v>0</v>
      </c>
      <c r="AH244" t="str" s="8">
        <v>近战</v>
      </c>
      <c r="AI244" s="8"/>
      <c r="AJ244" s="17"/>
      <c r="AK244" s="8"/>
      <c r="AL244" s="18"/>
      <c r="AM244" t="str" s="8">
        <v>生命值</v>
      </c>
      <c r="AN244" t="n" s="19">
        <v>110740</v>
      </c>
      <c r="AO244" t="str" s="8">
        <v>灵力值</v>
      </c>
      <c r="AP244" t="n" s="8">
        <v>5570</v>
      </c>
      <c r="AQ244" t="str" s="8">
        <v>攻击下限</v>
      </c>
      <c r="AR244" t="n" s="8">
        <v>2785</v>
      </c>
      <c r="AS244" t="str" s="8">
        <v>攻击上限</v>
      </c>
      <c r="AT244" t="n" s="8">
        <v>2785</v>
      </c>
      <c r="AU244" t="str" s="8">
        <v>法力下限</v>
      </c>
      <c r="AV244" t="n" s="8">
        <v>2785</v>
      </c>
      <c r="AW244" t="str" s="8">
        <v>法力上限</v>
      </c>
      <c r="AX244" t="n" s="8">
        <v>2785</v>
      </c>
      <c r="AY244" t="str" s="8">
        <v>物防下限</v>
      </c>
      <c r="AZ244" t="n" s="8">
        <v>786</v>
      </c>
      <c r="BA244" t="str" s="8">
        <v>物防上限</v>
      </c>
      <c r="BB244" t="n" s="8">
        <v>786</v>
      </c>
      <c r="BC244" t="str" s="8">
        <v>法防下限</v>
      </c>
      <c r="BD244" t="n" s="8">
        <v>786</v>
      </c>
      <c r="BE244" t="str" s="8">
        <v>法防上限</v>
      </c>
      <c r="BF244" t="n" s="8">
        <v>786</v>
      </c>
      <c r="BG244" t="str" s="8">
        <v>移动速度</v>
      </c>
      <c r="BH244" t="n" s="8">
        <v>240</v>
      </c>
      <c r="BI244" t="str" s="8">
        <v>攻击范围</v>
      </c>
      <c r="BJ244" t="n" s="8">
        <v>160</v>
      </c>
      <c r="BK244" t="str" s="8">
        <v>警戒范围</v>
      </c>
      <c r="BL244" t="n" s="8">
        <v>550</v>
      </c>
      <c r="BM244" t="str" s="8">
        <v>攻击间隔</v>
      </c>
      <c r="BN244" t="n" s="8">
        <v>1800</v>
      </c>
      <c r="BO244" t="n" s="8">
        <v>0</v>
      </c>
      <c r="BP244" s="8"/>
      <c r="BQ244" t="n" s="8">
        <v>0</v>
      </c>
      <c r="BR244" t="n" s="8">
        <v>0</v>
      </c>
      <c r="BS244" t="n" s="8">
        <v>0</v>
      </c>
      <c r="BT244" t="n" s="8">
        <v>0</v>
      </c>
      <c r="BU244" t="str" s="8">
        <v>褐苔含润的精英遭遇。依托本区既有水土、岩隙和可达条件活动。</v>
      </c>
      <c r="BV244" t="n">
        <v>4</v>
      </c>
      <c r="BW244" t="n">
        <v>3</v>
      </c>
      <c r="BX244" t="str">
        <v>玄品</v>
      </c>
      <c r="BY244" t="str">
        <v>native</v>
      </c>
      <c r="BZ244" t="b">
        <v>0</v>
      </c>
    </row>
    <row r="245" s="8" customFormat="1" spans="28:28">
      <c r="A245"/>
      <c r="B245" t="n" s="8">
        <v>60232902</v>
      </c>
      <c r="C245" t="str" s="8">
        <v>a010</v>
      </c>
      <c r="D245" t="str" s="5">
        <v>沟底石蟹·异种</v>
      </c>
      <c r="E245" t="str" s="5">
        <v>R04-P2-精英-902</v>
      </c>
      <c r="F245" t="n" s="8">
        <v>36</v>
      </c>
      <c r="G245" s="8"/>
      <c r="H245" t="n" s="8">
        <v>4</v>
      </c>
      <c r="I245" t="str" s="8">
        <v>肩生瘠芽</v>
      </c>
      <c r="J245" t="str" s="8">
        <v>肩生瘠芽</v>
      </c>
      <c r="K245" t="str" s="8">
        <v>精英</v>
      </c>
      <c r="L245" t="n" s="8">
        <v>902</v>
      </c>
      <c r="M245" t="n" s="8">
        <v>902</v>
      </c>
      <c r="N245" t="n" s="8">
        <v>3</v>
      </c>
      <c r="O245" s="8"/>
      <c r="P245" t="n" s="8">
        <v>40</v>
      </c>
      <c r="Q245" t="n" s="8">
        <v>180000</v>
      </c>
      <c r="R245" t="str" s="8">
        <v>首击</v>
      </c>
      <c r="S245" t="n" s="8">
        <v>30000</v>
      </c>
      <c r="T245" t="n" s="8">
        <v>11</v>
      </c>
      <c r="U245" t="n" s="16">
        <v>40900401</v>
      </c>
      <c r="V245" t="n" s="8">
        <v>41120405</v>
      </c>
      <c r="W245" t="n" s="8">
        <v>41220401</v>
      </c>
      <c r="X245" t="n" s="8">
        <v>11000001</v>
      </c>
      <c r="Y245" s="8"/>
      <c r="Z245" s="8"/>
      <c r="AA245" t="str" s="8">
        <v>妖兽</v>
      </c>
      <c r="AB245" t="n" s="11">
        <v>20008</v>
      </c>
      <c r="AC245" t="n" s="8">
        <v>1.25</v>
      </c>
      <c r="AD245" t="n" s="8">
        <v>60</v>
      </c>
      <c r="AE245" t="n" s="8">
        <v>60</v>
      </c>
      <c r="AF245" t="n" s="8">
        <v>0</v>
      </c>
      <c r="AG245" t="n" s="8">
        <v>0</v>
      </c>
      <c r="AH245" t="str" s="8">
        <v>近战</v>
      </c>
      <c r="AI245" s="8"/>
      <c r="AJ245" s="17"/>
      <c r="AK245" s="8"/>
      <c r="AL245" s="18"/>
      <c r="AM245" t="str" s="8">
        <v>生命值</v>
      </c>
      <c r="AN245" t="n" s="19">
        <v>129850</v>
      </c>
      <c r="AO245" t="str" s="8">
        <v>灵力值</v>
      </c>
      <c r="AP245" t="n" s="8">
        <v>6532</v>
      </c>
      <c r="AQ245" t="str" s="8">
        <v>攻击下限</v>
      </c>
      <c r="AR245" t="n" s="8">
        <v>3266</v>
      </c>
      <c r="AS245" t="str" s="8">
        <v>攻击上限</v>
      </c>
      <c r="AT245" t="n" s="8">
        <v>3266</v>
      </c>
      <c r="AU245" t="str" s="8">
        <v>法力下限</v>
      </c>
      <c r="AV245" t="n" s="8">
        <v>3266</v>
      </c>
      <c r="AW245" t="str" s="8">
        <v>法力上限</v>
      </c>
      <c r="AX245" t="n" s="8">
        <v>3266</v>
      </c>
      <c r="AY245" t="str" s="8">
        <v>物防下限</v>
      </c>
      <c r="AZ245" t="n" s="8">
        <v>922</v>
      </c>
      <c r="BA245" t="str" s="8">
        <v>物防上限</v>
      </c>
      <c r="BB245" t="n" s="8">
        <v>922</v>
      </c>
      <c r="BC245" t="str" s="8">
        <v>法防下限</v>
      </c>
      <c r="BD245" t="n" s="8">
        <v>922</v>
      </c>
      <c r="BE245" t="str" s="8">
        <v>法防上限</v>
      </c>
      <c r="BF245" t="n" s="8">
        <v>922</v>
      </c>
      <c r="BG245" t="str" s="8">
        <v>移动速度</v>
      </c>
      <c r="BH245" t="n" s="8">
        <v>240</v>
      </c>
      <c r="BI245" t="str" s="8">
        <v>攻击范围</v>
      </c>
      <c r="BJ245" t="n" s="8">
        <v>160</v>
      </c>
      <c r="BK245" t="str" s="8">
        <v>警戒范围</v>
      </c>
      <c r="BL245" t="n" s="8">
        <v>550</v>
      </c>
      <c r="BM245" t="str" s="8">
        <v>攻击间隔</v>
      </c>
      <c r="BN245" t="n" s="8">
        <v>1800</v>
      </c>
      <c r="BO245" t="n" s="8">
        <v>0</v>
      </c>
      <c r="BP245" s="8"/>
      <c r="BQ245" t="n" s="8">
        <v>0</v>
      </c>
      <c r="BR245" t="n" s="8">
        <v>0</v>
      </c>
      <c r="BS245" t="n" s="8">
        <v>0</v>
      </c>
      <c r="BT245" t="n" s="8">
        <v>0</v>
      </c>
      <c r="BU245" t="str" s="8">
        <v>肩生瘠芽的精英遭遇。依托本区既有水土、岩隙和可达条件活动。</v>
      </c>
      <c r="BV245" t="n">
        <v>4</v>
      </c>
      <c r="BW245" t="n">
        <v>6</v>
      </c>
      <c r="BX245" t="str">
        <v>玄品</v>
      </c>
      <c r="BY245" t="str">
        <v>native</v>
      </c>
      <c r="BZ245" t="b">
        <v>0</v>
      </c>
    </row>
    <row r="246" s="8" customFormat="1" spans="28:28">
      <c r="A246"/>
      <c r="B246" t="n" s="8">
        <v>60244904</v>
      </c>
      <c r="C246" t="str" s="8">
        <v>a010</v>
      </c>
      <c r="D246" t="str" s="5">
        <v>赭坡岩狼·首领</v>
      </c>
      <c r="E246" t="str" s="5">
        <v>R04-S1-BOSS-904</v>
      </c>
      <c r="F246" t="n" s="8">
        <v>39</v>
      </c>
      <c r="G246" s="8"/>
      <c r="H246" t="n" s="8">
        <v>4</v>
      </c>
      <c r="I246" t="str" s="8">
        <v>岩腹潜龛</v>
      </c>
      <c r="J246" t="str" s="8">
        <v>岩腹潜龛</v>
      </c>
      <c r="K246" t="str" s="8">
        <v>BOSS</v>
      </c>
      <c r="L246" t="n" s="8">
        <v>904</v>
      </c>
      <c r="M246" t="n" s="8">
        <v>904</v>
      </c>
      <c r="N246" t="n" s="8">
        <v>5</v>
      </c>
      <c r="O246" s="8"/>
      <c r="P246" t="n" s="8">
        <v>40</v>
      </c>
      <c r="Q246" t="n" s="8">
        <v>900000</v>
      </c>
      <c r="R246" t="str" s="8">
        <v>首击</v>
      </c>
      <c r="S246" t="n" s="8">
        <v>30000</v>
      </c>
      <c r="T246" t="n" s="8">
        <v>12</v>
      </c>
      <c r="U246" t="n" s="16">
        <v>40900402</v>
      </c>
      <c r="V246" t="n" s="8">
        <v>41130406</v>
      </c>
      <c r="W246" t="n" s="8">
        <v>41230400</v>
      </c>
      <c r="X246" t="n" s="8">
        <v>11000001</v>
      </c>
      <c r="Y246" s="8"/>
      <c r="Z246" s="8"/>
      <c r="AA246" t="str" s="8">
        <v>妖兽</v>
      </c>
      <c r="AB246" t="n" s="11">
        <v>20008</v>
      </c>
      <c r="AC246" t="n" s="8">
        <v>1.6</v>
      </c>
      <c r="AD246" t="n" s="8">
        <v>60</v>
      </c>
      <c r="AE246" t="n" s="8">
        <v>60</v>
      </c>
      <c r="AF246" t="n" s="8">
        <v>0</v>
      </c>
      <c r="AG246" t="n" s="8">
        <v>0</v>
      </c>
      <c r="AH246" t="str" s="8">
        <v>近战</v>
      </c>
      <c r="AI246" s="8"/>
      <c r="AJ246" s="17"/>
      <c r="AK246" s="8"/>
      <c r="AL246" s="18"/>
      <c r="AM246" t="str" s="8">
        <v>生命值</v>
      </c>
      <c r="AN246" t="n" s="19">
        <v>532000</v>
      </c>
      <c r="AO246" t="str" s="8">
        <v>灵力值</v>
      </c>
      <c r="AP246" t="n" s="8">
        <v>10852</v>
      </c>
      <c r="AQ246" t="str" s="8">
        <v>攻击下限</v>
      </c>
      <c r="AR246" t="n" s="8">
        <v>5426</v>
      </c>
      <c r="AS246" t="str" s="8">
        <v>攻击上限</v>
      </c>
      <c r="AT246" t="n" s="8">
        <v>5426</v>
      </c>
      <c r="AU246" t="str" s="8">
        <v>法力下限</v>
      </c>
      <c r="AV246" t="n" s="8">
        <v>5426</v>
      </c>
      <c r="AW246" t="str" s="8">
        <v>法力上限</v>
      </c>
      <c r="AX246" t="n" s="8">
        <v>5426</v>
      </c>
      <c r="AY246" t="str" s="8">
        <v>物防下限</v>
      </c>
      <c r="AZ246" t="n" s="8">
        <v>1322</v>
      </c>
      <c r="BA246" t="str" s="8">
        <v>物防上限</v>
      </c>
      <c r="BB246" t="n" s="8">
        <v>1322</v>
      </c>
      <c r="BC246" t="str" s="8">
        <v>法防下限</v>
      </c>
      <c r="BD246" t="n" s="8">
        <v>1322</v>
      </c>
      <c r="BE246" t="str" s="8">
        <v>法防上限</v>
      </c>
      <c r="BF246" t="n" s="8">
        <v>1322</v>
      </c>
      <c r="BG246" t="str" s="8">
        <v>移动速度</v>
      </c>
      <c r="BH246" t="n" s="8">
        <v>240</v>
      </c>
      <c r="BI246" t="str" s="8">
        <v>攻击范围</v>
      </c>
      <c r="BJ246" t="n" s="8">
        <v>160</v>
      </c>
      <c r="BK246" t="str" s="8">
        <v>警戒范围</v>
      </c>
      <c r="BL246" t="n" s="8">
        <v>700</v>
      </c>
      <c r="BM246" t="str" s="8">
        <v>攻击间隔</v>
      </c>
      <c r="BN246" t="n" s="8">
        <v>2200</v>
      </c>
      <c r="BO246" t="n" s="8">
        <v>0</v>
      </c>
      <c r="BP246" s="8"/>
      <c r="BQ246" t="n" s="8">
        <v>0</v>
      </c>
      <c r="BR246" t="n" s="8">
        <v>0</v>
      </c>
      <c r="BS246" t="n" s="8">
        <v>0</v>
      </c>
      <c r="BT246" t="n" s="8">
        <v>0</v>
      </c>
      <c r="BU246" t="str" s="8">
        <v>岩腹潜龛的BOSS遭遇。依托本区既有水土、岩隙和可达条件活动。</v>
      </c>
      <c r="BV246" t="n">
        <v>4</v>
      </c>
      <c r="BW246" t="n">
        <v>9</v>
      </c>
      <c r="BX246" t="str">
        <v>仙品</v>
      </c>
      <c r="BY246" t="str">
        <v>native</v>
      </c>
      <c r="BZ246" t="b">
        <v>1</v>
      </c>
    </row>
    <row r="247" s="8" customFormat="1" spans="28:28">
      <c r="A247"/>
      <c r="B247" t="n" s="8">
        <v>60262904</v>
      </c>
      <c r="C247" t="str" s="8">
        <v>a010</v>
      </c>
      <c r="D247" t="str" s="5">
        <v>魔化赭坡岩狼·异种</v>
      </c>
      <c r="E247" t="str" s="5">
        <v>R04-D1-精英-904</v>
      </c>
      <c r="F247" t="n" s="8">
        <v>38</v>
      </c>
      <c r="G247" s="8"/>
      <c r="H247" t="n" s="8">
        <v>4</v>
      </c>
      <c r="I247" t="str" s="8">
        <v>风背余晦</v>
      </c>
      <c r="J247" t="str" s="8">
        <v>风背余晦</v>
      </c>
      <c r="K247" t="str" s="8">
        <v>精英</v>
      </c>
      <c r="L247" t="n" s="8">
        <v>904</v>
      </c>
      <c r="M247" t="n" s="8">
        <v>904</v>
      </c>
      <c r="N247" t="n" s="8">
        <v>3</v>
      </c>
      <c r="O247" s="8"/>
      <c r="P247" t="n" s="8">
        <v>40</v>
      </c>
      <c r="Q247" t="n" s="8">
        <v>180000</v>
      </c>
      <c r="R247" t="str" s="8">
        <v>首击</v>
      </c>
      <c r="S247" t="n" s="8">
        <v>30000</v>
      </c>
      <c r="T247" t="n" s="8">
        <v>11</v>
      </c>
      <c r="U247" t="n" s="16">
        <v>40900401</v>
      </c>
      <c r="V247" t="n" s="8">
        <v>41120407</v>
      </c>
      <c r="W247" t="n" s="8">
        <v>41220401</v>
      </c>
      <c r="X247" t="n" s="8">
        <v>11000001</v>
      </c>
      <c r="Y247" s="8"/>
      <c r="Z247" s="8"/>
      <c r="AA247" t="str" s="8">
        <v>妖兽</v>
      </c>
      <c r="AB247" t="n" s="11">
        <v>20008</v>
      </c>
      <c r="AC247" t="n" s="8">
        <v>1.25</v>
      </c>
      <c r="AD247" t="n" s="8">
        <v>60</v>
      </c>
      <c r="AE247" t="n" s="8">
        <v>60</v>
      </c>
      <c r="AF247" t="n" s="8">
        <v>0</v>
      </c>
      <c r="AG247" t="n" s="8">
        <v>0</v>
      </c>
      <c r="AH247" t="str" s="8">
        <v>近战</v>
      </c>
      <c r="AI247" s="8"/>
      <c r="AJ247" s="17"/>
      <c r="AK247" s="8"/>
      <c r="AL247" s="18"/>
      <c r="AM247" t="str" s="8">
        <v>生命值</v>
      </c>
      <c r="AN247" t="n" s="19">
        <v>142590</v>
      </c>
      <c r="AO247" t="str" s="8">
        <v>灵力值</v>
      </c>
      <c r="AP247" t="n" s="8">
        <v>7174</v>
      </c>
      <c r="AQ247" t="str" s="8">
        <v>攻击下限</v>
      </c>
      <c r="AR247" t="n" s="8">
        <v>3587</v>
      </c>
      <c r="AS247" t="str" s="8">
        <v>攻击上限</v>
      </c>
      <c r="AT247" t="n" s="8">
        <v>3587</v>
      </c>
      <c r="AU247" t="str" s="8">
        <v>法力下限</v>
      </c>
      <c r="AV247" t="n" s="8">
        <v>3587</v>
      </c>
      <c r="AW247" t="str" s="8">
        <v>法力上限</v>
      </c>
      <c r="AX247" t="n" s="8">
        <v>3587</v>
      </c>
      <c r="AY247" t="str" s="8">
        <v>物防下限</v>
      </c>
      <c r="AZ247" t="n" s="8">
        <v>1013</v>
      </c>
      <c r="BA247" t="str" s="8">
        <v>物防上限</v>
      </c>
      <c r="BB247" t="n" s="8">
        <v>1013</v>
      </c>
      <c r="BC247" t="str" s="8">
        <v>法防下限</v>
      </c>
      <c r="BD247" t="n" s="8">
        <v>1013</v>
      </c>
      <c r="BE247" t="str" s="8">
        <v>法防上限</v>
      </c>
      <c r="BF247" t="n" s="8">
        <v>1013</v>
      </c>
      <c r="BG247" t="str" s="8">
        <v>移动速度</v>
      </c>
      <c r="BH247" t="n" s="8">
        <v>240</v>
      </c>
      <c r="BI247" t="str" s="8">
        <v>攻击范围</v>
      </c>
      <c r="BJ247" t="n" s="8">
        <v>160</v>
      </c>
      <c r="BK247" t="str" s="8">
        <v>警戒范围</v>
      </c>
      <c r="BL247" t="n" s="8">
        <v>550</v>
      </c>
      <c r="BM247" t="str" s="8">
        <v>攻击间隔</v>
      </c>
      <c r="BN247" t="n" s="8">
        <v>1800</v>
      </c>
      <c r="BO247" t="n" s="8">
        <v>0</v>
      </c>
      <c r="BP247" s="8"/>
      <c r="BQ247" t="n" s="8">
        <v>0</v>
      </c>
      <c r="BR247" t="n" s="8">
        <v>0</v>
      </c>
      <c r="BS247" t="n" s="8">
        <v>0</v>
      </c>
      <c r="BT247" t="n" s="8">
        <v>0</v>
      </c>
      <c r="BU247" t="str" s="8">
        <v>风背余晦的精英遭遇。裂隙渗漏造成的短时魔化，非本区新增裂隙。</v>
      </c>
      <c r="BV247" t="n">
        <v>4</v>
      </c>
      <c r="BW247" t="n">
        <v>8</v>
      </c>
      <c r="BX247" t="str">
        <v>玄品</v>
      </c>
      <c r="BY247" t="str">
        <v>corrupted</v>
      </c>
      <c r="BZ247" t="b">
        <v>0</v>
      </c>
    </row>
    <row r="248" s="8" customFormat="1" spans="28:28">
      <c r="A248"/>
      <c r="B248" t="n" s="8">
        <v>60452901</v>
      </c>
      <c r="C248" t="str" s="8">
        <v>a010</v>
      </c>
      <c r="D248" t="str" s="5">
        <v>断谷灵蝠·异种</v>
      </c>
      <c r="E248" t="str" s="5">
        <v>R05-P1-精英-901</v>
      </c>
      <c r="F248" t="n" s="8">
        <v>43</v>
      </c>
      <c r="G248" s="8"/>
      <c r="H248" t="n" s="8">
        <v>5</v>
      </c>
      <c r="I248" t="str" s="8">
        <v>隙光苔</v>
      </c>
      <c r="J248" t="str" s="8">
        <v>隙光苔</v>
      </c>
      <c r="K248" t="str" s="8">
        <v>精英</v>
      </c>
      <c r="L248" t="n" s="8">
        <v>901</v>
      </c>
      <c r="M248" t="n" s="8">
        <v>901</v>
      </c>
      <c r="N248" t="n" s="8">
        <v>3</v>
      </c>
      <c r="O248" s="8"/>
      <c r="P248" t="n" s="8">
        <v>40</v>
      </c>
      <c r="Q248" t="n" s="8">
        <v>180000</v>
      </c>
      <c r="R248" t="str" s="8">
        <v>首击</v>
      </c>
      <c r="S248" t="n" s="8">
        <v>30000</v>
      </c>
      <c r="T248" t="n" s="8">
        <v>11</v>
      </c>
      <c r="U248" t="n" s="16">
        <v>40900501</v>
      </c>
      <c r="V248" t="n" s="8">
        <v>41120510</v>
      </c>
      <c r="W248" t="n" s="8">
        <v>41320500</v>
      </c>
      <c r="X248" t="n" s="8">
        <v>11000001</v>
      </c>
      <c r="Y248" s="8"/>
      <c r="Z248" s="8"/>
      <c r="AA248" t="str" s="8">
        <v>妖兽</v>
      </c>
      <c r="AB248" t="n" s="11">
        <v>20008</v>
      </c>
      <c r="AC248" t="n" s="8">
        <v>1.25</v>
      </c>
      <c r="AD248" t="n" s="8">
        <v>60</v>
      </c>
      <c r="AE248" t="n" s="8">
        <v>60</v>
      </c>
      <c r="AF248" t="n" s="8">
        <v>0</v>
      </c>
      <c r="AG248" t="n" s="8">
        <v>0</v>
      </c>
      <c r="AH248" t="str" s="8">
        <v>近战</v>
      </c>
      <c r="AI248" s="8"/>
      <c r="AJ248" s="17"/>
      <c r="AK248" s="8"/>
      <c r="AL248" s="18"/>
      <c r="AM248" t="str" s="8">
        <v>生命值</v>
      </c>
      <c r="AN248" t="n" s="19">
        <v>506240</v>
      </c>
      <c r="AO248" t="str" s="8">
        <v>灵力值</v>
      </c>
      <c r="AP248" t="n" s="8">
        <v>23594</v>
      </c>
      <c r="AQ248" t="str" s="8">
        <v>攻击下限</v>
      </c>
      <c r="AR248" t="n" s="8">
        <v>11797</v>
      </c>
      <c r="AS248" t="str" s="8">
        <v>攻击上限</v>
      </c>
      <c r="AT248" t="n" s="8">
        <v>11797</v>
      </c>
      <c r="AU248" t="str" s="8">
        <v>法力下限</v>
      </c>
      <c r="AV248" t="n" s="8">
        <v>11797</v>
      </c>
      <c r="AW248" t="str" s="8">
        <v>法力上限</v>
      </c>
      <c r="AX248" t="n" s="8">
        <v>11797</v>
      </c>
      <c r="AY248" t="str" s="8">
        <v>物防下限</v>
      </c>
      <c r="AZ248" t="n" s="8">
        <v>3322</v>
      </c>
      <c r="BA248" t="str" s="8">
        <v>物防上限</v>
      </c>
      <c r="BB248" t="n" s="8">
        <v>3322</v>
      </c>
      <c r="BC248" t="str" s="8">
        <v>法防下限</v>
      </c>
      <c r="BD248" t="n" s="8">
        <v>3322</v>
      </c>
      <c r="BE248" t="str" s="8">
        <v>法防上限</v>
      </c>
      <c r="BF248" t="n" s="8">
        <v>3322</v>
      </c>
      <c r="BG248" t="str" s="8">
        <v>移动速度</v>
      </c>
      <c r="BH248" t="n" s="8">
        <v>270</v>
      </c>
      <c r="BI248" t="str" s="8">
        <v>攻击范围</v>
      </c>
      <c r="BJ248" t="n" s="8">
        <v>160</v>
      </c>
      <c r="BK248" t="str" s="8">
        <v>警戒范围</v>
      </c>
      <c r="BL248" t="n" s="8">
        <v>550</v>
      </c>
      <c r="BM248" t="str" s="8">
        <v>攻击间隔</v>
      </c>
      <c r="BN248" t="n" s="8">
        <v>1800</v>
      </c>
      <c r="BO248" t="n" s="8">
        <v>0</v>
      </c>
      <c r="BP248" s="8"/>
      <c r="BQ248" t="n" s="8">
        <v>0</v>
      </c>
      <c r="BR248" t="n" s="8">
        <v>0</v>
      </c>
      <c r="BS248" t="n" s="8">
        <v>0</v>
      </c>
      <c r="BT248" t="n" s="8">
        <v>0</v>
      </c>
      <c r="BU248" t="str" s="8">
        <v>隙光苔的精英遭遇。依托本区既有水土、岩隙和可达条件活动。</v>
      </c>
      <c r="BV248" t="n">
        <v>5</v>
      </c>
      <c r="BW248" t="n">
        <v>3</v>
      </c>
      <c r="BX248" t="str">
        <v>玄品</v>
      </c>
      <c r="BY248" t="str">
        <v>native</v>
      </c>
      <c r="BZ248" t="b">
        <v>0</v>
      </c>
    </row>
    <row r="249" s="8" customFormat="1" spans="28:28">
      <c r="A249"/>
      <c r="B249" t="n" s="8">
        <v>60462901</v>
      </c>
      <c r="C249" t="str" s="8">
        <v>a010</v>
      </c>
      <c r="D249" t="str" s="5">
        <v>断谷灵蝠·异种</v>
      </c>
      <c r="E249" t="str" s="5">
        <v>R05-P2-精英-901</v>
      </c>
      <c r="F249" t="n" s="8">
        <v>46</v>
      </c>
      <c r="G249" s="8"/>
      <c r="H249" t="n" s="8">
        <v>5</v>
      </c>
      <c r="I249" t="str" s="8">
        <v>浸岩菖</v>
      </c>
      <c r="J249" t="str" s="8">
        <v>浸岩菖</v>
      </c>
      <c r="K249" t="str" s="8">
        <v>精英</v>
      </c>
      <c r="L249" t="n" s="8">
        <v>901</v>
      </c>
      <c r="M249" t="n" s="8">
        <v>901</v>
      </c>
      <c r="N249" t="n" s="8">
        <v>3</v>
      </c>
      <c r="O249" s="8"/>
      <c r="P249" t="n" s="8">
        <v>40</v>
      </c>
      <c r="Q249" t="n" s="8">
        <v>180000</v>
      </c>
      <c r="R249" t="str" s="8">
        <v>首击</v>
      </c>
      <c r="S249" t="n" s="8">
        <v>30000</v>
      </c>
      <c r="T249" t="n" s="8">
        <v>11</v>
      </c>
      <c r="U249" t="n" s="16">
        <v>40900501</v>
      </c>
      <c r="V249" t="n" s="8">
        <v>41120511</v>
      </c>
      <c r="W249" t="n" s="8">
        <v>41320501</v>
      </c>
      <c r="X249" t="n" s="8">
        <v>11000001</v>
      </c>
      <c r="Y249" s="8"/>
      <c r="Z249" s="8"/>
      <c r="AA249" t="str" s="8">
        <v>妖兽</v>
      </c>
      <c r="AB249" t="n" s="11">
        <v>20008</v>
      </c>
      <c r="AC249" t="n" s="8">
        <v>1.25</v>
      </c>
      <c r="AD249" t="n" s="8">
        <v>60</v>
      </c>
      <c r="AE249" t="n" s="8">
        <v>60</v>
      </c>
      <c r="AF249" t="n" s="8">
        <v>0</v>
      </c>
      <c r="AG249" t="n" s="8">
        <v>0</v>
      </c>
      <c r="AH249" t="str" s="8">
        <v>近战</v>
      </c>
      <c r="AI249" s="8"/>
      <c r="AJ249" s="17"/>
      <c r="AK249" s="8"/>
      <c r="AL249" s="18"/>
      <c r="AM249" t="str" s="8">
        <v>生命值</v>
      </c>
      <c r="AN249" t="n" s="19">
        <v>593600</v>
      </c>
      <c r="AO249" t="str" s="8">
        <v>灵力值</v>
      </c>
      <c r="AP249" t="n" s="8">
        <v>27666</v>
      </c>
      <c r="AQ249" t="str" s="8">
        <v>攻击下限</v>
      </c>
      <c r="AR249" t="n" s="8">
        <v>13833</v>
      </c>
      <c r="AS249" t="str" s="8">
        <v>攻击上限</v>
      </c>
      <c r="AT249" t="n" s="8">
        <v>13833</v>
      </c>
      <c r="AU249" t="str" s="8">
        <v>法力下限</v>
      </c>
      <c r="AV249" t="n" s="8">
        <v>13833</v>
      </c>
      <c r="AW249" t="str" s="8">
        <v>法力上限</v>
      </c>
      <c r="AX249" t="n" s="8">
        <v>13833</v>
      </c>
      <c r="AY249" t="str" s="8">
        <v>物防下限</v>
      </c>
      <c r="AZ249" t="n" s="8">
        <v>3896</v>
      </c>
      <c r="BA249" t="str" s="8">
        <v>物防上限</v>
      </c>
      <c r="BB249" t="n" s="8">
        <v>3896</v>
      </c>
      <c r="BC249" t="str" s="8">
        <v>法防下限</v>
      </c>
      <c r="BD249" t="n" s="8">
        <v>3896</v>
      </c>
      <c r="BE249" t="str" s="8">
        <v>法防上限</v>
      </c>
      <c r="BF249" t="n" s="8">
        <v>3896</v>
      </c>
      <c r="BG249" t="str" s="8">
        <v>移动速度</v>
      </c>
      <c r="BH249" t="n" s="8">
        <v>270</v>
      </c>
      <c r="BI249" t="str" s="8">
        <v>攻击范围</v>
      </c>
      <c r="BJ249" t="n" s="8">
        <v>160</v>
      </c>
      <c r="BK249" t="str" s="8">
        <v>警戒范围</v>
      </c>
      <c r="BL249" t="n" s="8">
        <v>550</v>
      </c>
      <c r="BM249" t="str" s="8">
        <v>攻击间隔</v>
      </c>
      <c r="BN249" t="n" s="8">
        <v>1800</v>
      </c>
      <c r="BO249" t="n" s="8">
        <v>0</v>
      </c>
      <c r="BP249" s="8"/>
      <c r="BQ249" t="n" s="8">
        <v>0</v>
      </c>
      <c r="BR249" t="n" s="8">
        <v>0</v>
      </c>
      <c r="BS249" t="n" s="8">
        <v>0</v>
      </c>
      <c r="BT249" t="n" s="8">
        <v>0</v>
      </c>
      <c r="BU249" t="str" s="8">
        <v>浸岩菖的精英遭遇。依托本区既有水土、岩隙和可达条件活动。</v>
      </c>
      <c r="BV249" t="n">
        <v>5</v>
      </c>
      <c r="BW249" t="n">
        <v>6</v>
      </c>
      <c r="BX249" t="str">
        <v>玄品</v>
      </c>
      <c r="BY249" t="str">
        <v>native</v>
      </c>
      <c r="BZ249" t="b">
        <v>0</v>
      </c>
    </row>
    <row r="250" s="8" customFormat="1" spans="28:28">
      <c r="A250"/>
      <c r="B250" t="n" s="8">
        <v>60472903</v>
      </c>
      <c r="C250" t="str" s="8">
        <v>a010</v>
      </c>
      <c r="D250" t="str" s="5">
        <v>崩石灵蜈·异种</v>
      </c>
      <c r="E250" t="str" s="5">
        <v>R05-S1-精英-903</v>
      </c>
      <c r="F250" t="n" s="8">
        <v>49</v>
      </c>
      <c r="G250" s="8"/>
      <c r="H250" t="n" s="8">
        <v>5</v>
      </c>
      <c r="I250" t="str" s="8">
        <v>裂口</v>
      </c>
      <c r="J250" t="str" s="8">
        <v>裂口</v>
      </c>
      <c r="K250" t="str" s="8">
        <v>精英</v>
      </c>
      <c r="L250" t="n" s="8">
        <v>903</v>
      </c>
      <c r="M250" t="n" s="8">
        <v>903</v>
      </c>
      <c r="N250" t="n" s="8">
        <v>3</v>
      </c>
      <c r="O250" s="8"/>
      <c r="P250" t="n" s="8">
        <v>40</v>
      </c>
      <c r="Q250" t="n" s="8">
        <v>180000</v>
      </c>
      <c r="R250" t="str" s="8">
        <v>首击</v>
      </c>
      <c r="S250" t="n" s="8">
        <v>30000</v>
      </c>
      <c r="T250" t="n" s="8">
        <v>11</v>
      </c>
      <c r="U250" t="n" s="16">
        <v>40900501</v>
      </c>
      <c r="V250" t="n" s="8">
        <v>41120512</v>
      </c>
      <c r="W250" t="n" s="8">
        <v>41320502</v>
      </c>
      <c r="X250" t="n" s="8">
        <v>11000001</v>
      </c>
      <c r="Y250" s="8"/>
      <c r="Z250" s="8"/>
      <c r="AA250" t="str" s="8">
        <v>妖兽</v>
      </c>
      <c r="AB250" t="n" s="11">
        <v>20008</v>
      </c>
      <c r="AC250" t="n" s="8">
        <v>1.25</v>
      </c>
      <c r="AD250" t="n" s="8">
        <v>60</v>
      </c>
      <c r="AE250" t="n" s="8">
        <v>60</v>
      </c>
      <c r="AF250" t="n" s="8">
        <v>0</v>
      </c>
      <c r="AG250" t="n" s="8">
        <v>0</v>
      </c>
      <c r="AH250" t="str" s="8">
        <v>近战</v>
      </c>
      <c r="AI250" s="8"/>
      <c r="AJ250" s="17"/>
      <c r="AK250" s="8"/>
      <c r="AL250" s="18"/>
      <c r="AM250" t="str" s="8">
        <v>生命值</v>
      </c>
      <c r="AN250" t="n" s="19">
        <v>680960</v>
      </c>
      <c r="AO250" t="str" s="8">
        <v>灵力值</v>
      </c>
      <c r="AP250" t="n" s="8">
        <v>31738</v>
      </c>
      <c r="AQ250" t="str" s="8">
        <v>攻击下限</v>
      </c>
      <c r="AR250" t="n" s="8">
        <v>15869</v>
      </c>
      <c r="AS250" t="str" s="8">
        <v>攻击上限</v>
      </c>
      <c r="AT250" t="n" s="8">
        <v>15869</v>
      </c>
      <c r="AU250" t="str" s="8">
        <v>法力下限</v>
      </c>
      <c r="AV250" t="n" s="8">
        <v>15869</v>
      </c>
      <c r="AW250" t="str" s="8">
        <v>法力上限</v>
      </c>
      <c r="AX250" t="n" s="8">
        <v>15869</v>
      </c>
      <c r="AY250" t="str" s="8">
        <v>物防下限</v>
      </c>
      <c r="AZ250" t="n" s="8">
        <v>4469</v>
      </c>
      <c r="BA250" t="str" s="8">
        <v>物防上限</v>
      </c>
      <c r="BB250" t="n" s="8">
        <v>4469</v>
      </c>
      <c r="BC250" t="str" s="8">
        <v>法防下限</v>
      </c>
      <c r="BD250" t="n" s="8">
        <v>4469</v>
      </c>
      <c r="BE250" t="str" s="8">
        <v>法防上限</v>
      </c>
      <c r="BF250" t="n" s="8">
        <v>4469</v>
      </c>
      <c r="BG250" t="str" s="8">
        <v>移动速度</v>
      </c>
      <c r="BH250" t="n" s="8">
        <v>270</v>
      </c>
      <c r="BI250" t="str" s="8">
        <v>攻击范围</v>
      </c>
      <c r="BJ250" t="n" s="8">
        <v>160</v>
      </c>
      <c r="BK250" t="str" s="8">
        <v>警戒范围</v>
      </c>
      <c r="BL250" t="n" s="8">
        <v>550</v>
      </c>
      <c r="BM250" t="str" s="8">
        <v>攻击间隔</v>
      </c>
      <c r="BN250" t="n" s="8">
        <v>1800</v>
      </c>
      <c r="BO250" t="n" s="8">
        <v>0</v>
      </c>
      <c r="BP250" s="8"/>
      <c r="BQ250" t="n" s="8">
        <v>0</v>
      </c>
      <c r="BR250" t="n" s="8">
        <v>0</v>
      </c>
      <c r="BS250" t="n" s="8">
        <v>0</v>
      </c>
      <c r="BT250" t="n" s="8">
        <v>0</v>
      </c>
      <c r="BU250" t="str" s="8">
        <v>裂口的精英遭遇。依托本区既有水土、岩隙和可达条件活动。</v>
      </c>
      <c r="BV250" t="n">
        <v>5</v>
      </c>
      <c r="BW250" t="n">
        <v>9</v>
      </c>
      <c r="BX250" t="str">
        <v>玄品</v>
      </c>
      <c r="BY250" t="str">
        <v>native</v>
      </c>
      <c r="BZ250" t="b">
        <v>0</v>
      </c>
    </row>
    <row r="251" s="8" customFormat="1" spans="28:28">
      <c r="A251"/>
      <c r="B251" t="n" s="8">
        <v>60474904</v>
      </c>
      <c r="C251" t="str" s="8">
        <v>a010</v>
      </c>
      <c r="D251" t="str" s="5">
        <v>碎堑岩狼·首领</v>
      </c>
      <c r="E251" t="str" s="5">
        <v>R05-S1-BOSS-904</v>
      </c>
      <c r="F251" t="n" s="8">
        <v>49</v>
      </c>
      <c r="G251" s="8"/>
      <c r="H251" t="n" s="8">
        <v>5</v>
      </c>
      <c r="I251" t="str" s="8">
        <v>裂口</v>
      </c>
      <c r="J251" t="str" s="8">
        <v>裂口</v>
      </c>
      <c r="K251" t="str" s="8">
        <v>BOSS</v>
      </c>
      <c r="L251" t="n" s="8">
        <v>904</v>
      </c>
      <c r="M251" t="n" s="8">
        <v>904</v>
      </c>
      <c r="N251" t="n" s="8">
        <v>5</v>
      </c>
      <c r="O251" s="8"/>
      <c r="P251" t="n" s="8">
        <v>40</v>
      </c>
      <c r="Q251" t="n" s="8">
        <v>900000</v>
      </c>
      <c r="R251" t="str" s="8">
        <v>首击</v>
      </c>
      <c r="S251" t="n" s="8">
        <v>30000</v>
      </c>
      <c r="T251" t="n" s="8">
        <v>12</v>
      </c>
      <c r="U251" t="n" s="16">
        <v>40900502</v>
      </c>
      <c r="V251" t="n" s="8">
        <v>41130500</v>
      </c>
      <c r="W251" t="n" s="8">
        <v>41330503</v>
      </c>
      <c r="X251" t="n" s="8">
        <v>11000001</v>
      </c>
      <c r="Y251" s="8"/>
      <c r="Z251" s="8"/>
      <c r="AA251" t="str" s="8">
        <v>妖兽</v>
      </c>
      <c r="AB251" t="n" s="11">
        <v>20008</v>
      </c>
      <c r="AC251" t="n" s="8">
        <v>1.6</v>
      </c>
      <c r="AD251" t="n" s="8">
        <v>60</v>
      </c>
      <c r="AE251" t="n" s="8">
        <v>60</v>
      </c>
      <c r="AF251" t="n" s="8">
        <v>0</v>
      </c>
      <c r="AG251" t="n" s="8">
        <v>0</v>
      </c>
      <c r="AH251" t="str" s="8">
        <v>近战</v>
      </c>
      <c r="AI251" s="8"/>
      <c r="AJ251" s="17"/>
      <c r="AK251" s="8"/>
      <c r="AL251" s="18"/>
      <c r="AM251" t="str" s="8">
        <v>生命值</v>
      </c>
      <c r="AN251" t="n" s="19">
        <v>2432000</v>
      </c>
      <c r="AO251" t="str" s="8">
        <v>灵力值</v>
      </c>
      <c r="AP251" t="n" s="8">
        <v>45964</v>
      </c>
      <c r="AQ251" t="str" s="8">
        <v>攻击下限</v>
      </c>
      <c r="AR251" t="n" s="8">
        <v>22982</v>
      </c>
      <c r="AS251" t="str" s="8">
        <v>攻击上限</v>
      </c>
      <c r="AT251" t="n" s="8">
        <v>22982</v>
      </c>
      <c r="AU251" t="str" s="8">
        <v>法力下限</v>
      </c>
      <c r="AV251" t="n" s="8">
        <v>22982</v>
      </c>
      <c r="AW251" t="str" s="8">
        <v>法力上限</v>
      </c>
      <c r="AX251" t="n" s="8">
        <v>22982</v>
      </c>
      <c r="AY251" t="str" s="8">
        <v>物防下限</v>
      </c>
      <c r="AZ251" t="n" s="8">
        <v>5586</v>
      </c>
      <c r="BA251" t="str" s="8">
        <v>物防上限</v>
      </c>
      <c r="BB251" t="n" s="8">
        <v>5586</v>
      </c>
      <c r="BC251" t="str" s="8">
        <v>法防下限</v>
      </c>
      <c r="BD251" t="n" s="8">
        <v>5586</v>
      </c>
      <c r="BE251" t="str" s="8">
        <v>法防上限</v>
      </c>
      <c r="BF251" t="n" s="8">
        <v>5586</v>
      </c>
      <c r="BG251" t="str" s="8">
        <v>移动速度</v>
      </c>
      <c r="BH251" t="n" s="8">
        <v>270</v>
      </c>
      <c r="BI251" t="str" s="8">
        <v>攻击范围</v>
      </c>
      <c r="BJ251" t="n" s="8">
        <v>160</v>
      </c>
      <c r="BK251" t="str" s="8">
        <v>警戒范围</v>
      </c>
      <c r="BL251" t="n" s="8">
        <v>700</v>
      </c>
      <c r="BM251" t="str" s="8">
        <v>攻击间隔</v>
      </c>
      <c r="BN251" t="n" s="8">
        <v>2200</v>
      </c>
      <c r="BO251" t="n" s="8">
        <v>0</v>
      </c>
      <c r="BP251" s="8"/>
      <c r="BQ251" t="n" s="8">
        <v>0</v>
      </c>
      <c r="BR251" t="n" s="8">
        <v>0</v>
      </c>
      <c r="BS251" t="n" s="8">
        <v>0</v>
      </c>
      <c r="BT251" t="n" s="8">
        <v>0</v>
      </c>
      <c r="BU251" t="str" s="8">
        <v>裂口的BOSS遭遇。依托本区既有水土、岩隙和可达条件活动。</v>
      </c>
      <c r="BV251" t="n">
        <v>5</v>
      </c>
      <c r="BW251" t="n">
        <v>9</v>
      </c>
      <c r="BX251" t="str">
        <v>仙品</v>
      </c>
      <c r="BY251" t="str">
        <v>native</v>
      </c>
      <c r="BZ251" t="b">
        <v>1</v>
      </c>
    </row>
    <row r="252" s="8" customFormat="1" spans="28:28">
      <c r="A252"/>
      <c r="B252" t="n" s="8">
        <v>60492903</v>
      </c>
      <c r="C252" t="str" s="8">
        <v>a010</v>
      </c>
      <c r="D252" t="str" s="5">
        <v>魔化崩石灵蜈·异种</v>
      </c>
      <c r="E252" t="str" s="5">
        <v>R05-D1-精英-903</v>
      </c>
      <c r="F252" t="n" s="8">
        <v>48</v>
      </c>
      <c r="G252" s="8"/>
      <c r="H252" t="n" s="8">
        <v>5</v>
      </c>
      <c r="I252" t="str" s="8">
        <v>壅浊石</v>
      </c>
      <c r="J252" t="str" s="8">
        <v>壅浊石</v>
      </c>
      <c r="K252" t="str" s="8">
        <v>精英</v>
      </c>
      <c r="L252" t="n" s="8">
        <v>903</v>
      </c>
      <c r="M252" t="n" s="8">
        <v>903</v>
      </c>
      <c r="N252" t="n" s="8">
        <v>3</v>
      </c>
      <c r="O252" s="8"/>
      <c r="P252" t="n" s="8">
        <v>40</v>
      </c>
      <c r="Q252" t="n" s="8">
        <v>180000</v>
      </c>
      <c r="R252" t="str" s="8">
        <v>首击</v>
      </c>
      <c r="S252" t="n" s="8">
        <v>30000</v>
      </c>
      <c r="T252" t="n" s="8">
        <v>11</v>
      </c>
      <c r="U252" t="n" s="16">
        <v>40900501</v>
      </c>
      <c r="V252" t="n" s="8">
        <v>41120501</v>
      </c>
      <c r="W252" t="n" s="8">
        <v>41320504</v>
      </c>
      <c r="X252" t="n" s="8">
        <v>11000001</v>
      </c>
      <c r="Y252" s="8"/>
      <c r="Z252" s="8"/>
      <c r="AA252" t="str" s="8">
        <v>妖兽</v>
      </c>
      <c r="AB252" t="n" s="11">
        <v>20008</v>
      </c>
      <c r="AC252" t="n" s="8">
        <v>1.25</v>
      </c>
      <c r="AD252" t="n" s="8">
        <v>60</v>
      </c>
      <c r="AE252" t="n" s="8">
        <v>60</v>
      </c>
      <c r="AF252" t="n" s="8">
        <v>0</v>
      </c>
      <c r="AG252" t="n" s="8">
        <v>0</v>
      </c>
      <c r="AH252" t="str" s="8">
        <v>近战</v>
      </c>
      <c r="AI252" s="8"/>
      <c r="AJ252" s="17"/>
      <c r="AK252" s="8"/>
      <c r="AL252" s="18"/>
      <c r="AM252" t="str" s="8">
        <v>生命值</v>
      </c>
      <c r="AN252" t="n" s="19">
        <v>651840</v>
      </c>
      <c r="AO252" t="str" s="8">
        <v>灵力值</v>
      </c>
      <c r="AP252" t="n" s="8">
        <v>30380</v>
      </c>
      <c r="AQ252" t="str" s="8">
        <v>攻击下限</v>
      </c>
      <c r="AR252" t="n" s="8">
        <v>15190</v>
      </c>
      <c r="AS252" t="str" s="8">
        <v>攻击上限</v>
      </c>
      <c r="AT252" t="n" s="8">
        <v>15190</v>
      </c>
      <c r="AU252" t="str" s="8">
        <v>法力下限</v>
      </c>
      <c r="AV252" t="n" s="8">
        <v>15190</v>
      </c>
      <c r="AW252" t="str" s="8">
        <v>法力上限</v>
      </c>
      <c r="AX252" t="n" s="8">
        <v>15190</v>
      </c>
      <c r="AY252" t="str" s="8">
        <v>物防下限</v>
      </c>
      <c r="AZ252" t="n" s="8">
        <v>4278</v>
      </c>
      <c r="BA252" t="str" s="8">
        <v>物防上限</v>
      </c>
      <c r="BB252" t="n" s="8">
        <v>4278</v>
      </c>
      <c r="BC252" t="str" s="8">
        <v>法防下限</v>
      </c>
      <c r="BD252" t="n" s="8">
        <v>4278</v>
      </c>
      <c r="BE252" t="str" s="8">
        <v>法防上限</v>
      </c>
      <c r="BF252" t="n" s="8">
        <v>4278</v>
      </c>
      <c r="BG252" t="str" s="8">
        <v>移动速度</v>
      </c>
      <c r="BH252" t="n" s="8">
        <v>270</v>
      </c>
      <c r="BI252" t="str" s="8">
        <v>攻击范围</v>
      </c>
      <c r="BJ252" t="n" s="8">
        <v>160</v>
      </c>
      <c r="BK252" t="str" s="8">
        <v>警戒范围</v>
      </c>
      <c r="BL252" t="n" s="8">
        <v>550</v>
      </c>
      <c r="BM252" t="str" s="8">
        <v>攻击间隔</v>
      </c>
      <c r="BN252" t="n" s="8">
        <v>1800</v>
      </c>
      <c r="BO252" t="n" s="8">
        <v>0</v>
      </c>
      <c r="BP252" s="8"/>
      <c r="BQ252" t="n" s="8">
        <v>0</v>
      </c>
      <c r="BR252" t="n" s="8">
        <v>0</v>
      </c>
      <c r="BS252" t="n" s="8">
        <v>0</v>
      </c>
      <c r="BT252" t="n" s="8">
        <v>0</v>
      </c>
      <c r="BU252" t="str" s="8">
        <v>壅浊石的精英遭遇。裂隙渗漏造成的短时魔化，非本区新增裂隙。</v>
      </c>
      <c r="BV252" t="n">
        <v>5</v>
      </c>
      <c r="BW252" t="n">
        <v>8</v>
      </c>
      <c r="BX252" t="str">
        <v>玄品</v>
      </c>
      <c r="BY252" t="str">
        <v>corrupted</v>
      </c>
      <c r="BZ252" t="b">
        <v>0</v>
      </c>
    </row>
    <row r="253" s="8" customFormat="1" spans="28:28">
      <c r="A253"/>
      <c r="B253" t="n" s="8">
        <v>60542901</v>
      </c>
      <c r="C253" t="str" s="8">
        <v>a010</v>
      </c>
      <c r="D253" t="str" s="5">
        <v>悬岩灵狼·异种</v>
      </c>
      <c r="E253" t="str" s="5">
        <v>R06-P1-精英-901</v>
      </c>
      <c r="F253" t="n" s="8">
        <v>53</v>
      </c>
      <c r="G253" s="8"/>
      <c r="H253" t="n" s="8">
        <v>6</v>
      </c>
      <c r="I253" t="str" s="8">
        <v>云根露</v>
      </c>
      <c r="J253" t="str" s="8">
        <v>云根露</v>
      </c>
      <c r="K253" t="str" s="8">
        <v>精英</v>
      </c>
      <c r="L253" t="n" s="8">
        <v>901</v>
      </c>
      <c r="M253" t="n" s="8">
        <v>901</v>
      </c>
      <c r="N253" t="n" s="8">
        <v>3</v>
      </c>
      <c r="O253" s="8"/>
      <c r="P253" t="n" s="8">
        <v>40</v>
      </c>
      <c r="Q253" t="n" s="8">
        <v>180000</v>
      </c>
      <c r="R253" t="str" s="8">
        <v>首击</v>
      </c>
      <c r="S253" t="n" s="8">
        <v>30000</v>
      </c>
      <c r="T253" t="n" s="8">
        <v>11</v>
      </c>
      <c r="U253" t="n" s="16">
        <v>40900601</v>
      </c>
      <c r="V253" t="n" s="8">
        <v>41120610</v>
      </c>
      <c r="W253" t="n" s="8">
        <v>41220601</v>
      </c>
      <c r="X253" t="n" s="8">
        <v>11000001</v>
      </c>
      <c r="Y253" s="8"/>
      <c r="Z253" s="8"/>
      <c r="AA253" t="str" s="8">
        <v>妖兽</v>
      </c>
      <c r="AB253" t="n" s="11">
        <v>20008</v>
      </c>
      <c r="AC253" t="n" s="8">
        <v>1.25</v>
      </c>
      <c r="AD253" t="n" s="8">
        <v>60</v>
      </c>
      <c r="AE253" t="n" s="8">
        <v>60</v>
      </c>
      <c r="AF253" t="n" s="8">
        <v>0</v>
      </c>
      <c r="AG253" t="n" s="8">
        <v>0</v>
      </c>
      <c r="AH253" t="str" s="8">
        <v>近战</v>
      </c>
      <c r="AI253" s="8"/>
      <c r="AJ253" s="17"/>
      <c r="AK253" s="8"/>
      <c r="AL253" s="18"/>
      <c r="AM253" t="str" s="8">
        <v>生命值</v>
      </c>
      <c r="AN253" t="n" s="19">
        <v>2404640</v>
      </c>
      <c r="AO253" t="str" s="8">
        <v>灵力值</v>
      </c>
      <c r="AP253" t="n" s="8">
        <v>98310</v>
      </c>
      <c r="AQ253" t="str" s="8">
        <v>攻击下限</v>
      </c>
      <c r="AR253" t="n" s="8">
        <v>49155</v>
      </c>
      <c r="AS253" t="str" s="8">
        <v>攻击上限</v>
      </c>
      <c r="AT253" t="n" s="8">
        <v>49155</v>
      </c>
      <c r="AU253" t="str" s="8">
        <v>法力下限</v>
      </c>
      <c r="AV253" t="n" s="8">
        <v>49155</v>
      </c>
      <c r="AW253" t="str" s="8">
        <v>法力上限</v>
      </c>
      <c r="AX253" t="n" s="8">
        <v>49155</v>
      </c>
      <c r="AY253" t="str" s="8">
        <v>物防下限</v>
      </c>
      <c r="AZ253" t="n" s="8">
        <v>14102</v>
      </c>
      <c r="BA253" t="str" s="8">
        <v>物防上限</v>
      </c>
      <c r="BB253" t="n" s="8">
        <v>14102</v>
      </c>
      <c r="BC253" t="str" s="8">
        <v>法防下限</v>
      </c>
      <c r="BD253" t="n" s="8">
        <v>14102</v>
      </c>
      <c r="BE253" t="str" s="8">
        <v>法防上限</v>
      </c>
      <c r="BF253" t="n" s="8">
        <v>14102</v>
      </c>
      <c r="BG253" t="str" s="8">
        <v>移动速度</v>
      </c>
      <c r="BH253" t="n" s="8">
        <v>270</v>
      </c>
      <c r="BI253" t="str" s="8">
        <v>攻击范围</v>
      </c>
      <c r="BJ253" t="n" s="8">
        <v>160</v>
      </c>
      <c r="BK253" t="str" s="8">
        <v>警戒范围</v>
      </c>
      <c r="BL253" t="n" s="8">
        <v>550</v>
      </c>
      <c r="BM253" t="str" s="8">
        <v>攻击间隔</v>
      </c>
      <c r="BN253" t="n" s="8">
        <v>1800</v>
      </c>
      <c r="BO253" t="n" s="8">
        <v>0</v>
      </c>
      <c r="BP253" s="8"/>
      <c r="BQ253" t="n" s="8">
        <v>0</v>
      </c>
      <c r="BR253" t="n" s="8">
        <v>0</v>
      </c>
      <c r="BS253" t="n" s="8">
        <v>0</v>
      </c>
      <c r="BT253" t="n" s="8">
        <v>0</v>
      </c>
      <c r="BU253" t="str" s="8">
        <v>云根露的精英遭遇。依托本区既有水土、岩隙和可达条件活动。</v>
      </c>
      <c r="BV253" t="n">
        <v>6</v>
      </c>
      <c r="BW253" t="n">
        <v>3</v>
      </c>
      <c r="BX253" t="str">
        <v>玄品</v>
      </c>
      <c r="BY253" t="str">
        <v>native</v>
      </c>
      <c r="BZ253" t="b">
        <v>0</v>
      </c>
    </row>
    <row r="254" s="8" customFormat="1" spans="28:28">
      <c r="A254"/>
      <c r="B254" t="n" s="8">
        <v>60552901</v>
      </c>
      <c r="C254" t="str" s="8">
        <v>a010</v>
      </c>
      <c r="D254" t="str" s="5">
        <v>悬岩灵狼·异种</v>
      </c>
      <c r="E254" t="str" s="5">
        <v>R06-P2-精英-901</v>
      </c>
      <c r="F254" t="n" s="8">
        <v>56</v>
      </c>
      <c r="G254" s="8"/>
      <c r="H254" t="n" s="8">
        <v>6</v>
      </c>
      <c r="I254" t="str" s="8">
        <v>风痕苔生</v>
      </c>
      <c r="J254" t="str" s="8">
        <v>风痕苔生</v>
      </c>
      <c r="K254" t="str" s="8">
        <v>精英</v>
      </c>
      <c r="L254" t="n" s="8">
        <v>901</v>
      </c>
      <c r="M254" t="n" s="8">
        <v>901</v>
      </c>
      <c r="N254" t="n" s="8">
        <v>3</v>
      </c>
      <c r="O254" s="8"/>
      <c r="P254" t="n" s="8">
        <v>40</v>
      </c>
      <c r="Q254" t="n" s="8">
        <v>180000</v>
      </c>
      <c r="R254" t="str" s="8">
        <v>首击</v>
      </c>
      <c r="S254" t="n" s="8">
        <v>30000</v>
      </c>
      <c r="T254" t="n" s="8">
        <v>11</v>
      </c>
      <c r="U254" t="n" s="16">
        <v>40900601</v>
      </c>
      <c r="V254" t="n" s="8">
        <v>41120611</v>
      </c>
      <c r="W254" t="n" s="8">
        <v>41220600</v>
      </c>
      <c r="X254" t="n" s="8">
        <v>11000001</v>
      </c>
      <c r="Y254" s="8"/>
      <c r="Z254" s="8"/>
      <c r="AA254" t="str" s="8">
        <v>妖兽</v>
      </c>
      <c r="AB254" t="n" s="11">
        <v>20008</v>
      </c>
      <c r="AC254" t="n" s="8">
        <v>1.25</v>
      </c>
      <c r="AD254" t="n" s="8">
        <v>60</v>
      </c>
      <c r="AE254" t="n" s="8">
        <v>60</v>
      </c>
      <c r="AF254" t="n" s="8">
        <v>0</v>
      </c>
      <c r="AG254" t="n" s="8">
        <v>0</v>
      </c>
      <c r="AH254" t="str" s="8">
        <v>近战</v>
      </c>
      <c r="AI254" s="8"/>
      <c r="AJ254" s="17"/>
      <c r="AK254" s="8"/>
      <c r="AL254" s="18"/>
      <c r="AM254" t="str" s="8">
        <v>生命值</v>
      </c>
      <c r="AN254" t="n" s="19">
        <v>2819600</v>
      </c>
      <c r="AO254" t="str" s="8">
        <v>灵力值</v>
      </c>
      <c r="AP254" t="n" s="8">
        <v>115276</v>
      </c>
      <c r="AQ254" t="str" s="8">
        <v>攻击下限</v>
      </c>
      <c r="AR254" t="n" s="8">
        <v>57638</v>
      </c>
      <c r="AS254" t="str" s="8">
        <v>攻击上限</v>
      </c>
      <c r="AT254" t="n" s="8">
        <v>57638</v>
      </c>
      <c r="AU254" t="str" s="8">
        <v>法力下限</v>
      </c>
      <c r="AV254" t="n" s="8">
        <v>57638</v>
      </c>
      <c r="AW254" t="str" s="8">
        <v>法力上限</v>
      </c>
      <c r="AX254" t="n" s="8">
        <v>57638</v>
      </c>
      <c r="AY254" t="str" s="8">
        <v>物防下限</v>
      </c>
      <c r="AZ254" t="n" s="8">
        <v>16536</v>
      </c>
      <c r="BA254" t="str" s="8">
        <v>物防上限</v>
      </c>
      <c r="BB254" t="n" s="8">
        <v>16536</v>
      </c>
      <c r="BC254" t="str" s="8">
        <v>法防下限</v>
      </c>
      <c r="BD254" t="n" s="8">
        <v>16536</v>
      </c>
      <c r="BE254" t="str" s="8">
        <v>法防上限</v>
      </c>
      <c r="BF254" t="n" s="8">
        <v>16536</v>
      </c>
      <c r="BG254" t="str" s="8">
        <v>移动速度</v>
      </c>
      <c r="BH254" t="n" s="8">
        <v>270</v>
      </c>
      <c r="BI254" t="str" s="8">
        <v>攻击范围</v>
      </c>
      <c r="BJ254" t="n" s="8">
        <v>160</v>
      </c>
      <c r="BK254" t="str" s="8">
        <v>警戒范围</v>
      </c>
      <c r="BL254" t="n" s="8">
        <v>550</v>
      </c>
      <c r="BM254" t="str" s="8">
        <v>攻击间隔</v>
      </c>
      <c r="BN254" t="n" s="8">
        <v>1800</v>
      </c>
      <c r="BO254" t="n" s="8">
        <v>0</v>
      </c>
      <c r="BP254" s="8"/>
      <c r="BQ254" t="n" s="8">
        <v>0</v>
      </c>
      <c r="BR254" t="n" s="8">
        <v>0</v>
      </c>
      <c r="BS254" t="n" s="8">
        <v>0</v>
      </c>
      <c r="BT254" t="n" s="8">
        <v>0</v>
      </c>
      <c r="BU254" t="str" s="8">
        <v>风痕苔生的精英遭遇。依托本区既有水土、岩隙和可达条件活动。</v>
      </c>
      <c r="BV254" t="n">
        <v>6</v>
      </c>
      <c r="BW254" t="n">
        <v>6</v>
      </c>
      <c r="BX254" t="str">
        <v>玄品</v>
      </c>
      <c r="BY254" t="str">
        <v>native</v>
      </c>
      <c r="BZ254" t="b">
        <v>0</v>
      </c>
    </row>
    <row r="255" s="8" customFormat="1" spans="28:28">
      <c r="A255"/>
      <c r="B255" t="n" s="8">
        <v>60604904</v>
      </c>
      <c r="C255" t="str" s="8">
        <v>a010</v>
      </c>
      <c r="D255" t="str" s="5">
        <v>雪脊灵狼·首领</v>
      </c>
      <c r="E255" t="str" s="5">
        <v>R07-S1-BOSS-904</v>
      </c>
      <c r="F255" t="n" s="8">
        <v>69</v>
      </c>
      <c r="G255" s="8"/>
      <c r="H255" t="n" s="8">
        <v>7</v>
      </c>
      <c r="I255" t="str" s="8">
        <v>鞍窍</v>
      </c>
      <c r="J255" t="str" s="8">
        <v>鞍窍</v>
      </c>
      <c r="K255" t="str" s="8">
        <v>BOSS</v>
      </c>
      <c r="L255" t="n" s="8">
        <v>904</v>
      </c>
      <c r="M255" t="n" s="8">
        <v>904</v>
      </c>
      <c r="N255" t="n" s="8">
        <v>5</v>
      </c>
      <c r="O255" s="8"/>
      <c r="P255" t="n" s="8">
        <v>40</v>
      </c>
      <c r="Q255" t="n" s="8">
        <v>900000</v>
      </c>
      <c r="R255" t="str" s="8">
        <v>首击</v>
      </c>
      <c r="S255" t="n" s="8">
        <v>30000</v>
      </c>
      <c r="T255" t="n" s="8">
        <v>12</v>
      </c>
      <c r="U255" t="n" s="16">
        <v>40900702</v>
      </c>
      <c r="V255" t="n" s="8">
        <v>41130706</v>
      </c>
      <c r="W255" t="n" s="8">
        <v>41330702</v>
      </c>
      <c r="X255" t="n" s="8">
        <v>11000001</v>
      </c>
      <c r="Y255" s="8"/>
      <c r="Z255" s="8"/>
      <c r="AA255" t="str" s="8">
        <v>妖兽</v>
      </c>
      <c r="AB255" t="n" s="11">
        <v>20008</v>
      </c>
      <c r="AC255" t="n" s="8">
        <v>1.6</v>
      </c>
      <c r="AD255" t="n" s="8">
        <v>60</v>
      </c>
      <c r="AE255" t="n" s="8">
        <v>60</v>
      </c>
      <c r="AF255" t="n" s="8">
        <v>0</v>
      </c>
      <c r="AG255" t="n" s="8">
        <v>0</v>
      </c>
      <c r="AH255" t="str" s="8">
        <v>近战</v>
      </c>
      <c r="AI255" s="8"/>
      <c r="AJ255" s="17"/>
      <c r="AK255" s="8"/>
      <c r="AL255" s="18"/>
      <c r="AM255" t="str" s="8">
        <v>生命值</v>
      </c>
      <c r="AN255" t="n" s="19">
        <v>51680000</v>
      </c>
      <c r="AO255" t="str" s="8">
        <v>灵力值</v>
      </c>
      <c r="AP255" t="n" s="8">
        <v>798000</v>
      </c>
      <c r="AQ255" t="str" s="8">
        <v>攻击下限</v>
      </c>
      <c r="AR255" t="n" s="8">
        <v>399000</v>
      </c>
      <c r="AS255" t="str" s="8">
        <v>攻击上限</v>
      </c>
      <c r="AT255" t="n" s="8">
        <v>399000</v>
      </c>
      <c r="AU255" t="str" s="8">
        <v>法力下限</v>
      </c>
      <c r="AV255" t="n" s="8">
        <v>399000</v>
      </c>
      <c r="AW255" t="str" s="8">
        <v>法力上限</v>
      </c>
      <c r="AX255" t="n" s="8">
        <v>399000</v>
      </c>
      <c r="AY255" t="str" s="8">
        <v>物防下限</v>
      </c>
      <c r="AZ255" t="n" s="8">
        <v>100320</v>
      </c>
      <c r="BA255" t="str" s="8">
        <v>物防上限</v>
      </c>
      <c r="BB255" t="n" s="8">
        <v>100320</v>
      </c>
      <c r="BC255" t="str" s="8">
        <v>法防下限</v>
      </c>
      <c r="BD255" t="n" s="8">
        <v>100320</v>
      </c>
      <c r="BE255" t="str" s="8">
        <v>法防上限</v>
      </c>
      <c r="BF255" t="n" s="8">
        <v>100320</v>
      </c>
      <c r="BG255" t="str" s="8">
        <v>移动速度</v>
      </c>
      <c r="BH255" t="n" s="8">
        <v>270</v>
      </c>
      <c r="BI255" t="str" s="8">
        <v>攻击范围</v>
      </c>
      <c r="BJ255" t="n" s="8">
        <v>160</v>
      </c>
      <c r="BK255" t="str" s="8">
        <v>警戒范围</v>
      </c>
      <c r="BL255" t="n" s="8">
        <v>700</v>
      </c>
      <c r="BM255" t="str" s="8">
        <v>攻击间隔</v>
      </c>
      <c r="BN255" t="n" s="8">
        <v>2200</v>
      </c>
      <c r="BO255" t="n" s="8">
        <v>0</v>
      </c>
      <c r="BP255" s="8"/>
      <c r="BQ255" t="n" s="8">
        <v>0</v>
      </c>
      <c r="BR255" t="n" s="8">
        <v>0</v>
      </c>
      <c r="BS255" t="n" s="8">
        <v>0</v>
      </c>
      <c r="BT255" t="n" s="8">
        <v>0</v>
      </c>
      <c r="BU255" t="str" s="8">
        <v>鞍窍的BOSS遭遇。依托本区既有水土、岩隙和可达条件活动。</v>
      </c>
      <c r="BV255" t="n">
        <v>7</v>
      </c>
      <c r="BW255" t="n">
        <v>9</v>
      </c>
      <c r="BX255" t="str">
        <v>仙品</v>
      </c>
      <c r="BY255" t="str">
        <v>native</v>
      </c>
      <c r="BZ255" t="b">
        <v>1</v>
      </c>
    </row>
    <row r="256" s="8" customFormat="1" spans="28:28">
      <c r="A256"/>
      <c r="B256" t="n" s="8">
        <v>60634904</v>
      </c>
      <c r="C256" t="str" s="8">
        <v>a010</v>
      </c>
      <c r="D256" t="str" s="5">
        <v>雪脊灵狼·首领</v>
      </c>
      <c r="E256" t="str" s="5">
        <v>R07-S2-BOSS-904</v>
      </c>
      <c r="F256" t="n" s="8">
        <v>70</v>
      </c>
      <c r="G256" s="8"/>
      <c r="H256" t="n" s="8">
        <v>7</v>
      </c>
      <c r="I256" t="str" s="8">
        <v>霁台</v>
      </c>
      <c r="J256" t="str" s="8">
        <v>霁台</v>
      </c>
      <c r="K256" t="str" s="8">
        <v>BOSS</v>
      </c>
      <c r="L256" t="n" s="8">
        <v>904</v>
      </c>
      <c r="M256" t="n" s="8">
        <v>904</v>
      </c>
      <c r="N256" t="n" s="8">
        <v>5</v>
      </c>
      <c r="O256" s="8"/>
      <c r="P256" t="n" s="8">
        <v>40</v>
      </c>
      <c r="Q256" t="n" s="8">
        <v>900000</v>
      </c>
      <c r="R256" t="str" s="8">
        <v>首击</v>
      </c>
      <c r="S256" t="n" s="8">
        <v>30000</v>
      </c>
      <c r="T256" t="n" s="8">
        <v>12</v>
      </c>
      <c r="U256" t="n" s="16">
        <v>40900702</v>
      </c>
      <c r="V256" t="n" s="8">
        <v>41130707</v>
      </c>
      <c r="W256" t="n" s="8">
        <v>41330703</v>
      </c>
      <c r="X256" t="n" s="8">
        <v>11000001</v>
      </c>
      <c r="Y256" s="8"/>
      <c r="Z256" s="8"/>
      <c r="AA256" t="str" s="8">
        <v>妖兽</v>
      </c>
      <c r="AB256" t="n" s="11">
        <v>20008</v>
      </c>
      <c r="AC256" t="n" s="8">
        <v>1.6</v>
      </c>
      <c r="AD256" t="n" s="8">
        <v>60</v>
      </c>
      <c r="AE256" t="n" s="8">
        <v>60</v>
      </c>
      <c r="AF256" t="n" s="8">
        <v>0</v>
      </c>
      <c r="AG256" t="n" s="8">
        <v>0</v>
      </c>
      <c r="AH256" t="str" s="8">
        <v>近战</v>
      </c>
      <c r="AI256" s="8"/>
      <c r="AJ256" s="17"/>
      <c r="AK256" s="8"/>
      <c r="AL256" s="18"/>
      <c r="AM256" t="str" s="8">
        <v>生命值</v>
      </c>
      <c r="AN256" t="n" s="19">
        <v>53890000</v>
      </c>
      <c r="AO256" t="str" s="8">
        <v>灵力值</v>
      </c>
      <c r="AP256" t="n" s="8">
        <v>832124</v>
      </c>
      <c r="AQ256" t="str" s="8">
        <v>攻击下限</v>
      </c>
      <c r="AR256" t="n" s="8">
        <v>416062</v>
      </c>
      <c r="AS256" t="str" s="8">
        <v>攻击上限</v>
      </c>
      <c r="AT256" t="n" s="8">
        <v>416062</v>
      </c>
      <c r="AU256" t="str" s="8">
        <v>法力下限</v>
      </c>
      <c r="AV256" t="n" s="8">
        <v>416062</v>
      </c>
      <c r="AW256" t="str" s="8">
        <v>法力上限</v>
      </c>
      <c r="AX256" t="n" s="8">
        <v>416062</v>
      </c>
      <c r="AY256" t="str" s="8">
        <v>物防下限</v>
      </c>
      <c r="AZ256" t="n" s="8">
        <v>104610</v>
      </c>
      <c r="BA256" t="str" s="8">
        <v>物防上限</v>
      </c>
      <c r="BB256" t="n" s="8">
        <v>104610</v>
      </c>
      <c r="BC256" t="str" s="8">
        <v>法防下限</v>
      </c>
      <c r="BD256" t="n" s="8">
        <v>104610</v>
      </c>
      <c r="BE256" t="str" s="8">
        <v>法防上限</v>
      </c>
      <c r="BF256" t="n" s="8">
        <v>104610</v>
      </c>
      <c r="BG256" t="str" s="8">
        <v>移动速度</v>
      </c>
      <c r="BH256" t="n" s="8">
        <v>270</v>
      </c>
      <c r="BI256" t="str" s="8">
        <v>攻击范围</v>
      </c>
      <c r="BJ256" t="n" s="8">
        <v>160</v>
      </c>
      <c r="BK256" t="str" s="8">
        <v>警戒范围</v>
      </c>
      <c r="BL256" t="n" s="8">
        <v>700</v>
      </c>
      <c r="BM256" t="str" s="8">
        <v>攻击间隔</v>
      </c>
      <c r="BN256" t="n" s="8">
        <v>2200</v>
      </c>
      <c r="BO256" t="n" s="8">
        <v>0</v>
      </c>
      <c r="BP256" s="8"/>
      <c r="BQ256" t="n" s="8">
        <v>0</v>
      </c>
      <c r="BR256" t="n" s="8">
        <v>0</v>
      </c>
      <c r="BS256" t="n" s="8">
        <v>0</v>
      </c>
      <c r="BT256" t="n" s="8">
        <v>0</v>
      </c>
      <c r="BU256" t="str" s="8">
        <v>霁台的BOSS遭遇。依托本区既有水土、岩隙和可达条件活动。</v>
      </c>
      <c r="BV256" t="n">
        <v>7</v>
      </c>
      <c r="BW256" t="n">
        <v>10</v>
      </c>
      <c r="BX256" t="str">
        <v>仙品</v>
      </c>
      <c r="BY256" t="str">
        <v>native</v>
      </c>
      <c r="BZ256" t="b">
        <v>1</v>
      </c>
    </row>
    <row r="257" s="8" customFormat="1" spans="28:28">
      <c r="A257"/>
      <c r="B257" t="n" s="8">
        <v>60551900</v>
      </c>
      <c r="C257" t="str" s="8">
        <v>a010</v>
      </c>
      <c r="D257" t="str" s="5">
        <v>魔化雪脊灵狼</v>
      </c>
      <c r="E257" t="str" s="5">
        <v>R07-D1-普通-900</v>
      </c>
      <c r="F257" t="n" s="8">
        <v>68</v>
      </c>
      <c r="G257" s="8"/>
      <c r="H257" t="n" s="8">
        <v>7</v>
      </c>
      <c r="I257" t="str" s="8">
        <v>脊阴</v>
      </c>
      <c r="J257" t="str" s="8">
        <v>脊阴</v>
      </c>
      <c r="K257" t="str" s="8">
        <v>普通</v>
      </c>
      <c r="L257" t="n" s="8">
        <v>900</v>
      </c>
      <c r="M257" t="n" s="8">
        <v>900</v>
      </c>
      <c r="N257" t="n" s="8">
        <v>1</v>
      </c>
      <c r="O257" s="8"/>
      <c r="P257" t="n" s="8">
        <v>24</v>
      </c>
      <c r="Q257" t="n" s="8">
        <v>30000</v>
      </c>
      <c r="R257" t="str" s="8">
        <v>首击</v>
      </c>
      <c r="S257" t="n" s="8">
        <v>30000</v>
      </c>
      <c r="T257" t="n" s="8">
        <v>10</v>
      </c>
      <c r="U257" t="n" s="16">
        <v>40900700</v>
      </c>
      <c r="V257" t="n" s="8">
        <v>40910708</v>
      </c>
      <c r="W257" t="n" s="8">
        <v>40920700</v>
      </c>
      <c r="X257" t="n" s="8">
        <v>11000001</v>
      </c>
      <c r="Y257" s="8"/>
      <c r="Z257" s="8"/>
      <c r="AA257" t="str" s="8">
        <v>妖兽</v>
      </c>
      <c r="AB257" t="n" s="11">
        <v>20008</v>
      </c>
      <c r="AC257" t="n" s="8">
        <v>1</v>
      </c>
      <c r="AD257" t="n" s="8">
        <v>60</v>
      </c>
      <c r="AE257" t="n" s="8">
        <v>60</v>
      </c>
      <c r="AF257" t="n" s="8">
        <v>0</v>
      </c>
      <c r="AG257" t="n" s="8">
        <v>0</v>
      </c>
      <c r="AH257" t="str" s="8">
        <v>近战</v>
      </c>
      <c r="AI257" s="8"/>
      <c r="AJ257" s="17"/>
      <c r="AK257" s="8"/>
      <c r="AL257" s="18"/>
      <c r="AM257" t="str" s="8">
        <v>生命值</v>
      </c>
      <c r="AN257" t="n" s="19">
        <v>4947000</v>
      </c>
      <c r="AO257" t="str" s="8">
        <v>灵力值</v>
      </c>
      <c r="AP257" t="n" s="8">
        <v>363750</v>
      </c>
      <c r="AQ257" t="str" s="8">
        <v>攻击下限</v>
      </c>
      <c r="AR257" t="n" s="8">
        <v>181875</v>
      </c>
      <c r="AS257" t="str" s="8">
        <v>攻击上限</v>
      </c>
      <c r="AT257" t="n" s="8">
        <v>181875</v>
      </c>
      <c r="AU257" t="str" s="8">
        <v>法力下限</v>
      </c>
      <c r="AV257" t="n" s="8">
        <v>181875</v>
      </c>
      <c r="AW257" t="str" s="8">
        <v>法力上限</v>
      </c>
      <c r="AX257" t="n" s="8">
        <v>181875</v>
      </c>
      <c r="AY257" t="str" s="8">
        <v>物防下限</v>
      </c>
      <c r="AZ257" t="n" s="8">
        <v>64020</v>
      </c>
      <c r="BA257" t="str" s="8">
        <v>物防上限</v>
      </c>
      <c r="BB257" t="n" s="8">
        <v>64020</v>
      </c>
      <c r="BC257" t="str" s="8">
        <v>法防下限</v>
      </c>
      <c r="BD257" t="n" s="8">
        <v>64020</v>
      </c>
      <c r="BE257" t="str" s="8">
        <v>法防上限</v>
      </c>
      <c r="BF257" t="n" s="8">
        <v>64020</v>
      </c>
      <c r="BG257" t="str" s="8">
        <v>移动速度</v>
      </c>
      <c r="BH257" t="n" s="8">
        <v>270</v>
      </c>
      <c r="BI257" t="str" s="8">
        <v>攻击范围</v>
      </c>
      <c r="BJ257" t="n" s="8">
        <v>160</v>
      </c>
      <c r="BK257" t="str" s="8">
        <v>警戒范围</v>
      </c>
      <c r="BL257" t="n" s="8">
        <v>550</v>
      </c>
      <c r="BM257" t="str" s="8">
        <v>攻击间隔</v>
      </c>
      <c r="BN257" t="n" s="8">
        <v>1800</v>
      </c>
      <c r="BO257" t="n" s="8">
        <v>0</v>
      </c>
      <c r="BP257" s="8"/>
      <c r="BQ257" t="n" s="8">
        <v>0</v>
      </c>
      <c r="BR257" t="n" s="8">
        <v>0</v>
      </c>
      <c r="BS257" t="n" s="8">
        <v>0</v>
      </c>
      <c r="BT257" t="n" s="8">
        <v>0</v>
      </c>
      <c r="BU257" t="str" s="8">
        <v>脊阴的普通遭遇。裂隙渗漏造成的短时魔化，非本区新增裂隙。</v>
      </c>
      <c r="BV257" t="n">
        <v>7</v>
      </c>
      <c r="BW257" t="n">
        <v>8</v>
      </c>
      <c r="BX257" t="str">
        <v>凡品</v>
      </c>
      <c r="BY257" t="str">
        <v>corrupted</v>
      </c>
      <c r="BZ257" t="b">
        <v>0</v>
      </c>
    </row>
    <row r="258" s="8" customFormat="1" spans="28:28">
      <c r="A258"/>
      <c r="B258" t="n" s="8">
        <v>60552902</v>
      </c>
      <c r="C258" t="str" s="8">
        <v>a010</v>
      </c>
      <c r="D258" t="str" s="5">
        <v>魔化霰坡岩蟹·异种</v>
      </c>
      <c r="E258" t="str" s="5">
        <v>R07-D1-精英-902</v>
      </c>
      <c r="F258" t="n" s="8">
        <v>68</v>
      </c>
      <c r="G258" s="8"/>
      <c r="H258" t="n" s="8">
        <v>7</v>
      </c>
      <c r="I258" t="str" s="8">
        <v>脊阴</v>
      </c>
      <c r="J258" t="str" s="8">
        <v>脊阴</v>
      </c>
      <c r="K258" t="str" s="8">
        <v>精英</v>
      </c>
      <c r="L258" t="n" s="8">
        <v>902</v>
      </c>
      <c r="M258" t="n" s="8">
        <v>902</v>
      </c>
      <c r="N258" t="n" s="8">
        <v>3</v>
      </c>
      <c r="O258" s="8"/>
      <c r="P258" t="n" s="8">
        <v>40</v>
      </c>
      <c r="Q258" t="n" s="8">
        <v>180000</v>
      </c>
      <c r="R258" t="str" s="8">
        <v>首击</v>
      </c>
      <c r="S258" t="n" s="8">
        <v>30000</v>
      </c>
      <c r="T258" t="n" s="8">
        <v>11</v>
      </c>
      <c r="U258" t="n" s="16">
        <v>40900701</v>
      </c>
      <c r="V258" t="n" s="8">
        <v>41120709</v>
      </c>
      <c r="W258" t="n" s="8">
        <v>41320704</v>
      </c>
      <c r="X258" t="n" s="8">
        <v>11000001</v>
      </c>
      <c r="Y258" s="8"/>
      <c r="Z258" s="8"/>
      <c r="AA258" t="str" s="8">
        <v>妖兽</v>
      </c>
      <c r="AB258" t="n" s="11">
        <v>20008</v>
      </c>
      <c r="AC258" t="n" s="8">
        <v>1.25</v>
      </c>
      <c r="AD258" t="n" s="8">
        <v>60</v>
      </c>
      <c r="AE258" t="n" s="8">
        <v>60</v>
      </c>
      <c r="AF258" t="n" s="8">
        <v>0</v>
      </c>
      <c r="AG258" t="n" s="8">
        <v>0</v>
      </c>
      <c r="AH258" t="str" s="8">
        <v>近战</v>
      </c>
      <c r="AI258" s="8"/>
      <c r="AJ258" s="17"/>
      <c r="AK258" s="8"/>
      <c r="AL258" s="18"/>
      <c r="AM258" t="str" s="8">
        <v>生命值</v>
      </c>
      <c r="AN258" t="n" s="19">
        <v>13851600</v>
      </c>
      <c r="AO258" t="str" s="8">
        <v>灵力值</v>
      </c>
      <c r="AP258" t="n" s="8">
        <v>527438</v>
      </c>
      <c r="AQ258" t="str" s="8">
        <v>攻击下限</v>
      </c>
      <c r="AR258" t="n" s="8">
        <v>263719</v>
      </c>
      <c r="AS258" t="str" s="8">
        <v>攻击上限</v>
      </c>
      <c r="AT258" t="n" s="8">
        <v>263719</v>
      </c>
      <c r="AU258" t="str" s="8">
        <v>法力下限</v>
      </c>
      <c r="AV258" t="n" s="8">
        <v>263719</v>
      </c>
      <c r="AW258" t="str" s="8">
        <v>法力上限</v>
      </c>
      <c r="AX258" t="n" s="8">
        <v>263719</v>
      </c>
      <c r="AY258" t="str" s="8">
        <v>物防下限</v>
      </c>
      <c r="AZ258" t="n" s="8">
        <v>76824</v>
      </c>
      <c r="BA258" t="str" s="8">
        <v>物防上限</v>
      </c>
      <c r="BB258" t="n" s="8">
        <v>76824</v>
      </c>
      <c r="BC258" t="str" s="8">
        <v>法防下限</v>
      </c>
      <c r="BD258" t="n" s="8">
        <v>76824</v>
      </c>
      <c r="BE258" t="str" s="8">
        <v>法防上限</v>
      </c>
      <c r="BF258" t="n" s="8">
        <v>76824</v>
      </c>
      <c r="BG258" t="str" s="8">
        <v>移动速度</v>
      </c>
      <c r="BH258" t="n" s="8">
        <v>270</v>
      </c>
      <c r="BI258" t="str" s="8">
        <v>攻击范围</v>
      </c>
      <c r="BJ258" t="n" s="8">
        <v>160</v>
      </c>
      <c r="BK258" t="str" s="8">
        <v>警戒范围</v>
      </c>
      <c r="BL258" t="n" s="8">
        <v>550</v>
      </c>
      <c r="BM258" t="str" s="8">
        <v>攻击间隔</v>
      </c>
      <c r="BN258" t="n" s="8">
        <v>1800</v>
      </c>
      <c r="BO258" t="n" s="8">
        <v>0</v>
      </c>
      <c r="BP258" s="8"/>
      <c r="BQ258" t="n" s="8">
        <v>0</v>
      </c>
      <c r="BR258" t="n" s="8">
        <v>0</v>
      </c>
      <c r="BS258" t="n" s="8">
        <v>0</v>
      </c>
      <c r="BT258" t="n" s="8">
        <v>0</v>
      </c>
      <c r="BU258" t="str" s="8">
        <v>脊阴的精英遭遇。裂隙渗漏造成的短时魔化，非本区新增裂隙。</v>
      </c>
      <c r="BV258" t="n">
        <v>7</v>
      </c>
      <c r="BW258" t="n">
        <v>8</v>
      </c>
      <c r="BX258" t="str">
        <v>玄品</v>
      </c>
      <c r="BY258" t="str">
        <v>corrupted</v>
      </c>
      <c r="BZ258" t="b">
        <v>0</v>
      </c>
    </row>
    <row r="259" s="8" customFormat="1" spans="28:28">
      <c r="A259"/>
      <c r="B259" t="n" s="8">
        <v>60602901</v>
      </c>
      <c r="C259" t="str" s="8">
        <v>a010</v>
      </c>
      <c r="D259" t="str" s="5">
        <v>绝顶灵狼·异种</v>
      </c>
      <c r="E259" t="str" s="5">
        <v>R08-P1-精英-901</v>
      </c>
      <c r="F259" t="n" s="8">
        <v>73</v>
      </c>
      <c r="G259" s="8"/>
      <c r="H259" t="n" s="8">
        <v>8</v>
      </c>
      <c r="I259" t="str" s="8">
        <v>回光藓</v>
      </c>
      <c r="J259" t="str" s="8">
        <v>回光藓</v>
      </c>
      <c r="K259" t="str" s="8">
        <v>精英</v>
      </c>
      <c r="L259" t="n" s="8">
        <v>901</v>
      </c>
      <c r="M259" t="n" s="8">
        <v>901</v>
      </c>
      <c r="N259" t="n" s="8">
        <v>3</v>
      </c>
      <c r="O259" s="8"/>
      <c r="P259" t="n" s="8">
        <v>40</v>
      </c>
      <c r="Q259" t="n" s="8">
        <v>0</v>
      </c>
      <c r="R259" t="str" s="8">
        <v>首击</v>
      </c>
      <c r="S259" t="n" s="8">
        <v>30000</v>
      </c>
      <c r="T259" t="n" s="8">
        <v>11</v>
      </c>
      <c r="U259" t="n" s="16">
        <v>40900801</v>
      </c>
      <c r="V259" t="n" s="8">
        <v>41120800</v>
      </c>
      <c r="W259" t="n" s="8">
        <v>41220800</v>
      </c>
      <c r="X259" t="n" s="8">
        <v>11000001</v>
      </c>
      <c r="Y259" s="8"/>
      <c r="Z259" s="8"/>
      <c r="AA259" t="str" s="8">
        <v>妖兽</v>
      </c>
      <c r="AB259" t="n" s="11">
        <v>20008</v>
      </c>
      <c r="AC259" t="n" s="8">
        <v>1.25</v>
      </c>
      <c r="AD259" t="n" s="8">
        <v>60</v>
      </c>
      <c r="AE259" t="n" s="8">
        <v>60</v>
      </c>
      <c r="AF259" t="n" s="8">
        <v>0</v>
      </c>
      <c r="AG259" t="n" s="8">
        <v>0</v>
      </c>
      <c r="AH259" t="str" s="8">
        <v>近战</v>
      </c>
      <c r="AI259" s="8"/>
      <c r="AJ259" s="17"/>
      <c r="AK259" s="8"/>
      <c r="AL259" s="18"/>
      <c r="AM259" t="str" s="8">
        <v>生命值</v>
      </c>
      <c r="AN259" t="n" s="19">
        <v>47460000</v>
      </c>
      <c r="AO259" t="str" s="8">
        <v>灵力值</v>
      </c>
      <c r="AP259" t="n" s="8">
        <v>1704040</v>
      </c>
      <c r="AQ259" t="str" s="8">
        <v>攻击下限</v>
      </c>
      <c r="AR259" t="n" s="8">
        <v>852020</v>
      </c>
      <c r="AS259" t="str" s="8">
        <v>攻击上限</v>
      </c>
      <c r="AT259" t="n" s="8">
        <v>852020</v>
      </c>
      <c r="AU259" t="str" s="8">
        <v>法力下限</v>
      </c>
      <c r="AV259" t="n" s="8">
        <v>852020</v>
      </c>
      <c r="AW259" t="str" s="8">
        <v>法力上限</v>
      </c>
      <c r="AX259" t="n" s="8">
        <v>852020</v>
      </c>
      <c r="AY259" t="str" s="8">
        <v>物防下限</v>
      </c>
      <c r="AZ259" t="n" s="8">
        <v>250860</v>
      </c>
      <c r="BA259" t="str" s="8">
        <v>物防上限</v>
      </c>
      <c r="BB259" t="n" s="8">
        <v>250860</v>
      </c>
      <c r="BC259" t="str" s="8">
        <v>法防下限</v>
      </c>
      <c r="BD259" t="n" s="8">
        <v>250860</v>
      </c>
      <c r="BE259" t="str" s="8">
        <v>法防上限</v>
      </c>
      <c r="BF259" t="n" s="8">
        <v>250860</v>
      </c>
      <c r="BG259" t="str" s="8">
        <v>移动速度</v>
      </c>
      <c r="BH259" t="n" s="8">
        <v>270</v>
      </c>
      <c r="BI259" t="str" s="8">
        <v>攻击范围</v>
      </c>
      <c r="BJ259" t="n" s="8">
        <v>160</v>
      </c>
      <c r="BK259" t="str" s="8">
        <v>警戒范围</v>
      </c>
      <c r="BL259" t="n" s="8">
        <v>550</v>
      </c>
      <c r="BM259" t="str" s="8">
        <v>攻击间隔</v>
      </c>
      <c r="BN259" t="n" s="8">
        <v>1800</v>
      </c>
      <c r="BO259" t="n" s="8">
        <v>0</v>
      </c>
      <c r="BP259" s="8"/>
      <c r="BQ259" t="n" s="8">
        <v>0</v>
      </c>
      <c r="BR259" t="n" s="8">
        <v>0</v>
      </c>
      <c r="BS259" t="n" s="8">
        <v>0</v>
      </c>
      <c r="BT259" t="n" s="8">
        <v>0</v>
      </c>
      <c r="BU259" t="str" s="8">
        <v>回光藓的精英遭遇。依托本区既有水土、岩隙和可达条件活动。只在临时遭遇窗口出现，不设重复刷取。</v>
      </c>
      <c r="BV259" t="n">
        <v>8</v>
      </c>
      <c r="BW259" t="n">
        <v>3</v>
      </c>
      <c r="BX259" t="str">
        <v>玄品</v>
      </c>
      <c r="BY259" t="str">
        <v>native</v>
      </c>
      <c r="BZ259" t="b">
        <v>0</v>
      </c>
    </row>
    <row r="260" s="8" customFormat="1" spans="28:28">
      <c r="A260"/>
      <c r="B260" t="n" s="8">
        <v>60612901</v>
      </c>
      <c r="C260" t="str" s="8">
        <v>a010</v>
      </c>
      <c r="D260" t="str" s="5">
        <v>绝顶灵狼·异种</v>
      </c>
      <c r="E260" t="str" s="5">
        <v>R08-P2-精英-901</v>
      </c>
      <c r="F260" t="n" s="8">
        <v>76</v>
      </c>
      <c r="G260" s="8"/>
      <c r="H260" t="n" s="8">
        <v>8</v>
      </c>
      <c r="I260" t="str" s="8">
        <v>风偃枝</v>
      </c>
      <c r="J260" t="str" s="8">
        <v>风偃枝</v>
      </c>
      <c r="K260" t="str" s="8">
        <v>精英</v>
      </c>
      <c r="L260" t="n" s="8">
        <v>901</v>
      </c>
      <c r="M260" t="n" s="8">
        <v>901</v>
      </c>
      <c r="N260" t="n" s="8">
        <v>3</v>
      </c>
      <c r="O260" s="8"/>
      <c r="P260" t="n" s="8">
        <v>40</v>
      </c>
      <c r="Q260" t="n" s="8">
        <v>0</v>
      </c>
      <c r="R260" t="str" s="8">
        <v>首击</v>
      </c>
      <c r="S260" t="n" s="8">
        <v>30000</v>
      </c>
      <c r="T260" t="n" s="8">
        <v>11</v>
      </c>
      <c r="U260" t="n" s="16">
        <v>40900801</v>
      </c>
      <c r="V260" t="n" s="8">
        <v>41120801</v>
      </c>
      <c r="W260" t="n" s="8">
        <v>41220801</v>
      </c>
      <c r="X260" t="n" s="8">
        <v>11000001</v>
      </c>
      <c r="Y260" s="8"/>
      <c r="Z260" s="8"/>
      <c r="AA260" t="str" s="8">
        <v>妖兽</v>
      </c>
      <c r="AB260" t="n" s="11">
        <v>20008</v>
      </c>
      <c r="AC260" t="n" s="8">
        <v>1.25</v>
      </c>
      <c r="AD260" t="n" s="8">
        <v>60</v>
      </c>
      <c r="AE260" t="n" s="8">
        <v>60</v>
      </c>
      <c r="AF260" t="n" s="8">
        <v>0</v>
      </c>
      <c r="AG260" t="n" s="8">
        <v>0</v>
      </c>
      <c r="AH260" t="str" s="8">
        <v>近战</v>
      </c>
      <c r="AI260" s="8"/>
      <c r="AJ260" s="17"/>
      <c r="AK260" s="8"/>
      <c r="AL260" s="18"/>
      <c r="AM260" t="str" s="8">
        <v>生命值</v>
      </c>
      <c r="AN260" t="n" s="19">
        <v>55650000</v>
      </c>
      <c r="AO260" t="str" s="8">
        <v>灵力值</v>
      </c>
      <c r="AP260" t="n" s="8">
        <v>1998100</v>
      </c>
      <c r="AQ260" t="str" s="8">
        <v>攻击下限</v>
      </c>
      <c r="AR260" t="n" s="8">
        <v>999050</v>
      </c>
      <c r="AS260" t="str" s="8">
        <v>攻击上限</v>
      </c>
      <c r="AT260" t="n" s="8">
        <v>999050</v>
      </c>
      <c r="AU260" t="str" s="8">
        <v>法力下限</v>
      </c>
      <c r="AV260" t="n" s="8">
        <v>999050</v>
      </c>
      <c r="AW260" t="str" s="8">
        <v>法力上限</v>
      </c>
      <c r="AX260" t="n" s="8">
        <v>999050</v>
      </c>
      <c r="AY260" t="str" s="8">
        <v>物防下限</v>
      </c>
      <c r="AZ260" t="n" s="8">
        <v>294150</v>
      </c>
      <c r="BA260" t="str" s="8">
        <v>物防上限</v>
      </c>
      <c r="BB260" t="n" s="8">
        <v>294150</v>
      </c>
      <c r="BC260" t="str" s="8">
        <v>法防下限</v>
      </c>
      <c r="BD260" t="n" s="8">
        <v>294150</v>
      </c>
      <c r="BE260" t="str" s="8">
        <v>法防上限</v>
      </c>
      <c r="BF260" t="n" s="8">
        <v>294150</v>
      </c>
      <c r="BG260" t="str" s="8">
        <v>移动速度</v>
      </c>
      <c r="BH260" t="n" s="8">
        <v>270</v>
      </c>
      <c r="BI260" t="str" s="8">
        <v>攻击范围</v>
      </c>
      <c r="BJ260" t="n" s="8">
        <v>160</v>
      </c>
      <c r="BK260" t="str" s="8">
        <v>警戒范围</v>
      </c>
      <c r="BL260" t="n" s="8">
        <v>550</v>
      </c>
      <c r="BM260" t="str" s="8">
        <v>攻击间隔</v>
      </c>
      <c r="BN260" t="n" s="8">
        <v>1800</v>
      </c>
      <c r="BO260" t="n" s="8">
        <v>0</v>
      </c>
      <c r="BP260" s="8"/>
      <c r="BQ260" t="n" s="8">
        <v>0</v>
      </c>
      <c r="BR260" t="n" s="8">
        <v>0</v>
      </c>
      <c r="BS260" t="n" s="8">
        <v>0</v>
      </c>
      <c r="BT260" t="n" s="8">
        <v>0</v>
      </c>
      <c r="BU260" t="str" s="8">
        <v>风偃枝的精英遭遇。依托本区既有水土、岩隙和可达条件活动。只在临时遭遇窗口出现，不设重复刷取。</v>
      </c>
      <c r="BV260" t="n">
        <v>8</v>
      </c>
      <c r="BW260" t="n">
        <v>6</v>
      </c>
      <c r="BX260" t="str">
        <v>玄品</v>
      </c>
      <c r="BY260" t="str">
        <v>native</v>
      </c>
      <c r="BZ260" t="b">
        <v>0</v>
      </c>
    </row>
    <row r="261">
      <c r="A261"/>
      <c r="B261" t="n" s="8">
        <v>60634905</v>
      </c>
      <c r="C261" t="str" s="8">
        <v>a010</v>
      </c>
      <c r="D261" t="str" s="5">
        <v>绝顶灵狼·首领</v>
      </c>
      <c r="E261" t="str" s="5">
        <v>R08-S2-BOSS-905</v>
      </c>
      <c r="F261" t="n" s="8">
        <v>80</v>
      </c>
      <c r="G261" s="8"/>
      <c r="H261" t="n" s="8">
        <v>8</v>
      </c>
      <c r="I261" t="str" s="8">
        <v>坠尽渊</v>
      </c>
      <c r="J261" t="str" s="8">
        <v>坠尽渊</v>
      </c>
      <c r="K261" t="str" s="8">
        <v>BOSS</v>
      </c>
      <c r="L261" t="n" s="8">
        <v>905</v>
      </c>
      <c r="M261" t="n" s="8">
        <v>905</v>
      </c>
      <c r="N261" t="n" s="8">
        <v>5</v>
      </c>
      <c r="O261" s="8"/>
      <c r="P261" t="n" s="8">
        <v>40</v>
      </c>
      <c r="Q261" t="n" s="8">
        <v>0</v>
      </c>
      <c r="R261" t="str" s="8">
        <v>首击</v>
      </c>
      <c r="S261" t="n" s="8">
        <v>30000</v>
      </c>
      <c r="T261" t="n" s="8">
        <v>12</v>
      </c>
      <c r="U261" t="n" s="16">
        <v>40900802</v>
      </c>
      <c r="V261" t="n" s="8">
        <v>41130802</v>
      </c>
      <c r="W261" t="n" s="8">
        <v>41230800</v>
      </c>
      <c r="X261" t="n" s="8">
        <v>11000001</v>
      </c>
      <c r="Y261" s="8"/>
      <c r="Z261" s="8"/>
      <c r="AA261" t="str" s="8">
        <v>妖兽</v>
      </c>
      <c r="AB261" t="n" s="11">
        <v>20008</v>
      </c>
      <c r="AC261" t="n" s="8">
        <v>1.6</v>
      </c>
      <c r="AD261" t="n" s="8">
        <v>60</v>
      </c>
      <c r="AE261" t="n" s="8">
        <v>60</v>
      </c>
      <c r="AF261" t="n" s="8">
        <v>0</v>
      </c>
      <c r="AG261" t="n" s="8">
        <v>0</v>
      </c>
      <c r="AH261" t="str" s="8">
        <v>近战</v>
      </c>
      <c r="AI261" s="8"/>
      <c r="AJ261" s="17"/>
      <c r="AK261" s="8"/>
      <c r="AL261" s="18"/>
      <c r="AM261" t="str" s="8">
        <v>生命值</v>
      </c>
      <c r="AN261" t="n" s="19">
        <v>237750000</v>
      </c>
      <c r="AO261" t="str" s="8">
        <v>灵力值</v>
      </c>
      <c r="AP261" t="n" s="8">
        <v>3461640</v>
      </c>
      <c r="AQ261" t="str" s="8">
        <v>攻击下限</v>
      </c>
      <c r="AR261" t="n" s="8">
        <v>1730820</v>
      </c>
      <c r="AS261" t="str" s="8">
        <v>攻击上限</v>
      </c>
      <c r="AT261" t="n" s="8">
        <v>1730820</v>
      </c>
      <c r="AU261" t="str" s="8">
        <v>法力下限</v>
      </c>
      <c r="AV261" t="n" s="8">
        <v>1730820</v>
      </c>
      <c r="AW261" t="str" s="8">
        <v>法力上限</v>
      </c>
      <c r="AX261" t="n" s="8">
        <v>1730820</v>
      </c>
      <c r="AY261" t="str" s="8">
        <v>物防下限</v>
      </c>
      <c r="AZ261" t="n" s="8">
        <v>439838</v>
      </c>
      <c r="BA261" t="str" s="8">
        <v>物防上限</v>
      </c>
      <c r="BB261" t="n" s="8">
        <v>439838</v>
      </c>
      <c r="BC261" t="str" s="8">
        <v>法防下限</v>
      </c>
      <c r="BD261" t="n" s="8">
        <v>439838</v>
      </c>
      <c r="BE261" t="str" s="8">
        <v>法防上限</v>
      </c>
      <c r="BF261" t="n" s="8">
        <v>439838</v>
      </c>
      <c r="BG261" t="str" s="8">
        <v>移动速度</v>
      </c>
      <c r="BH261" t="n" s="8">
        <v>270</v>
      </c>
      <c r="BI261" t="str" s="8">
        <v>攻击范围</v>
      </c>
      <c r="BJ261" t="n" s="8">
        <v>160</v>
      </c>
      <c r="BK261" t="str" s="8">
        <v>警戒范围</v>
      </c>
      <c r="BL261" t="n" s="8">
        <v>700</v>
      </c>
      <c r="BM261" t="str" s="8">
        <v>攻击间隔</v>
      </c>
      <c r="BN261" t="n" s="8">
        <v>2200</v>
      </c>
      <c r="BO261" t="n" s="8">
        <v>0</v>
      </c>
      <c r="BP261" s="8"/>
      <c r="BQ261" t="n" s="8">
        <v>0</v>
      </c>
      <c r="BR261" t="n" s="8">
        <v>0</v>
      </c>
      <c r="BS261" t="n" s="8">
        <v>0</v>
      </c>
      <c r="BT261" t="n" s="8">
        <v>0</v>
      </c>
      <c r="BU261" t="str" s="8">
        <v>坠尽渊的BOSS遭遇。依托本区既有水土、岩隙和可达条件活动。只在临时遭遇窗口出现，不设重复刷取。</v>
      </c>
      <c r="BV261" t="n">
        <v>8</v>
      </c>
      <c r="BW261" t="n">
        <v>10</v>
      </c>
      <c r="BX261" t="str">
        <v>仙品</v>
      </c>
      <c r="BY261" t="str">
        <v>native</v>
      </c>
      <c r="BZ261" t="b">
        <v>1</v>
      </c>
    </row>
  </sheetData>
  <autoFilter xmlns:etc="http://www.wps.cn/officeDocument/2017/etCustomData" ref="A4:BW289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925"/>
    <cfRule type="duplicateValues" dxfId="1" priority="926"/>
  </conditionalFormatting>
  <conditionalFormatting sqref="T4">
    <cfRule type="duplicateValues" dxfId="0" priority="922"/>
    <cfRule type="duplicateValues" dxfId="1" priority="923"/>
  </conditionalFormatting>
  <conditionalFormatting sqref="U4">
    <cfRule type="expression" dxfId="2" priority="918">
      <formula>AND(#REF!&lt;&gt;"",COUNTIF($A:$A,#REF!)&gt;1)</formula>
    </cfRule>
    <cfRule type="duplicateValues" dxfId="0" priority="931"/>
    <cfRule type="duplicateValues" dxfId="1" priority="932"/>
  </conditionalFormatting>
  <conditionalFormatting sqref="U4">
    <cfRule type="duplicateValues" dxfId="0" priority="1074"/>
    <cfRule type="duplicateValues" dxfId="1" priority="1075"/>
  </conditionalFormatting>
  <conditionalFormatting sqref="T4">
    <cfRule type="expression" dxfId="2" priority="1076">
      <formula>AND(T11&lt;&gt;"",COUNTIF($A:$A,T11)&gt;1)</formula>
    </cfRule>
  </conditionalFormatting>
  <conditionalFormatting sqref="U4">
    <cfRule type="duplicateValues" dxfId="0" priority="1078"/>
    <cfRule type="duplicateValues" dxfId="1" priority="1079"/>
  </conditionalFormatting>
  <conditionalFormatting sqref="U4">
    <cfRule type="duplicateValues" dxfId="0" priority="1087"/>
    <cfRule type="duplicateValues" dxfId="1" priority="1088"/>
  </conditionalFormatting>
  <conditionalFormatting sqref="U4">
    <cfRule type="duplicateValues" dxfId="0" priority="1070"/>
    <cfRule type="duplicateValues" dxfId="1" priority="1071"/>
  </conditionalFormatting>
  <conditionalFormatting sqref="A5">
    <cfRule type="duplicateValues" dxfId="1" priority="894"/>
  </conditionalFormatting>
  <conditionalFormatting sqref="B5">
    <cfRule type="duplicateValues" dxfId="1" priority="898"/>
  </conditionalFormatting>
  <conditionalFormatting sqref="T5">
    <cfRule type="duplicateValues" dxfId="0" priority="886"/>
    <cfRule type="duplicateValues" dxfId="1" priority="890"/>
  </conditionalFormatting>
  <conditionalFormatting sqref="U5">
    <cfRule type="duplicateValues" dxfId="0" priority="910"/>
    <cfRule type="duplicateValues" dxfId="1" priority="914"/>
  </conditionalFormatting>
  <conditionalFormatting sqref="A6">
    <cfRule type="duplicateValues" dxfId="1" priority="893"/>
  </conditionalFormatting>
  <conditionalFormatting sqref="B6">
    <cfRule type="duplicateValues" dxfId="1" priority="897"/>
  </conditionalFormatting>
  <conditionalFormatting sqref="T6">
    <cfRule type="duplicateValues" dxfId="0" priority="885"/>
    <cfRule type="duplicateValues" dxfId="1" priority="889"/>
  </conditionalFormatting>
  <conditionalFormatting sqref="U6">
    <cfRule type="duplicateValues" dxfId="0" priority="909"/>
    <cfRule type="duplicateValues" dxfId="1" priority="913"/>
  </conditionalFormatting>
  <conditionalFormatting sqref="A7">
    <cfRule type="duplicateValues" dxfId="1" priority="892"/>
  </conditionalFormatting>
  <conditionalFormatting sqref="B7">
    <cfRule type="duplicateValues" dxfId="1" priority="896"/>
  </conditionalFormatting>
  <conditionalFormatting sqref="T7">
    <cfRule type="duplicateValues" dxfId="0" priority="884"/>
    <cfRule type="duplicateValues" dxfId="1" priority="888"/>
  </conditionalFormatting>
  <conditionalFormatting sqref="U7">
    <cfRule type="duplicateValues" dxfId="0" priority="908"/>
    <cfRule type="duplicateValues" dxfId="1" priority="912"/>
  </conditionalFormatting>
  <conditionalFormatting sqref="A8">
    <cfRule type="duplicateValues" dxfId="1" priority="891"/>
  </conditionalFormatting>
  <conditionalFormatting sqref="B8">
    <cfRule type="duplicateValues" dxfId="1" priority="895"/>
  </conditionalFormatting>
  <conditionalFormatting sqref="T8">
    <cfRule type="duplicateValues" dxfId="0" priority="883"/>
    <cfRule type="duplicateValues" dxfId="1" priority="887"/>
  </conditionalFormatting>
  <conditionalFormatting sqref="U8">
    <cfRule type="duplicateValues" dxfId="0" priority="907"/>
    <cfRule type="duplicateValues" dxfId="1" priority="911"/>
  </conditionalFormatting>
  <conditionalFormatting sqref="A9">
    <cfRule type="duplicateValues" dxfId="1" priority="877"/>
  </conditionalFormatting>
  <conditionalFormatting sqref="B9">
    <cfRule type="duplicateValues" dxfId="1" priority="878"/>
  </conditionalFormatting>
  <conditionalFormatting sqref="T9">
    <cfRule type="duplicateValues" dxfId="0" priority="875"/>
    <cfRule type="duplicateValues" dxfId="1" priority="876"/>
    <cfRule type="expression" dxfId="2" priority="879">
      <formula>AND(#REF!&lt;&gt;"",COUNTIF($A:$A,#REF!)&gt;1)</formula>
    </cfRule>
  </conditionalFormatting>
  <conditionalFormatting sqref="U9">
    <cfRule type="duplicateValues" dxfId="0" priority="881"/>
    <cfRule type="duplicateValues" dxfId="1" priority="882"/>
  </conditionalFormatting>
  <conditionalFormatting sqref="A10">
    <cfRule type="duplicateValues" dxfId="1" priority="849"/>
  </conditionalFormatting>
  <conditionalFormatting sqref="B10">
    <cfRule type="duplicateValues" dxfId="1" priority="854"/>
  </conditionalFormatting>
  <conditionalFormatting sqref="T10">
    <cfRule type="duplicateValues" dxfId="0" priority="839"/>
    <cfRule type="duplicateValues" dxfId="1" priority="844"/>
  </conditionalFormatting>
  <conditionalFormatting sqref="U10">
    <cfRule type="duplicateValues" dxfId="0" priority="869"/>
    <cfRule type="duplicateValues" dxfId="1" priority="874"/>
  </conditionalFormatting>
  <conditionalFormatting sqref="A11">
    <cfRule type="duplicateValues" dxfId="1" priority="848"/>
  </conditionalFormatting>
  <conditionalFormatting sqref="B11">
    <cfRule type="duplicateValues" dxfId="1" priority="853"/>
  </conditionalFormatting>
  <conditionalFormatting sqref="T11">
    <cfRule type="duplicateValues" dxfId="0" priority="838"/>
    <cfRule type="duplicateValues" dxfId="1" priority="843"/>
  </conditionalFormatting>
  <conditionalFormatting sqref="U11">
    <cfRule type="duplicateValues" dxfId="0" priority="868"/>
    <cfRule type="duplicateValues" dxfId="1" priority="873"/>
  </conditionalFormatting>
  <conditionalFormatting sqref="A12">
    <cfRule type="duplicateValues" dxfId="1" priority="847"/>
  </conditionalFormatting>
  <conditionalFormatting sqref="B12">
    <cfRule type="duplicateValues" dxfId="1" priority="852"/>
  </conditionalFormatting>
  <conditionalFormatting sqref="T12">
    <cfRule type="duplicateValues" dxfId="0" priority="837"/>
    <cfRule type="duplicateValues" dxfId="1" priority="842"/>
  </conditionalFormatting>
  <conditionalFormatting sqref="U12">
    <cfRule type="duplicateValues" dxfId="0" priority="867"/>
    <cfRule type="duplicateValues" dxfId="1" priority="872"/>
  </conditionalFormatting>
  <conditionalFormatting sqref="A13">
    <cfRule type="duplicateValues" dxfId="1" priority="846"/>
  </conditionalFormatting>
  <conditionalFormatting sqref="B13">
    <cfRule type="duplicateValues" dxfId="1" priority="851"/>
  </conditionalFormatting>
  <conditionalFormatting sqref="T13">
    <cfRule type="duplicateValues" dxfId="0" priority="836"/>
    <cfRule type="duplicateValues" dxfId="1" priority="841"/>
  </conditionalFormatting>
  <conditionalFormatting sqref="U13">
    <cfRule type="duplicateValues" dxfId="0" priority="866"/>
    <cfRule type="duplicateValues" dxfId="1" priority="871"/>
  </conditionalFormatting>
  <conditionalFormatting sqref="A14">
    <cfRule type="duplicateValues" dxfId="1" priority="845"/>
  </conditionalFormatting>
  <conditionalFormatting sqref="B14">
    <cfRule type="duplicateValues" dxfId="1" priority="850"/>
  </conditionalFormatting>
  <conditionalFormatting sqref="T14">
    <cfRule type="duplicateValues" dxfId="0" priority="835"/>
    <cfRule type="duplicateValues" dxfId="1" priority="840"/>
  </conditionalFormatting>
  <conditionalFormatting sqref="U14">
    <cfRule type="duplicateValues" dxfId="0" priority="865"/>
    <cfRule type="duplicateValues" dxfId="1" priority="870"/>
  </conditionalFormatting>
  <conditionalFormatting sqref="A15">
    <cfRule type="duplicateValues" dxfId="1" priority="829"/>
  </conditionalFormatting>
  <conditionalFormatting sqref="B15">
    <cfRule type="duplicateValues" dxfId="1" priority="830"/>
  </conditionalFormatting>
  <conditionalFormatting sqref="T15">
    <cfRule type="duplicateValues" dxfId="0" priority="827"/>
    <cfRule type="duplicateValues" dxfId="1" priority="828"/>
    <cfRule type="expression" dxfId="2" priority="831">
      <formula>AND(#REF!&lt;&gt;"",COUNTIF($A:$A,#REF!)&gt;1)</formula>
    </cfRule>
  </conditionalFormatting>
  <conditionalFormatting sqref="U15">
    <cfRule type="duplicateValues" dxfId="0" priority="833"/>
    <cfRule type="duplicateValues" dxfId="1" priority="834"/>
  </conditionalFormatting>
  <conditionalFormatting sqref="A16">
    <cfRule type="duplicateValues" dxfId="1" priority="771"/>
  </conditionalFormatting>
  <conditionalFormatting sqref="B16">
    <cfRule type="duplicateValues" dxfId="1" priority="782"/>
  </conditionalFormatting>
  <conditionalFormatting sqref="T16">
    <cfRule type="duplicateValues" dxfId="0" priority="749"/>
    <cfRule type="duplicateValues" dxfId="1" priority="760"/>
  </conditionalFormatting>
  <conditionalFormatting sqref="U16">
    <cfRule type="duplicateValues" dxfId="0" priority="815"/>
    <cfRule type="duplicateValues" dxfId="1" priority="826"/>
  </conditionalFormatting>
  <conditionalFormatting sqref="A17">
    <cfRule type="duplicateValues" dxfId="1" priority="770"/>
  </conditionalFormatting>
  <conditionalFormatting sqref="B17">
    <cfRule type="duplicateValues" dxfId="1" priority="781"/>
  </conditionalFormatting>
  <conditionalFormatting sqref="T17">
    <cfRule type="duplicateValues" dxfId="0" priority="748"/>
    <cfRule type="duplicateValues" dxfId="1" priority="759"/>
  </conditionalFormatting>
  <conditionalFormatting sqref="U17">
    <cfRule type="duplicateValues" dxfId="0" priority="814"/>
    <cfRule type="duplicateValues" dxfId="1" priority="825"/>
  </conditionalFormatting>
  <conditionalFormatting sqref="A18">
    <cfRule type="duplicateValues" dxfId="1" priority="769"/>
  </conditionalFormatting>
  <conditionalFormatting sqref="B18">
    <cfRule type="duplicateValues" dxfId="1" priority="780"/>
  </conditionalFormatting>
  <conditionalFormatting sqref="T18">
    <cfRule type="duplicateValues" dxfId="0" priority="747"/>
    <cfRule type="duplicateValues" dxfId="1" priority="758"/>
  </conditionalFormatting>
  <conditionalFormatting sqref="U18">
    <cfRule type="duplicateValues" dxfId="0" priority="813"/>
    <cfRule type="duplicateValues" dxfId="1" priority="824"/>
  </conditionalFormatting>
  <conditionalFormatting sqref="A19">
    <cfRule type="duplicateValues" dxfId="1" priority="768"/>
  </conditionalFormatting>
  <conditionalFormatting sqref="B19">
    <cfRule type="duplicateValues" dxfId="1" priority="779"/>
  </conditionalFormatting>
  <conditionalFormatting sqref="T19">
    <cfRule type="duplicateValues" dxfId="0" priority="746"/>
    <cfRule type="duplicateValues" dxfId="1" priority="757"/>
  </conditionalFormatting>
  <conditionalFormatting sqref="U19">
    <cfRule type="duplicateValues" dxfId="0" priority="812"/>
    <cfRule type="duplicateValues" dxfId="1" priority="823"/>
  </conditionalFormatting>
  <conditionalFormatting sqref="A20">
    <cfRule type="duplicateValues" dxfId="1" priority="767"/>
  </conditionalFormatting>
  <conditionalFormatting sqref="B20">
    <cfRule type="duplicateValues" dxfId="1" priority="778"/>
  </conditionalFormatting>
  <conditionalFormatting sqref="T20">
    <cfRule type="duplicateValues" dxfId="0" priority="745"/>
    <cfRule type="duplicateValues" dxfId="1" priority="756"/>
  </conditionalFormatting>
  <conditionalFormatting sqref="U20">
    <cfRule type="duplicateValues" dxfId="0" priority="811"/>
    <cfRule type="duplicateValues" dxfId="1" priority="822"/>
  </conditionalFormatting>
  <conditionalFormatting sqref="A21">
    <cfRule type="duplicateValues" dxfId="1" priority="766"/>
  </conditionalFormatting>
  <conditionalFormatting sqref="B21">
    <cfRule type="duplicateValues" dxfId="1" priority="777"/>
  </conditionalFormatting>
  <conditionalFormatting sqref="T21">
    <cfRule type="duplicateValues" dxfId="0" priority="744"/>
    <cfRule type="duplicateValues" dxfId="1" priority="755"/>
  </conditionalFormatting>
  <conditionalFormatting sqref="U21">
    <cfRule type="duplicateValues" dxfId="0" priority="810"/>
    <cfRule type="duplicateValues" dxfId="1" priority="821"/>
  </conditionalFormatting>
  <conditionalFormatting sqref="A22">
    <cfRule type="duplicateValues" dxfId="1" priority="765"/>
  </conditionalFormatting>
  <conditionalFormatting sqref="B22">
    <cfRule type="duplicateValues" dxfId="1" priority="776"/>
  </conditionalFormatting>
  <conditionalFormatting sqref="T22">
    <cfRule type="duplicateValues" dxfId="0" priority="743"/>
    <cfRule type="duplicateValues" dxfId="1" priority="754"/>
  </conditionalFormatting>
  <conditionalFormatting sqref="U22">
    <cfRule type="duplicateValues" dxfId="0" priority="809"/>
    <cfRule type="duplicateValues" dxfId="1" priority="820"/>
  </conditionalFormatting>
  <conditionalFormatting sqref="A23">
    <cfRule type="duplicateValues" dxfId="1" priority="764"/>
  </conditionalFormatting>
  <conditionalFormatting sqref="B23">
    <cfRule type="duplicateValues" dxfId="1" priority="775"/>
  </conditionalFormatting>
  <conditionalFormatting sqref="T23">
    <cfRule type="duplicateValues" dxfId="0" priority="742"/>
    <cfRule type="duplicateValues" dxfId="1" priority="753"/>
  </conditionalFormatting>
  <conditionalFormatting sqref="U23">
    <cfRule type="duplicateValues" dxfId="0" priority="808"/>
    <cfRule type="duplicateValues" dxfId="1" priority="819"/>
  </conditionalFormatting>
  <conditionalFormatting sqref="A24">
    <cfRule type="duplicateValues" dxfId="1" priority="763"/>
  </conditionalFormatting>
  <conditionalFormatting sqref="B24">
    <cfRule type="duplicateValues" dxfId="1" priority="774"/>
  </conditionalFormatting>
  <conditionalFormatting sqref="T24">
    <cfRule type="duplicateValues" dxfId="0" priority="741"/>
    <cfRule type="duplicateValues" dxfId="1" priority="752"/>
  </conditionalFormatting>
  <conditionalFormatting sqref="U24">
    <cfRule type="duplicateValues" dxfId="0" priority="807"/>
    <cfRule type="duplicateValues" dxfId="1" priority="818"/>
  </conditionalFormatting>
  <conditionalFormatting sqref="A25">
    <cfRule type="duplicateValues" dxfId="1" priority="762"/>
  </conditionalFormatting>
  <conditionalFormatting sqref="B25">
    <cfRule type="duplicateValues" dxfId="1" priority="773"/>
  </conditionalFormatting>
  <conditionalFormatting sqref="T25">
    <cfRule type="duplicateValues" dxfId="0" priority="740"/>
    <cfRule type="duplicateValues" dxfId="1" priority="751"/>
  </conditionalFormatting>
  <conditionalFormatting sqref="U25">
    <cfRule type="duplicateValues" dxfId="0" priority="806"/>
    <cfRule type="duplicateValues" dxfId="1" priority="817"/>
  </conditionalFormatting>
  <conditionalFormatting sqref="A26">
    <cfRule type="duplicateValues" dxfId="1" priority="761"/>
  </conditionalFormatting>
  <conditionalFormatting sqref="B26">
    <cfRule type="duplicateValues" dxfId="1" priority="772"/>
  </conditionalFormatting>
  <conditionalFormatting sqref="T26">
    <cfRule type="duplicateValues" dxfId="0" priority="739"/>
    <cfRule type="duplicateValues" dxfId="1" priority="750"/>
  </conditionalFormatting>
  <conditionalFormatting sqref="U26">
    <cfRule type="duplicateValues" dxfId="0" priority="805"/>
    <cfRule type="duplicateValues" dxfId="1" priority="816"/>
  </conditionalFormatting>
  <conditionalFormatting sqref="A27">
    <cfRule type="duplicateValues" dxfId="1" priority="733"/>
  </conditionalFormatting>
  <conditionalFormatting sqref="B27">
    <cfRule type="duplicateValues" dxfId="1" priority="734"/>
  </conditionalFormatting>
  <conditionalFormatting sqref="T27">
    <cfRule type="duplicateValues" dxfId="0" priority="731"/>
    <cfRule type="duplicateValues" dxfId="1" priority="732"/>
    <cfRule type="expression" dxfId="2" priority="735">
      <formula>AND(#REF!&lt;&gt;"",COUNTIF($A:$A,#REF!)&gt;1)</formula>
    </cfRule>
  </conditionalFormatting>
  <conditionalFormatting sqref="U27">
    <cfRule type="duplicateValues" dxfId="0" priority="737"/>
    <cfRule type="duplicateValues" dxfId="1" priority="738"/>
  </conditionalFormatting>
  <conditionalFormatting sqref="A28">
    <cfRule type="duplicateValues" dxfId="1" priority="690"/>
  </conditionalFormatting>
  <conditionalFormatting sqref="B28">
    <cfRule type="duplicateValues" dxfId="1" priority="698"/>
  </conditionalFormatting>
  <conditionalFormatting sqref="T28">
    <cfRule type="duplicateValues" dxfId="0" priority="674"/>
    <cfRule type="duplicateValues" dxfId="1" priority="682"/>
  </conditionalFormatting>
  <conditionalFormatting sqref="U28">
    <cfRule type="duplicateValues" dxfId="0" priority="722"/>
    <cfRule type="duplicateValues" dxfId="1" priority="730"/>
  </conditionalFormatting>
  <conditionalFormatting sqref="A29">
    <cfRule type="duplicateValues" dxfId="1" priority="689"/>
  </conditionalFormatting>
  <conditionalFormatting sqref="B29">
    <cfRule type="duplicateValues" dxfId="1" priority="697"/>
  </conditionalFormatting>
  <conditionalFormatting sqref="T29">
    <cfRule type="duplicateValues" dxfId="0" priority="673"/>
    <cfRule type="duplicateValues" dxfId="1" priority="681"/>
  </conditionalFormatting>
  <conditionalFormatting sqref="U29">
    <cfRule type="duplicateValues" dxfId="0" priority="721"/>
    <cfRule type="duplicateValues" dxfId="1" priority="729"/>
  </conditionalFormatting>
  <conditionalFormatting sqref="A30">
    <cfRule type="duplicateValues" dxfId="1" priority="688"/>
  </conditionalFormatting>
  <conditionalFormatting sqref="B30">
    <cfRule type="duplicateValues" dxfId="1" priority="696"/>
  </conditionalFormatting>
  <conditionalFormatting sqref="T30">
    <cfRule type="duplicateValues" dxfId="0" priority="672"/>
    <cfRule type="duplicateValues" dxfId="1" priority="680"/>
  </conditionalFormatting>
  <conditionalFormatting sqref="U30">
    <cfRule type="duplicateValues" dxfId="0" priority="720"/>
    <cfRule type="duplicateValues" dxfId="1" priority="728"/>
  </conditionalFormatting>
  <conditionalFormatting sqref="A31">
    <cfRule type="duplicateValues" dxfId="1" priority="687"/>
  </conditionalFormatting>
  <conditionalFormatting sqref="B31">
    <cfRule type="duplicateValues" dxfId="1" priority="695"/>
  </conditionalFormatting>
  <conditionalFormatting sqref="T31">
    <cfRule type="duplicateValues" dxfId="0" priority="671"/>
    <cfRule type="duplicateValues" dxfId="1" priority="679"/>
  </conditionalFormatting>
  <conditionalFormatting sqref="U31">
    <cfRule type="duplicateValues" dxfId="0" priority="719"/>
    <cfRule type="duplicateValues" dxfId="1" priority="727"/>
  </conditionalFormatting>
  <conditionalFormatting sqref="A32">
    <cfRule type="duplicateValues" dxfId="1" priority="686"/>
  </conditionalFormatting>
  <conditionalFormatting sqref="B32">
    <cfRule type="duplicateValues" dxfId="1" priority="694"/>
  </conditionalFormatting>
  <conditionalFormatting sqref="T32">
    <cfRule type="duplicateValues" dxfId="0" priority="670"/>
    <cfRule type="duplicateValues" dxfId="1" priority="678"/>
  </conditionalFormatting>
  <conditionalFormatting sqref="U32">
    <cfRule type="duplicateValues" dxfId="0" priority="718"/>
    <cfRule type="duplicateValues" dxfId="1" priority="726"/>
  </conditionalFormatting>
  <conditionalFormatting sqref="A33">
    <cfRule type="duplicateValues" dxfId="1" priority="685"/>
  </conditionalFormatting>
  <conditionalFormatting sqref="B33">
    <cfRule type="duplicateValues" dxfId="1" priority="693"/>
  </conditionalFormatting>
  <conditionalFormatting sqref="T33">
    <cfRule type="duplicateValues" dxfId="0" priority="669"/>
    <cfRule type="duplicateValues" dxfId="1" priority="677"/>
  </conditionalFormatting>
  <conditionalFormatting sqref="U33">
    <cfRule type="duplicateValues" dxfId="0" priority="717"/>
    <cfRule type="duplicateValues" dxfId="1" priority="725"/>
  </conditionalFormatting>
  <conditionalFormatting sqref="A34">
    <cfRule type="duplicateValues" dxfId="1" priority="684"/>
  </conditionalFormatting>
  <conditionalFormatting sqref="B34">
    <cfRule type="duplicateValues" dxfId="1" priority="692"/>
  </conditionalFormatting>
  <conditionalFormatting sqref="T34">
    <cfRule type="duplicateValues" dxfId="0" priority="668"/>
    <cfRule type="duplicateValues" dxfId="1" priority="676"/>
  </conditionalFormatting>
  <conditionalFormatting sqref="U34">
    <cfRule type="duplicateValues" dxfId="0" priority="716"/>
    <cfRule type="duplicateValues" dxfId="1" priority="724"/>
  </conditionalFormatting>
  <conditionalFormatting sqref="A35">
    <cfRule type="duplicateValues" dxfId="1" priority="683"/>
  </conditionalFormatting>
  <conditionalFormatting sqref="B35">
    <cfRule type="duplicateValues" dxfId="1" priority="691"/>
  </conditionalFormatting>
  <conditionalFormatting sqref="T35">
    <cfRule type="duplicateValues" dxfId="0" priority="667"/>
    <cfRule type="duplicateValues" dxfId="1" priority="675"/>
  </conditionalFormatting>
  <conditionalFormatting sqref="U35">
    <cfRule type="duplicateValues" dxfId="0" priority="715"/>
    <cfRule type="duplicateValues" dxfId="1" priority="723"/>
  </conditionalFormatting>
  <conditionalFormatting sqref="A36">
    <cfRule type="duplicateValues" dxfId="1" priority="631"/>
  </conditionalFormatting>
  <conditionalFormatting sqref="B36">
    <cfRule type="duplicateValues" dxfId="1" priority="638"/>
  </conditionalFormatting>
  <conditionalFormatting sqref="T36">
    <cfRule type="duplicateValues" dxfId="0" priority="617"/>
    <cfRule type="duplicateValues" dxfId="1" priority="624"/>
  </conditionalFormatting>
  <conditionalFormatting sqref="U36">
    <cfRule type="duplicateValues" dxfId="0" priority="659"/>
    <cfRule type="duplicateValues" dxfId="1" priority="666"/>
  </conditionalFormatting>
  <conditionalFormatting sqref="A37">
    <cfRule type="duplicateValues" dxfId="1" priority="630"/>
  </conditionalFormatting>
  <conditionalFormatting sqref="B37">
    <cfRule type="duplicateValues" dxfId="1" priority="637"/>
  </conditionalFormatting>
  <conditionalFormatting sqref="T37">
    <cfRule type="duplicateValues" dxfId="0" priority="616"/>
    <cfRule type="duplicateValues" dxfId="1" priority="623"/>
  </conditionalFormatting>
  <conditionalFormatting sqref="U37">
    <cfRule type="duplicateValues" dxfId="0" priority="658"/>
    <cfRule type="duplicateValues" dxfId="1" priority="665"/>
  </conditionalFormatting>
  <conditionalFormatting sqref="A38">
    <cfRule type="duplicateValues" dxfId="1" priority="629"/>
  </conditionalFormatting>
  <conditionalFormatting sqref="B38">
    <cfRule type="duplicateValues" dxfId="1" priority="636"/>
  </conditionalFormatting>
  <conditionalFormatting sqref="T38">
    <cfRule type="duplicateValues" dxfId="0" priority="615"/>
    <cfRule type="duplicateValues" dxfId="1" priority="622"/>
  </conditionalFormatting>
  <conditionalFormatting sqref="U38">
    <cfRule type="duplicateValues" dxfId="0" priority="657"/>
    <cfRule type="duplicateValues" dxfId="1" priority="664"/>
  </conditionalFormatting>
  <conditionalFormatting sqref="A39">
    <cfRule type="duplicateValues" dxfId="1" priority="628"/>
  </conditionalFormatting>
  <conditionalFormatting sqref="B39">
    <cfRule type="duplicateValues" dxfId="1" priority="635"/>
  </conditionalFormatting>
  <conditionalFormatting sqref="T39">
    <cfRule type="duplicateValues" dxfId="0" priority="614"/>
    <cfRule type="duplicateValues" dxfId="1" priority="621"/>
  </conditionalFormatting>
  <conditionalFormatting sqref="U39">
    <cfRule type="duplicateValues" dxfId="0" priority="656"/>
    <cfRule type="duplicateValues" dxfId="1" priority="663"/>
  </conditionalFormatting>
  <conditionalFormatting sqref="A40">
    <cfRule type="duplicateValues" dxfId="1" priority="627"/>
  </conditionalFormatting>
  <conditionalFormatting sqref="B40">
    <cfRule type="duplicateValues" dxfId="1" priority="634"/>
  </conditionalFormatting>
  <conditionalFormatting sqref="T40">
    <cfRule type="duplicateValues" dxfId="0" priority="613"/>
    <cfRule type="duplicateValues" dxfId="1" priority="620"/>
  </conditionalFormatting>
  <conditionalFormatting sqref="U40">
    <cfRule type="duplicateValues" dxfId="0" priority="655"/>
    <cfRule type="duplicateValues" dxfId="1" priority="662"/>
  </conditionalFormatting>
  <conditionalFormatting sqref="A41">
    <cfRule type="duplicateValues" dxfId="1" priority="626"/>
  </conditionalFormatting>
  <conditionalFormatting sqref="B41">
    <cfRule type="duplicateValues" dxfId="1" priority="633"/>
  </conditionalFormatting>
  <conditionalFormatting sqref="T41">
    <cfRule type="duplicateValues" dxfId="0" priority="612"/>
    <cfRule type="duplicateValues" dxfId="1" priority="619"/>
  </conditionalFormatting>
  <conditionalFormatting sqref="U41">
    <cfRule type="duplicateValues" dxfId="0" priority="654"/>
    <cfRule type="duplicateValues" dxfId="1" priority="661"/>
  </conditionalFormatting>
  <conditionalFormatting sqref="A42">
    <cfRule type="duplicateValues" dxfId="1" priority="625"/>
  </conditionalFormatting>
  <conditionalFormatting sqref="B42">
    <cfRule type="duplicateValues" dxfId="1" priority="632"/>
  </conditionalFormatting>
  <conditionalFormatting sqref="T42">
    <cfRule type="duplicateValues" dxfId="0" priority="611"/>
    <cfRule type="duplicateValues" dxfId="1" priority="618"/>
  </conditionalFormatting>
  <conditionalFormatting sqref="U42">
    <cfRule type="duplicateValues" dxfId="0" priority="653"/>
    <cfRule type="duplicateValues" dxfId="1" priority="660"/>
  </conditionalFormatting>
  <conditionalFormatting sqref="A43">
    <cfRule type="duplicateValues" dxfId="1" priority="605"/>
  </conditionalFormatting>
  <conditionalFormatting sqref="B43">
    <cfRule type="duplicateValues" dxfId="1" priority="606"/>
  </conditionalFormatting>
  <conditionalFormatting sqref="T43">
    <cfRule type="duplicateValues" dxfId="0" priority="603"/>
    <cfRule type="duplicateValues" dxfId="1" priority="604"/>
    <cfRule type="expression" dxfId="2" priority="607">
      <formula>AND(#REF!&lt;&gt;"",COUNTIF($A:$A,#REF!)&gt;1)</formula>
    </cfRule>
  </conditionalFormatting>
  <conditionalFormatting sqref="U43">
    <cfRule type="duplicateValues" dxfId="0" priority="609"/>
    <cfRule type="duplicateValues" dxfId="1" priority="610"/>
  </conditionalFormatting>
  <conditionalFormatting sqref="A44">
    <cfRule type="duplicateValues" dxfId="1" priority="532"/>
  </conditionalFormatting>
  <conditionalFormatting sqref="B44">
    <cfRule type="duplicateValues" dxfId="1" priority="546"/>
  </conditionalFormatting>
  <conditionalFormatting sqref="T44">
    <cfRule type="duplicateValues" dxfId="0" priority="504"/>
    <cfRule type="duplicateValues" dxfId="1" priority="518"/>
  </conditionalFormatting>
  <conditionalFormatting sqref="U44">
    <cfRule type="duplicateValues" dxfId="0" priority="588"/>
    <cfRule type="duplicateValues" dxfId="1" priority="602"/>
  </conditionalFormatting>
  <conditionalFormatting sqref="A45">
    <cfRule type="duplicateValues" dxfId="1" priority="531"/>
  </conditionalFormatting>
  <conditionalFormatting sqref="B45">
    <cfRule type="duplicateValues" dxfId="1" priority="545"/>
  </conditionalFormatting>
  <conditionalFormatting sqref="T45">
    <cfRule type="duplicateValues" dxfId="0" priority="503"/>
    <cfRule type="duplicateValues" dxfId="1" priority="517"/>
  </conditionalFormatting>
  <conditionalFormatting sqref="U45">
    <cfRule type="duplicateValues" dxfId="0" priority="587"/>
    <cfRule type="duplicateValues" dxfId="1" priority="601"/>
  </conditionalFormatting>
  <conditionalFormatting sqref="A46">
    <cfRule type="duplicateValues" dxfId="1" priority="529"/>
  </conditionalFormatting>
  <conditionalFormatting sqref="B46">
    <cfRule type="duplicateValues" dxfId="1" priority="543"/>
  </conditionalFormatting>
  <conditionalFormatting sqref="T46">
    <cfRule type="duplicateValues" dxfId="0" priority="501"/>
    <cfRule type="duplicateValues" dxfId="1" priority="515"/>
  </conditionalFormatting>
  <conditionalFormatting sqref="U46">
    <cfRule type="duplicateValues" dxfId="0" priority="585"/>
    <cfRule type="duplicateValues" dxfId="1" priority="599"/>
  </conditionalFormatting>
  <conditionalFormatting sqref="A47">
    <cfRule type="duplicateValues" dxfId="1" priority="528"/>
  </conditionalFormatting>
  <conditionalFormatting sqref="B47">
    <cfRule type="duplicateValues" dxfId="1" priority="542"/>
  </conditionalFormatting>
  <conditionalFormatting sqref="T47">
    <cfRule type="duplicateValues" dxfId="0" priority="500"/>
    <cfRule type="duplicateValues" dxfId="1" priority="514"/>
  </conditionalFormatting>
  <conditionalFormatting sqref="U47">
    <cfRule type="duplicateValues" dxfId="0" priority="584"/>
    <cfRule type="duplicateValues" dxfId="1" priority="598"/>
  </conditionalFormatting>
  <conditionalFormatting sqref="A48">
    <cfRule type="duplicateValues" dxfId="1" priority="527"/>
  </conditionalFormatting>
  <conditionalFormatting sqref="B48">
    <cfRule type="duplicateValues" dxfId="1" priority="541"/>
  </conditionalFormatting>
  <conditionalFormatting sqref="T48">
    <cfRule type="duplicateValues" dxfId="0" priority="499"/>
    <cfRule type="duplicateValues" dxfId="1" priority="513"/>
  </conditionalFormatting>
  <conditionalFormatting sqref="U48">
    <cfRule type="duplicateValues" dxfId="0" priority="583"/>
    <cfRule type="duplicateValues" dxfId="1" priority="597"/>
  </conditionalFormatting>
  <conditionalFormatting sqref="A49">
    <cfRule type="duplicateValues" dxfId="1" priority="526"/>
  </conditionalFormatting>
  <conditionalFormatting sqref="B49">
    <cfRule type="duplicateValues" dxfId="1" priority="540"/>
  </conditionalFormatting>
  <conditionalFormatting sqref="T49">
    <cfRule type="duplicateValues" dxfId="0" priority="498"/>
    <cfRule type="duplicateValues" dxfId="1" priority="512"/>
  </conditionalFormatting>
  <conditionalFormatting sqref="U49">
    <cfRule type="duplicateValues" dxfId="0" priority="582"/>
    <cfRule type="duplicateValues" dxfId="1" priority="596"/>
  </conditionalFormatting>
  <conditionalFormatting sqref="A50">
    <cfRule type="duplicateValues" dxfId="1" priority="525"/>
  </conditionalFormatting>
  <conditionalFormatting sqref="B50">
    <cfRule type="duplicateValues" dxfId="1" priority="539"/>
  </conditionalFormatting>
  <conditionalFormatting sqref="T50">
    <cfRule type="duplicateValues" dxfId="0" priority="497"/>
    <cfRule type="duplicateValues" dxfId="1" priority="511"/>
  </conditionalFormatting>
  <conditionalFormatting sqref="U50">
    <cfRule type="duplicateValues" dxfId="0" priority="581"/>
    <cfRule type="duplicateValues" dxfId="1" priority="595"/>
  </conditionalFormatting>
  <conditionalFormatting sqref="A51">
    <cfRule type="duplicateValues" dxfId="1" priority="524"/>
  </conditionalFormatting>
  <conditionalFormatting sqref="B51">
    <cfRule type="duplicateValues" dxfId="1" priority="538"/>
  </conditionalFormatting>
  <conditionalFormatting sqref="T51">
    <cfRule type="duplicateValues" dxfId="0" priority="496"/>
    <cfRule type="duplicateValues" dxfId="1" priority="510"/>
  </conditionalFormatting>
  <conditionalFormatting sqref="U51">
    <cfRule type="duplicateValues" dxfId="0" priority="580"/>
    <cfRule type="duplicateValues" dxfId="1" priority="594"/>
  </conditionalFormatting>
  <conditionalFormatting sqref="A52">
    <cfRule type="duplicateValues" dxfId="1" priority="523"/>
  </conditionalFormatting>
  <conditionalFormatting sqref="B52">
    <cfRule type="duplicateValues" dxfId="1" priority="537"/>
  </conditionalFormatting>
  <conditionalFormatting sqref="T52">
    <cfRule type="duplicateValues" dxfId="0" priority="495"/>
    <cfRule type="duplicateValues" dxfId="1" priority="509"/>
  </conditionalFormatting>
  <conditionalFormatting sqref="U52">
    <cfRule type="duplicateValues" dxfId="0" priority="579"/>
    <cfRule type="duplicateValues" dxfId="1" priority="593"/>
  </conditionalFormatting>
  <conditionalFormatting sqref="A53">
    <cfRule type="duplicateValues" dxfId="1" priority="522"/>
  </conditionalFormatting>
  <conditionalFormatting sqref="B53">
    <cfRule type="duplicateValues" dxfId="1" priority="536"/>
  </conditionalFormatting>
  <conditionalFormatting sqref="T53">
    <cfRule type="duplicateValues" dxfId="0" priority="494"/>
    <cfRule type="duplicateValues" dxfId="1" priority="508"/>
  </conditionalFormatting>
  <conditionalFormatting sqref="U53">
    <cfRule type="duplicateValues" dxfId="0" priority="578"/>
    <cfRule type="duplicateValues" dxfId="1" priority="592"/>
  </conditionalFormatting>
  <conditionalFormatting sqref="A54">
    <cfRule type="duplicateValues" dxfId="1" priority="521"/>
  </conditionalFormatting>
  <conditionalFormatting sqref="B54">
    <cfRule type="duplicateValues" dxfId="1" priority="535"/>
  </conditionalFormatting>
  <conditionalFormatting sqref="T54">
    <cfRule type="duplicateValues" dxfId="0" priority="493"/>
    <cfRule type="duplicateValues" dxfId="1" priority="507"/>
  </conditionalFormatting>
  <conditionalFormatting sqref="U54">
    <cfRule type="duplicateValues" dxfId="0" priority="577"/>
    <cfRule type="duplicateValues" dxfId="1" priority="591"/>
  </conditionalFormatting>
  <conditionalFormatting sqref="A55">
    <cfRule type="duplicateValues" dxfId="1" priority="520"/>
  </conditionalFormatting>
  <conditionalFormatting sqref="B55">
    <cfRule type="duplicateValues" dxfId="1" priority="534"/>
  </conditionalFormatting>
  <conditionalFormatting sqref="T55">
    <cfRule type="duplicateValues" dxfId="0" priority="492"/>
    <cfRule type="duplicateValues" dxfId="1" priority="506"/>
  </conditionalFormatting>
  <conditionalFormatting sqref="U55">
    <cfRule type="duplicateValues" dxfId="0" priority="576"/>
    <cfRule type="duplicateValues" dxfId="1" priority="590"/>
  </conditionalFormatting>
  <conditionalFormatting sqref="A56">
    <cfRule type="duplicateValues" dxfId="1" priority="389"/>
  </conditionalFormatting>
  <conditionalFormatting sqref="B56">
    <cfRule type="duplicateValues" dxfId="1" priority="390"/>
  </conditionalFormatting>
  <conditionalFormatting sqref="T56">
    <cfRule type="duplicateValues" dxfId="0" priority="387"/>
    <cfRule type="duplicateValues" dxfId="1" priority="388"/>
    <cfRule type="expression" dxfId="2" priority="391">
      <formula>AND(#REF!&lt;&gt;"",COUNTIF($A:$A,#REF!)&gt;1)</formula>
    </cfRule>
  </conditionalFormatting>
  <conditionalFormatting sqref="U56">
    <cfRule type="duplicateValues" dxfId="0" priority="393"/>
    <cfRule type="duplicateValues" dxfId="1" priority="394"/>
  </conditionalFormatting>
  <conditionalFormatting sqref="A57">
    <cfRule type="duplicateValues" dxfId="1" priority="430"/>
  </conditionalFormatting>
  <conditionalFormatting sqref="B57">
    <cfRule type="duplicateValues" dxfId="1" priority="442"/>
  </conditionalFormatting>
  <conditionalFormatting sqref="T57">
    <cfRule type="duplicateValues" dxfId="0" priority="406"/>
    <cfRule type="duplicateValues" dxfId="1" priority="418"/>
  </conditionalFormatting>
  <conditionalFormatting sqref="U57">
    <cfRule type="duplicateValues" dxfId="0" priority="478"/>
    <cfRule type="duplicateValues" dxfId="1" priority="490"/>
  </conditionalFormatting>
  <conditionalFormatting sqref="A58">
    <cfRule type="duplicateValues" dxfId="1" priority="428"/>
  </conditionalFormatting>
  <conditionalFormatting sqref="B58">
    <cfRule type="duplicateValues" dxfId="1" priority="440"/>
  </conditionalFormatting>
  <conditionalFormatting sqref="T58">
    <cfRule type="duplicateValues" dxfId="0" priority="404"/>
    <cfRule type="duplicateValues" dxfId="1" priority="416"/>
  </conditionalFormatting>
  <conditionalFormatting sqref="U58">
    <cfRule type="duplicateValues" dxfId="0" priority="476"/>
    <cfRule type="duplicateValues" dxfId="1" priority="488"/>
  </conditionalFormatting>
  <conditionalFormatting sqref="A59">
    <cfRule type="duplicateValues" dxfId="1" priority="427"/>
  </conditionalFormatting>
  <conditionalFormatting sqref="B59">
    <cfRule type="duplicateValues" dxfId="1" priority="439"/>
  </conditionalFormatting>
  <conditionalFormatting sqref="T59">
    <cfRule type="duplicateValues" dxfId="0" priority="403"/>
    <cfRule type="duplicateValues" dxfId="1" priority="415"/>
  </conditionalFormatting>
  <conditionalFormatting sqref="U59">
    <cfRule type="duplicateValues" dxfId="0" priority="475"/>
    <cfRule type="duplicateValues" dxfId="1" priority="487"/>
  </conditionalFormatting>
  <conditionalFormatting sqref="A60">
    <cfRule type="duplicateValues" dxfId="1" priority="426"/>
  </conditionalFormatting>
  <conditionalFormatting sqref="B60">
    <cfRule type="duplicateValues" dxfId="1" priority="438"/>
  </conditionalFormatting>
  <conditionalFormatting sqref="T60">
    <cfRule type="duplicateValues" dxfId="0" priority="402"/>
    <cfRule type="duplicateValues" dxfId="1" priority="414"/>
  </conditionalFormatting>
  <conditionalFormatting sqref="U60">
    <cfRule type="duplicateValues" dxfId="0" priority="474"/>
    <cfRule type="duplicateValues" dxfId="1" priority="486"/>
  </conditionalFormatting>
  <conditionalFormatting sqref="A61">
    <cfRule type="duplicateValues" dxfId="1" priority="425"/>
  </conditionalFormatting>
  <conditionalFormatting sqref="B61">
    <cfRule type="duplicateValues" dxfId="1" priority="437"/>
  </conditionalFormatting>
  <conditionalFormatting sqref="T61">
    <cfRule type="duplicateValues" dxfId="0" priority="401"/>
    <cfRule type="duplicateValues" dxfId="1" priority="413"/>
  </conditionalFormatting>
  <conditionalFormatting sqref="U61">
    <cfRule type="duplicateValues" dxfId="0" priority="473"/>
    <cfRule type="duplicateValues" dxfId="1" priority="485"/>
  </conditionalFormatting>
  <conditionalFormatting sqref="A62">
    <cfRule type="duplicateValues" dxfId="1" priority="424"/>
  </conditionalFormatting>
  <conditionalFormatting sqref="B62">
    <cfRule type="duplicateValues" dxfId="1" priority="436"/>
  </conditionalFormatting>
  <conditionalFormatting sqref="T62">
    <cfRule type="duplicateValues" dxfId="0" priority="400"/>
    <cfRule type="duplicateValues" dxfId="1" priority="412"/>
  </conditionalFormatting>
  <conditionalFormatting sqref="U62">
    <cfRule type="duplicateValues" dxfId="0" priority="472"/>
    <cfRule type="duplicateValues" dxfId="1" priority="484"/>
  </conditionalFormatting>
  <conditionalFormatting sqref="A63">
    <cfRule type="duplicateValues" dxfId="1" priority="423"/>
  </conditionalFormatting>
  <conditionalFormatting sqref="B63">
    <cfRule type="duplicateValues" dxfId="1" priority="435"/>
  </conditionalFormatting>
  <conditionalFormatting sqref="T63">
    <cfRule type="duplicateValues" dxfId="0" priority="399"/>
    <cfRule type="duplicateValues" dxfId="1" priority="411"/>
  </conditionalFormatting>
  <conditionalFormatting sqref="U63">
    <cfRule type="duplicateValues" dxfId="0" priority="471"/>
    <cfRule type="duplicateValues" dxfId="1" priority="483"/>
  </conditionalFormatting>
  <conditionalFormatting sqref="A64">
    <cfRule type="duplicateValues" dxfId="1" priority="422"/>
  </conditionalFormatting>
  <conditionalFormatting sqref="B64">
    <cfRule type="duplicateValues" dxfId="1" priority="434"/>
  </conditionalFormatting>
  <conditionalFormatting sqref="T64">
    <cfRule type="duplicateValues" dxfId="0" priority="398"/>
    <cfRule type="duplicateValues" dxfId="1" priority="410"/>
  </conditionalFormatting>
  <conditionalFormatting sqref="U64">
    <cfRule type="duplicateValues" dxfId="0" priority="470"/>
    <cfRule type="duplicateValues" dxfId="1" priority="482"/>
  </conditionalFormatting>
  <conditionalFormatting sqref="A65">
    <cfRule type="duplicateValues" dxfId="1" priority="421"/>
  </conditionalFormatting>
  <conditionalFormatting sqref="B65">
    <cfRule type="duplicateValues" dxfId="1" priority="433"/>
  </conditionalFormatting>
  <conditionalFormatting sqref="T65">
    <cfRule type="duplicateValues" dxfId="0" priority="397"/>
    <cfRule type="duplicateValues" dxfId="1" priority="409"/>
  </conditionalFormatting>
  <conditionalFormatting sqref="U65">
    <cfRule type="duplicateValues" dxfId="0" priority="469"/>
    <cfRule type="duplicateValues" dxfId="1" priority="481"/>
  </conditionalFormatting>
  <conditionalFormatting sqref="A66">
    <cfRule type="duplicateValues" dxfId="1" priority="420"/>
  </conditionalFormatting>
  <conditionalFormatting sqref="B66">
    <cfRule type="duplicateValues" dxfId="1" priority="432"/>
  </conditionalFormatting>
  <conditionalFormatting sqref="T66">
    <cfRule type="duplicateValues" dxfId="0" priority="396"/>
    <cfRule type="duplicateValues" dxfId="1" priority="408"/>
  </conditionalFormatting>
  <conditionalFormatting sqref="U66">
    <cfRule type="duplicateValues" dxfId="0" priority="468"/>
    <cfRule type="duplicateValues" dxfId="1" priority="480"/>
  </conditionalFormatting>
  <conditionalFormatting sqref="A67">
    <cfRule type="duplicateValues" dxfId="1" priority="419"/>
  </conditionalFormatting>
  <conditionalFormatting sqref="B67">
    <cfRule type="duplicateValues" dxfId="1" priority="431"/>
  </conditionalFormatting>
  <conditionalFormatting sqref="T67">
    <cfRule type="duplicateValues" dxfId="0" priority="395"/>
    <cfRule type="duplicateValues" dxfId="1" priority="407"/>
  </conditionalFormatting>
  <conditionalFormatting sqref="U67">
    <cfRule type="duplicateValues" dxfId="0" priority="467"/>
    <cfRule type="duplicateValues" dxfId="1" priority="479"/>
  </conditionalFormatting>
  <conditionalFormatting sqref="A68">
    <cfRule type="duplicateValues" dxfId="1" priority="345"/>
  </conditionalFormatting>
  <conditionalFormatting sqref="B68">
    <cfRule type="duplicateValues" dxfId="1" priority="353"/>
  </conditionalFormatting>
  <conditionalFormatting sqref="T68">
    <cfRule type="duplicateValues" dxfId="0" priority="329"/>
    <cfRule type="duplicateValues" dxfId="1" priority="337"/>
  </conditionalFormatting>
  <conditionalFormatting sqref="U68">
    <cfRule type="duplicateValues" dxfId="0" priority="377"/>
    <cfRule type="duplicateValues" dxfId="1" priority="385"/>
  </conditionalFormatting>
  <conditionalFormatting sqref="A69">
    <cfRule type="duplicateValues" dxfId="1" priority="344"/>
  </conditionalFormatting>
  <conditionalFormatting sqref="B69">
    <cfRule type="duplicateValues" dxfId="1" priority="352"/>
  </conditionalFormatting>
  <conditionalFormatting sqref="T69">
    <cfRule type="duplicateValues" dxfId="0" priority="328"/>
    <cfRule type="duplicateValues" dxfId="1" priority="336"/>
  </conditionalFormatting>
  <conditionalFormatting sqref="U69">
    <cfRule type="duplicateValues" dxfId="0" priority="376"/>
    <cfRule type="duplicateValues" dxfId="1" priority="384"/>
  </conditionalFormatting>
  <conditionalFormatting sqref="A70">
    <cfRule type="duplicateValues" dxfId="1" priority="343"/>
  </conditionalFormatting>
  <conditionalFormatting sqref="B70">
    <cfRule type="duplicateValues" dxfId="1" priority="351"/>
  </conditionalFormatting>
  <conditionalFormatting sqref="T70">
    <cfRule type="duplicateValues" dxfId="0" priority="327"/>
    <cfRule type="duplicateValues" dxfId="1" priority="335"/>
  </conditionalFormatting>
  <conditionalFormatting sqref="U70">
    <cfRule type="duplicateValues" dxfId="0" priority="375"/>
    <cfRule type="duplicateValues" dxfId="1" priority="383"/>
  </conditionalFormatting>
  <conditionalFormatting sqref="A71">
    <cfRule type="duplicateValues" dxfId="1" priority="342"/>
  </conditionalFormatting>
  <conditionalFormatting sqref="B71">
    <cfRule type="duplicateValues" dxfId="1" priority="350"/>
  </conditionalFormatting>
  <conditionalFormatting sqref="T71">
    <cfRule type="duplicateValues" dxfId="0" priority="326"/>
    <cfRule type="duplicateValues" dxfId="1" priority="334"/>
  </conditionalFormatting>
  <conditionalFormatting sqref="U71">
    <cfRule type="duplicateValues" dxfId="0" priority="374"/>
    <cfRule type="duplicateValues" dxfId="1" priority="382"/>
  </conditionalFormatting>
  <conditionalFormatting sqref="A72">
    <cfRule type="duplicateValues" dxfId="1" priority="341"/>
  </conditionalFormatting>
  <conditionalFormatting sqref="B72">
    <cfRule type="duplicateValues" dxfId="1" priority="349"/>
  </conditionalFormatting>
  <conditionalFormatting sqref="T72">
    <cfRule type="duplicateValues" dxfId="0" priority="325"/>
    <cfRule type="duplicateValues" dxfId="1" priority="333"/>
  </conditionalFormatting>
  <conditionalFormatting sqref="U72">
    <cfRule type="duplicateValues" dxfId="0" priority="373"/>
    <cfRule type="duplicateValues" dxfId="1" priority="381"/>
  </conditionalFormatting>
  <conditionalFormatting sqref="A73">
    <cfRule type="duplicateValues" dxfId="1" priority="340"/>
  </conditionalFormatting>
  <conditionalFormatting sqref="B73">
    <cfRule type="duplicateValues" dxfId="1" priority="348"/>
  </conditionalFormatting>
  <conditionalFormatting sqref="T73">
    <cfRule type="duplicateValues" dxfId="0" priority="324"/>
    <cfRule type="duplicateValues" dxfId="1" priority="332"/>
  </conditionalFormatting>
  <conditionalFormatting sqref="U73">
    <cfRule type="duplicateValues" dxfId="0" priority="372"/>
    <cfRule type="duplicateValues" dxfId="1" priority="380"/>
  </conditionalFormatting>
  <conditionalFormatting sqref="A74">
    <cfRule type="duplicateValues" dxfId="1" priority="339"/>
  </conditionalFormatting>
  <conditionalFormatting sqref="B74">
    <cfRule type="duplicateValues" dxfId="1" priority="347"/>
  </conditionalFormatting>
  <conditionalFormatting sqref="T74">
    <cfRule type="duplicateValues" dxfId="0" priority="323"/>
    <cfRule type="duplicateValues" dxfId="1" priority="331"/>
  </conditionalFormatting>
  <conditionalFormatting sqref="U74">
    <cfRule type="duplicateValues" dxfId="0" priority="371"/>
    <cfRule type="duplicateValues" dxfId="1" priority="379"/>
  </conditionalFormatting>
  <conditionalFormatting sqref="A75">
    <cfRule type="duplicateValues" dxfId="1" priority="317"/>
  </conditionalFormatting>
  <conditionalFormatting sqref="B75">
    <cfRule type="duplicateValues" dxfId="1" priority="318"/>
  </conditionalFormatting>
  <conditionalFormatting sqref="T75">
    <cfRule type="duplicateValues" dxfId="0" priority="315"/>
    <cfRule type="duplicateValues" dxfId="1" priority="316"/>
  </conditionalFormatting>
  <conditionalFormatting sqref="T75:U75">
    <cfRule type="expression" dxfId="2" priority="319">
      <formula>AND(#REF!&lt;&gt;"",COUNTIF($A:$A,#REF!)&gt;1)</formula>
    </cfRule>
  </conditionalFormatting>
  <conditionalFormatting sqref="U75">
    <cfRule type="duplicateValues" dxfId="0" priority="321"/>
    <cfRule type="duplicateValues" dxfId="1" priority="322"/>
  </conditionalFormatting>
  <conditionalFormatting sqref="A76">
    <cfRule type="duplicateValues" dxfId="1" priority="301"/>
  </conditionalFormatting>
  <conditionalFormatting sqref="B76">
    <cfRule type="duplicateValues" dxfId="1" priority="302"/>
  </conditionalFormatting>
  <conditionalFormatting sqref="T76">
    <cfRule type="duplicateValues" dxfId="0" priority="299"/>
    <cfRule type="duplicateValues" dxfId="1" priority="300"/>
  </conditionalFormatting>
  <conditionalFormatting sqref="T76:U76">
    <cfRule type="expression" dxfId="2" priority="303">
      <formula>AND(#REF!&lt;&gt;"",COUNTIF($A:$A,#REF!)&gt;1)</formula>
    </cfRule>
  </conditionalFormatting>
  <conditionalFormatting sqref="U76">
    <cfRule type="duplicateValues" dxfId="0" priority="305"/>
    <cfRule type="duplicateValues" dxfId="1" priority="306"/>
  </conditionalFormatting>
  <conditionalFormatting sqref="A77">
    <cfRule type="duplicateValues" dxfId="1" priority="213"/>
  </conditionalFormatting>
  <conditionalFormatting sqref="B77">
    <cfRule type="duplicateValues" dxfId="1" priority="230"/>
  </conditionalFormatting>
  <conditionalFormatting sqref="T77">
    <cfRule type="duplicateValues" dxfId="0" priority="179"/>
    <cfRule type="duplicateValues" dxfId="1" priority="196"/>
  </conditionalFormatting>
  <conditionalFormatting sqref="U77">
    <cfRule type="duplicateValues" dxfId="0" priority="281"/>
    <cfRule type="duplicateValues" dxfId="1" priority="298"/>
  </conditionalFormatting>
  <conditionalFormatting sqref="A78">
    <cfRule type="duplicateValues" dxfId="1" priority="212"/>
  </conditionalFormatting>
  <conditionalFormatting sqref="B78">
    <cfRule type="duplicateValues" dxfId="1" priority="229"/>
  </conditionalFormatting>
  <conditionalFormatting sqref="T78">
    <cfRule type="duplicateValues" dxfId="0" priority="178"/>
    <cfRule type="duplicateValues" dxfId="1" priority="195"/>
  </conditionalFormatting>
  <conditionalFormatting sqref="U78">
    <cfRule type="duplicateValues" dxfId="0" priority="280"/>
    <cfRule type="duplicateValues" dxfId="1" priority="297"/>
  </conditionalFormatting>
  <conditionalFormatting sqref="A79">
    <cfRule type="duplicateValues" dxfId="1" priority="211"/>
  </conditionalFormatting>
  <conditionalFormatting sqref="B79">
    <cfRule type="duplicateValues" dxfId="1" priority="228"/>
  </conditionalFormatting>
  <conditionalFormatting sqref="T79">
    <cfRule type="duplicateValues" dxfId="0" priority="177"/>
    <cfRule type="duplicateValues" dxfId="1" priority="194"/>
  </conditionalFormatting>
  <conditionalFormatting sqref="U79">
    <cfRule type="duplicateValues" dxfId="0" priority="279"/>
    <cfRule type="duplicateValues" dxfId="1" priority="296"/>
  </conditionalFormatting>
  <conditionalFormatting sqref="A80">
    <cfRule type="duplicateValues" dxfId="1" priority="210"/>
  </conditionalFormatting>
  <conditionalFormatting sqref="B80">
    <cfRule type="duplicateValues" dxfId="1" priority="227"/>
  </conditionalFormatting>
  <conditionalFormatting sqref="T80">
    <cfRule type="duplicateValues" dxfId="0" priority="176"/>
    <cfRule type="duplicateValues" dxfId="1" priority="193"/>
  </conditionalFormatting>
  <conditionalFormatting sqref="U80">
    <cfRule type="duplicateValues" dxfId="0" priority="278"/>
    <cfRule type="duplicateValues" dxfId="1" priority="295"/>
  </conditionalFormatting>
  <conditionalFormatting sqref="A81">
    <cfRule type="duplicateValues" dxfId="1" priority="209"/>
  </conditionalFormatting>
  <conditionalFormatting sqref="B81">
    <cfRule type="duplicateValues" dxfId="1" priority="226"/>
  </conditionalFormatting>
  <conditionalFormatting sqref="T81">
    <cfRule type="duplicateValues" dxfId="0" priority="175"/>
    <cfRule type="duplicateValues" dxfId="1" priority="192"/>
  </conditionalFormatting>
  <conditionalFormatting sqref="U81">
    <cfRule type="duplicateValues" dxfId="0" priority="277"/>
    <cfRule type="duplicateValues" dxfId="1" priority="294"/>
  </conditionalFormatting>
  <conditionalFormatting sqref="A82">
    <cfRule type="duplicateValues" dxfId="1" priority="208"/>
  </conditionalFormatting>
  <conditionalFormatting sqref="B82">
    <cfRule type="duplicateValues" dxfId="1" priority="225"/>
  </conditionalFormatting>
  <conditionalFormatting sqref="T82">
    <cfRule type="duplicateValues" dxfId="0" priority="174"/>
    <cfRule type="duplicateValues" dxfId="1" priority="191"/>
  </conditionalFormatting>
  <conditionalFormatting sqref="U82">
    <cfRule type="duplicateValues" dxfId="0" priority="276"/>
    <cfRule type="duplicateValues" dxfId="1" priority="293"/>
  </conditionalFormatting>
  <conditionalFormatting sqref="A83">
    <cfRule type="duplicateValues" dxfId="1" priority="207"/>
  </conditionalFormatting>
  <conditionalFormatting sqref="B83">
    <cfRule type="duplicateValues" dxfId="1" priority="224"/>
  </conditionalFormatting>
  <conditionalFormatting sqref="T83">
    <cfRule type="duplicateValues" dxfId="0" priority="173"/>
    <cfRule type="duplicateValues" dxfId="1" priority="190"/>
  </conditionalFormatting>
  <conditionalFormatting sqref="U83">
    <cfRule type="duplicateValues" dxfId="0" priority="275"/>
    <cfRule type="duplicateValues" dxfId="1" priority="292"/>
  </conditionalFormatting>
  <conditionalFormatting sqref="A84">
    <cfRule type="duplicateValues" dxfId="1" priority="206"/>
  </conditionalFormatting>
  <conditionalFormatting sqref="B84">
    <cfRule type="duplicateValues" dxfId="1" priority="223"/>
  </conditionalFormatting>
  <conditionalFormatting sqref="T84">
    <cfRule type="duplicateValues" dxfId="0" priority="172"/>
    <cfRule type="duplicateValues" dxfId="1" priority="189"/>
  </conditionalFormatting>
  <conditionalFormatting sqref="U84">
    <cfRule type="duplicateValues" dxfId="0" priority="274"/>
    <cfRule type="duplicateValues" dxfId="1" priority="291"/>
  </conditionalFormatting>
  <conditionalFormatting sqref="A85">
    <cfRule type="duplicateValues" dxfId="1" priority="205"/>
  </conditionalFormatting>
  <conditionalFormatting sqref="B85">
    <cfRule type="duplicateValues" dxfId="1" priority="222"/>
  </conditionalFormatting>
  <conditionalFormatting sqref="T85">
    <cfRule type="duplicateValues" dxfId="0" priority="171"/>
    <cfRule type="duplicateValues" dxfId="1" priority="188"/>
  </conditionalFormatting>
  <conditionalFormatting sqref="U85">
    <cfRule type="duplicateValues" dxfId="0" priority="273"/>
    <cfRule type="duplicateValues" dxfId="1" priority="290"/>
  </conditionalFormatting>
  <conditionalFormatting sqref="A86">
    <cfRule type="duplicateValues" dxfId="1" priority="204"/>
  </conditionalFormatting>
  <conditionalFormatting sqref="B86">
    <cfRule type="duplicateValues" dxfId="1" priority="221"/>
  </conditionalFormatting>
  <conditionalFormatting sqref="T86">
    <cfRule type="duplicateValues" dxfId="0" priority="170"/>
    <cfRule type="duplicateValues" dxfId="1" priority="187"/>
  </conditionalFormatting>
  <conditionalFormatting sqref="U86">
    <cfRule type="duplicateValues" dxfId="0" priority="272"/>
    <cfRule type="duplicateValues" dxfId="1" priority="289"/>
  </conditionalFormatting>
  <conditionalFormatting sqref="A87">
    <cfRule type="duplicateValues" dxfId="1" priority="203"/>
  </conditionalFormatting>
  <conditionalFormatting sqref="B87">
    <cfRule type="duplicateValues" dxfId="1" priority="220"/>
  </conditionalFormatting>
  <conditionalFormatting sqref="T87">
    <cfRule type="duplicateValues" dxfId="0" priority="169"/>
    <cfRule type="duplicateValues" dxfId="1" priority="186"/>
  </conditionalFormatting>
  <conditionalFormatting sqref="U87">
    <cfRule type="duplicateValues" dxfId="0" priority="271"/>
    <cfRule type="duplicateValues" dxfId="1" priority="288"/>
  </conditionalFormatting>
  <conditionalFormatting sqref="A88">
    <cfRule type="duplicateValues" dxfId="1" priority="202"/>
  </conditionalFormatting>
  <conditionalFormatting sqref="B88">
    <cfRule type="duplicateValues" dxfId="1" priority="219"/>
  </conditionalFormatting>
  <conditionalFormatting sqref="T88">
    <cfRule type="duplicateValues" dxfId="0" priority="168"/>
    <cfRule type="duplicateValues" dxfId="1" priority="185"/>
  </conditionalFormatting>
  <conditionalFormatting sqref="U88">
    <cfRule type="duplicateValues" dxfId="0" priority="270"/>
    <cfRule type="duplicateValues" dxfId="1" priority="287"/>
  </conditionalFormatting>
  <conditionalFormatting sqref="A89">
    <cfRule type="duplicateValues" dxfId="1" priority="201"/>
  </conditionalFormatting>
  <conditionalFormatting sqref="B89">
    <cfRule type="duplicateValues" dxfId="1" priority="218"/>
  </conditionalFormatting>
  <conditionalFormatting sqref="T89">
    <cfRule type="duplicateValues" dxfId="0" priority="167"/>
    <cfRule type="duplicateValues" dxfId="1" priority="184"/>
  </conditionalFormatting>
  <conditionalFormatting sqref="U89">
    <cfRule type="duplicateValues" dxfId="0" priority="269"/>
    <cfRule type="duplicateValues" dxfId="1" priority="286"/>
  </conditionalFormatting>
  <conditionalFormatting sqref="A90">
    <cfRule type="duplicateValues" dxfId="1" priority="200"/>
  </conditionalFormatting>
  <conditionalFormatting sqref="B90">
    <cfRule type="duplicateValues" dxfId="1" priority="217"/>
  </conditionalFormatting>
  <conditionalFormatting sqref="T90">
    <cfRule type="duplicateValues" dxfId="0" priority="166"/>
    <cfRule type="duplicateValues" dxfId="1" priority="183"/>
  </conditionalFormatting>
  <conditionalFormatting sqref="U90">
    <cfRule type="duplicateValues" dxfId="0" priority="268"/>
    <cfRule type="duplicateValues" dxfId="1" priority="285"/>
  </conditionalFormatting>
  <conditionalFormatting sqref="A91">
    <cfRule type="duplicateValues" dxfId="1" priority="199"/>
  </conditionalFormatting>
  <conditionalFormatting sqref="B91">
    <cfRule type="duplicateValues" dxfId="1" priority="216"/>
  </conditionalFormatting>
  <conditionalFormatting sqref="T91">
    <cfRule type="duplicateValues" dxfId="0" priority="165"/>
    <cfRule type="duplicateValues" dxfId="1" priority="182"/>
  </conditionalFormatting>
  <conditionalFormatting sqref="U91">
    <cfRule type="duplicateValues" dxfId="0" priority="267"/>
    <cfRule type="duplicateValues" dxfId="1" priority="284"/>
  </conditionalFormatting>
  <conditionalFormatting sqref="A92">
    <cfRule type="duplicateValues" dxfId="1" priority="198"/>
  </conditionalFormatting>
  <conditionalFormatting sqref="B92">
    <cfRule type="duplicateValues" dxfId="1" priority="215"/>
  </conditionalFormatting>
  <conditionalFormatting sqref="T92">
    <cfRule type="duplicateValues" dxfId="0" priority="164"/>
    <cfRule type="duplicateValues" dxfId="1" priority="181"/>
  </conditionalFormatting>
  <conditionalFormatting sqref="U92">
    <cfRule type="duplicateValues" dxfId="0" priority="266"/>
    <cfRule type="duplicateValues" dxfId="1" priority="283"/>
  </conditionalFormatting>
  <conditionalFormatting sqref="A93">
    <cfRule type="duplicateValues" dxfId="1" priority="197"/>
  </conditionalFormatting>
  <conditionalFormatting sqref="B93">
    <cfRule type="duplicateValues" dxfId="1" priority="214"/>
  </conditionalFormatting>
  <conditionalFormatting sqref="T93">
    <cfRule type="duplicateValues" dxfId="0" priority="163"/>
    <cfRule type="duplicateValues" dxfId="1" priority="180"/>
  </conditionalFormatting>
  <conditionalFormatting sqref="U93">
    <cfRule type="duplicateValues" dxfId="0" priority="265"/>
    <cfRule type="duplicateValues" dxfId="1" priority="282"/>
  </conditionalFormatting>
  <conditionalFormatting sqref="A94">
    <cfRule type="duplicateValues" dxfId="1" priority="117"/>
  </conditionalFormatting>
  <conditionalFormatting sqref="B94">
    <cfRule type="duplicateValues" dxfId="1" priority="126"/>
  </conditionalFormatting>
  <conditionalFormatting sqref="T94">
    <cfRule type="duplicateValues" dxfId="0" priority="99"/>
    <cfRule type="duplicateValues" dxfId="1" priority="108"/>
  </conditionalFormatting>
  <conditionalFormatting sqref="U94">
    <cfRule type="duplicateValues" dxfId="0" priority="153"/>
    <cfRule type="duplicateValues" dxfId="1" priority="162"/>
  </conditionalFormatting>
  <conditionalFormatting sqref="A95">
    <cfRule type="duplicateValues" dxfId="1" priority="116"/>
  </conditionalFormatting>
  <conditionalFormatting sqref="B95">
    <cfRule type="duplicateValues" dxfId="1" priority="125"/>
  </conditionalFormatting>
  <conditionalFormatting sqref="T95">
    <cfRule type="duplicateValues" dxfId="0" priority="98"/>
    <cfRule type="duplicateValues" dxfId="1" priority="107"/>
  </conditionalFormatting>
  <conditionalFormatting sqref="U95">
    <cfRule type="duplicateValues" dxfId="0" priority="152"/>
    <cfRule type="duplicateValues" dxfId="1" priority="161"/>
  </conditionalFormatting>
  <conditionalFormatting sqref="A96">
    <cfRule type="duplicateValues" dxfId="1" priority="115"/>
  </conditionalFormatting>
  <conditionalFormatting sqref="B96">
    <cfRule type="duplicateValues" dxfId="1" priority="124"/>
  </conditionalFormatting>
  <conditionalFormatting sqref="T96">
    <cfRule type="duplicateValues" dxfId="0" priority="97"/>
    <cfRule type="duplicateValues" dxfId="1" priority="106"/>
  </conditionalFormatting>
  <conditionalFormatting sqref="U96">
    <cfRule type="duplicateValues" dxfId="0" priority="151"/>
    <cfRule type="duplicateValues" dxfId="1" priority="160"/>
  </conditionalFormatting>
  <conditionalFormatting sqref="A97">
    <cfRule type="duplicateValues" dxfId="1" priority="114"/>
  </conditionalFormatting>
  <conditionalFormatting sqref="B97">
    <cfRule type="duplicateValues" dxfId="1" priority="123"/>
  </conditionalFormatting>
  <conditionalFormatting sqref="T97">
    <cfRule type="duplicateValues" dxfId="0" priority="96"/>
    <cfRule type="duplicateValues" dxfId="1" priority="105"/>
  </conditionalFormatting>
  <conditionalFormatting sqref="U97">
    <cfRule type="duplicateValues" dxfId="0" priority="150"/>
    <cfRule type="duplicateValues" dxfId="1" priority="159"/>
  </conditionalFormatting>
  <conditionalFormatting sqref="A98">
    <cfRule type="duplicateValues" dxfId="1" priority="113"/>
  </conditionalFormatting>
  <conditionalFormatting sqref="B98">
    <cfRule type="duplicateValues" dxfId="1" priority="122"/>
  </conditionalFormatting>
  <conditionalFormatting sqref="T98">
    <cfRule type="duplicateValues" dxfId="0" priority="95"/>
    <cfRule type="duplicateValues" dxfId="1" priority="104"/>
  </conditionalFormatting>
  <conditionalFormatting sqref="U98">
    <cfRule type="duplicateValues" dxfId="0" priority="149"/>
    <cfRule type="duplicateValues" dxfId="1" priority="158"/>
  </conditionalFormatting>
  <conditionalFormatting sqref="A99">
    <cfRule type="duplicateValues" dxfId="1" priority="112"/>
  </conditionalFormatting>
  <conditionalFormatting sqref="B99">
    <cfRule type="duplicateValues" dxfId="1" priority="121"/>
  </conditionalFormatting>
  <conditionalFormatting sqref="T99">
    <cfRule type="duplicateValues" dxfId="0" priority="94"/>
    <cfRule type="duplicateValues" dxfId="1" priority="103"/>
  </conditionalFormatting>
  <conditionalFormatting sqref="U99">
    <cfRule type="duplicateValues" dxfId="0" priority="148"/>
    <cfRule type="duplicateValues" dxfId="1" priority="157"/>
  </conditionalFormatting>
  <conditionalFormatting sqref="A100">
    <cfRule type="duplicateValues" dxfId="1" priority="111"/>
  </conditionalFormatting>
  <conditionalFormatting sqref="B100">
    <cfRule type="duplicateValues" dxfId="1" priority="120"/>
  </conditionalFormatting>
  <conditionalFormatting sqref="T100">
    <cfRule type="duplicateValues" dxfId="0" priority="93"/>
    <cfRule type="duplicateValues" dxfId="1" priority="102"/>
  </conditionalFormatting>
  <conditionalFormatting sqref="U100">
    <cfRule type="duplicateValues" dxfId="0" priority="147"/>
    <cfRule type="duplicateValues" dxfId="1" priority="156"/>
  </conditionalFormatting>
  <conditionalFormatting sqref="A101">
    <cfRule type="duplicateValues" dxfId="1" priority="110"/>
  </conditionalFormatting>
  <conditionalFormatting sqref="B101">
    <cfRule type="duplicateValues" dxfId="1" priority="119"/>
  </conditionalFormatting>
  <conditionalFormatting sqref="T101">
    <cfRule type="duplicateValues" dxfId="0" priority="92"/>
    <cfRule type="duplicateValues" dxfId="1" priority="101"/>
  </conditionalFormatting>
  <conditionalFormatting sqref="U101">
    <cfRule type="duplicateValues" dxfId="0" priority="146"/>
    <cfRule type="duplicateValues" dxfId="1" priority="155"/>
  </conditionalFormatting>
  <conditionalFormatting sqref="A102">
    <cfRule type="duplicateValues" dxfId="1" priority="109"/>
  </conditionalFormatting>
  <conditionalFormatting sqref="B102">
    <cfRule type="duplicateValues" dxfId="1" priority="118"/>
  </conditionalFormatting>
  <conditionalFormatting sqref="T102">
    <cfRule type="duplicateValues" dxfId="0" priority="91"/>
    <cfRule type="duplicateValues" dxfId="1" priority="100"/>
  </conditionalFormatting>
  <conditionalFormatting sqref="U102">
    <cfRule type="duplicateValues" dxfId="0" priority="145"/>
    <cfRule type="duplicateValues" dxfId="1" priority="154"/>
  </conditionalFormatting>
  <conditionalFormatting sqref="A103">
    <cfRule type="duplicateValues" dxfId="1" priority="70"/>
  </conditionalFormatting>
  <conditionalFormatting sqref="B103">
    <cfRule type="duplicateValues" dxfId="1" priority="74"/>
  </conditionalFormatting>
  <conditionalFormatting sqref="T103">
    <cfRule type="duplicateValues" dxfId="0" priority="62"/>
    <cfRule type="duplicateValues" dxfId="1" priority="66"/>
  </conditionalFormatting>
  <conditionalFormatting sqref="U103">
    <cfRule type="duplicateValues" dxfId="0" priority="86"/>
    <cfRule type="duplicateValues" dxfId="1" priority="90"/>
  </conditionalFormatting>
  <conditionalFormatting sqref="A104">
    <cfRule type="duplicateValues" dxfId="1" priority="69"/>
  </conditionalFormatting>
  <conditionalFormatting sqref="B104">
    <cfRule type="duplicateValues" dxfId="1" priority="73"/>
  </conditionalFormatting>
  <conditionalFormatting sqref="T104">
    <cfRule type="duplicateValues" dxfId="0" priority="61"/>
    <cfRule type="duplicateValues" dxfId="1" priority="65"/>
  </conditionalFormatting>
  <conditionalFormatting sqref="U104">
    <cfRule type="duplicateValues" dxfId="0" priority="85"/>
    <cfRule type="duplicateValues" dxfId="1" priority="89"/>
  </conditionalFormatting>
  <conditionalFormatting sqref="A105">
    <cfRule type="duplicateValues" dxfId="1" priority="68"/>
  </conditionalFormatting>
  <conditionalFormatting sqref="B105">
    <cfRule type="duplicateValues" dxfId="1" priority="72"/>
  </conditionalFormatting>
  <conditionalFormatting sqref="T105">
    <cfRule type="duplicateValues" dxfId="0" priority="60"/>
    <cfRule type="duplicateValues" dxfId="1" priority="64"/>
  </conditionalFormatting>
  <conditionalFormatting sqref="U105">
    <cfRule type="duplicateValues" dxfId="0" priority="84"/>
    <cfRule type="duplicateValues" dxfId="1" priority="88"/>
  </conditionalFormatting>
  <conditionalFormatting sqref="A106">
    <cfRule type="duplicateValues" dxfId="1" priority="67"/>
  </conditionalFormatting>
  <conditionalFormatting sqref="B106">
    <cfRule type="duplicateValues" dxfId="1" priority="71"/>
  </conditionalFormatting>
  <conditionalFormatting sqref="T106">
    <cfRule type="duplicateValues" dxfId="0" priority="59"/>
    <cfRule type="duplicateValues" dxfId="1" priority="63"/>
  </conditionalFormatting>
  <conditionalFormatting sqref="U106">
    <cfRule type="duplicateValues" dxfId="0" priority="83"/>
    <cfRule type="duplicateValues" dxfId="1" priority="87"/>
  </conditionalFormatting>
  <conditionalFormatting sqref="A185">
    <cfRule type="duplicateValues" dxfId="1" priority="29"/>
  </conditionalFormatting>
  <conditionalFormatting sqref="B185">
    <cfRule type="duplicateValues" dxfId="1" priority="58"/>
  </conditionalFormatting>
  <conditionalFormatting sqref="A186">
    <cfRule type="duplicateValues" dxfId="1" priority="28"/>
  </conditionalFormatting>
  <conditionalFormatting sqref="B186">
    <cfRule type="duplicateValues" dxfId="1" priority="57"/>
  </conditionalFormatting>
  <conditionalFormatting sqref="A187">
    <cfRule type="duplicateValues" dxfId="1" priority="27"/>
  </conditionalFormatting>
  <conditionalFormatting sqref="B187">
    <cfRule type="duplicateValues" dxfId="1" priority="56"/>
  </conditionalFormatting>
  <conditionalFormatting sqref="A188">
    <cfRule type="duplicateValues" dxfId="1" priority="26"/>
  </conditionalFormatting>
  <conditionalFormatting sqref="B188">
    <cfRule type="duplicateValues" dxfId="1" priority="55"/>
  </conditionalFormatting>
  <conditionalFormatting sqref="A189">
    <cfRule type="duplicateValues" dxfId="1" priority="25"/>
  </conditionalFormatting>
  <conditionalFormatting sqref="B189">
    <cfRule type="duplicateValues" dxfId="1" priority="54"/>
  </conditionalFormatting>
  <conditionalFormatting sqref="A190">
    <cfRule type="duplicateValues" dxfId="1" priority="24"/>
  </conditionalFormatting>
  <conditionalFormatting sqref="B190">
    <cfRule type="duplicateValues" dxfId="1" priority="53"/>
  </conditionalFormatting>
  <conditionalFormatting sqref="A191">
    <cfRule type="duplicateValues" dxfId="1" priority="23"/>
  </conditionalFormatting>
  <conditionalFormatting sqref="B191">
    <cfRule type="duplicateValues" dxfId="1" priority="52"/>
  </conditionalFormatting>
  <conditionalFormatting sqref="A192">
    <cfRule type="duplicateValues" dxfId="1" priority="22"/>
  </conditionalFormatting>
  <conditionalFormatting sqref="B192">
    <cfRule type="duplicateValues" dxfId="1" priority="51"/>
  </conditionalFormatting>
  <conditionalFormatting sqref="A193">
    <cfRule type="duplicateValues" dxfId="1" priority="20"/>
  </conditionalFormatting>
  <conditionalFormatting sqref="B193">
    <cfRule type="duplicateValues" dxfId="1" priority="49"/>
  </conditionalFormatting>
  <conditionalFormatting sqref="A194">
    <cfRule type="duplicateValues" dxfId="1" priority="19"/>
  </conditionalFormatting>
  <conditionalFormatting sqref="B194">
    <cfRule type="duplicateValues" dxfId="1" priority="48"/>
  </conditionalFormatting>
  <conditionalFormatting sqref="A195">
    <cfRule type="duplicateValues" dxfId="1" priority="18"/>
  </conditionalFormatting>
  <conditionalFormatting sqref="B195">
    <cfRule type="duplicateValues" dxfId="1" priority="47"/>
  </conditionalFormatting>
  <conditionalFormatting sqref="A196">
    <cfRule type="duplicateValues" dxfId="1" priority="17"/>
  </conditionalFormatting>
  <conditionalFormatting sqref="B196">
    <cfRule type="duplicateValues" dxfId="1" priority="46"/>
  </conditionalFormatting>
  <conditionalFormatting sqref="A197">
    <cfRule type="duplicateValues" dxfId="1" priority="16"/>
  </conditionalFormatting>
  <conditionalFormatting sqref="B197">
    <cfRule type="duplicateValues" dxfId="1" priority="45"/>
  </conditionalFormatting>
  <conditionalFormatting sqref="A198">
    <cfRule type="duplicateValues" dxfId="1" priority="15"/>
  </conditionalFormatting>
  <conditionalFormatting sqref="B198">
    <cfRule type="duplicateValues" dxfId="1" priority="44"/>
  </conditionalFormatting>
  <conditionalFormatting sqref="A199">
    <cfRule type="duplicateValues" dxfId="1" priority="14"/>
  </conditionalFormatting>
  <conditionalFormatting sqref="B199">
    <cfRule type="duplicateValues" dxfId="1" priority="43"/>
  </conditionalFormatting>
  <conditionalFormatting sqref="A200">
    <cfRule type="duplicateValues" dxfId="1" priority="12"/>
  </conditionalFormatting>
  <conditionalFormatting sqref="B200">
    <cfRule type="duplicateValues" dxfId="1" priority="41"/>
  </conditionalFormatting>
  <conditionalFormatting sqref="A201">
    <cfRule type="duplicateValues" dxfId="1" priority="11"/>
  </conditionalFormatting>
  <conditionalFormatting sqref="B201">
    <cfRule type="duplicateValues" dxfId="1" priority="40"/>
  </conditionalFormatting>
  <conditionalFormatting sqref="A202">
    <cfRule type="duplicateValues" dxfId="1" priority="10"/>
  </conditionalFormatting>
  <conditionalFormatting sqref="B202">
    <cfRule type="duplicateValues" dxfId="1" priority="39"/>
  </conditionalFormatting>
  <conditionalFormatting sqref="A203">
    <cfRule type="duplicateValues" dxfId="1" priority="9"/>
  </conditionalFormatting>
  <conditionalFormatting sqref="B203">
    <cfRule type="duplicateValues" dxfId="1" priority="38"/>
  </conditionalFormatting>
  <conditionalFormatting sqref="A204">
    <cfRule type="duplicateValues" dxfId="1" priority="8"/>
  </conditionalFormatting>
  <conditionalFormatting sqref="B204">
    <cfRule type="duplicateValues" dxfId="1" priority="37"/>
  </conditionalFormatting>
  <conditionalFormatting sqref="A205">
    <cfRule type="duplicateValues" dxfId="1" priority="7"/>
  </conditionalFormatting>
  <conditionalFormatting sqref="B205">
    <cfRule type="duplicateValues" dxfId="1" priority="36"/>
  </conditionalFormatting>
  <conditionalFormatting sqref="A206">
    <cfRule type="duplicateValues" dxfId="1" priority="6"/>
  </conditionalFormatting>
  <conditionalFormatting sqref="B206">
    <cfRule type="duplicateValues" dxfId="1" priority="35"/>
  </conditionalFormatting>
  <conditionalFormatting sqref="A207">
    <cfRule type="duplicateValues" dxfId="1" priority="4"/>
  </conditionalFormatting>
  <conditionalFormatting sqref="B207">
    <cfRule type="duplicateValues" dxfId="1" priority="33"/>
  </conditionalFormatting>
  <conditionalFormatting sqref="A208">
    <cfRule type="duplicateValues" dxfId="1" priority="3"/>
  </conditionalFormatting>
  <conditionalFormatting sqref="B208">
    <cfRule type="duplicateValues" dxfId="1" priority="32"/>
  </conditionalFormatting>
  <conditionalFormatting sqref="A209">
    <cfRule type="duplicateValues" dxfId="1" priority="2"/>
  </conditionalFormatting>
  <conditionalFormatting sqref="B209">
    <cfRule type="duplicateValues" dxfId="1" priority="31"/>
  </conditionalFormatting>
  <conditionalFormatting sqref="A210">
    <cfRule type="duplicateValues" dxfId="1" priority="1"/>
  </conditionalFormatting>
  <conditionalFormatting sqref="B210">
    <cfRule type="duplicateValues" dxfId="1" priority="30"/>
  </conditionalFormatting>
  <conditionalFormatting sqref="A3:A4">
    <cfRule type="duplicateValues" dxfId="1" priority="933"/>
  </conditionalFormatting>
  <conditionalFormatting sqref="B3:B4">
    <cfRule type="duplicateValues" dxfId="1" priority="934"/>
  </conditionalFormatting>
  <conditionalFormatting sqref="T3:T4">
    <cfRule type="expression" dxfId="2" priority="921">
      <formula>AND(#REF!&lt;&gt;"",COUNTIF($A:$A,#REF!)&gt;1)</formula>
    </cfRule>
  </conditionalFormatting>
  <conditionalFormatting sqref="T4:T4">
    <cfRule type="duplicateValues" dxfId="0" priority="973"/>
    <cfRule type="duplicateValues" dxfId="1" priority="974"/>
  </conditionalFormatting>
  <conditionalFormatting sqref="T4:T4">
    <cfRule type="expression" dxfId="2" priority="1072">
      <formula>AND(#REF!&lt;&gt;"",COUNTIF($A:$A,#REF!)&gt;1)</formula>
    </cfRule>
  </conditionalFormatting>
  <conditionalFormatting sqref="T4:T4">
    <cfRule type="expression" dxfId="2" priority="1065">
      <formula>AND(#REF!&lt;&gt;"",COUNTIF($A:$A,#REF!)&gt;1)</formula>
    </cfRule>
  </conditionalFormatting>
  <conditionalFormatting sqref="T5:T8">
    <cfRule type="expression" dxfId="2" priority="899">
      <formula>AND(#REF!&lt;&gt;"",COUNTIF($A:$A,#REF!)&gt;1)</formula>
    </cfRule>
  </conditionalFormatting>
  <conditionalFormatting sqref="T10:T14">
    <cfRule type="expression" dxfId="2" priority="855">
      <formula>AND(#REF!&lt;&gt;"",COUNTIF($A:$A,#REF!)&gt;1)</formula>
    </cfRule>
  </conditionalFormatting>
  <conditionalFormatting sqref="T16:T26">
    <cfRule type="expression" dxfId="2" priority="783">
      <formula>AND(#REF!&lt;&gt;"",COUNTIF($A:$A,#REF!)&gt;1)</formula>
    </cfRule>
  </conditionalFormatting>
  <conditionalFormatting sqref="T28:T35">
    <cfRule type="expression" dxfId="2" priority="699">
      <formula>AND(#REF!&lt;&gt;"",COUNTIF($A:$A,#REF!)&gt;1)</formula>
    </cfRule>
  </conditionalFormatting>
  <conditionalFormatting sqref="T36:T42">
    <cfRule type="expression" dxfId="2" priority="639">
      <formula>AND(#REF!&lt;&gt;"",COUNTIF($A:$A,#REF!)&gt;1)</formula>
    </cfRule>
  </conditionalFormatting>
  <conditionalFormatting sqref="T44:T55">
    <cfRule type="expression" dxfId="2" priority="548">
      <formula>AND(#REF!&lt;&gt;"",COUNTIF($A:$A,#REF!)&gt;1)</formula>
    </cfRule>
  </conditionalFormatting>
  <conditionalFormatting sqref="U4:U4">
    <cfRule type="expression" dxfId="2" priority="1073">
      <formula>AND(#REF!&lt;&gt;"",COUNTIF($A:$A,#REF!)&gt;1)</formula>
    </cfRule>
  </conditionalFormatting>
  <conditionalFormatting sqref="U4:U56">
    <cfRule type="expression" dxfId="2" priority="392">
      <formula>AND(#REF!&lt;&gt;"",COUNTIF($A:$A,#REF!)&gt;1)</formula>
    </cfRule>
  </conditionalFormatting>
  <conditionalFormatting sqref="A1:A2 A4:A4 A107:A184 A211:A260 A290:A1048563">
    <cfRule type="duplicateValues" dxfId="1" priority="1052"/>
  </conditionalFormatting>
  <conditionalFormatting sqref="B1:B2 B4:B4 B107:B184 B211:B260 B290:B1048563">
    <cfRule type="duplicateValues" dxfId="1" priority="1053"/>
  </conditionalFormatting>
  <conditionalFormatting sqref="T4:T4 T4:T4">
    <cfRule type="expression" dxfId="2" priority="972">
      <formula>AND(T7&lt;&gt;"",COUNTIF($A:$A,T7)&gt;1)</formula>
    </cfRule>
  </conditionalFormatting>
  <conditionalFormatting sqref="U4:U4 U4:U4">
    <cfRule type="expression" dxfId="2" priority="915">
      <formula>AND(U6&lt;&gt;"",COUNTIF($A:$A,U6)&gt;1)</formula>
    </cfRule>
    <cfRule type="duplicateValues" dxfId="0" priority="916"/>
    <cfRule type="duplicateValues" dxfId="1" priority="917"/>
  </conditionalFormatting>
  <conditionalFormatting sqref="T57:U67">
    <cfRule type="expression" dxfId="2" priority="443">
      <formula>AND(#REF!&lt;&gt;"",COUNTIF($A:$A,#REF!)&gt;1)</formula>
    </cfRule>
  </conditionalFormatting>
  <conditionalFormatting sqref="T68:U74">
    <cfRule type="expression" dxfId="2" priority="355">
      <formula>AND(#REF!&lt;&gt;"",COUNTIF($A:$A,#REF!)&gt;1)</formula>
    </cfRule>
  </conditionalFormatting>
  <conditionalFormatting sqref="T77:U93">
    <cfRule type="expression" dxfId="2" priority="231">
      <formula>AND(#REF!&lt;&gt;"",COUNTIF($A:$A,#REF!)&gt;1)</formula>
    </cfRule>
  </conditionalFormatting>
  <conditionalFormatting sqref="T94:U102">
    <cfRule type="expression" dxfId="2" priority="127">
      <formula>AND(#REF!&lt;&gt;"",COUNTIF($A:$A,#REF!)&gt;1)</formula>
    </cfRule>
  </conditionalFormatting>
  <conditionalFormatting sqref="T103:U106">
    <cfRule type="expression" dxfId="2" priority="75">
      <formula>AND(#REF!&lt;&gt;"",COUNTIF($A:$A,#REF!)&gt;1)</formula>
    </cfRule>
  </conditionalFormatting>
  <dataValidations count="1">
    <dataValidation type="whole" operator="between" allowBlank="1" showInputMessage="1" showErrorMessage="1" sqref="T4:U106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9"/>
  <sheetViews>
    <sheetView topLeftCell="A52" workbookViewId="0">
      <selection activeCell="A20" sqref="A20:A27"/>
    </sheetView>
  </sheetViews>
  <sheetFormatPr defaultColWidth="15.5462962962963" defaultRowHeight="13.2"/>
  <cols>
    <col min="1" max="1" width="12.3611111111111" style="8" customWidth="1"/>
    <col min="2" max="4" width="8.17592592592593" style="8" customWidth="1"/>
    <col min="5" max="5" width="12.3611111111111" style="8" customWidth="1"/>
    <col min="6" max="7" width="15.5462962962963" style="8" customWidth="1"/>
    <col min="8" max="8" width="60.0925925925926" style="8" customWidth="1"/>
    <col min="9" max="9" width="15.5462962962963" style="8" customWidth="1"/>
    <col min="10" max="16384" width="15.5462962962963" style="8"/>
  </cols>
  <sheetData>
    <row r="1" spans="1:10">
      <c r="A1" s="8" t="s">
        <v>791</v>
      </c>
      <c r="B1" s="8" t="s">
        <v>792</v>
      </c>
      <c r="C1" s="8" t="s">
        <v>60</v>
      </c>
      <c r="D1" s="8" t="s">
        <v>792</v>
      </c>
      <c r="E1" s="8" t="s">
        <v>793</v>
      </c>
      <c r="J1" s="8" t="s">
        <v>794</v>
      </c>
    </row>
    <row r="2" spans="1:10">
      <c r="A2" t="str" s="8">
        <v>万宝坊市</v>
      </c>
      <c r="B2" s="8">
        <v>1</v>
      </c>
      <c r="C2" s="8" t="s">
        <v>129</v>
      </c>
      <c r="D2" s="8">
        <v>1</v>
      </c>
      <c r="E2" s="8" t="s">
        <v>715</v>
      </c>
      <c r="J2" s="8" t="s">
        <v>795</v>
      </c>
    </row>
    <row r="3" spans="1:10">
      <c r="A3" s="8" t="s">
        <v>185</v>
      </c>
      <c r="B3" s="8">
        <v>2</v>
      </c>
      <c r="C3" s="8" t="s">
        <v>196</v>
      </c>
      <c r="D3" s="8">
        <v>2</v>
      </c>
      <c r="E3" s="8" t="s">
        <v>726</v>
      </c>
      <c r="G3" s="8" t="s">
        <v>796</v>
      </c>
      <c r="J3" s="8" t="s">
        <v>797</v>
      </c>
    </row>
    <row r="4" spans="1:10">
      <c r="A4" s="8" t="s">
        <v>200</v>
      </c>
      <c r="B4" s="8">
        <v>3</v>
      </c>
      <c r="C4" s="8" t="s">
        <v>798</v>
      </c>
      <c r="D4" s="8">
        <v>3</v>
      </c>
      <c r="E4" s="8" t="s">
        <v>799</v>
      </c>
      <c r="G4" s="8" t="s">
        <v>800</v>
      </c>
      <c r="H4" s="11" t="s">
        <v>801</v>
      </c>
      <c r="J4" s="8" t="s">
        <v>802</v>
      </c>
    </row>
    <row r="5" spans="1:10">
      <c r="A5" s="8" t="s">
        <v>217</v>
      </c>
      <c r="B5" s="8">
        <v>4</v>
      </c>
      <c r="C5" s="8" t="s">
        <v>246</v>
      </c>
      <c r="D5" s="8">
        <v>4</v>
      </c>
      <c r="E5" s="8" t="s">
        <v>749</v>
      </c>
      <c r="G5" s="8" t="s">
        <v>803</v>
      </c>
      <c r="H5" s="12" t="s">
        <v>804</v>
      </c>
      <c r="J5" s="8" t="s">
        <v>805</v>
      </c>
    </row>
    <row r="6" spans="1:10">
      <c r="A6" s="8" t="s">
        <v>232</v>
      </c>
      <c r="B6" s="8">
        <v>5</v>
      </c>
      <c r="C6" s="8" t="s">
        <v>806</v>
      </c>
      <c r="D6" s="8">
        <v>5</v>
      </c>
      <c r="E6" s="8" t="s">
        <v>807</v>
      </c>
      <c r="G6" s="8" t="s">
        <v>808</v>
      </c>
      <c r="J6" s="8" t="s">
        <v>809</v>
      </c>
    </row>
    <row r="7" spans="1:10">
      <c r="A7" t="str" s="8">
        <v>异霭浦</v>
      </c>
      <c r="B7" s="8">
        <v>6</v>
      </c>
      <c r="C7" s="8" t="s">
        <v>810</v>
      </c>
      <c r="D7" s="8">
        <v>6</v>
      </c>
      <c r="E7" s="8" t="s">
        <v>749</v>
      </c>
      <c r="G7" s="8" t="s">
        <v>811</v>
      </c>
      <c r="J7" s="8" t="s">
        <v>812</v>
      </c>
    </row>
    <row r="8" spans="1:10">
      <c r="A8" s="8" t="s">
        <v>256</v>
      </c>
      <c r="B8" s="8">
        <v>7</v>
      </c>
      <c r="C8" s="8" t="s">
        <v>813</v>
      </c>
      <c r="D8" s="8">
        <v>7</v>
      </c>
      <c r="E8" s="8" t="s">
        <v>749</v>
      </c>
      <c r="G8" s="8" t="s">
        <v>814</v>
      </c>
      <c r="H8" s="8" t="s">
        <v>815</v>
      </c>
      <c r="J8" s="8" t="s">
        <v>816</v>
      </c>
    </row>
    <row r="9" spans="1:10">
      <c r="A9" s="8" t="s">
        <v>264</v>
      </c>
      <c r="B9" s="8">
        <v>8</v>
      </c>
      <c r="D9" s="8">
        <v>8</v>
      </c>
      <c r="G9" s="8" t="s">
        <v>817</v>
      </c>
      <c r="H9" s="13" t="s">
        <v>818</v>
      </c>
      <c r="J9" s="8" t="s">
        <v>819</v>
      </c>
    </row>
    <row r="10" spans="1:10">
      <c r="A10" s="8" t="s">
        <v>278</v>
      </c>
      <c r="B10" s="8">
        <v>9</v>
      </c>
      <c r="D10" s="8">
        <v>9</v>
      </c>
      <c r="G10" s="8" t="s">
        <v>820</v>
      </c>
      <c r="J10" s="8" t="s">
        <v>821</v>
      </c>
    </row>
    <row r="11" spans="1:10">
      <c r="A11" s="8" t="s">
        <v>822</v>
      </c>
      <c r="B11" s="8">
        <v>10</v>
      </c>
      <c r="D11" s="8">
        <v>10</v>
      </c>
      <c r="G11" s="8" t="s">
        <v>823</v>
      </c>
      <c r="J11" s="8" t="s">
        <v>824</v>
      </c>
    </row>
    <row r="12" spans="1:10">
      <c r="A12" s="8" t="s">
        <v>302</v>
      </c>
      <c r="B12" s="8">
        <v>11</v>
      </c>
      <c r="D12" s="8">
        <v>11</v>
      </c>
      <c r="J12" s="8" t="s">
        <v>825</v>
      </c>
    </row>
    <row r="13" spans="1:10">
      <c r="A13" s="8" t="s">
        <v>319</v>
      </c>
      <c r="B13" s="8">
        <v>12</v>
      </c>
    </row>
    <row r="14" spans="1:10">
      <c r="A14" s="8" t="s">
        <v>333</v>
      </c>
      <c r="B14" s="8">
        <v>13</v>
      </c>
    </row>
    <row r="15" spans="1:10">
      <c r="A15" s="8" t="s">
        <v>347</v>
      </c>
      <c r="B15" s="8">
        <v>14</v>
      </c>
    </row>
    <row r="16" spans="1:10">
      <c r="A16" s="8" t="s">
        <v>355</v>
      </c>
      <c r="B16" s="8">
        <v>15</v>
      </c>
    </row>
    <row r="17" spans="1:7">
      <c r="A17" s="8" t="s">
        <v>362</v>
      </c>
      <c r="B17" s="8">
        <v>16</v>
      </c>
      <c r="F17" s="8" t="s">
        <v>826</v>
      </c>
      <c r="G17" s="8" t="s">
        <v>827</v>
      </c>
    </row>
    <row r="18" spans="1:7">
      <c r="A18" s="8" t="s">
        <v>376</v>
      </c>
      <c r="B18" s="8">
        <v>17</v>
      </c>
      <c r="G18" s="8" t="s">
        <v>828</v>
      </c>
    </row>
    <row r="19" spans="1:7">
      <c r="A19" s="8" t="s">
        <v>292</v>
      </c>
      <c r="B19" s="8">
        <v>18</v>
      </c>
    </row>
    <row r="20" spans="1:7">
      <c r="A20" s="8" t="s">
        <v>400</v>
      </c>
      <c r="B20" s="8">
        <v>19</v>
      </c>
      <c r="F20" s="8" t="s">
        <v>829</v>
      </c>
    </row>
    <row r="21" spans="1:7">
      <c r="A21" s="8" t="s">
        <v>414</v>
      </c>
      <c r="B21" s="8">
        <v>20</v>
      </c>
      <c r="F21" s="8" t="s">
        <v>830</v>
      </c>
    </row>
    <row r="22" spans="1:7">
      <c r="A22" s="8" t="s">
        <v>428</v>
      </c>
      <c r="B22" s="8">
        <v>21</v>
      </c>
      <c r="F22" s="8" t="s">
        <v>831</v>
      </c>
    </row>
    <row r="23" spans="1:7">
      <c r="A23" s="8" t="s">
        <v>439</v>
      </c>
      <c r="B23" s="8">
        <v>22</v>
      </c>
      <c r="F23" s="8" t="s">
        <v>832</v>
      </c>
    </row>
    <row r="24" spans="1:7">
      <c r="A24" s="8" t="s">
        <v>446</v>
      </c>
      <c r="B24" s="8">
        <v>23</v>
      </c>
    </row>
    <row r="25" spans="1:7">
      <c r="A25" s="8" t="s">
        <v>453</v>
      </c>
      <c r="B25" s="8">
        <v>24</v>
      </c>
      <c r="F25" s="14" t="s">
        <v>833</v>
      </c>
    </row>
    <row r="26" spans="1:7">
      <c r="A26" s="8" t="s">
        <v>464</v>
      </c>
      <c r="B26" s="8">
        <v>25</v>
      </c>
    </row>
    <row r="27" spans="1:7">
      <c r="A27" s="8" t="s">
        <v>389</v>
      </c>
      <c r="B27" s="8">
        <v>26</v>
      </c>
    </row>
    <row r="28" spans="1:7">
      <c r="A28" s="8" t="s">
        <v>834</v>
      </c>
      <c r="B28" s="8">
        <v>27</v>
      </c>
    </row>
    <row r="29" spans="1:7">
      <c r="A29" s="8" t="s">
        <v>835</v>
      </c>
      <c r="B29" s="8">
        <v>28</v>
      </c>
    </row>
    <row r="30" spans="1:7">
      <c r="A30" s="8" t="s">
        <v>836</v>
      </c>
      <c r="B30" s="8">
        <v>29</v>
      </c>
    </row>
    <row r="31" spans="1:7">
      <c r="A31" s="8" t="s">
        <v>837</v>
      </c>
      <c r="B31" s="8">
        <v>30</v>
      </c>
    </row>
    <row r="32" spans="1:7">
      <c r="A32" s="8" t="s">
        <v>838</v>
      </c>
      <c r="B32" s="8">
        <v>31</v>
      </c>
    </row>
    <row r="33" spans="1:2">
      <c r="A33" s="8" t="s">
        <v>839</v>
      </c>
      <c r="B33" s="8">
        <v>32</v>
      </c>
    </row>
    <row r="34" spans="1:2">
      <c r="A34" s="8" t="s">
        <v>840</v>
      </c>
      <c r="B34" s="8">
        <v>33</v>
      </c>
    </row>
    <row r="35" spans="1:2">
      <c r="A35" s="8" t="s">
        <v>841</v>
      </c>
      <c r="B35" s="8">
        <v>34</v>
      </c>
    </row>
    <row r="36" spans="1:2">
      <c r="A36" s="8" t="s">
        <v>842</v>
      </c>
      <c r="B36" s="8">
        <v>35</v>
      </c>
    </row>
    <row r="37" spans="1:2">
      <c r="A37" s="8" t="s">
        <v>843</v>
      </c>
      <c r="B37" s="8">
        <v>36</v>
      </c>
    </row>
    <row r="38" spans="1:2">
      <c r="A38" s="8" t="s">
        <v>844</v>
      </c>
      <c r="B38" s="8">
        <v>37</v>
      </c>
    </row>
    <row r="39" spans="1:2">
      <c r="A39" s="8" t="s">
        <v>845</v>
      </c>
      <c r="B39" s="8">
        <v>38</v>
      </c>
    </row>
    <row r="40" spans="1:2">
      <c r="A40" s="8" t="s">
        <v>846</v>
      </c>
      <c r="B40" s="8">
        <v>39</v>
      </c>
    </row>
    <row r="41" spans="1:2">
      <c r="A41" s="8" t="s">
        <v>847</v>
      </c>
      <c r="B41" s="8">
        <v>40</v>
      </c>
    </row>
    <row r="42" spans="1:2">
      <c r="B42" s="8">
        <v>41</v>
      </c>
    </row>
    <row r="43" ht="14.4" spans="1:2">
      <c r="A43" t="s">
        <v>475</v>
      </c>
      <c r="B43" s="8">
        <v>42</v>
      </c>
    </row>
    <row r="44" ht="14.4" spans="1:2">
      <c r="A44" t="s">
        <v>488</v>
      </c>
      <c r="B44" s="8">
        <v>43</v>
      </c>
    </row>
    <row r="45" ht="14.4" spans="1:2">
      <c r="A45" t="s">
        <v>501</v>
      </c>
      <c r="B45" s="8">
        <v>44</v>
      </c>
    </row>
    <row r="46" ht="14.4" spans="1:2">
      <c r="A46" t="s">
        <v>514</v>
      </c>
      <c r="B46" s="8">
        <v>45</v>
      </c>
    </row>
    <row r="47" ht="14.4" spans="1:2">
      <c r="A47" t="s">
        <v>518</v>
      </c>
      <c r="B47" s="8">
        <v>46</v>
      </c>
    </row>
    <row r="48" ht="14.4" spans="1:2">
      <c r="A48" t="s">
        <v>522</v>
      </c>
      <c r="B48" s="8">
        <v>47</v>
      </c>
    </row>
    <row r="49" ht="14.4" spans="1:2">
      <c r="A49" t="s">
        <v>532</v>
      </c>
      <c r="B49" s="8">
        <v>48</v>
      </c>
    </row>
    <row r="50" ht="14.4" spans="1:2">
      <c r="A50" t="s">
        <v>542</v>
      </c>
      <c r="B50" s="8">
        <v>49</v>
      </c>
    </row>
    <row r="51" ht="14.4" spans="1:2">
      <c r="A51" t="s">
        <v>848</v>
      </c>
      <c r="B51" s="8">
        <v>50</v>
      </c>
    </row>
    <row r="52" ht="14.4" spans="1:2">
      <c r="A52" t="s">
        <v>552</v>
      </c>
      <c r="B52" s="8">
        <v>51</v>
      </c>
    </row>
    <row r="53" ht="14.4" spans="1:2">
      <c r="A53" t="s">
        <v>562</v>
      </c>
      <c r="B53" s="8">
        <v>52</v>
      </c>
    </row>
    <row r="54" ht="14.4" spans="1:2">
      <c r="A54" t="s">
        <v>572</v>
      </c>
      <c r="B54" s="8">
        <v>53</v>
      </c>
    </row>
    <row r="55" ht="14.4" spans="1:2">
      <c r="A55" t="s">
        <v>585</v>
      </c>
      <c r="B55" s="8">
        <v>54</v>
      </c>
    </row>
    <row r="56" ht="14.4" spans="1:2">
      <c r="A56" t="s">
        <v>589</v>
      </c>
      <c r="B56" s="8">
        <v>55</v>
      </c>
    </row>
    <row r="57" ht="14.4" spans="1:2">
      <c r="A57" t="s">
        <v>593</v>
      </c>
      <c r="B57" s="8">
        <v>56</v>
      </c>
    </row>
    <row r="58" ht="14.4" spans="1:2">
      <c r="A58" t="s">
        <v>606</v>
      </c>
      <c r="B58" s="8">
        <v>57</v>
      </c>
    </row>
    <row r="59" ht="14.4" spans="1:2">
      <c r="A59" t="s">
        <v>619</v>
      </c>
      <c r="B59" s="8">
        <v>58</v>
      </c>
    </row>
    <row r="60" ht="14.4" spans="1:2">
      <c r="A60" t="s">
        <v>681</v>
      </c>
      <c r="B60" s="8">
        <v>59</v>
      </c>
    </row>
    <row r="61" ht="14.4" spans="1:2">
      <c r="A61" t="s">
        <v>693</v>
      </c>
      <c r="B61" s="8">
        <v>60</v>
      </c>
    </row>
    <row r="62" ht="14.4" spans="1:2">
      <c r="A62" t="s">
        <v>657</v>
      </c>
      <c r="B62" s="8">
        <v>61</v>
      </c>
    </row>
    <row r="63" ht="14.4" spans="1:2">
      <c r="A63" t="s">
        <v>668</v>
      </c>
      <c r="B63" s="8">
        <v>62</v>
      </c>
    </row>
    <row r="64" ht="14.4" spans="1:2">
      <c r="A64" t="s">
        <v>704</v>
      </c>
      <c r="B64" s="8">
        <v>63</v>
      </c>
    </row>
    <row r="65" ht="14.4" spans="1:3">
      <c r="A65" t="s">
        <v>629</v>
      </c>
      <c r="B65" s="8">
        <v>64</v>
      </c>
    </row>
    <row r="66" ht="14.4" spans="1:3">
      <c r="A66" t="s">
        <v>643</v>
      </c>
      <c r="B66" s="8">
        <v>65</v>
      </c>
    </row>
    <row r="73" spans="1:3">
      <c r="C73" s="8" t="s">
        <v>849</v>
      </c>
    </row>
    <row r="74" spans="1:3">
      <c r="C74" s="8" t="s">
        <v>850</v>
      </c>
    </row>
    <row r="75" spans="1:3">
      <c r="C75" s="8" t="s">
        <v>851</v>
      </c>
    </row>
    <row r="76" spans="1:3">
      <c r="C76" s="8" t="s">
        <v>852</v>
      </c>
    </row>
    <row r="77" spans="1:3">
      <c r="C77" s="8" t="s">
        <v>853</v>
      </c>
    </row>
    <row r="78" spans="1:3">
      <c r="C78" s="8" t="s">
        <v>854</v>
      </c>
    </row>
    <row r="79" spans="1:3">
      <c r="C79" s="8" t="s">
        <v>855</v>
      </c>
    </row>
    <row r="80" spans="1:3">
      <c r="C80" s="8" t="s">
        <v>856</v>
      </c>
    </row>
    <row r="81" spans="3:3">
      <c r="C81" s="8" t="s">
        <v>857</v>
      </c>
    </row>
    <row r="82" spans="3:3">
      <c r="C82" s="8" t="s">
        <v>858</v>
      </c>
    </row>
    <row r="83" spans="3:3">
      <c r="C83" s="8" t="s">
        <v>859</v>
      </c>
    </row>
    <row r="84" spans="3:3">
      <c r="C84" s="8" t="s">
        <v>860</v>
      </c>
    </row>
    <row r="85" spans="3:3">
      <c r="C85" s="8" t="s">
        <v>861</v>
      </c>
    </row>
    <row r="98" spans="3:3">
      <c r="C98" s="8" t="s">
        <v>862</v>
      </c>
    </row>
    <row r="102" spans="3:3">
      <c r="C102" s="8" t="s">
        <v>863</v>
      </c>
    </row>
    <row r="103" spans="3:3">
      <c r="C103" s="8" t="s">
        <v>864</v>
      </c>
    </row>
    <row r="113" spans="3:4">
      <c r="C113" s="8" t="s">
        <v>865</v>
      </c>
      <c r="D113" s="8" t="s">
        <v>866</v>
      </c>
    </row>
    <row r="114" spans="3:4">
      <c r="C114" s="8" t="s">
        <v>867</v>
      </c>
      <c r="D114" s="8" t="s">
        <v>868</v>
      </c>
    </row>
    <row r="115" spans="3:4">
      <c r="C115" s="8" t="s">
        <v>869</v>
      </c>
      <c r="D115" s="8" t="s">
        <v>870</v>
      </c>
    </row>
    <row r="116" spans="3:4">
      <c r="C116" s="8" t="s">
        <v>871</v>
      </c>
      <c r="D116" s="8" t="s">
        <v>872</v>
      </c>
    </row>
    <row r="117" spans="3:4">
      <c r="C117" s="8" t="s">
        <v>873</v>
      </c>
      <c r="D117" s="8" t="s">
        <v>874</v>
      </c>
    </row>
    <row r="118" spans="3:4">
      <c r="C118" s="8" t="s">
        <v>875</v>
      </c>
      <c r="D118" s="8" t="s">
        <v>876</v>
      </c>
    </row>
    <row r="119" spans="3:4">
      <c r="C119" s="8" t="s">
        <v>877</v>
      </c>
      <c r="D119" s="8" t="s">
        <v>878</v>
      </c>
    </row>
    <row r="120" spans="3:4">
      <c r="C120" s="8" t="s">
        <v>879</v>
      </c>
    </row>
    <row r="121">
      <c r="A121" t="str" s="8">
        <v>渍岩罅</v>
      </c>
      <c r="B121" t="n" s="8">
        <v>100</v>
      </c>
    </row>
    <row r="122">
      <c r="A122" t="str" s="8">
        <v>危石夹</v>
      </c>
      <c r="B122" t="n" s="8">
        <v>101</v>
      </c>
    </row>
    <row r="123">
      <c r="A123" t="str" s="8">
        <v>一线湍</v>
      </c>
      <c r="B123" t="n" s="8">
        <v>102</v>
      </c>
    </row>
    <row r="124">
      <c r="A124" t="str" s="8">
        <v>垂水衣</v>
      </c>
      <c r="B124" t="n" s="8">
        <v>103</v>
      </c>
    </row>
    <row r="125">
      <c r="A125" t="str" s="8">
        <v>余光蕨</v>
      </c>
      <c r="B125" t="n" s="8">
        <v>104</v>
      </c>
    </row>
    <row r="126">
      <c r="A126" t="str" s="8">
        <v>掩流口</v>
      </c>
      <c r="B126" t="n" s="8">
        <v>105</v>
      </c>
    </row>
    <row r="127">
      <c r="A127" t="str" s="8">
        <v>涔缝</v>
      </c>
      <c r="B127" t="n" s="8">
        <v>106</v>
      </c>
    </row>
    <row r="128">
      <c r="A128" t="str" s="8">
        <v>浊影洄</v>
      </c>
      <c r="B128" t="n" s="8">
        <v>107</v>
      </c>
    </row>
    <row r="129">
      <c r="A129" t="str" s="8">
        <v>峡门</v>
      </c>
      <c r="B129" t="n" s="8">
        <v>108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K25" sqref="K25"/>
    </sheetView>
  </sheetViews>
  <sheetFormatPr defaultColWidth="9" defaultRowHeight="14.4"/>
  <cols>
    <col min="1" max="1" width="18.5462962962963" style="4" customWidth="1"/>
    <col min="3" max="3" width="3" style="4" customWidth="1"/>
    <col min="5" max="5" width="14.6296296296296" style="5" customWidth="1"/>
    <col min="6" max="6" width="19.5462962962963" style="4" customWidth="1"/>
    <col min="8" max="8" width="11.3611111111111" style="4" customWidth="1"/>
    <col min="11" max="11" width="13.6296296296296" style="4" customWidth="1"/>
  </cols>
  <sheetData>
    <row r="1" spans="1:18">
      <c r="A1" s="6" t="s">
        <v>880</v>
      </c>
      <c r="C1" s="6"/>
      <c r="E1" s="7" t="s">
        <v>881</v>
      </c>
      <c r="F1" s="8" t="s">
        <v>882</v>
      </c>
      <c r="H1" s="8" t="s">
        <v>883</v>
      </c>
      <c r="K1" t="s">
        <v>884</v>
      </c>
      <c r="N1" t="s">
        <v>885</v>
      </c>
      <c r="O1" t="s">
        <v>886</v>
      </c>
      <c r="Q1" t="s">
        <v>887</v>
      </c>
      <c r="R1" t="s">
        <v>888</v>
      </c>
    </row>
    <row r="2" spans="1:18">
      <c r="A2" s="6" t="s">
        <v>60</v>
      </c>
      <c r="C2" s="6"/>
      <c r="E2" s="7" t="s">
        <v>889</v>
      </c>
      <c r="F2" s="8" t="s">
        <v>890</v>
      </c>
      <c r="H2" s="8" t="s">
        <v>891</v>
      </c>
      <c r="K2" t="s">
        <v>892</v>
      </c>
      <c r="N2">
        <v>1</v>
      </c>
      <c r="O2" t="s">
        <v>726</v>
      </c>
      <c r="Q2" s="9" t="s">
        <v>893</v>
      </c>
      <c r="R2" s="9" t="s">
        <v>894</v>
      </c>
    </row>
    <row r="3" spans="1:18">
      <c r="A3" s="8" t="s">
        <v>895</v>
      </c>
      <c r="C3" s="8" t="s">
        <v>896</v>
      </c>
      <c r="E3" s="7" t="s">
        <v>897</v>
      </c>
      <c r="F3" s="8" t="s">
        <v>898</v>
      </c>
      <c r="H3" s="8" t="s">
        <v>899</v>
      </c>
      <c r="K3" t="s">
        <v>900</v>
      </c>
      <c r="N3">
        <v>2</v>
      </c>
      <c r="O3" t="s">
        <v>726</v>
      </c>
      <c r="Q3" s="10" t="s">
        <v>901</v>
      </c>
      <c r="R3" s="10" t="s">
        <v>902</v>
      </c>
    </row>
    <row r="4" spans="1:18">
      <c r="A4" s="8" t="s">
        <v>903</v>
      </c>
      <c r="C4" s="8" t="s">
        <v>904</v>
      </c>
      <c r="E4" s="7" t="s">
        <v>905</v>
      </c>
      <c r="F4" s="8" t="s">
        <v>906</v>
      </c>
      <c r="H4" s="8" t="s">
        <v>907</v>
      </c>
      <c r="K4" t="s">
        <v>908</v>
      </c>
      <c r="N4">
        <v>3</v>
      </c>
      <c r="O4" t="s">
        <v>726</v>
      </c>
      <c r="Q4" s="9" t="s">
        <v>909</v>
      </c>
      <c r="R4" s="9" t="s">
        <v>910</v>
      </c>
    </row>
    <row r="5" spans="1:18">
      <c r="A5" s="8" t="s">
        <v>911</v>
      </c>
      <c r="E5" s="7" t="s">
        <v>912</v>
      </c>
      <c r="F5" s="8" t="s">
        <v>913</v>
      </c>
      <c r="H5" s="8" t="s">
        <v>914</v>
      </c>
      <c r="N5">
        <v>4</v>
      </c>
      <c r="O5" t="s">
        <v>726</v>
      </c>
      <c r="Q5" s="9" t="s">
        <v>915</v>
      </c>
      <c r="R5" s="9" t="s">
        <v>916</v>
      </c>
    </row>
    <row r="6" spans="1:18">
      <c r="A6" s="8" t="s">
        <v>917</v>
      </c>
      <c r="E6" s="7" t="s">
        <v>918</v>
      </c>
      <c r="F6" s="8" t="s">
        <v>919</v>
      </c>
      <c r="H6" s="8" t="s">
        <v>920</v>
      </c>
      <c r="N6">
        <v>5</v>
      </c>
      <c r="O6" t="s">
        <v>726</v>
      </c>
    </row>
    <row r="7" spans="1:18">
      <c r="A7" s="8" t="s">
        <v>921</v>
      </c>
      <c r="E7" s="7" t="s">
        <v>922</v>
      </c>
      <c r="H7" s="8" t="s">
        <v>923</v>
      </c>
      <c r="N7">
        <v>6</v>
      </c>
      <c r="O7" t="s">
        <v>726</v>
      </c>
    </row>
    <row r="8" spans="1:18">
      <c r="E8" s="7" t="s">
        <v>924</v>
      </c>
      <c r="H8" s="8" t="s">
        <v>925</v>
      </c>
      <c r="N8">
        <v>7</v>
      </c>
      <c r="O8" t="s">
        <v>726</v>
      </c>
    </row>
    <row r="9" spans="1:18">
      <c r="E9" s="7" t="s">
        <v>926</v>
      </c>
      <c r="H9" s="8" t="s">
        <v>927</v>
      </c>
      <c r="N9">
        <v>8</v>
      </c>
      <c r="O9" t="s">
        <v>726</v>
      </c>
    </row>
    <row r="10" spans="1:18">
      <c r="E10" s="7" t="s">
        <v>928</v>
      </c>
      <c r="N10">
        <v>9</v>
      </c>
      <c r="O10" t="s">
        <v>726</v>
      </c>
    </row>
    <row r="11" spans="1:18">
      <c r="N11">
        <v>10</v>
      </c>
      <c r="O11" t="s">
        <v>726</v>
      </c>
    </row>
    <row r="12" spans="1:18">
      <c r="N12">
        <v>11</v>
      </c>
      <c r="O12" t="s">
        <v>726</v>
      </c>
    </row>
    <row r="13" spans="1:18">
      <c r="N13">
        <v>12</v>
      </c>
      <c r="O13" t="s">
        <v>726</v>
      </c>
    </row>
    <row r="14" spans="1:18">
      <c r="N14">
        <v>13</v>
      </c>
      <c r="O14" t="s">
        <v>726</v>
      </c>
    </row>
    <row r="15" spans="1:18">
      <c r="N15">
        <v>14</v>
      </c>
      <c r="O15" t="s">
        <v>726</v>
      </c>
    </row>
    <row r="16" spans="1:18">
      <c r="N16">
        <v>15</v>
      </c>
      <c r="O16" t="s">
        <v>929</v>
      </c>
    </row>
    <row r="17" spans="1:15">
      <c r="N17">
        <v>16</v>
      </c>
      <c r="O17" t="s">
        <v>929</v>
      </c>
    </row>
    <row r="18" spans="1:15">
      <c r="N18">
        <v>17</v>
      </c>
      <c r="O18" t="s">
        <v>929</v>
      </c>
    </row>
    <row r="19" spans="1:15">
      <c r="N19">
        <v>18</v>
      </c>
      <c r="O19" t="s">
        <v>929</v>
      </c>
    </row>
    <row r="20" spans="1:15">
      <c r="N20">
        <v>19</v>
      </c>
      <c r="O20" t="s">
        <v>929</v>
      </c>
    </row>
    <row r="21" spans="1:15">
      <c r="A21" s="8" t="s">
        <v>930</v>
      </c>
      <c r="N21">
        <v>20</v>
      </c>
      <c r="O21" t="s">
        <v>929</v>
      </c>
    </row>
    <row r="22" spans="1:15">
      <c r="A22" s="8" t="s">
        <v>931</v>
      </c>
      <c r="N22">
        <v>21</v>
      </c>
      <c r="O22" t="s">
        <v>929</v>
      </c>
    </row>
    <row r="23" spans="1:15">
      <c r="A23" s="8" t="s">
        <v>932</v>
      </c>
      <c r="N23">
        <v>22</v>
      </c>
      <c r="O23" t="s">
        <v>929</v>
      </c>
    </row>
    <row r="24" spans="1:15">
      <c r="A24" s="8" t="s">
        <v>933</v>
      </c>
      <c r="N24">
        <v>23</v>
      </c>
      <c r="O24" t="s">
        <v>929</v>
      </c>
    </row>
    <row r="25" spans="1:15">
      <c r="A25" s="8" t="s">
        <v>934</v>
      </c>
      <c r="N25">
        <v>24</v>
      </c>
      <c r="O25" t="s">
        <v>929</v>
      </c>
    </row>
    <row r="26" spans="1:15">
      <c r="A26" s="8" t="s">
        <v>935</v>
      </c>
      <c r="N26">
        <v>25</v>
      </c>
      <c r="O26" t="s">
        <v>929</v>
      </c>
    </row>
    <row r="27" spans="1:15">
      <c r="A27" s="8" t="s">
        <v>936</v>
      </c>
      <c r="N27">
        <v>26</v>
      </c>
      <c r="O27" t="s">
        <v>929</v>
      </c>
    </row>
    <row r="28" spans="1:15">
      <c r="A28" s="8" t="s">
        <v>937</v>
      </c>
      <c r="N28">
        <v>27</v>
      </c>
      <c r="O28" t="s">
        <v>929</v>
      </c>
    </row>
    <row r="29" spans="1:15">
      <c r="A29" s="8" t="s">
        <v>938</v>
      </c>
      <c r="N29">
        <v>28</v>
      </c>
      <c r="O29" t="s">
        <v>799</v>
      </c>
    </row>
    <row r="30" spans="1:15">
      <c r="N30">
        <v>29</v>
      </c>
      <c r="O30" t="s">
        <v>799</v>
      </c>
    </row>
    <row r="31" spans="1:15">
      <c r="N31">
        <v>30</v>
      </c>
      <c r="O31" t="s">
        <v>799</v>
      </c>
    </row>
    <row r="32" spans="1:15">
      <c r="N32">
        <v>31</v>
      </c>
      <c r="O32" t="s">
        <v>799</v>
      </c>
    </row>
    <row r="33" spans="14:15">
      <c r="N33">
        <v>32</v>
      </c>
      <c r="O33" t="s">
        <v>799</v>
      </c>
    </row>
    <row r="34" spans="14:15">
      <c r="N34">
        <v>33</v>
      </c>
      <c r="O34" t="s">
        <v>799</v>
      </c>
    </row>
    <row r="35" spans="14:15">
      <c r="N35">
        <v>34</v>
      </c>
      <c r="O35" t="s">
        <v>799</v>
      </c>
    </row>
    <row r="36" spans="14:15">
      <c r="N36">
        <v>35</v>
      </c>
      <c r="O36" t="s">
        <v>799</v>
      </c>
    </row>
    <row r="37" spans="14:15">
      <c r="N37">
        <v>36</v>
      </c>
      <c r="O37" t="s">
        <v>799</v>
      </c>
    </row>
    <row r="38" spans="14:15">
      <c r="N38">
        <v>37</v>
      </c>
      <c r="O38" t="s">
        <v>799</v>
      </c>
    </row>
    <row r="39" spans="14:15">
      <c r="N39">
        <v>38</v>
      </c>
      <c r="O39" t="s">
        <v>799</v>
      </c>
    </row>
    <row r="40" spans="14:15">
      <c r="N40">
        <v>39</v>
      </c>
      <c r="O40" t="s">
        <v>799</v>
      </c>
    </row>
    <row r="41" spans="14:15">
      <c r="N41">
        <v>40</v>
      </c>
      <c r="O41" t="s">
        <v>799</v>
      </c>
    </row>
    <row r="42" spans="14:15">
      <c r="N42">
        <v>41</v>
      </c>
      <c r="O42" t="s">
        <v>799</v>
      </c>
    </row>
    <row r="43" spans="14:15">
      <c r="N43">
        <v>42</v>
      </c>
      <c r="O43" t="s">
        <v>799</v>
      </c>
    </row>
    <row r="44" spans="14:15">
      <c r="N44">
        <v>43</v>
      </c>
      <c r="O44" t="s">
        <v>799</v>
      </c>
    </row>
    <row r="45" spans="14:15">
      <c r="N45">
        <v>44</v>
      </c>
      <c r="O45" t="s">
        <v>799</v>
      </c>
    </row>
    <row r="46" spans="14:15">
      <c r="N46">
        <v>45</v>
      </c>
      <c r="O46" t="s">
        <v>799</v>
      </c>
    </row>
    <row r="47" spans="14:15">
      <c r="N47">
        <v>46</v>
      </c>
      <c r="O47" t="s">
        <v>799</v>
      </c>
    </row>
    <row r="48" spans="14:15">
      <c r="N48">
        <v>47</v>
      </c>
      <c r="O48" t="s">
        <v>799</v>
      </c>
    </row>
    <row r="49" spans="14:15">
      <c r="N49">
        <v>48</v>
      </c>
      <c r="O49" t="s">
        <v>799</v>
      </c>
    </row>
    <row r="50" spans="14:15">
      <c r="N50">
        <v>49</v>
      </c>
      <c r="O50" t="s">
        <v>799</v>
      </c>
    </row>
    <row r="51" spans="14:15">
      <c r="N51">
        <v>50</v>
      </c>
      <c r="O51" t="s">
        <v>799</v>
      </c>
    </row>
    <row r="52" spans="14:15">
      <c r="N52">
        <v>51</v>
      </c>
      <c r="O52" t="s">
        <v>799</v>
      </c>
    </row>
    <row r="53" spans="14:15">
      <c r="N53">
        <v>52</v>
      </c>
      <c r="O53" t="s">
        <v>799</v>
      </c>
    </row>
    <row r="54" spans="14:15">
      <c r="N54">
        <v>53</v>
      </c>
      <c r="O54" t="s">
        <v>799</v>
      </c>
    </row>
    <row r="55" spans="14:15">
      <c r="N55">
        <v>54</v>
      </c>
      <c r="O55" t="s">
        <v>799</v>
      </c>
    </row>
    <row r="56" spans="14:15">
      <c r="N56">
        <v>55</v>
      </c>
      <c r="O56" t="s">
        <v>799</v>
      </c>
    </row>
    <row r="57" spans="14:15">
      <c r="N57">
        <v>56</v>
      </c>
      <c r="O57" t="s">
        <v>799</v>
      </c>
    </row>
    <row r="58" spans="14:15">
      <c r="N58">
        <v>57</v>
      </c>
      <c r="O58" t="s">
        <v>799</v>
      </c>
    </row>
    <row r="59" spans="14:15">
      <c r="N59">
        <v>58</v>
      </c>
      <c r="O59" t="s">
        <v>799</v>
      </c>
    </row>
    <row r="60" spans="14:15">
      <c r="N60">
        <v>59</v>
      </c>
      <c r="O60" t="s">
        <v>799</v>
      </c>
    </row>
    <row r="61" spans="14:15">
      <c r="N61">
        <v>60</v>
      </c>
      <c r="O61" t="s">
        <v>799</v>
      </c>
    </row>
    <row r="62" spans="14:15">
      <c r="N62">
        <v>61</v>
      </c>
      <c r="O62" t="s">
        <v>799</v>
      </c>
    </row>
    <row r="63" spans="14:15">
      <c r="N63">
        <v>62</v>
      </c>
      <c r="O63" t="s">
        <v>799</v>
      </c>
    </row>
    <row r="64" spans="14:15">
      <c r="N64">
        <v>63</v>
      </c>
      <c r="O64" t="s">
        <v>799</v>
      </c>
    </row>
    <row r="65" spans="14:15">
      <c r="N65">
        <v>64</v>
      </c>
      <c r="O65" t="s">
        <v>799</v>
      </c>
    </row>
    <row r="66" spans="14:15">
      <c r="N66">
        <v>65</v>
      </c>
      <c r="O66" t="s">
        <v>799</v>
      </c>
    </row>
    <row r="67" spans="14:15">
      <c r="N67">
        <v>66</v>
      </c>
      <c r="O67" t="s">
        <v>799</v>
      </c>
    </row>
    <row r="68" spans="14:15">
      <c r="N68">
        <v>67</v>
      </c>
      <c r="O68" t="s">
        <v>799</v>
      </c>
    </row>
    <row r="69" spans="14:15">
      <c r="N69">
        <v>68</v>
      </c>
      <c r="O69" t="s">
        <v>799</v>
      </c>
    </row>
    <row r="70" spans="14:15">
      <c r="N70">
        <v>69</v>
      </c>
      <c r="O70" t="s">
        <v>799</v>
      </c>
    </row>
    <row r="71" spans="14:15">
      <c r="N71">
        <v>70</v>
      </c>
      <c r="O71" t="s">
        <v>799</v>
      </c>
    </row>
    <row r="72" spans="14:15">
      <c r="N72">
        <v>71</v>
      </c>
      <c r="O72" t="s">
        <v>799</v>
      </c>
    </row>
    <row r="73" spans="14:15">
      <c r="N73">
        <v>72</v>
      </c>
      <c r="O73" t="s">
        <v>799</v>
      </c>
    </row>
    <row r="74" spans="14:15">
      <c r="N74">
        <v>73</v>
      </c>
      <c r="O74" t="s">
        <v>799</v>
      </c>
    </row>
    <row r="75" spans="14:15">
      <c r="N75">
        <v>74</v>
      </c>
      <c r="O75" t="s">
        <v>799</v>
      </c>
    </row>
    <row r="76" spans="14:15">
      <c r="N76">
        <v>75</v>
      </c>
      <c r="O76" t="s">
        <v>799</v>
      </c>
    </row>
    <row r="77" spans="14:15">
      <c r="N77">
        <v>76</v>
      </c>
      <c r="O77" t="s">
        <v>799</v>
      </c>
    </row>
    <row r="78" spans="14:15">
      <c r="N78">
        <v>77</v>
      </c>
      <c r="O78" t="s">
        <v>799</v>
      </c>
    </row>
    <row r="79" spans="14:15">
      <c r="N79">
        <v>78</v>
      </c>
      <c r="O79" t="s">
        <v>799</v>
      </c>
    </row>
    <row r="80" spans="14:15">
      <c r="N80">
        <v>79</v>
      </c>
      <c r="O80" t="s">
        <v>799</v>
      </c>
    </row>
    <row r="81" spans="14:15">
      <c r="N81">
        <v>80</v>
      </c>
      <c r="O81" t="s">
        <v>799</v>
      </c>
    </row>
    <row r="82" spans="14:15">
      <c r="N82">
        <v>81</v>
      </c>
      <c r="O82" t="s">
        <v>799</v>
      </c>
    </row>
    <row r="83" spans="14:15">
      <c r="N83">
        <v>82</v>
      </c>
      <c r="O83" t="s">
        <v>799</v>
      </c>
    </row>
    <row r="84" spans="14:15">
      <c r="N84">
        <v>83</v>
      </c>
      <c r="O84" t="s">
        <v>799</v>
      </c>
    </row>
    <row r="85" spans="14:15">
      <c r="N85">
        <v>84</v>
      </c>
      <c r="O85" t="s">
        <v>799</v>
      </c>
    </row>
    <row r="86" spans="14:15">
      <c r="N86">
        <v>85</v>
      </c>
      <c r="O86" t="s">
        <v>799</v>
      </c>
    </row>
    <row r="87" spans="14:15">
      <c r="N87">
        <v>86</v>
      </c>
      <c r="O87" t="s">
        <v>799</v>
      </c>
    </row>
    <row r="88" spans="14:15">
      <c r="N88">
        <v>87</v>
      </c>
      <c r="O88" t="s">
        <v>799</v>
      </c>
    </row>
    <row r="89" spans="14:15">
      <c r="N89">
        <v>88</v>
      </c>
      <c r="O89" t="s">
        <v>799</v>
      </c>
    </row>
    <row r="90" spans="14:15">
      <c r="N90">
        <v>89</v>
      </c>
      <c r="O90" t="s">
        <v>799</v>
      </c>
    </row>
    <row r="91" spans="14:15">
      <c r="N91">
        <v>90</v>
      </c>
      <c r="O91" t="s">
        <v>799</v>
      </c>
    </row>
    <row r="92" spans="14:15">
      <c r="N92">
        <v>91</v>
      </c>
      <c r="O92" t="s">
        <v>799</v>
      </c>
    </row>
    <row r="93" spans="14:15">
      <c r="N93">
        <v>92</v>
      </c>
      <c r="O93" t="s">
        <v>799</v>
      </c>
    </row>
    <row r="94" spans="14:15">
      <c r="N94">
        <v>93</v>
      </c>
      <c r="O94" t="s">
        <v>799</v>
      </c>
    </row>
    <row r="95" spans="14:15">
      <c r="N95">
        <v>94</v>
      </c>
      <c r="O95" t="s">
        <v>799</v>
      </c>
    </row>
    <row r="96" spans="14:15">
      <c r="N96">
        <v>95</v>
      </c>
      <c r="O96" t="s">
        <v>799</v>
      </c>
    </row>
    <row r="97" spans="14:15">
      <c r="N97">
        <v>96</v>
      </c>
      <c r="O97" t="s">
        <v>799</v>
      </c>
    </row>
    <row r="98" spans="14:15">
      <c r="N98">
        <v>97</v>
      </c>
      <c r="O98" t="s">
        <v>799</v>
      </c>
    </row>
    <row r="99" spans="14:15">
      <c r="N99">
        <v>98</v>
      </c>
      <c r="O99" t="s">
        <v>799</v>
      </c>
    </row>
    <row r="100" spans="14:15">
      <c r="N100">
        <v>99</v>
      </c>
      <c r="O100" t="s">
        <v>799</v>
      </c>
    </row>
    <row r="101" spans="14:15">
      <c r="N101">
        <v>100</v>
      </c>
      <c r="O101" t="s">
        <v>799</v>
      </c>
    </row>
    <row r="102" spans="14:15">
      <c r="N102">
        <v>101</v>
      </c>
      <c r="O102" t="s">
        <v>749</v>
      </c>
    </row>
    <row r="103" spans="14:15">
      <c r="N103">
        <v>102</v>
      </c>
      <c r="O103" t="s">
        <v>749</v>
      </c>
    </row>
    <row r="104" spans="14:15">
      <c r="N104">
        <v>103</v>
      </c>
      <c r="O104" t="s">
        <v>749</v>
      </c>
    </row>
    <row r="105" spans="14:15">
      <c r="N105">
        <v>104</v>
      </c>
      <c r="O105" t="s">
        <v>749</v>
      </c>
    </row>
    <row r="106" spans="14:15">
      <c r="N106">
        <v>105</v>
      </c>
      <c r="O106" t="s">
        <v>749</v>
      </c>
    </row>
    <row r="107" spans="14:15">
      <c r="N107">
        <v>106</v>
      </c>
      <c r="O107" t="s">
        <v>749</v>
      </c>
    </row>
    <row r="108" spans="14:15">
      <c r="N108">
        <v>107</v>
      </c>
      <c r="O108" t="s">
        <v>749</v>
      </c>
    </row>
    <row r="109" spans="14:15">
      <c r="N109">
        <v>108</v>
      </c>
      <c r="O109" t="s">
        <v>749</v>
      </c>
    </row>
    <row r="110" spans="14:15">
      <c r="N110">
        <v>109</v>
      </c>
      <c r="O110" t="s">
        <v>749</v>
      </c>
    </row>
    <row r="111" spans="14:15">
      <c r="N111">
        <v>110</v>
      </c>
      <c r="O111" t="s">
        <v>749</v>
      </c>
    </row>
    <row r="112" spans="14:15">
      <c r="N112">
        <v>111</v>
      </c>
      <c r="O112" t="s">
        <v>749</v>
      </c>
    </row>
    <row r="113" spans="14:15">
      <c r="N113">
        <v>112</v>
      </c>
      <c r="O113" t="s">
        <v>749</v>
      </c>
    </row>
    <row r="114" spans="14:15">
      <c r="N114">
        <v>113</v>
      </c>
      <c r="O114" t="s">
        <v>749</v>
      </c>
    </row>
    <row r="115" spans="14:15">
      <c r="N115">
        <v>114</v>
      </c>
      <c r="O115" t="s">
        <v>749</v>
      </c>
    </row>
    <row r="116" spans="14:15">
      <c r="N116">
        <v>115</v>
      </c>
      <c r="O116" t="s">
        <v>749</v>
      </c>
    </row>
    <row r="117" spans="14:15">
      <c r="N117">
        <v>116</v>
      </c>
      <c r="O117" t="s">
        <v>749</v>
      </c>
    </row>
    <row r="118" spans="14:15">
      <c r="N118">
        <v>117</v>
      </c>
      <c r="O118" t="s">
        <v>749</v>
      </c>
    </row>
    <row r="119" spans="14:15">
      <c r="N119">
        <v>118</v>
      </c>
      <c r="O119" t="s">
        <v>749</v>
      </c>
    </row>
    <row r="120" spans="14:15">
      <c r="N120">
        <v>119</v>
      </c>
      <c r="O120" t="s">
        <v>749</v>
      </c>
    </row>
    <row r="121" spans="14:15">
      <c r="N121">
        <v>120</v>
      </c>
      <c r="O121" t="s">
        <v>749</v>
      </c>
    </row>
    <row r="122" spans="14:15">
      <c r="N122">
        <v>121</v>
      </c>
      <c r="O122" t="s">
        <v>749</v>
      </c>
    </row>
    <row r="123" spans="14:15">
      <c r="N123">
        <v>122</v>
      </c>
      <c r="O123" t="s">
        <v>749</v>
      </c>
    </row>
    <row r="124" spans="14:15">
      <c r="N124">
        <v>123</v>
      </c>
      <c r="O124" t="s">
        <v>749</v>
      </c>
    </row>
    <row r="125" spans="14:15">
      <c r="N125">
        <v>124</v>
      </c>
      <c r="O125" t="s">
        <v>749</v>
      </c>
    </row>
    <row r="126" spans="14:15">
      <c r="N126">
        <v>125</v>
      </c>
      <c r="O126" t="s">
        <v>749</v>
      </c>
    </row>
    <row r="127" spans="14:15">
      <c r="N127">
        <v>126</v>
      </c>
      <c r="O127" t="s">
        <v>749</v>
      </c>
    </row>
    <row r="128" spans="14:15">
      <c r="N128">
        <v>127</v>
      </c>
      <c r="O128" t="s">
        <v>749</v>
      </c>
    </row>
    <row r="129" spans="14:15">
      <c r="N129">
        <v>128</v>
      </c>
      <c r="O129" t="s">
        <v>749</v>
      </c>
    </row>
    <row r="130" spans="14:15">
      <c r="N130">
        <v>129</v>
      </c>
      <c r="O130" t="s">
        <v>749</v>
      </c>
    </row>
    <row r="131" spans="14:15">
      <c r="N131">
        <v>130</v>
      </c>
      <c r="O131" t="s">
        <v>749</v>
      </c>
    </row>
    <row r="132" spans="14:15">
      <c r="N132">
        <v>131</v>
      </c>
      <c r="O132" t="s">
        <v>807</v>
      </c>
    </row>
    <row r="133" spans="14:15">
      <c r="N133">
        <v>132</v>
      </c>
      <c r="O133" t="s">
        <v>807</v>
      </c>
    </row>
    <row r="134" spans="14:15">
      <c r="N134">
        <v>133</v>
      </c>
      <c r="O134" t="s">
        <v>807</v>
      </c>
    </row>
    <row r="135" spans="14:15">
      <c r="N135">
        <v>134</v>
      </c>
      <c r="O135" t="s">
        <v>807</v>
      </c>
    </row>
    <row r="136" spans="14:15">
      <c r="N136">
        <v>135</v>
      </c>
      <c r="O136" t="s">
        <v>807</v>
      </c>
    </row>
    <row r="137" spans="14:15">
      <c r="N137">
        <v>136</v>
      </c>
      <c r="O137" t="s">
        <v>807</v>
      </c>
    </row>
    <row r="138" spans="14:15">
      <c r="N138">
        <v>137</v>
      </c>
      <c r="O138" t="s">
        <v>807</v>
      </c>
    </row>
    <row r="139" spans="14:15">
      <c r="N139">
        <v>138</v>
      </c>
      <c r="O139" t="s">
        <v>807</v>
      </c>
    </row>
    <row r="140" spans="14:15">
      <c r="N140">
        <v>139</v>
      </c>
      <c r="O140" t="s">
        <v>807</v>
      </c>
    </row>
    <row r="141" spans="14:15">
      <c r="N141">
        <v>140</v>
      </c>
      <c r="O141" t="s">
        <v>807</v>
      </c>
    </row>
    <row r="142" spans="14:15">
      <c r="N142">
        <v>141</v>
      </c>
      <c r="O142" t="s">
        <v>807</v>
      </c>
    </row>
    <row r="143" spans="14:15">
      <c r="N143">
        <v>142</v>
      </c>
      <c r="O143" t="s">
        <v>807</v>
      </c>
    </row>
    <row r="144" spans="14:15">
      <c r="N144">
        <v>143</v>
      </c>
      <c r="O144" t="s">
        <v>807</v>
      </c>
    </row>
    <row r="145" spans="14:15">
      <c r="N145">
        <v>144</v>
      </c>
      <c r="O145" t="s">
        <v>807</v>
      </c>
    </row>
    <row r="146" spans="14:15">
      <c r="N146">
        <v>145</v>
      </c>
      <c r="O146" t="s">
        <v>807</v>
      </c>
    </row>
    <row r="147" spans="14:15">
      <c r="N147">
        <v>146</v>
      </c>
      <c r="O147" t="s">
        <v>807</v>
      </c>
    </row>
    <row r="148" spans="14:15">
      <c r="N148">
        <v>147</v>
      </c>
      <c r="O148" t="s">
        <v>807</v>
      </c>
    </row>
    <row r="149" spans="14:15">
      <c r="N149">
        <v>148</v>
      </c>
      <c r="O149" t="s">
        <v>807</v>
      </c>
    </row>
    <row r="150" spans="14:15">
      <c r="N150">
        <v>149</v>
      </c>
      <c r="O150" t="s">
        <v>807</v>
      </c>
    </row>
    <row r="151" spans="14:15">
      <c r="N151">
        <v>150</v>
      </c>
      <c r="O151" t="s">
        <v>807</v>
      </c>
    </row>
    <row r="152" spans="14:15">
      <c r="N152">
        <v>151</v>
      </c>
      <c r="O152" t="s">
        <v>807</v>
      </c>
    </row>
    <row r="153" spans="14:15">
      <c r="N153">
        <v>152</v>
      </c>
      <c r="O153" t="s">
        <v>807</v>
      </c>
    </row>
    <row r="154" spans="14:15">
      <c r="N154">
        <v>153</v>
      </c>
      <c r="O154" t="s">
        <v>807</v>
      </c>
    </row>
    <row r="155" spans="14:15">
      <c r="N155">
        <v>154</v>
      </c>
      <c r="O155" t="s">
        <v>807</v>
      </c>
    </row>
    <row r="156" spans="14:15">
      <c r="N156">
        <v>155</v>
      </c>
      <c r="O156" t="s">
        <v>807</v>
      </c>
    </row>
    <row r="157" spans="14:15">
      <c r="N157">
        <v>156</v>
      </c>
      <c r="O157" t="s">
        <v>807</v>
      </c>
    </row>
    <row r="158" spans="14:15">
      <c r="N158">
        <v>157</v>
      </c>
      <c r="O158" t="s">
        <v>807</v>
      </c>
    </row>
    <row r="159" spans="14:15">
      <c r="N159">
        <v>158</v>
      </c>
      <c r="O159" t="s">
        <v>807</v>
      </c>
    </row>
    <row r="160" spans="14:15">
      <c r="N160">
        <v>159</v>
      </c>
      <c r="O160" t="s">
        <v>807</v>
      </c>
    </row>
    <row r="161" spans="14:15">
      <c r="N161">
        <v>160</v>
      </c>
      <c r="O161" t="s">
        <v>807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2222222222" style="1" customWidth="1"/>
    <col min="3" max="3" width="14" style="1" customWidth="1"/>
    <col min="4" max="16384" width="14" style="1"/>
  </cols>
  <sheetData>
    <row r="1" ht="15.6" spans="1:2">
      <c r="A1" s="1" t="s">
        <v>939</v>
      </c>
      <c r="B1" s="1" t="s">
        <v>940</v>
      </c>
    </row>
    <row r="2" ht="36" customHeight="1" spans="1:2">
      <c r="A2" s="2" t="s">
        <v>941</v>
      </c>
      <c r="B2" s="3" t="s">
        <v>942</v>
      </c>
    </row>
    <row r="3" ht="38" customHeight="1" spans="1:2">
      <c r="A3" s="2" t="s">
        <v>943</v>
      </c>
      <c r="B3" s="2" t="s">
        <v>944</v>
      </c>
    </row>
    <row r="4" ht="37" customHeight="1" spans="1:2">
      <c r="A4" s="2" t="s">
        <v>945</v>
      </c>
      <c r="B4" s="2" t="s">
        <v>946</v>
      </c>
    </row>
    <row r="5" ht="15.6" spans="1:2">
      <c r="A5" s="2" t="s">
        <v>947</v>
      </c>
      <c r="B5" s="1" t="s">
        <v>948</v>
      </c>
    </row>
    <row r="6" ht="15.6" spans="1:2">
      <c r="A6" s="2" t="s">
        <v>949</v>
      </c>
      <c r="B6" s="1" t="s">
        <v>950</v>
      </c>
    </row>
    <row r="7" ht="15.6" spans="1:2">
      <c r="A7" s="2" t="s">
        <v>951</v>
      </c>
      <c r="B7" s="1" t="s">
        <v>952</v>
      </c>
    </row>
    <row r="8" ht="15.6" spans="1:2">
      <c r="A8" s="2" t="s">
        <v>953</v>
      </c>
      <c r="B8" s="1" t="s">
        <v>954</v>
      </c>
    </row>
    <row r="9" ht="15.6" spans="1:2">
      <c r="A9" s="2" t="s">
        <v>955</v>
      </c>
      <c r="B9" s="1" t="s">
        <v>956</v>
      </c>
    </row>
    <row r="10" ht="15.6" spans="1:2">
      <c r="A10" s="2" t="s">
        <v>957</v>
      </c>
      <c r="B10" s="1" t="s">
        <v>958</v>
      </c>
    </row>
    <row r="11" ht="15.6" spans="1:2">
      <c r="A11" s="2" t="s">
        <v>959</v>
      </c>
      <c r="B11" s="1" t="s">
        <v>960</v>
      </c>
    </row>
    <row r="12" ht="15.6" spans="1:2">
      <c r="A12" s="2" t="s">
        <v>961</v>
      </c>
      <c r="B12" s="1" t="s">
        <v>962</v>
      </c>
    </row>
    <row r="13" ht="15.6" spans="1:2">
      <c r="A13" s="2" t="s">
        <v>963</v>
      </c>
      <c r="B13" s="1" t="s">
        <v>964</v>
      </c>
    </row>
    <row r="14" ht="15.6" spans="1:2">
      <c r="A14" s="2" t="s">
        <v>965</v>
      </c>
      <c r="B14" s="1" t="s">
        <v>966</v>
      </c>
    </row>
    <row r="15" ht="15.6" spans="1:2">
      <c r="A15" s="2" t="s">
        <v>967</v>
      </c>
      <c r="B15" s="1" t="s">
        <v>968</v>
      </c>
    </row>
    <row r="16" ht="15.6" spans="1:2">
      <c r="A16" s="2" t="s">
        <v>969</v>
      </c>
      <c r="B16" s="1" t="s">
        <v>970</v>
      </c>
    </row>
    <row r="17" ht="15.6" spans="1:2">
      <c r="A17" s="2" t="s">
        <v>971</v>
      </c>
      <c r="B17" s="1" t="s">
        <v>972</v>
      </c>
    </row>
    <row r="18" ht="15.6" spans="1:2">
      <c r="A18" s="2" t="s">
        <v>973</v>
      </c>
      <c r="B18" s="1" t="s">
        <v>974</v>
      </c>
    </row>
    <row r="19" ht="15.6" spans="1:2">
      <c r="A19" s="2" t="s">
        <v>975</v>
      </c>
    </row>
    <row r="20" ht="15.6" spans="1:2">
      <c r="A20" s="2" t="s">
        <v>976</v>
      </c>
    </row>
    <row r="21" ht="15.6" spans="1:2">
      <c r="A21" s="2" t="s">
        <v>977</v>
      </c>
    </row>
    <row r="22" ht="15.6" spans="1:2">
      <c r="A22" s="2" t="s">
        <v>978</v>
      </c>
    </row>
    <row r="23" ht="15.6" spans="1:2">
      <c r="A23" s="2" t="s">
        <v>979</v>
      </c>
    </row>
    <row r="24" ht="15.6" spans="1:2">
      <c r="A24" s="2" t="s">
        <v>980</v>
      </c>
    </row>
    <row r="25" ht="15.6" spans="1:2">
      <c r="A25" s="2" t="s">
        <v>981</v>
      </c>
      <c r="B25" s="1" t="s">
        <v>982</v>
      </c>
    </row>
    <row r="26" ht="15.6" spans="1:2">
      <c r="A26" s="2" t="s">
        <v>983</v>
      </c>
      <c r="B26" s="1" t="s">
        <v>984</v>
      </c>
    </row>
    <row r="27" ht="15.6" spans="1:2">
      <c r="A27" s="2" t="s">
        <v>985</v>
      </c>
      <c r="B27" s="1" t="s">
        <v>986</v>
      </c>
    </row>
    <row r="28" ht="59" customHeight="1" spans="1:2">
      <c r="A28" s="2" t="s">
        <v>987</v>
      </c>
      <c r="B28" s="2" t="s">
        <v>988</v>
      </c>
    </row>
    <row r="29" ht="15.6" spans="1:2">
      <c r="A29" s="2" t="s">
        <v>989</v>
      </c>
      <c r="B29" s="1" t="s">
        <v>990</v>
      </c>
    </row>
    <row r="30" ht="15.6" spans="1:2">
      <c r="A30" s="2" t="s">
        <v>991</v>
      </c>
      <c r="B30" s="1" t="s">
        <v>992</v>
      </c>
    </row>
    <row r="31" ht="15.6" spans="1:2">
      <c r="A31" s="2" t="s">
        <v>993</v>
      </c>
      <c r="B31" s="2" t="s">
        <v>994</v>
      </c>
    </row>
    <row r="32" ht="15.6" spans="1:2">
      <c r="A32" s="2" t="s">
        <v>995</v>
      </c>
      <c r="B32" s="1" t="s">
        <v>996</v>
      </c>
    </row>
    <row r="33" ht="15.6" spans="1:2">
      <c r="A33" s="2" t="s">
        <v>997</v>
      </c>
      <c r="B33" s="1" t="s">
        <v>998</v>
      </c>
    </row>
    <row r="34" ht="15.6" spans="1:2">
      <c r="A34" s="2" t="s">
        <v>999</v>
      </c>
    </row>
    <row r="35" ht="15.6" spans="1:2">
      <c r="A35" s="2" t="s">
        <v>1000</v>
      </c>
    </row>
    <row r="36" ht="15.6" spans="1:2">
      <c r="A36" s="2" t="s">
        <v>1001</v>
      </c>
    </row>
    <row r="37" ht="15.6" spans="1:2">
      <c r="A37" s="2" t="s">
        <v>1002</v>
      </c>
    </row>
    <row r="38" ht="15.6" spans="1:2">
      <c r="A38" s="2" t="s">
        <v>1003</v>
      </c>
    </row>
    <row r="39" ht="15.6" spans="1:2">
      <c r="A39" s="2" t="s">
        <v>1004</v>
      </c>
    </row>
    <row r="40" ht="15.6" spans="1:2">
      <c r="A40" s="2" t="s">
        <v>1005</v>
      </c>
    </row>
    <row r="41" ht="15.6" spans="1:2">
      <c r="A41" s="2"/>
    </row>
    <row r="42" ht="15.6" spans="1:2">
      <c r="A42" s="2"/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40"/>
  <sheetViews>
    <sheetView workbookViewId="0">
      <selection activeCell="J29" sqref="J29"/>
    </sheetView>
  </sheetViews>
  <sheetFormatPr defaultColWidth="9" defaultRowHeight="14.4"/>
  <sheetData>
    <row r="1" spans="6:19">
      <c r="F1" t="s">
        <v>124</v>
      </c>
      <c r="G1" t="s">
        <v>1006</v>
      </c>
      <c r="R1" t="s">
        <v>1007</v>
      </c>
      <c r="S1" t="s">
        <v>1006</v>
      </c>
    </row>
    <row r="2" spans="6:19">
      <c r="F2" t="s">
        <v>145</v>
      </c>
      <c r="G2" t="s">
        <v>1008</v>
      </c>
      <c r="R2" t="s">
        <v>1009</v>
      </c>
      <c r="S2" t="s">
        <v>1006</v>
      </c>
    </row>
    <row r="3" spans="6:19">
      <c r="F3" t="s">
        <v>148</v>
      </c>
      <c r="G3" t="s">
        <v>1008</v>
      </c>
      <c r="R3" t="s">
        <v>1010</v>
      </c>
      <c r="S3" t="s">
        <v>1006</v>
      </c>
    </row>
    <row r="4" spans="6:19">
      <c r="F4" t="s">
        <v>151</v>
      </c>
      <c r="G4" t="s">
        <v>1008</v>
      </c>
      <c r="R4" t="s">
        <v>1011</v>
      </c>
      <c r="S4" t="s">
        <v>1006</v>
      </c>
    </row>
    <row r="5" spans="6:19">
      <c r="F5" t="s">
        <v>154</v>
      </c>
      <c r="G5" t="s">
        <v>1008</v>
      </c>
      <c r="R5" t="s">
        <v>1012</v>
      </c>
      <c r="S5" t="s">
        <v>1006</v>
      </c>
    </row>
    <row r="6" spans="6:19">
      <c r="F6" t="s">
        <v>157</v>
      </c>
      <c r="G6" t="s">
        <v>1008</v>
      </c>
      <c r="R6" t="s">
        <v>1013</v>
      </c>
      <c r="S6" t="s">
        <v>1006</v>
      </c>
    </row>
    <row r="7" spans="6:19">
      <c r="F7" t="s">
        <v>161</v>
      </c>
      <c r="G7" t="s">
        <v>1008</v>
      </c>
      <c r="R7" t="s">
        <v>1014</v>
      </c>
      <c r="S7" t="s">
        <v>1006</v>
      </c>
    </row>
    <row r="8" spans="6:19">
      <c r="F8" t="s">
        <v>164</v>
      </c>
      <c r="G8" t="s">
        <v>1008</v>
      </c>
      <c r="R8" t="s">
        <v>1015</v>
      </c>
      <c r="S8" t="s">
        <v>1006</v>
      </c>
    </row>
    <row r="9" spans="6:19">
      <c r="F9" t="s">
        <v>167</v>
      </c>
      <c r="G9" t="s">
        <v>1008</v>
      </c>
      <c r="R9" t="s">
        <v>1016</v>
      </c>
      <c r="S9" t="s">
        <v>1006</v>
      </c>
    </row>
    <row r="10" spans="6:19">
      <c r="F10" t="s">
        <v>170</v>
      </c>
      <c r="G10" t="s">
        <v>1008</v>
      </c>
      <c r="R10" t="s">
        <v>1017</v>
      </c>
      <c r="S10" t="s">
        <v>1006</v>
      </c>
    </row>
    <row r="11" spans="6:19">
      <c r="F11" t="s">
        <v>173</v>
      </c>
      <c r="G11" t="s">
        <v>1008</v>
      </c>
      <c r="R11" t="s">
        <v>1018</v>
      </c>
      <c r="S11" t="s">
        <v>1006</v>
      </c>
    </row>
    <row r="12" spans="6:19">
      <c r="F12" t="s">
        <v>176</v>
      </c>
      <c r="G12" t="s">
        <v>1008</v>
      </c>
      <c r="R12" t="s">
        <v>1019</v>
      </c>
      <c r="S12" t="s">
        <v>1006</v>
      </c>
    </row>
    <row r="13" spans="6:19">
      <c r="F13" t="s">
        <v>179</v>
      </c>
      <c r="G13" t="s">
        <v>1006</v>
      </c>
      <c r="R13" t="s">
        <v>1020</v>
      </c>
      <c r="S13" t="s">
        <v>1006</v>
      </c>
    </row>
    <row r="14" spans="6:19">
      <c r="F14" t="s">
        <v>182</v>
      </c>
      <c r="G14" t="s">
        <v>1008</v>
      </c>
      <c r="R14" t="s">
        <v>1021</v>
      </c>
      <c r="S14" t="s">
        <v>1006</v>
      </c>
    </row>
    <row r="15" spans="6:19">
      <c r="F15" t="s">
        <v>186</v>
      </c>
      <c r="G15" t="s">
        <v>1006</v>
      </c>
      <c r="R15" t="s">
        <v>1022</v>
      </c>
      <c r="S15" t="s">
        <v>1006</v>
      </c>
    </row>
    <row r="16" spans="6:19">
      <c r="F16" t="s">
        <v>189</v>
      </c>
      <c r="G16" t="s">
        <v>1008</v>
      </c>
      <c r="R16" t="s">
        <v>1023</v>
      </c>
      <c r="S16" t="s">
        <v>1006</v>
      </c>
    </row>
    <row r="17" spans="6:19">
      <c r="F17" t="s">
        <v>192</v>
      </c>
      <c r="G17" t="s">
        <v>1006</v>
      </c>
      <c r="R17" t="s">
        <v>1024</v>
      </c>
      <c r="S17" t="s">
        <v>1006</v>
      </c>
    </row>
    <row r="18" spans="6:19">
      <c r="F18" t="s">
        <v>195</v>
      </c>
      <c r="G18" t="s">
        <v>1008</v>
      </c>
      <c r="R18" t="s">
        <v>1025</v>
      </c>
      <c r="S18" t="s">
        <v>1006</v>
      </c>
    </row>
    <row r="19" spans="6:19">
      <c r="F19" t="s">
        <v>197</v>
      </c>
      <c r="G19" t="s">
        <v>1008</v>
      </c>
      <c r="R19" t="s">
        <v>1026</v>
      </c>
      <c r="S19" t="s">
        <v>1006</v>
      </c>
    </row>
    <row r="20" spans="6:19">
      <c r="F20" t="s">
        <v>201</v>
      </c>
      <c r="G20" t="s">
        <v>1006</v>
      </c>
      <c r="R20" t="s">
        <v>1027</v>
      </c>
      <c r="S20" t="s">
        <v>1006</v>
      </c>
    </row>
    <row r="21" spans="6:19">
      <c r="F21" t="s">
        <v>204</v>
      </c>
      <c r="G21" t="s">
        <v>1008</v>
      </c>
    </row>
    <row r="22" spans="6:19">
      <c r="F22" t="s">
        <v>207</v>
      </c>
      <c r="G22" t="s">
        <v>1008</v>
      </c>
    </row>
    <row r="23" spans="6:19">
      <c r="F23" t="s">
        <v>210</v>
      </c>
      <c r="G23" t="s">
        <v>1006</v>
      </c>
    </row>
    <row r="24" spans="6:19">
      <c r="F24" t="s">
        <v>213</v>
      </c>
      <c r="G24" t="s">
        <v>1008</v>
      </c>
    </row>
    <row r="25" spans="6:19">
      <c r="F25" t="s">
        <v>214</v>
      </c>
      <c r="G25" t="s">
        <v>1008</v>
      </c>
    </row>
    <row r="26" spans="6:19">
      <c r="F26" t="s">
        <v>218</v>
      </c>
      <c r="G26" t="s">
        <v>1008</v>
      </c>
    </row>
    <row r="27" spans="6:19">
      <c r="F27" t="s">
        <v>221</v>
      </c>
      <c r="G27" t="s">
        <v>1006</v>
      </c>
    </row>
    <row r="28" spans="6:19">
      <c r="F28" t="s">
        <v>224</v>
      </c>
      <c r="G28" t="s">
        <v>1008</v>
      </c>
    </row>
    <row r="29" spans="6:19">
      <c r="F29" t="s">
        <v>227</v>
      </c>
      <c r="G29" t="s">
        <v>1006</v>
      </c>
    </row>
    <row r="30" spans="6:19">
      <c r="F30" t="s">
        <v>228</v>
      </c>
      <c r="G30" t="s">
        <v>1008</v>
      </c>
    </row>
    <row r="31" spans="6:19">
      <c r="F31" t="s">
        <v>229</v>
      </c>
      <c r="G31" t="s">
        <v>1008</v>
      </c>
    </row>
    <row r="32" spans="6:19">
      <c r="F32" t="s">
        <v>233</v>
      </c>
      <c r="G32" t="s">
        <v>1008</v>
      </c>
    </row>
    <row r="33" spans="6:7">
      <c r="F33" t="s">
        <v>236</v>
      </c>
      <c r="G33" t="s">
        <v>1006</v>
      </c>
    </row>
    <row r="34" spans="6:7">
      <c r="F34" t="s">
        <v>239</v>
      </c>
      <c r="G34" t="s">
        <v>1006</v>
      </c>
    </row>
    <row r="35" spans="6:7">
      <c r="F35" t="s">
        <v>242</v>
      </c>
      <c r="G35" t="s">
        <v>1008</v>
      </c>
    </row>
    <row r="36" spans="6:7">
      <c r="F36" t="s">
        <v>243</v>
      </c>
      <c r="G36" t="s">
        <v>1006</v>
      </c>
    </row>
    <row r="37" spans="6:7">
      <c r="F37" t="s">
        <v>247</v>
      </c>
      <c r="G37" t="s">
        <v>1008</v>
      </c>
    </row>
    <row r="38" spans="6:7">
      <c r="F38" t="s">
        <v>250</v>
      </c>
      <c r="G38" t="s">
        <v>1006</v>
      </c>
    </row>
    <row r="39" spans="6:7">
      <c r="F39" t="s">
        <v>252</v>
      </c>
      <c r="G39" t="s">
        <v>1008</v>
      </c>
    </row>
    <row r="40" spans="6:7">
      <c r="F40" t="s">
        <v>254</v>
      </c>
      <c r="G40" t="s">
        <v>1008</v>
      </c>
    </row>
    <row r="41" spans="6:7">
      <c r="F41" t="s">
        <v>257</v>
      </c>
      <c r="G41" t="s">
        <v>1008</v>
      </c>
    </row>
    <row r="42" spans="6:7">
      <c r="F42" t="s">
        <v>259</v>
      </c>
      <c r="G42" t="s">
        <v>1008</v>
      </c>
    </row>
    <row r="43" spans="6:7">
      <c r="F43" t="s">
        <v>261</v>
      </c>
      <c r="G43" t="s">
        <v>1008</v>
      </c>
    </row>
    <row r="44" spans="6:7">
      <c r="F44" t="s">
        <v>265</v>
      </c>
      <c r="G44" t="s">
        <v>1008</v>
      </c>
    </row>
    <row r="45" spans="6:7">
      <c r="F45" t="s">
        <v>268</v>
      </c>
      <c r="G45" t="s">
        <v>1008</v>
      </c>
    </row>
    <row r="46" spans="6:7">
      <c r="F46" t="s">
        <v>271</v>
      </c>
      <c r="G46" t="s">
        <v>1008</v>
      </c>
    </row>
    <row r="47" spans="6:7">
      <c r="F47" t="s">
        <v>272</v>
      </c>
      <c r="G47" t="s">
        <v>1008</v>
      </c>
    </row>
    <row r="48" spans="6:7">
      <c r="F48" t="s">
        <v>275</v>
      </c>
      <c r="G48" t="s">
        <v>1008</v>
      </c>
    </row>
    <row r="49" spans="6:7">
      <c r="F49" t="s">
        <v>279</v>
      </c>
      <c r="G49" t="s">
        <v>1008</v>
      </c>
    </row>
    <row r="50" spans="6:7">
      <c r="F50" t="s">
        <v>282</v>
      </c>
      <c r="G50" t="s">
        <v>1008</v>
      </c>
    </row>
    <row r="51" spans="6:7">
      <c r="F51" t="s">
        <v>285</v>
      </c>
      <c r="G51" t="s">
        <v>1008</v>
      </c>
    </row>
    <row r="52" spans="6:7">
      <c r="F52" t="s">
        <v>288</v>
      </c>
      <c r="G52" t="s">
        <v>1008</v>
      </c>
    </row>
    <row r="53" spans="6:7">
      <c r="F53" t="s">
        <v>289</v>
      </c>
      <c r="G53" t="s">
        <v>1008</v>
      </c>
    </row>
    <row r="54" spans="6:7">
      <c r="F54" t="s">
        <v>293</v>
      </c>
      <c r="G54" t="s">
        <v>1008</v>
      </c>
    </row>
    <row r="55" spans="6:7">
      <c r="F55" t="s">
        <v>296</v>
      </c>
      <c r="G55" t="s">
        <v>1008</v>
      </c>
    </row>
    <row r="56" spans="6:7">
      <c r="F56" t="s">
        <v>299</v>
      </c>
      <c r="G56" t="s">
        <v>1008</v>
      </c>
    </row>
    <row r="57" spans="6:7">
      <c r="F57" t="s">
        <v>303</v>
      </c>
      <c r="G57" t="s">
        <v>1008</v>
      </c>
    </row>
    <row r="58" spans="6:7">
      <c r="F58" t="s">
        <v>306</v>
      </c>
      <c r="G58" t="s">
        <v>1008</v>
      </c>
    </row>
    <row r="59" spans="6:7">
      <c r="F59" t="s">
        <v>309</v>
      </c>
      <c r="G59" t="s">
        <v>1008</v>
      </c>
    </row>
    <row r="60" spans="6:7">
      <c r="F60" t="s">
        <v>312</v>
      </c>
      <c r="G60" t="s">
        <v>1008</v>
      </c>
    </row>
    <row r="61" spans="6:7">
      <c r="F61" t="s">
        <v>315</v>
      </c>
      <c r="G61" t="s">
        <v>1008</v>
      </c>
    </row>
    <row r="62" spans="6:7">
      <c r="F62" t="s">
        <v>316</v>
      </c>
      <c r="G62" t="s">
        <v>1008</v>
      </c>
    </row>
    <row r="63" spans="6:7">
      <c r="F63" t="s">
        <v>320</v>
      </c>
      <c r="G63" t="s">
        <v>1008</v>
      </c>
    </row>
    <row r="64" spans="6:7">
      <c r="F64" t="s">
        <v>323</v>
      </c>
      <c r="G64" t="s">
        <v>1008</v>
      </c>
    </row>
    <row r="65" spans="6:7">
      <c r="F65" t="s">
        <v>326</v>
      </c>
      <c r="G65" t="s">
        <v>1008</v>
      </c>
    </row>
    <row r="66" spans="6:7">
      <c r="F66" t="s">
        <v>329</v>
      </c>
      <c r="G66" t="s">
        <v>1008</v>
      </c>
    </row>
    <row r="67" spans="6:7">
      <c r="F67" t="s">
        <v>330</v>
      </c>
      <c r="G67" t="s">
        <v>1008</v>
      </c>
    </row>
    <row r="68" spans="6:7">
      <c r="F68" t="s">
        <v>334</v>
      </c>
      <c r="G68" t="s">
        <v>1008</v>
      </c>
    </row>
    <row r="69" spans="6:7">
      <c r="F69" t="s">
        <v>337</v>
      </c>
      <c r="G69" t="s">
        <v>1008</v>
      </c>
    </row>
    <row r="70" spans="6:7">
      <c r="F70" t="s">
        <v>340</v>
      </c>
      <c r="G70" t="s">
        <v>1008</v>
      </c>
    </row>
    <row r="71" spans="6:7">
      <c r="F71" t="s">
        <v>341</v>
      </c>
      <c r="G71" t="s">
        <v>1008</v>
      </c>
    </row>
    <row r="72" spans="6:7">
      <c r="F72" t="s">
        <v>344</v>
      </c>
      <c r="G72" t="s">
        <v>1008</v>
      </c>
    </row>
    <row r="73" spans="6:7">
      <c r="F73" t="s">
        <v>348</v>
      </c>
      <c r="G73" t="s">
        <v>1008</v>
      </c>
    </row>
    <row r="74" spans="6:7">
      <c r="F74" t="s">
        <v>350</v>
      </c>
      <c r="G74" t="s">
        <v>1008</v>
      </c>
    </row>
    <row r="75" spans="6:7">
      <c r="F75" t="s">
        <v>352</v>
      </c>
      <c r="G75" t="s">
        <v>1008</v>
      </c>
    </row>
    <row r="76" spans="6:7">
      <c r="F76" t="s">
        <v>356</v>
      </c>
      <c r="G76" t="s">
        <v>1008</v>
      </c>
    </row>
    <row r="77" spans="6:7">
      <c r="F77" t="s">
        <v>359</v>
      </c>
      <c r="G77" t="s">
        <v>1008</v>
      </c>
    </row>
    <row r="78" spans="6:7">
      <c r="F78" t="s">
        <v>363</v>
      </c>
      <c r="G78" t="s">
        <v>1008</v>
      </c>
    </row>
    <row r="79" spans="6:7">
      <c r="F79" t="s">
        <v>366</v>
      </c>
      <c r="G79" t="s">
        <v>1008</v>
      </c>
    </row>
    <row r="80" spans="6:7">
      <c r="F80" t="s">
        <v>369</v>
      </c>
      <c r="G80" t="s">
        <v>1008</v>
      </c>
    </row>
    <row r="81" spans="6:7">
      <c r="F81" t="s">
        <v>372</v>
      </c>
      <c r="G81" t="s">
        <v>1008</v>
      </c>
    </row>
    <row r="82" spans="6:7">
      <c r="F82" t="s">
        <v>373</v>
      </c>
      <c r="G82" t="s">
        <v>1006</v>
      </c>
    </row>
    <row r="83" spans="6:7">
      <c r="F83" t="s">
        <v>377</v>
      </c>
      <c r="G83" t="s">
        <v>1008</v>
      </c>
    </row>
    <row r="84" spans="6:7">
      <c r="F84" t="s">
        <v>380</v>
      </c>
      <c r="G84" t="s">
        <v>1008</v>
      </c>
    </row>
    <row r="85" spans="6:7">
      <c r="F85" t="s">
        <v>383</v>
      </c>
      <c r="G85" t="s">
        <v>1008</v>
      </c>
    </row>
    <row r="86" spans="6:7">
      <c r="F86" t="s">
        <v>386</v>
      </c>
      <c r="G86" t="s">
        <v>1008</v>
      </c>
    </row>
    <row r="87" spans="6:7">
      <c r="F87" t="s">
        <v>390</v>
      </c>
      <c r="G87" t="s">
        <v>1008</v>
      </c>
    </row>
    <row r="88" spans="6:7">
      <c r="F88" t="s">
        <v>393</v>
      </c>
      <c r="G88" t="s">
        <v>1008</v>
      </c>
    </row>
    <row r="89" spans="6:7">
      <c r="F89" t="s">
        <v>394</v>
      </c>
      <c r="G89" t="s">
        <v>1008</v>
      </c>
    </row>
    <row r="90" spans="6:7">
      <c r="F90" t="s">
        <v>397</v>
      </c>
      <c r="G90" t="s">
        <v>1008</v>
      </c>
    </row>
    <row r="91" spans="6:7">
      <c r="F91" t="s">
        <v>401</v>
      </c>
      <c r="G91" t="s">
        <v>1006</v>
      </c>
    </row>
    <row r="92" spans="6:7">
      <c r="F92" t="s">
        <v>404</v>
      </c>
      <c r="G92" t="s">
        <v>1008</v>
      </c>
    </row>
    <row r="93" spans="6:7">
      <c r="F93" t="s">
        <v>407</v>
      </c>
      <c r="G93" t="s">
        <v>1008</v>
      </c>
    </row>
    <row r="94" spans="6:7">
      <c r="F94" t="s">
        <v>410</v>
      </c>
      <c r="G94" t="s">
        <v>1008</v>
      </c>
    </row>
    <row r="95" spans="6:7">
      <c r="F95" t="s">
        <v>411</v>
      </c>
      <c r="G95" t="s">
        <v>1008</v>
      </c>
    </row>
    <row r="96" spans="6:7">
      <c r="F96" t="s">
        <v>415</v>
      </c>
      <c r="G96" t="s">
        <v>1008</v>
      </c>
    </row>
    <row r="97" spans="6:7">
      <c r="F97" t="s">
        <v>418</v>
      </c>
      <c r="G97" t="s">
        <v>1008</v>
      </c>
    </row>
    <row r="98" spans="6:7">
      <c r="F98" t="s">
        <v>421</v>
      </c>
      <c r="G98" t="s">
        <v>1008</v>
      </c>
    </row>
    <row r="99" spans="6:7">
      <c r="F99" t="s">
        <v>422</v>
      </c>
      <c r="G99" t="s">
        <v>1008</v>
      </c>
    </row>
    <row r="100" spans="6:7">
      <c r="F100" t="s">
        <v>425</v>
      </c>
      <c r="G100" t="s">
        <v>1008</v>
      </c>
    </row>
    <row r="101" spans="6:7">
      <c r="F101" t="s">
        <v>429</v>
      </c>
      <c r="G101" t="s">
        <v>1008</v>
      </c>
    </row>
    <row r="102" spans="6:7">
      <c r="F102" t="s">
        <v>432</v>
      </c>
      <c r="G102" t="s">
        <v>1008</v>
      </c>
    </row>
    <row r="103" spans="6:7">
      <c r="F103" t="s">
        <v>433</v>
      </c>
      <c r="G103" t="s">
        <v>1008</v>
      </c>
    </row>
    <row r="104" spans="6:7">
      <c r="F104" t="s">
        <v>436</v>
      </c>
      <c r="G104" t="s">
        <v>1008</v>
      </c>
    </row>
    <row r="105" spans="6:7">
      <c r="F105" t="s">
        <v>440</v>
      </c>
      <c r="G105" t="s">
        <v>1008</v>
      </c>
    </row>
    <row r="106" spans="6:7">
      <c r="F106" t="s">
        <v>443</v>
      </c>
      <c r="G106" t="s">
        <v>1006</v>
      </c>
    </row>
    <row r="107" spans="6:7">
      <c r="F107" t="s">
        <v>447</v>
      </c>
      <c r="G107" t="s">
        <v>1006</v>
      </c>
    </row>
    <row r="108" spans="6:7">
      <c r="F108" t="s">
        <v>450</v>
      </c>
      <c r="G108" t="s">
        <v>1008</v>
      </c>
    </row>
    <row r="109" spans="6:7">
      <c r="F109" t="s">
        <v>454</v>
      </c>
      <c r="G109" t="s">
        <v>1008</v>
      </c>
    </row>
    <row r="110" spans="6:7">
      <c r="F110" t="s">
        <v>457</v>
      </c>
      <c r="G110" t="s">
        <v>1008</v>
      </c>
    </row>
    <row r="111" spans="6:7">
      <c r="F111" t="s">
        <v>460</v>
      </c>
      <c r="G111" t="s">
        <v>1008</v>
      </c>
    </row>
    <row r="112" spans="6:7">
      <c r="F112" t="s">
        <v>461</v>
      </c>
      <c r="G112" t="s">
        <v>1008</v>
      </c>
    </row>
    <row r="113" spans="6:7">
      <c r="F113" t="s">
        <v>465</v>
      </c>
      <c r="G113" t="s">
        <v>1008</v>
      </c>
    </row>
    <row r="114" spans="6:7">
      <c r="F114" t="s">
        <v>468</v>
      </c>
      <c r="G114" t="s">
        <v>1008</v>
      </c>
    </row>
    <row r="115" spans="6:7">
      <c r="F115" t="s">
        <v>469</v>
      </c>
      <c r="G115" t="s">
        <v>1008</v>
      </c>
    </row>
    <row r="116" spans="6:7">
      <c r="F116" t="s">
        <v>472</v>
      </c>
      <c r="G116" t="s">
        <v>1008</v>
      </c>
    </row>
    <row r="117" spans="6:7">
      <c r="F117" t="s">
        <v>476</v>
      </c>
      <c r="G117" t="s">
        <v>1008</v>
      </c>
    </row>
    <row r="118" spans="6:7">
      <c r="F118" t="s">
        <v>479</v>
      </c>
      <c r="G118" t="s">
        <v>1008</v>
      </c>
    </row>
    <row r="119" spans="6:7">
      <c r="F119" t="s">
        <v>482</v>
      </c>
      <c r="G119" t="s">
        <v>1008</v>
      </c>
    </row>
    <row r="120" spans="6:7">
      <c r="F120" t="s">
        <v>485</v>
      </c>
      <c r="G120" t="s">
        <v>1006</v>
      </c>
    </row>
    <row r="121" spans="6:7">
      <c r="F121" t="s">
        <v>489</v>
      </c>
      <c r="G121" t="s">
        <v>1008</v>
      </c>
    </row>
    <row r="122" spans="6:7">
      <c r="F122" t="s">
        <v>492</v>
      </c>
      <c r="G122" t="s">
        <v>1006</v>
      </c>
    </row>
    <row r="123" spans="6:7">
      <c r="F123" t="s">
        <v>495</v>
      </c>
      <c r="G123" t="s">
        <v>1008</v>
      </c>
    </row>
    <row r="124" spans="6:7">
      <c r="F124" t="s">
        <v>498</v>
      </c>
      <c r="G124" t="s">
        <v>1008</v>
      </c>
    </row>
    <row r="125" spans="6:7">
      <c r="F125" t="s">
        <v>502</v>
      </c>
      <c r="G125" t="s">
        <v>1008</v>
      </c>
    </row>
    <row r="126" spans="6:7">
      <c r="F126" t="s">
        <v>505</v>
      </c>
      <c r="G126" t="s">
        <v>1008</v>
      </c>
    </row>
    <row r="127" spans="6:7">
      <c r="F127" t="s">
        <v>508</v>
      </c>
      <c r="G127" t="s">
        <v>1008</v>
      </c>
    </row>
    <row r="128" spans="6:7">
      <c r="F128" t="s">
        <v>511</v>
      </c>
      <c r="G128" t="s">
        <v>1006</v>
      </c>
    </row>
    <row r="129" spans="6:7">
      <c r="F129" t="s">
        <v>515</v>
      </c>
      <c r="G129" t="s">
        <v>1008</v>
      </c>
    </row>
    <row r="130" spans="6:7">
      <c r="F130" t="s">
        <v>519</v>
      </c>
      <c r="G130" t="s">
        <v>1008</v>
      </c>
    </row>
    <row r="131" spans="6:7">
      <c r="F131" t="s">
        <v>523</v>
      </c>
      <c r="G131" t="s">
        <v>1008</v>
      </c>
    </row>
    <row r="132" spans="6:7">
      <c r="F132" t="s">
        <v>526</v>
      </c>
      <c r="G132" t="s">
        <v>1008</v>
      </c>
    </row>
    <row r="133" spans="6:7">
      <c r="F133" t="s">
        <v>529</v>
      </c>
      <c r="G133" t="s">
        <v>1006</v>
      </c>
    </row>
    <row r="134" spans="6:7">
      <c r="F134" t="s">
        <v>533</v>
      </c>
      <c r="G134" t="s">
        <v>1008</v>
      </c>
    </row>
    <row r="135" spans="6:7">
      <c r="F135" t="s">
        <v>536</v>
      </c>
      <c r="G135" t="s">
        <v>1008</v>
      </c>
    </row>
    <row r="136" spans="6:7">
      <c r="F136" t="s">
        <v>539</v>
      </c>
      <c r="G136" t="s">
        <v>1008</v>
      </c>
    </row>
    <row r="137" spans="6:7">
      <c r="F137" t="s">
        <v>543</v>
      </c>
      <c r="G137" t="s">
        <v>1008</v>
      </c>
    </row>
    <row r="138" spans="6:7">
      <c r="F138" t="s">
        <v>546</v>
      </c>
      <c r="G138" t="s">
        <v>1008</v>
      </c>
    </row>
    <row r="139" spans="6:7">
      <c r="F139" t="s">
        <v>549</v>
      </c>
      <c r="G139" t="s">
        <v>1008</v>
      </c>
    </row>
    <row r="140" spans="6:7">
      <c r="F140" t="s">
        <v>553</v>
      </c>
      <c r="G140" t="s">
        <v>1008</v>
      </c>
    </row>
    <row r="141" spans="6:7">
      <c r="F141" t="s">
        <v>556</v>
      </c>
      <c r="G141" t="s">
        <v>1008</v>
      </c>
    </row>
    <row r="142" spans="6:7">
      <c r="F142" t="s">
        <v>559</v>
      </c>
      <c r="G142" t="s">
        <v>1008</v>
      </c>
    </row>
    <row r="143" spans="6:7">
      <c r="F143" t="s">
        <v>563</v>
      </c>
      <c r="G143" t="s">
        <v>1008</v>
      </c>
    </row>
    <row r="144" spans="6:7">
      <c r="F144" t="s">
        <v>566</v>
      </c>
      <c r="G144" t="s">
        <v>1008</v>
      </c>
    </row>
    <row r="145" spans="6:7">
      <c r="F145" t="s">
        <v>569</v>
      </c>
      <c r="G145" t="s">
        <v>1008</v>
      </c>
    </row>
    <row r="146" spans="6:7">
      <c r="F146" t="s">
        <v>573</v>
      </c>
      <c r="G146" t="s">
        <v>1008</v>
      </c>
    </row>
    <row r="147" spans="6:7">
      <c r="F147" t="s">
        <v>576</v>
      </c>
      <c r="G147" t="s">
        <v>1008</v>
      </c>
    </row>
    <row r="148" spans="6:7">
      <c r="F148" t="s">
        <v>579</v>
      </c>
      <c r="G148" t="s">
        <v>1008</v>
      </c>
    </row>
    <row r="149" spans="6:7">
      <c r="F149" t="s">
        <v>582</v>
      </c>
      <c r="G149" t="s">
        <v>1008</v>
      </c>
    </row>
    <row r="150" spans="6:7">
      <c r="F150" t="s">
        <v>586</v>
      </c>
      <c r="G150" t="s">
        <v>1008</v>
      </c>
    </row>
    <row r="151" spans="6:7">
      <c r="F151" t="s">
        <v>590</v>
      </c>
      <c r="G151" t="s">
        <v>1008</v>
      </c>
    </row>
    <row r="152" spans="6:7">
      <c r="F152" t="s">
        <v>594</v>
      </c>
      <c r="G152" t="s">
        <v>1008</v>
      </c>
    </row>
    <row r="153" spans="6:7">
      <c r="F153" t="s">
        <v>597</v>
      </c>
      <c r="G153" t="s">
        <v>1008</v>
      </c>
    </row>
    <row r="154" spans="6:7">
      <c r="F154" t="s">
        <v>600</v>
      </c>
      <c r="G154" t="s">
        <v>1008</v>
      </c>
    </row>
    <row r="155" spans="6:7">
      <c r="F155" t="s">
        <v>603</v>
      </c>
      <c r="G155" t="s">
        <v>1008</v>
      </c>
    </row>
    <row r="156" spans="6:7">
      <c r="F156" t="s">
        <v>607</v>
      </c>
      <c r="G156" t="s">
        <v>1008</v>
      </c>
    </row>
    <row r="157" spans="6:7">
      <c r="F157" t="s">
        <v>610</v>
      </c>
      <c r="G157" t="s">
        <v>1008</v>
      </c>
    </row>
    <row r="158" spans="6:7">
      <c r="F158" t="s">
        <v>613</v>
      </c>
      <c r="G158" t="s">
        <v>1008</v>
      </c>
    </row>
    <row r="159" spans="6:7">
      <c r="F159" t="s">
        <v>616</v>
      </c>
      <c r="G159" t="s">
        <v>1008</v>
      </c>
    </row>
    <row r="160" spans="6:7">
      <c r="F160" t="s">
        <v>620</v>
      </c>
      <c r="G160" t="s">
        <v>1008</v>
      </c>
    </row>
    <row r="161" spans="6:7">
      <c r="F161" t="s">
        <v>623</v>
      </c>
      <c r="G161" t="s">
        <v>1008</v>
      </c>
    </row>
    <row r="162" spans="6:7">
      <c r="F162" t="s">
        <v>626</v>
      </c>
      <c r="G162" t="s">
        <v>1008</v>
      </c>
    </row>
    <row r="163" spans="6:7">
      <c r="F163" t="s">
        <v>630</v>
      </c>
      <c r="G163" t="s">
        <v>1008</v>
      </c>
    </row>
    <row r="164" spans="6:7">
      <c r="F164" t="s">
        <v>633</v>
      </c>
      <c r="G164" t="s">
        <v>1008</v>
      </c>
    </row>
    <row r="165" spans="6:7">
      <c r="F165" t="s">
        <v>635</v>
      </c>
      <c r="G165" t="s">
        <v>1008</v>
      </c>
    </row>
    <row r="166" spans="6:7">
      <c r="F166" t="s">
        <v>637</v>
      </c>
      <c r="G166" t="s">
        <v>1008</v>
      </c>
    </row>
    <row r="167" spans="6:7">
      <c r="F167" t="s">
        <v>640</v>
      </c>
      <c r="G167" t="s">
        <v>1008</v>
      </c>
    </row>
    <row r="168" spans="6:7">
      <c r="F168" t="s">
        <v>644</v>
      </c>
      <c r="G168" t="s">
        <v>1008</v>
      </c>
    </row>
    <row r="169" spans="6:7">
      <c r="F169" t="s">
        <v>645</v>
      </c>
      <c r="G169" t="s">
        <v>1008</v>
      </c>
    </row>
    <row r="170" spans="6:7">
      <c r="F170" t="s">
        <v>648</v>
      </c>
      <c r="G170" t="s">
        <v>1008</v>
      </c>
    </row>
    <row r="171" spans="6:7">
      <c r="F171" t="s">
        <v>651</v>
      </c>
      <c r="G171" t="s">
        <v>1008</v>
      </c>
    </row>
    <row r="172" spans="6:7">
      <c r="F172" t="s">
        <v>654</v>
      </c>
      <c r="G172" t="s">
        <v>1008</v>
      </c>
    </row>
    <row r="173" spans="6:7">
      <c r="F173" t="s">
        <v>658</v>
      </c>
      <c r="G173" t="s">
        <v>1008</v>
      </c>
    </row>
    <row r="174" spans="6:7">
      <c r="F174" t="s">
        <v>661</v>
      </c>
      <c r="G174" t="s">
        <v>1008</v>
      </c>
    </row>
    <row r="175" spans="6:7">
      <c r="F175" t="s">
        <v>664</v>
      </c>
      <c r="G175" t="s">
        <v>1008</v>
      </c>
    </row>
    <row r="176" spans="6:7">
      <c r="F176" t="s">
        <v>665</v>
      </c>
      <c r="G176" t="s">
        <v>1008</v>
      </c>
    </row>
    <row r="177" spans="6:7">
      <c r="F177" t="s">
        <v>669</v>
      </c>
      <c r="G177" t="s">
        <v>1008</v>
      </c>
    </row>
    <row r="178" spans="6:7">
      <c r="F178" t="s">
        <v>672</v>
      </c>
      <c r="G178" t="s">
        <v>1008</v>
      </c>
    </row>
    <row r="179" spans="6:7">
      <c r="F179" t="s">
        <v>673</v>
      </c>
      <c r="G179" t="s">
        <v>1008</v>
      </c>
    </row>
    <row r="180" spans="6:7">
      <c r="F180" t="s">
        <v>676</v>
      </c>
      <c r="G180" t="s">
        <v>1008</v>
      </c>
    </row>
    <row r="181" spans="6:7">
      <c r="F181" t="s">
        <v>679</v>
      </c>
      <c r="G181" t="s">
        <v>1008</v>
      </c>
    </row>
    <row r="182" spans="6:7">
      <c r="F182" t="s">
        <v>682</v>
      </c>
      <c r="G182" t="s">
        <v>1008</v>
      </c>
    </row>
    <row r="183" spans="6:7">
      <c r="F183" t="s">
        <v>683</v>
      </c>
      <c r="G183" t="s">
        <v>1008</v>
      </c>
    </row>
    <row r="184" spans="6:7">
      <c r="F184" t="s">
        <v>686</v>
      </c>
      <c r="G184" t="s">
        <v>1008</v>
      </c>
    </row>
    <row r="185" spans="6:7">
      <c r="F185" t="s">
        <v>687</v>
      </c>
      <c r="G185" t="s">
        <v>1008</v>
      </c>
    </row>
    <row r="186" spans="6:7">
      <c r="F186" t="s">
        <v>690</v>
      </c>
      <c r="G186" t="s">
        <v>1008</v>
      </c>
    </row>
    <row r="187" spans="6:7">
      <c r="F187" t="s">
        <v>694</v>
      </c>
      <c r="G187" t="s">
        <v>1008</v>
      </c>
    </row>
    <row r="188" spans="6:7">
      <c r="F188" t="s">
        <v>697</v>
      </c>
      <c r="G188" t="s">
        <v>1008</v>
      </c>
    </row>
    <row r="189" spans="6:7">
      <c r="F189" t="s">
        <v>700</v>
      </c>
      <c r="G189" t="s">
        <v>1008</v>
      </c>
    </row>
    <row r="190" spans="6:7">
      <c r="F190" t="s">
        <v>701</v>
      </c>
      <c r="G190" t="s">
        <v>1008</v>
      </c>
    </row>
    <row r="191" spans="6:7">
      <c r="F191" t="s">
        <v>705</v>
      </c>
      <c r="G191" t="s">
        <v>1008</v>
      </c>
    </row>
    <row r="192" spans="6:7">
      <c r="F192" t="s">
        <v>708</v>
      </c>
      <c r="G192" t="s">
        <v>1008</v>
      </c>
    </row>
    <row r="193" spans="6:7">
      <c r="F193" t="s">
        <v>709</v>
      </c>
      <c r="G193" t="s">
        <v>1008</v>
      </c>
    </row>
    <row r="194" spans="6:7">
      <c r="F194" t="s">
        <v>712</v>
      </c>
      <c r="G194" t="s">
        <v>1008</v>
      </c>
    </row>
    <row r="195" spans="6:7">
      <c r="F195" t="s">
        <v>719</v>
      </c>
      <c r="G195" t="s">
        <v>1008</v>
      </c>
    </row>
    <row r="196" spans="6:7">
      <c r="F196" t="s">
        <v>722</v>
      </c>
      <c r="G196" t="s">
        <v>1008</v>
      </c>
    </row>
    <row r="197" spans="6:7">
      <c r="F197" t="s">
        <v>725</v>
      </c>
      <c r="G197" t="s">
        <v>1008</v>
      </c>
    </row>
    <row r="198" spans="6:7">
      <c r="F198" t="s">
        <v>727</v>
      </c>
      <c r="G198" t="s">
        <v>1008</v>
      </c>
    </row>
    <row r="199" spans="6:7">
      <c r="F199" t="s">
        <v>731</v>
      </c>
      <c r="G199" t="s">
        <v>1008</v>
      </c>
    </row>
    <row r="200" spans="6:7">
      <c r="F200" t="s">
        <v>734</v>
      </c>
      <c r="G200" t="s">
        <v>1008</v>
      </c>
    </row>
    <row r="201" spans="6:7">
      <c r="F201" t="s">
        <v>737</v>
      </c>
      <c r="G201" t="s">
        <v>1008</v>
      </c>
    </row>
    <row r="202" spans="6:7">
      <c r="F202" t="s">
        <v>738</v>
      </c>
      <c r="G202" t="s">
        <v>1008</v>
      </c>
    </row>
    <row r="203" spans="6:7">
      <c r="F203" t="s">
        <v>742</v>
      </c>
      <c r="G203" t="s">
        <v>1008</v>
      </c>
    </row>
    <row r="204" spans="6:7">
      <c r="F204" t="s">
        <v>745</v>
      </c>
      <c r="G204" t="s">
        <v>1008</v>
      </c>
    </row>
    <row r="205" spans="6:7">
      <c r="F205" t="s">
        <v>746</v>
      </c>
      <c r="G205" t="s">
        <v>1008</v>
      </c>
    </row>
    <row r="206" spans="6:7">
      <c r="F206" t="s">
        <v>750</v>
      </c>
      <c r="G206" t="s">
        <v>1008</v>
      </c>
    </row>
    <row r="207" spans="6:7">
      <c r="F207" t="s">
        <v>754</v>
      </c>
      <c r="G207" t="s">
        <v>1008</v>
      </c>
    </row>
    <row r="208" spans="6:7">
      <c r="F208" t="s">
        <v>758</v>
      </c>
      <c r="G208" t="s">
        <v>1008</v>
      </c>
    </row>
    <row r="209" spans="6:7">
      <c r="F209" t="s">
        <v>762</v>
      </c>
      <c r="G209" t="s">
        <v>1008</v>
      </c>
    </row>
    <row r="210" spans="6:7">
      <c r="F210" t="s">
        <v>765</v>
      </c>
      <c r="G210" t="s">
        <v>1008</v>
      </c>
    </row>
    <row r="211" spans="6:7">
      <c r="F211" t="s">
        <v>766</v>
      </c>
      <c r="G211" t="s">
        <v>1008</v>
      </c>
    </row>
    <row r="212" spans="6:7">
      <c r="F212" t="s">
        <v>769</v>
      </c>
      <c r="G212" t="s">
        <v>1008</v>
      </c>
    </row>
    <row r="213" spans="6:7">
      <c r="F213" t="s">
        <v>773</v>
      </c>
      <c r="G213" t="s">
        <v>1008</v>
      </c>
    </row>
    <row r="214" spans="6:7">
      <c r="F214" t="s">
        <v>776</v>
      </c>
      <c r="G214" t="s">
        <v>1008</v>
      </c>
    </row>
    <row r="215" spans="6:7">
      <c r="F215" t="s">
        <v>779</v>
      </c>
      <c r="G215" t="s">
        <v>1008</v>
      </c>
    </row>
    <row r="216" spans="6:7">
      <c r="F216" t="s">
        <v>780</v>
      </c>
      <c r="G216" t="s">
        <v>1008</v>
      </c>
    </row>
    <row r="217" spans="6:7">
      <c r="F217" t="s">
        <v>784</v>
      </c>
      <c r="G217" t="s">
        <v>1008</v>
      </c>
    </row>
    <row r="218" spans="6:7">
      <c r="F218" t="s">
        <v>787</v>
      </c>
      <c r="G218" t="s">
        <v>1008</v>
      </c>
    </row>
    <row r="219" spans="6:7">
      <c r="F219" t="s">
        <v>788</v>
      </c>
      <c r="G219" t="s">
        <v>1008</v>
      </c>
    </row>
    <row r="220" spans="6:7">
      <c r="F220" t="s">
        <v>1028</v>
      </c>
      <c r="G220" t="s">
        <v>1008</v>
      </c>
    </row>
    <row r="221" spans="6:7">
      <c r="F221" t="s">
        <v>1029</v>
      </c>
      <c r="G221" t="s">
        <v>1008</v>
      </c>
    </row>
    <row r="222" spans="6:7">
      <c r="F222" t="s">
        <v>1030</v>
      </c>
      <c r="G222" t="s">
        <v>1008</v>
      </c>
    </row>
    <row r="223" spans="6:7">
      <c r="F223" t="s">
        <v>1031</v>
      </c>
      <c r="G223" t="s">
        <v>1008</v>
      </c>
    </row>
    <row r="224" spans="6:7">
      <c r="F224" t="s">
        <v>1032</v>
      </c>
      <c r="G224" t="s">
        <v>1008</v>
      </c>
    </row>
    <row r="225" spans="6:7">
      <c r="F225" t="s">
        <v>1033</v>
      </c>
      <c r="G225" t="s">
        <v>1008</v>
      </c>
    </row>
    <row r="226" spans="6:7">
      <c r="F226" t="s">
        <v>1034</v>
      </c>
      <c r="G226" t="s">
        <v>1008</v>
      </c>
    </row>
    <row r="227" spans="6:7">
      <c r="F227" t="s">
        <v>1035</v>
      </c>
      <c r="G227" t="s">
        <v>1008</v>
      </c>
    </row>
    <row r="228" spans="6:7">
      <c r="F228" t="s">
        <v>1036</v>
      </c>
      <c r="G228" t="s">
        <v>1008</v>
      </c>
    </row>
    <row r="229" spans="6:7">
      <c r="F229" t="s">
        <v>1037</v>
      </c>
      <c r="G229" t="s">
        <v>1008</v>
      </c>
    </row>
    <row r="230" spans="6:7">
      <c r="F230" t="s">
        <v>1038</v>
      </c>
      <c r="G230" t="s">
        <v>1008</v>
      </c>
    </row>
    <row r="231" spans="6:7">
      <c r="F231" t="s">
        <v>1039</v>
      </c>
      <c r="G231" t="s">
        <v>1008</v>
      </c>
    </row>
    <row r="232" spans="6:7">
      <c r="F232" t="s">
        <v>1040</v>
      </c>
      <c r="G232" t="s">
        <v>1008</v>
      </c>
    </row>
    <row r="233" spans="6:7">
      <c r="F233" t="s">
        <v>1041</v>
      </c>
      <c r="G233" t="s">
        <v>1008</v>
      </c>
    </row>
    <row r="234" spans="6:7">
      <c r="F234" t="s">
        <v>1042</v>
      </c>
      <c r="G234" t="s">
        <v>1008</v>
      </c>
    </row>
    <row r="235" spans="6:7">
      <c r="F235" t="s">
        <v>1043</v>
      </c>
      <c r="G235" t="s">
        <v>1008</v>
      </c>
    </row>
    <row r="236" spans="6:7">
      <c r="F236" t="s">
        <v>1044</v>
      </c>
      <c r="G236" t="s">
        <v>1008</v>
      </c>
    </row>
    <row r="237" spans="6:7">
      <c r="F237" t="s">
        <v>1045</v>
      </c>
      <c r="G237" t="s">
        <v>1008</v>
      </c>
    </row>
    <row r="238" spans="6:7">
      <c r="F238" t="s">
        <v>1046</v>
      </c>
      <c r="G238" t="s">
        <v>1008</v>
      </c>
    </row>
    <row r="239" spans="6:7">
      <c r="F239" t="s">
        <v>1047</v>
      </c>
      <c r="G239" t="s">
        <v>1008</v>
      </c>
    </row>
    <row r="240" spans="6:7">
      <c r="F240" t="s">
        <v>1048</v>
      </c>
      <c r="G240" t="s">
        <v>1008</v>
      </c>
    </row>
    <row r="241" spans="6:7">
      <c r="F241" t="s">
        <v>1049</v>
      </c>
      <c r="G241" t="s">
        <v>1008</v>
      </c>
    </row>
    <row r="242" spans="6:7">
      <c r="F242" t="s">
        <v>1050</v>
      </c>
      <c r="G242" t="s">
        <v>1008</v>
      </c>
    </row>
    <row r="243" spans="6:7">
      <c r="F243" t="s">
        <v>1051</v>
      </c>
      <c r="G243" t="s">
        <v>1008</v>
      </c>
    </row>
    <row r="244" spans="6:7">
      <c r="F244" t="s">
        <v>1052</v>
      </c>
      <c r="G244" t="s">
        <v>1008</v>
      </c>
    </row>
    <row r="245" spans="6:7">
      <c r="F245" t="s">
        <v>1053</v>
      </c>
      <c r="G245" t="s">
        <v>1008</v>
      </c>
    </row>
    <row r="246" spans="6:7">
      <c r="F246" t="s">
        <v>1054</v>
      </c>
      <c r="G246" t="s">
        <v>1008</v>
      </c>
    </row>
    <row r="247" spans="6:7">
      <c r="F247" t="s">
        <v>1055</v>
      </c>
      <c r="G247" t="s">
        <v>1008</v>
      </c>
    </row>
    <row r="248" spans="6:7">
      <c r="F248" t="s">
        <v>1056</v>
      </c>
      <c r="G248" t="s">
        <v>1008</v>
      </c>
    </row>
    <row r="249" spans="6:7">
      <c r="F249" t="s">
        <v>1057</v>
      </c>
      <c r="G249" t="s">
        <v>1008</v>
      </c>
    </row>
    <row r="250" spans="6:7">
      <c r="F250" t="s">
        <v>1058</v>
      </c>
      <c r="G250" t="s">
        <v>1008</v>
      </c>
    </row>
    <row r="251" spans="6:7">
      <c r="F251" t="s">
        <v>1059</v>
      </c>
      <c r="G251" t="s">
        <v>1008</v>
      </c>
    </row>
    <row r="252" spans="6:7">
      <c r="F252" t="s">
        <v>1060</v>
      </c>
      <c r="G252" t="s">
        <v>1008</v>
      </c>
    </row>
    <row r="253" spans="6:7">
      <c r="F253" t="s">
        <v>1061</v>
      </c>
      <c r="G253" t="s">
        <v>1008</v>
      </c>
    </row>
    <row r="254" spans="6:7">
      <c r="F254" t="s">
        <v>1062</v>
      </c>
      <c r="G254" t="s">
        <v>1008</v>
      </c>
    </row>
    <row r="255" spans="6:7">
      <c r="F255" t="s">
        <v>1063</v>
      </c>
      <c r="G255" t="s">
        <v>1008</v>
      </c>
    </row>
    <row r="256" spans="6:7">
      <c r="F256" t="s">
        <v>1064</v>
      </c>
      <c r="G256" t="s">
        <v>1008</v>
      </c>
    </row>
    <row r="257" spans="6:7">
      <c r="F257" t="s">
        <v>1065</v>
      </c>
      <c r="G257" t="s">
        <v>1008</v>
      </c>
    </row>
    <row r="258" spans="6:7">
      <c r="F258" t="s">
        <v>1066</v>
      </c>
      <c r="G258" t="s">
        <v>1008</v>
      </c>
    </row>
    <row r="259" spans="6:7">
      <c r="F259" t="s">
        <v>1067</v>
      </c>
      <c r="G259" t="s">
        <v>1008</v>
      </c>
    </row>
    <row r="260" spans="6:7">
      <c r="F260" t="s">
        <v>1068</v>
      </c>
      <c r="G260" t="s">
        <v>1008</v>
      </c>
    </row>
    <row r="261" spans="6:7">
      <c r="F261" t="s">
        <v>1069</v>
      </c>
      <c r="G261" t="s">
        <v>1008</v>
      </c>
    </row>
    <row r="262" spans="6:7">
      <c r="F262" t="s">
        <v>1070</v>
      </c>
      <c r="G262" t="s">
        <v>1008</v>
      </c>
    </row>
    <row r="263" spans="6:7">
      <c r="F263" t="s">
        <v>1071</v>
      </c>
      <c r="G263" t="s">
        <v>1008</v>
      </c>
    </row>
    <row r="264" spans="6:7">
      <c r="F264" t="s">
        <v>1072</v>
      </c>
      <c r="G264" t="s">
        <v>1008</v>
      </c>
    </row>
    <row r="265" spans="6:7">
      <c r="F265" t="s">
        <v>1073</v>
      </c>
      <c r="G265" t="s">
        <v>1008</v>
      </c>
    </row>
    <row r="266" spans="6:7">
      <c r="F266" t="s">
        <v>1074</v>
      </c>
      <c r="G266" t="s">
        <v>1008</v>
      </c>
    </row>
    <row r="267" spans="6:7">
      <c r="F267" t="s">
        <v>1075</v>
      </c>
      <c r="G267" t="s">
        <v>1008</v>
      </c>
    </row>
    <row r="268" spans="6:7">
      <c r="F268" t="s">
        <v>1076</v>
      </c>
      <c r="G268" t="s">
        <v>1008</v>
      </c>
    </row>
    <row r="269" spans="6:7">
      <c r="F269" t="s">
        <v>1077</v>
      </c>
      <c r="G269" t="s">
        <v>1008</v>
      </c>
    </row>
    <row r="270" spans="6:7">
      <c r="F270" t="s">
        <v>1078</v>
      </c>
      <c r="G270" t="s">
        <v>1008</v>
      </c>
    </row>
    <row r="271" spans="6:7">
      <c r="F271" t="s">
        <v>1079</v>
      </c>
      <c r="G271" t="s">
        <v>1008</v>
      </c>
    </row>
    <row r="272" spans="6:7">
      <c r="F272" t="s">
        <v>1080</v>
      </c>
      <c r="G272" t="s">
        <v>1008</v>
      </c>
    </row>
    <row r="273" spans="6:7">
      <c r="F273" t="s">
        <v>1081</v>
      </c>
      <c r="G273" t="s">
        <v>1008</v>
      </c>
    </row>
    <row r="274" spans="6:7">
      <c r="F274" t="s">
        <v>1082</v>
      </c>
      <c r="G274" t="s">
        <v>1008</v>
      </c>
    </row>
    <row r="275" spans="6:7">
      <c r="F275" t="s">
        <v>1083</v>
      </c>
      <c r="G275" t="s">
        <v>1008</v>
      </c>
    </row>
    <row r="276" spans="6:7">
      <c r="F276" t="s">
        <v>1084</v>
      </c>
      <c r="G276" t="s">
        <v>1008</v>
      </c>
    </row>
    <row r="277" spans="6:7">
      <c r="F277" t="s">
        <v>1085</v>
      </c>
      <c r="G277" t="s">
        <v>1008</v>
      </c>
    </row>
    <row r="278" spans="6:7">
      <c r="F278" t="s">
        <v>1086</v>
      </c>
      <c r="G278" t="s">
        <v>1008</v>
      </c>
    </row>
    <row r="279" spans="6:7">
      <c r="F279" t="s">
        <v>1087</v>
      </c>
      <c r="G279" t="s">
        <v>1008</v>
      </c>
    </row>
    <row r="280" spans="6:7">
      <c r="F280" t="s">
        <v>1088</v>
      </c>
      <c r="G280" t="s">
        <v>1008</v>
      </c>
    </row>
    <row r="281" spans="6:7">
      <c r="F281" t="s">
        <v>1089</v>
      </c>
      <c r="G281" t="s">
        <v>1008</v>
      </c>
    </row>
    <row r="282" spans="6:7">
      <c r="F282" t="s">
        <v>1090</v>
      </c>
      <c r="G282" t="s">
        <v>1008</v>
      </c>
    </row>
    <row r="283" spans="6:7">
      <c r="F283" t="s">
        <v>1091</v>
      </c>
      <c r="G283" t="s">
        <v>1008</v>
      </c>
    </row>
    <row r="284" spans="6:7">
      <c r="F284" t="s">
        <v>1092</v>
      </c>
      <c r="G284" t="s">
        <v>1008</v>
      </c>
    </row>
    <row r="285" spans="6:7">
      <c r="F285" t="s">
        <v>1093</v>
      </c>
      <c r="G285" t="s">
        <v>1008</v>
      </c>
    </row>
    <row r="286" spans="6:7">
      <c r="F286" t="s">
        <v>1094</v>
      </c>
      <c r="G286" t="s">
        <v>1008</v>
      </c>
    </row>
    <row r="287" spans="6:7">
      <c r="F287" t="s">
        <v>1095</v>
      </c>
      <c r="G287" t="s">
        <v>1008</v>
      </c>
    </row>
    <row r="288" spans="6:7">
      <c r="F288" t="s">
        <v>1096</v>
      </c>
      <c r="G288" t="s">
        <v>1008</v>
      </c>
    </row>
    <row r="289" spans="6:7">
      <c r="F289" t="s">
        <v>1097</v>
      </c>
      <c r="G289" t="s">
        <v>1008</v>
      </c>
    </row>
    <row r="290" spans="6:7">
      <c r="F290" t="s">
        <v>1098</v>
      </c>
      <c r="G290" t="s">
        <v>1008</v>
      </c>
    </row>
    <row r="291" spans="6:7">
      <c r="F291" t="s">
        <v>1099</v>
      </c>
      <c r="G291" t="s">
        <v>1008</v>
      </c>
    </row>
    <row r="292" spans="6:7">
      <c r="F292" t="s">
        <v>1100</v>
      </c>
      <c r="G292" t="s">
        <v>1008</v>
      </c>
    </row>
    <row r="293" spans="6:7">
      <c r="F293" t="s">
        <v>1101</v>
      </c>
      <c r="G293" t="s">
        <v>1008</v>
      </c>
    </row>
    <row r="294" spans="6:7">
      <c r="F294" t="s">
        <v>1102</v>
      </c>
      <c r="G294" t="s">
        <v>1008</v>
      </c>
    </row>
    <row r="295" spans="6:7">
      <c r="F295" t="s">
        <v>1103</v>
      </c>
      <c r="G295" t="s">
        <v>1008</v>
      </c>
    </row>
    <row r="296" spans="6:7">
      <c r="F296" t="s">
        <v>1104</v>
      </c>
      <c r="G296" t="s">
        <v>1008</v>
      </c>
    </row>
    <row r="297" spans="6:7">
      <c r="F297" t="s">
        <v>1105</v>
      </c>
      <c r="G297" t="s">
        <v>1008</v>
      </c>
    </row>
    <row r="298" spans="6:7">
      <c r="F298" t="s">
        <v>1106</v>
      </c>
      <c r="G298" t="s">
        <v>1008</v>
      </c>
    </row>
    <row r="299" spans="6:7">
      <c r="F299" t="s">
        <v>1107</v>
      </c>
      <c r="G299" t="s">
        <v>1008</v>
      </c>
    </row>
    <row r="300" spans="6:7">
      <c r="F300" t="s">
        <v>1108</v>
      </c>
      <c r="G300" t="s">
        <v>1008</v>
      </c>
    </row>
    <row r="301" spans="6:7">
      <c r="F301" t="s">
        <v>1109</v>
      </c>
      <c r="G301" t="s">
        <v>1008</v>
      </c>
    </row>
    <row r="302" spans="6:7">
      <c r="F302" t="s">
        <v>1110</v>
      </c>
      <c r="G302" t="s">
        <v>1008</v>
      </c>
    </row>
    <row r="303" spans="6:7">
      <c r="F303" t="s">
        <v>1111</v>
      </c>
      <c r="G303" t="s">
        <v>1008</v>
      </c>
    </row>
    <row r="304" spans="6:7">
      <c r="F304" t="s">
        <v>1112</v>
      </c>
      <c r="G304" t="s">
        <v>1008</v>
      </c>
    </row>
    <row r="305" spans="6:7">
      <c r="F305" t="s">
        <v>1113</v>
      </c>
      <c r="G305" t="s">
        <v>1008</v>
      </c>
    </row>
    <row r="306" spans="6:7">
      <c r="F306" t="s">
        <v>1114</v>
      </c>
      <c r="G306" t="s">
        <v>1008</v>
      </c>
    </row>
    <row r="307" spans="6:7">
      <c r="F307" t="s">
        <v>1115</v>
      </c>
      <c r="G307" t="s">
        <v>1008</v>
      </c>
    </row>
    <row r="308" spans="6:7">
      <c r="F308" t="s">
        <v>1116</v>
      </c>
      <c r="G308" t="s">
        <v>1008</v>
      </c>
    </row>
    <row r="309" spans="6:7">
      <c r="F309" t="s">
        <v>1117</v>
      </c>
      <c r="G309" t="s">
        <v>1008</v>
      </c>
    </row>
    <row r="310" spans="6:7">
      <c r="F310" t="s">
        <v>1118</v>
      </c>
      <c r="G310" t="s">
        <v>1008</v>
      </c>
    </row>
    <row r="311" spans="6:7">
      <c r="F311" t="s">
        <v>1119</v>
      </c>
      <c r="G311" t="s">
        <v>1008</v>
      </c>
    </row>
    <row r="312" spans="6:7">
      <c r="F312" t="s">
        <v>1120</v>
      </c>
      <c r="G312" t="s">
        <v>1008</v>
      </c>
    </row>
    <row r="313" spans="6:7">
      <c r="F313" t="s">
        <v>1121</v>
      </c>
      <c r="G313" t="s">
        <v>1008</v>
      </c>
    </row>
    <row r="314" spans="6:7">
      <c r="F314" t="s">
        <v>1122</v>
      </c>
      <c r="G314" t="s">
        <v>1008</v>
      </c>
    </row>
    <row r="315" spans="6:7">
      <c r="F315" t="s">
        <v>1123</v>
      </c>
      <c r="G315" t="s">
        <v>1008</v>
      </c>
    </row>
    <row r="316" spans="6:7">
      <c r="F316" t="s">
        <v>1124</v>
      </c>
      <c r="G316" t="s">
        <v>1008</v>
      </c>
    </row>
    <row r="317" spans="6:7">
      <c r="F317" t="s">
        <v>1125</v>
      </c>
      <c r="G317" t="s">
        <v>1008</v>
      </c>
    </row>
    <row r="318" spans="6:7">
      <c r="F318" t="s">
        <v>1126</v>
      </c>
      <c r="G318" t="s">
        <v>1008</v>
      </c>
    </row>
    <row r="319" spans="6:7">
      <c r="F319" t="s">
        <v>1127</v>
      </c>
      <c r="G319" t="s">
        <v>1008</v>
      </c>
    </row>
    <row r="320" spans="6:7">
      <c r="F320" t="s">
        <v>1128</v>
      </c>
      <c r="G320" t="s">
        <v>1008</v>
      </c>
    </row>
    <row r="321" spans="6:7">
      <c r="F321" t="s">
        <v>1129</v>
      </c>
      <c r="G321" t="s">
        <v>1008</v>
      </c>
    </row>
    <row r="322" spans="6:7">
      <c r="F322" t="s">
        <v>1130</v>
      </c>
      <c r="G322" t="s">
        <v>1008</v>
      </c>
    </row>
    <row r="323" spans="6:7">
      <c r="F323" t="s">
        <v>1131</v>
      </c>
      <c r="G323" t="s">
        <v>1008</v>
      </c>
    </row>
    <row r="324" spans="6:7">
      <c r="F324" t="s">
        <v>1132</v>
      </c>
      <c r="G324" t="s">
        <v>1008</v>
      </c>
    </row>
    <row r="325" spans="6:7">
      <c r="F325" t="s">
        <v>1133</v>
      </c>
      <c r="G325" t="s">
        <v>1008</v>
      </c>
    </row>
    <row r="326" spans="6:7">
      <c r="F326" t="s">
        <v>1134</v>
      </c>
      <c r="G326" t="s">
        <v>1008</v>
      </c>
    </row>
    <row r="327" spans="6:7">
      <c r="F327" t="s">
        <v>1135</v>
      </c>
      <c r="G327" t="s">
        <v>1008</v>
      </c>
    </row>
    <row r="328" spans="6:7">
      <c r="F328" t="s">
        <v>1136</v>
      </c>
      <c r="G328" t="s">
        <v>1008</v>
      </c>
    </row>
    <row r="329" spans="6:7">
      <c r="F329" t="s">
        <v>1137</v>
      </c>
      <c r="G329" t="s">
        <v>1008</v>
      </c>
    </row>
    <row r="330" spans="6:7">
      <c r="F330" t="s">
        <v>1138</v>
      </c>
      <c r="G330" t="s">
        <v>1008</v>
      </c>
    </row>
    <row r="331" spans="6:7">
      <c r="F331" t="s">
        <v>1139</v>
      </c>
      <c r="G331" t="s">
        <v>1008</v>
      </c>
    </row>
    <row r="332" spans="6:7">
      <c r="F332" t="s">
        <v>1140</v>
      </c>
      <c r="G332" t="s">
        <v>1008</v>
      </c>
    </row>
    <row r="333" spans="6:7">
      <c r="F333" t="s">
        <v>1141</v>
      </c>
      <c r="G333" t="s">
        <v>1008</v>
      </c>
    </row>
    <row r="334" spans="6:7">
      <c r="F334" t="s">
        <v>1142</v>
      </c>
      <c r="G334" t="s">
        <v>1008</v>
      </c>
    </row>
    <row r="335" spans="6:7">
      <c r="F335" t="s">
        <v>1143</v>
      </c>
      <c r="G335" t="s">
        <v>1008</v>
      </c>
    </row>
    <row r="336" spans="6:7">
      <c r="F336" t="s">
        <v>1144</v>
      </c>
      <c r="G336" t="s">
        <v>1008</v>
      </c>
    </row>
    <row r="337" spans="6:7">
      <c r="F337" t="s">
        <v>1145</v>
      </c>
      <c r="G337" t="s">
        <v>1008</v>
      </c>
    </row>
    <row r="338" spans="6:7">
      <c r="F338" t="s">
        <v>1146</v>
      </c>
      <c r="G338" t="s">
        <v>1008</v>
      </c>
    </row>
    <row r="339" spans="6:7">
      <c r="F339" t="s">
        <v>1147</v>
      </c>
      <c r="G339" t="s">
        <v>1008</v>
      </c>
    </row>
    <row r="340" spans="6:7">
      <c r="F340" t="s">
        <v>1148</v>
      </c>
      <c r="G340" t="s">
        <v>1008</v>
      </c>
    </row>
    <row r="341" spans="6:7">
      <c r="F341" t="s">
        <v>1149</v>
      </c>
      <c r="G341" t="s">
        <v>1008</v>
      </c>
    </row>
    <row r="342" spans="6:7">
      <c r="F342" t="s">
        <v>1150</v>
      </c>
      <c r="G342" t="s">
        <v>1008</v>
      </c>
    </row>
    <row r="343" spans="6:7">
      <c r="F343" t="s">
        <v>1151</v>
      </c>
      <c r="G343" t="s">
        <v>1008</v>
      </c>
    </row>
    <row r="344" spans="6:7">
      <c r="F344" t="s">
        <v>1152</v>
      </c>
      <c r="G344" t="s">
        <v>1008</v>
      </c>
    </row>
    <row r="345" spans="6:7">
      <c r="F345" t="s">
        <v>1153</v>
      </c>
      <c r="G345" t="s">
        <v>1008</v>
      </c>
    </row>
    <row r="346" spans="6:7">
      <c r="F346" t="s">
        <v>1154</v>
      </c>
      <c r="G346" t="s">
        <v>1008</v>
      </c>
    </row>
    <row r="347" spans="6:7">
      <c r="F347" t="s">
        <v>1155</v>
      </c>
      <c r="G347" t="s">
        <v>1008</v>
      </c>
    </row>
    <row r="348" spans="6:7">
      <c r="F348" t="s">
        <v>1156</v>
      </c>
      <c r="G348" t="s">
        <v>1008</v>
      </c>
    </row>
    <row r="349" spans="6:7">
      <c r="F349" t="s">
        <v>1157</v>
      </c>
      <c r="G349" t="s">
        <v>1008</v>
      </c>
    </row>
    <row r="350" spans="6:7">
      <c r="F350" t="s">
        <v>1158</v>
      </c>
      <c r="G350" t="s">
        <v>1008</v>
      </c>
    </row>
    <row r="351" spans="6:7">
      <c r="F351" t="s">
        <v>1159</v>
      </c>
      <c r="G351" t="s">
        <v>1008</v>
      </c>
    </row>
    <row r="352" spans="6:7">
      <c r="F352" t="s">
        <v>1160</v>
      </c>
      <c r="G352" t="s">
        <v>1008</v>
      </c>
    </row>
    <row r="353" spans="6:7">
      <c r="F353" t="s">
        <v>1161</v>
      </c>
      <c r="G353" t="s">
        <v>1008</v>
      </c>
    </row>
    <row r="354" spans="6:7">
      <c r="F354" t="s">
        <v>1162</v>
      </c>
      <c r="G354" t="s">
        <v>1008</v>
      </c>
    </row>
    <row r="355" spans="6:7">
      <c r="F355" t="s">
        <v>1163</v>
      </c>
      <c r="G355" t="s">
        <v>1008</v>
      </c>
    </row>
    <row r="356" spans="6:7">
      <c r="F356" t="s">
        <v>1164</v>
      </c>
      <c r="G356" t="s">
        <v>1008</v>
      </c>
    </row>
    <row r="357" spans="6:7">
      <c r="F357" t="s">
        <v>1165</v>
      </c>
      <c r="G357" t="s">
        <v>1008</v>
      </c>
    </row>
    <row r="358" spans="6:7">
      <c r="F358" t="s">
        <v>1166</v>
      </c>
      <c r="G358" t="s">
        <v>1008</v>
      </c>
    </row>
    <row r="359" spans="6:7">
      <c r="F359" t="s">
        <v>1167</v>
      </c>
      <c r="G359" t="s">
        <v>1008</v>
      </c>
    </row>
    <row r="360" spans="6:7">
      <c r="F360" t="s">
        <v>1168</v>
      </c>
      <c r="G360" t="s">
        <v>1008</v>
      </c>
    </row>
    <row r="361" spans="6:7">
      <c r="F361" t="s">
        <v>1169</v>
      </c>
      <c r="G361" t="s">
        <v>1008</v>
      </c>
    </row>
    <row r="362" spans="6:7">
      <c r="F362" t="s">
        <v>1170</v>
      </c>
      <c r="G362" t="s">
        <v>1008</v>
      </c>
    </row>
    <row r="363" spans="6:7">
      <c r="F363" t="s">
        <v>1171</v>
      </c>
      <c r="G363" t="s">
        <v>1008</v>
      </c>
    </row>
    <row r="364" spans="6:7">
      <c r="F364" t="s">
        <v>1172</v>
      </c>
      <c r="G364" t="s">
        <v>1008</v>
      </c>
    </row>
    <row r="365" spans="6:7">
      <c r="F365" t="s">
        <v>1173</v>
      </c>
      <c r="G365" t="s">
        <v>1008</v>
      </c>
    </row>
    <row r="366" spans="6:7">
      <c r="F366" t="s">
        <v>1174</v>
      </c>
      <c r="G366" t="s">
        <v>1008</v>
      </c>
    </row>
    <row r="367" spans="6:7">
      <c r="F367" t="s">
        <v>1175</v>
      </c>
      <c r="G367" t="s">
        <v>1008</v>
      </c>
    </row>
    <row r="368" spans="6:7">
      <c r="F368" t="s">
        <v>1176</v>
      </c>
      <c r="G368" t="s">
        <v>1008</v>
      </c>
    </row>
    <row r="369" spans="6:7">
      <c r="F369" t="s">
        <v>1177</v>
      </c>
      <c r="G369" t="s">
        <v>1008</v>
      </c>
    </row>
    <row r="370" spans="6:7">
      <c r="F370" t="s">
        <v>1178</v>
      </c>
      <c r="G370" t="s">
        <v>1008</v>
      </c>
    </row>
    <row r="371" spans="6:7">
      <c r="F371" t="s">
        <v>1179</v>
      </c>
      <c r="G371" t="s">
        <v>1008</v>
      </c>
    </row>
    <row r="372" spans="6:7">
      <c r="F372" t="s">
        <v>1180</v>
      </c>
      <c r="G372" t="s">
        <v>1008</v>
      </c>
    </row>
    <row r="373" spans="6:7">
      <c r="F373" t="s">
        <v>1181</v>
      </c>
      <c r="G373" t="s">
        <v>1008</v>
      </c>
    </row>
    <row r="374" spans="6:7">
      <c r="F374" t="s">
        <v>1182</v>
      </c>
      <c r="G374" t="s">
        <v>1008</v>
      </c>
    </row>
    <row r="375" spans="6:7">
      <c r="F375" t="s">
        <v>1183</v>
      </c>
      <c r="G375" t="s">
        <v>1008</v>
      </c>
    </row>
    <row r="376" spans="6:7">
      <c r="F376" t="s">
        <v>1184</v>
      </c>
      <c r="G376" t="s">
        <v>1008</v>
      </c>
    </row>
    <row r="377" spans="6:7">
      <c r="F377" t="s">
        <v>1185</v>
      </c>
      <c r="G377" t="s">
        <v>1008</v>
      </c>
    </row>
    <row r="378" spans="6:7">
      <c r="F378" t="s">
        <v>1186</v>
      </c>
      <c r="G378" t="s">
        <v>1008</v>
      </c>
    </row>
    <row r="379" spans="6:7">
      <c r="F379" t="s">
        <v>1187</v>
      </c>
      <c r="G379" t="s">
        <v>1008</v>
      </c>
    </row>
    <row r="380" spans="6:7">
      <c r="F380" t="s">
        <v>1188</v>
      </c>
      <c r="G380" t="s">
        <v>1008</v>
      </c>
    </row>
    <row r="381" spans="6:7">
      <c r="F381" t="s">
        <v>1189</v>
      </c>
      <c r="G381" t="s">
        <v>1008</v>
      </c>
    </row>
    <row r="382" spans="6:7">
      <c r="F382" t="s">
        <v>1190</v>
      </c>
      <c r="G382" t="s">
        <v>1008</v>
      </c>
    </row>
    <row r="383" spans="6:7">
      <c r="F383" t="s">
        <v>1191</v>
      </c>
      <c r="G383" t="s">
        <v>1008</v>
      </c>
    </row>
    <row r="384" spans="6:7">
      <c r="F384" t="s">
        <v>1192</v>
      </c>
      <c r="G384" t="s">
        <v>1008</v>
      </c>
    </row>
    <row r="385" spans="6:7">
      <c r="F385" t="s">
        <v>1193</v>
      </c>
      <c r="G385" t="s">
        <v>1008</v>
      </c>
    </row>
    <row r="386" spans="6:7">
      <c r="F386" t="s">
        <v>1194</v>
      </c>
      <c r="G386" t="s">
        <v>1008</v>
      </c>
    </row>
    <row r="387" spans="6:7">
      <c r="F387" t="s">
        <v>1195</v>
      </c>
      <c r="G387" t="s">
        <v>1008</v>
      </c>
    </row>
    <row r="388" spans="6:7">
      <c r="F388" t="s">
        <v>1196</v>
      </c>
      <c r="G388" t="s">
        <v>1008</v>
      </c>
    </row>
    <row r="389" spans="6:7">
      <c r="F389" t="s">
        <v>1197</v>
      </c>
      <c r="G389" t="s">
        <v>1008</v>
      </c>
    </row>
    <row r="390" spans="6:7">
      <c r="F390" t="s">
        <v>1198</v>
      </c>
      <c r="G390" t="s">
        <v>1008</v>
      </c>
    </row>
    <row r="391" spans="6:7">
      <c r="F391" t="s">
        <v>1199</v>
      </c>
      <c r="G391" t="s">
        <v>1008</v>
      </c>
    </row>
    <row r="392" spans="6:7">
      <c r="F392" t="s">
        <v>1200</v>
      </c>
      <c r="G392" t="s">
        <v>1008</v>
      </c>
    </row>
    <row r="393" spans="6:7">
      <c r="F393" t="s">
        <v>1201</v>
      </c>
      <c r="G393" t="s">
        <v>1008</v>
      </c>
    </row>
    <row r="394" spans="6:7">
      <c r="F394" t="s">
        <v>1202</v>
      </c>
      <c r="G394" t="s">
        <v>1008</v>
      </c>
    </row>
    <row r="395" spans="6:7">
      <c r="F395" t="s">
        <v>1203</v>
      </c>
      <c r="G395" t="s">
        <v>1008</v>
      </c>
    </row>
    <row r="396" spans="6:7">
      <c r="F396" t="s">
        <v>1204</v>
      </c>
      <c r="G396" t="s">
        <v>1008</v>
      </c>
    </row>
    <row r="397" spans="6:7">
      <c r="F397" t="s">
        <v>1205</v>
      </c>
      <c r="G397" t="s">
        <v>1008</v>
      </c>
    </row>
    <row r="398" spans="6:7">
      <c r="F398" t="s">
        <v>1206</v>
      </c>
      <c r="G398" t="s">
        <v>1008</v>
      </c>
    </row>
    <row r="399" spans="6:7">
      <c r="F399" t="s">
        <v>1207</v>
      </c>
      <c r="G399" t="s">
        <v>1008</v>
      </c>
    </row>
    <row r="400" spans="6:7">
      <c r="F400" t="s">
        <v>1208</v>
      </c>
      <c r="G400" t="s">
        <v>1008</v>
      </c>
    </row>
    <row r="401" spans="6:7">
      <c r="F401" t="s">
        <v>1209</v>
      </c>
      <c r="G401" t="s">
        <v>1008</v>
      </c>
    </row>
    <row r="402" spans="6:7">
      <c r="F402" t="s">
        <v>1210</v>
      </c>
      <c r="G402" t="s">
        <v>1008</v>
      </c>
    </row>
    <row r="403" spans="6:7">
      <c r="F403" t="s">
        <v>1211</v>
      </c>
      <c r="G403" t="s">
        <v>1008</v>
      </c>
    </row>
    <row r="404" spans="6:7">
      <c r="F404" t="s">
        <v>1212</v>
      </c>
      <c r="G404" t="s">
        <v>1008</v>
      </c>
    </row>
    <row r="405" spans="6:7">
      <c r="F405" t="s">
        <v>1213</v>
      </c>
      <c r="G405" t="s">
        <v>1008</v>
      </c>
    </row>
    <row r="406" spans="6:7">
      <c r="F406" t="s">
        <v>1214</v>
      </c>
      <c r="G406" t="s">
        <v>1008</v>
      </c>
    </row>
    <row r="407" spans="6:7">
      <c r="F407" t="s">
        <v>1215</v>
      </c>
      <c r="G407" t="s">
        <v>1008</v>
      </c>
    </row>
    <row r="408" spans="6:7">
      <c r="F408" t="s">
        <v>1216</v>
      </c>
      <c r="G408" t="s">
        <v>1008</v>
      </c>
    </row>
    <row r="409" spans="6:7">
      <c r="F409" t="s">
        <v>1217</v>
      </c>
      <c r="G409" t="s">
        <v>1008</v>
      </c>
    </row>
    <row r="410" spans="6:7">
      <c r="F410" t="s">
        <v>1218</v>
      </c>
      <c r="G410" t="s">
        <v>1008</v>
      </c>
    </row>
    <row r="411" spans="6:7">
      <c r="F411" t="s">
        <v>1219</v>
      </c>
      <c r="G411" t="s">
        <v>1008</v>
      </c>
    </row>
    <row r="412" spans="6:7">
      <c r="F412" t="s">
        <v>1220</v>
      </c>
      <c r="G412" t="s">
        <v>1008</v>
      </c>
    </row>
    <row r="413" spans="6:7">
      <c r="F413" t="s">
        <v>1221</v>
      </c>
      <c r="G413" t="s">
        <v>1008</v>
      </c>
    </row>
    <row r="414" spans="6:7">
      <c r="F414" t="s">
        <v>1222</v>
      </c>
      <c r="G414" t="s">
        <v>1008</v>
      </c>
    </row>
    <row r="415" spans="6:7">
      <c r="F415" t="s">
        <v>1223</v>
      </c>
      <c r="G415" t="s">
        <v>1008</v>
      </c>
    </row>
    <row r="416" spans="6:7">
      <c r="F416" t="s">
        <v>1224</v>
      </c>
      <c r="G416" t="s">
        <v>1008</v>
      </c>
    </row>
    <row r="417" spans="6:7">
      <c r="F417" t="s">
        <v>1225</v>
      </c>
      <c r="G417" t="s">
        <v>1008</v>
      </c>
    </row>
    <row r="418" spans="6:7">
      <c r="F418" t="s">
        <v>1226</v>
      </c>
      <c r="G418" t="s">
        <v>1008</v>
      </c>
    </row>
    <row r="419" spans="6:7">
      <c r="F419" t="s">
        <v>1227</v>
      </c>
      <c r="G419" t="s">
        <v>1008</v>
      </c>
    </row>
    <row r="420" spans="6:7">
      <c r="F420" t="s">
        <v>1228</v>
      </c>
      <c r="G420" t="s">
        <v>1008</v>
      </c>
    </row>
    <row r="421" spans="6:7">
      <c r="F421" t="s">
        <v>1229</v>
      </c>
      <c r="G421" t="s">
        <v>1008</v>
      </c>
    </row>
    <row r="422" spans="6:7">
      <c r="F422" t="s">
        <v>1230</v>
      </c>
      <c r="G422" t="s">
        <v>1008</v>
      </c>
    </row>
    <row r="423" spans="6:7">
      <c r="F423" t="s">
        <v>1231</v>
      </c>
      <c r="G423" t="s">
        <v>1008</v>
      </c>
    </row>
    <row r="424" spans="6:7">
      <c r="F424" t="s">
        <v>1232</v>
      </c>
      <c r="G424" t="s">
        <v>1008</v>
      </c>
    </row>
    <row r="425" spans="6:7">
      <c r="F425" t="s">
        <v>1233</v>
      </c>
      <c r="G425" t="s">
        <v>1008</v>
      </c>
    </row>
    <row r="426" spans="6:7">
      <c r="F426" t="s">
        <v>1234</v>
      </c>
      <c r="G426" t="s">
        <v>1008</v>
      </c>
    </row>
    <row r="427" spans="6:7">
      <c r="F427" t="s">
        <v>1235</v>
      </c>
      <c r="G427" t="s">
        <v>1008</v>
      </c>
    </row>
    <row r="428" spans="6:7">
      <c r="F428" t="s">
        <v>1236</v>
      </c>
      <c r="G428" t="s">
        <v>1008</v>
      </c>
    </row>
    <row r="429" spans="6:7">
      <c r="F429" t="s">
        <v>1237</v>
      </c>
      <c r="G429" t="s">
        <v>1008</v>
      </c>
    </row>
    <row r="430" spans="6:7">
      <c r="F430" t="s">
        <v>1238</v>
      </c>
      <c r="G430" t="s">
        <v>1008</v>
      </c>
    </row>
    <row r="431" spans="6:7">
      <c r="F431" t="s">
        <v>1239</v>
      </c>
      <c r="G431" t="s">
        <v>1008</v>
      </c>
    </row>
    <row r="432" spans="6:7">
      <c r="F432" t="s">
        <v>1240</v>
      </c>
      <c r="G432" t="s">
        <v>1008</v>
      </c>
    </row>
    <row r="433" spans="6:7">
      <c r="F433" t="s">
        <v>1241</v>
      </c>
      <c r="G433" t="s">
        <v>1008</v>
      </c>
    </row>
    <row r="434" spans="6:7">
      <c r="F434" t="s">
        <v>1242</v>
      </c>
      <c r="G434" t="s">
        <v>1008</v>
      </c>
    </row>
    <row r="435" spans="6:7">
      <c r="F435" t="s">
        <v>1243</v>
      </c>
      <c r="G435" t="s">
        <v>1008</v>
      </c>
    </row>
    <row r="436" spans="6:7">
      <c r="F436" t="s">
        <v>1244</v>
      </c>
      <c r="G436" t="s">
        <v>1008</v>
      </c>
    </row>
    <row r="437" spans="6:7">
      <c r="F437" t="s">
        <v>1245</v>
      </c>
      <c r="G437" t="s">
        <v>1008</v>
      </c>
    </row>
    <row r="438" spans="6:7">
      <c r="F438" t="s">
        <v>1246</v>
      </c>
      <c r="G438" t="s">
        <v>1008</v>
      </c>
    </row>
    <row r="439" spans="6:7">
      <c r="F439" t="s">
        <v>1247</v>
      </c>
      <c r="G439" t="s">
        <v>1008</v>
      </c>
    </row>
    <row r="440" spans="6:7">
      <c r="F440" t="s">
        <v>1248</v>
      </c>
      <c r="G440" t="s">
        <v>1008</v>
      </c>
    </row>
    <row r="441" spans="6:7">
      <c r="F441" t="s">
        <v>1249</v>
      </c>
      <c r="G441" t="s">
        <v>1008</v>
      </c>
    </row>
    <row r="442" spans="6:7">
      <c r="F442" t="s">
        <v>1250</v>
      </c>
      <c r="G442" t="s">
        <v>1008</v>
      </c>
    </row>
    <row r="443" spans="6:7">
      <c r="F443" t="s">
        <v>1251</v>
      </c>
      <c r="G443" t="s">
        <v>1008</v>
      </c>
    </row>
    <row r="444" spans="6:7">
      <c r="F444" t="s">
        <v>1252</v>
      </c>
      <c r="G444" t="s">
        <v>1008</v>
      </c>
    </row>
    <row r="445" spans="6:7">
      <c r="F445" t="s">
        <v>1253</v>
      </c>
      <c r="G445" t="s">
        <v>1008</v>
      </c>
    </row>
    <row r="446" spans="6:7">
      <c r="F446" t="s">
        <v>1254</v>
      </c>
      <c r="G446" t="s">
        <v>1008</v>
      </c>
    </row>
    <row r="447" spans="6:7">
      <c r="F447" t="s">
        <v>1255</v>
      </c>
      <c r="G447" t="s">
        <v>1008</v>
      </c>
    </row>
    <row r="448" spans="6:7">
      <c r="F448" t="s">
        <v>1256</v>
      </c>
      <c r="G448" t="s">
        <v>1008</v>
      </c>
    </row>
    <row r="449" spans="6:7">
      <c r="F449" t="s">
        <v>1257</v>
      </c>
      <c r="G449" t="s">
        <v>1008</v>
      </c>
    </row>
    <row r="450" spans="6:7">
      <c r="F450" t="s">
        <v>1258</v>
      </c>
      <c r="G450" t="s">
        <v>1008</v>
      </c>
    </row>
    <row r="451" spans="6:7">
      <c r="F451" t="s">
        <v>1259</v>
      </c>
      <c r="G451" t="s">
        <v>1008</v>
      </c>
    </row>
    <row r="452" spans="6:7">
      <c r="F452" t="s">
        <v>1260</v>
      </c>
      <c r="G452" t="s">
        <v>1008</v>
      </c>
    </row>
    <row r="453" spans="6:7">
      <c r="F453" t="s">
        <v>1261</v>
      </c>
      <c r="G453" t="s">
        <v>1008</v>
      </c>
    </row>
    <row r="454" spans="6:7">
      <c r="F454" t="s">
        <v>1262</v>
      </c>
      <c r="G454" t="s">
        <v>1008</v>
      </c>
    </row>
    <row r="455" spans="6:7">
      <c r="F455" t="s">
        <v>1263</v>
      </c>
      <c r="G455" t="s">
        <v>1008</v>
      </c>
    </row>
    <row r="456" spans="6:7">
      <c r="F456" t="s">
        <v>1264</v>
      </c>
      <c r="G456" t="s">
        <v>1008</v>
      </c>
    </row>
    <row r="457" spans="6:7">
      <c r="F457" t="s">
        <v>1265</v>
      </c>
      <c r="G457" t="s">
        <v>1008</v>
      </c>
    </row>
    <row r="458" spans="6:7">
      <c r="F458" t="s">
        <v>1266</v>
      </c>
      <c r="G458" t="s">
        <v>1008</v>
      </c>
    </row>
    <row r="459" spans="6:7">
      <c r="F459" t="s">
        <v>1267</v>
      </c>
      <c r="G459" t="s">
        <v>1008</v>
      </c>
    </row>
    <row r="460" spans="6:7">
      <c r="F460" t="s">
        <v>1268</v>
      </c>
      <c r="G460" t="s">
        <v>1008</v>
      </c>
    </row>
    <row r="461" spans="6:7">
      <c r="F461" t="s">
        <v>1269</v>
      </c>
      <c r="G461" t="s">
        <v>1008</v>
      </c>
    </row>
    <row r="462" spans="6:7">
      <c r="F462" t="s">
        <v>1270</v>
      </c>
      <c r="G462" t="s">
        <v>1008</v>
      </c>
    </row>
    <row r="463" spans="6:7">
      <c r="F463" t="s">
        <v>1271</v>
      </c>
      <c r="G463" t="s">
        <v>1008</v>
      </c>
    </row>
    <row r="464" spans="6:7">
      <c r="F464" t="s">
        <v>1272</v>
      </c>
      <c r="G464" t="s">
        <v>1008</v>
      </c>
    </row>
    <row r="465" spans="6:7">
      <c r="F465" t="s">
        <v>1273</v>
      </c>
      <c r="G465" t="s">
        <v>1008</v>
      </c>
    </row>
    <row r="466" spans="6:7">
      <c r="F466" t="s">
        <v>1274</v>
      </c>
      <c r="G466" t="s">
        <v>1008</v>
      </c>
    </row>
    <row r="467" spans="6:7">
      <c r="F467" t="s">
        <v>1275</v>
      </c>
      <c r="G467" t="s">
        <v>1008</v>
      </c>
    </row>
    <row r="468" spans="6:7">
      <c r="F468" t="s">
        <v>1276</v>
      </c>
      <c r="G468" t="s">
        <v>1008</v>
      </c>
    </row>
    <row r="469" spans="6:7">
      <c r="F469" t="s">
        <v>1277</v>
      </c>
      <c r="G469" t="s">
        <v>1008</v>
      </c>
    </row>
    <row r="470" spans="6:7">
      <c r="F470" t="s">
        <v>1278</v>
      </c>
      <c r="G470" t="s">
        <v>1008</v>
      </c>
    </row>
    <row r="471" spans="6:7">
      <c r="F471" t="s">
        <v>1279</v>
      </c>
      <c r="G471" t="s">
        <v>1008</v>
      </c>
    </row>
    <row r="472" spans="6:7">
      <c r="F472" t="s">
        <v>1280</v>
      </c>
      <c r="G472" t="s">
        <v>1008</v>
      </c>
    </row>
    <row r="473" spans="6:7">
      <c r="F473" t="s">
        <v>1281</v>
      </c>
      <c r="G473" t="s">
        <v>1008</v>
      </c>
    </row>
    <row r="474" spans="6:7">
      <c r="F474" t="s">
        <v>1282</v>
      </c>
      <c r="G474" t="s">
        <v>1008</v>
      </c>
    </row>
    <row r="475" spans="6:7">
      <c r="F475" t="s">
        <v>1283</v>
      </c>
      <c r="G475" t="s">
        <v>1008</v>
      </c>
    </row>
    <row r="476" spans="6:7">
      <c r="F476" t="s">
        <v>1284</v>
      </c>
      <c r="G476" t="s">
        <v>1008</v>
      </c>
    </row>
    <row r="477" spans="6:7">
      <c r="F477" t="s">
        <v>1285</v>
      </c>
      <c r="G477" t="s">
        <v>1008</v>
      </c>
    </row>
    <row r="478" spans="6:7">
      <c r="F478" t="s">
        <v>1286</v>
      </c>
      <c r="G478" t="s">
        <v>1008</v>
      </c>
    </row>
    <row r="479" spans="6:7">
      <c r="F479" t="s">
        <v>1287</v>
      </c>
      <c r="G479" t="s">
        <v>1008</v>
      </c>
    </row>
    <row r="480" spans="6:7">
      <c r="F480" t="s">
        <v>1288</v>
      </c>
      <c r="G480" t="s">
        <v>1008</v>
      </c>
    </row>
    <row r="481" spans="6:7">
      <c r="F481" t="s">
        <v>1289</v>
      </c>
      <c r="G481" t="s">
        <v>1008</v>
      </c>
    </row>
    <row r="482" spans="6:7">
      <c r="F482" t="s">
        <v>1290</v>
      </c>
      <c r="G482" t="s">
        <v>1008</v>
      </c>
    </row>
    <row r="483" spans="6:7">
      <c r="F483" t="s">
        <v>1291</v>
      </c>
      <c r="G483" t="s">
        <v>1008</v>
      </c>
    </row>
    <row r="484" spans="6:7">
      <c r="F484" t="s">
        <v>1292</v>
      </c>
      <c r="G484" t="s">
        <v>1008</v>
      </c>
    </row>
    <row r="485" spans="6:7">
      <c r="F485" t="s">
        <v>1293</v>
      </c>
      <c r="G485" t="s">
        <v>1008</v>
      </c>
    </row>
    <row r="486" spans="6:7">
      <c r="F486" t="s">
        <v>1294</v>
      </c>
      <c r="G486" t="s">
        <v>1008</v>
      </c>
    </row>
    <row r="487" spans="6:7">
      <c r="F487" t="s">
        <v>1295</v>
      </c>
      <c r="G487" t="s">
        <v>1008</v>
      </c>
    </row>
    <row r="488" spans="6:7">
      <c r="F488" t="s">
        <v>1296</v>
      </c>
      <c r="G488" t="s">
        <v>1008</v>
      </c>
    </row>
    <row r="489" spans="6:7">
      <c r="F489" t="s">
        <v>1297</v>
      </c>
      <c r="G489" t="s">
        <v>1008</v>
      </c>
    </row>
    <row r="490" spans="6:7">
      <c r="F490" t="s">
        <v>1298</v>
      </c>
      <c r="G490" t="s">
        <v>1008</v>
      </c>
    </row>
    <row r="491" spans="6:7">
      <c r="F491" t="s">
        <v>1299</v>
      </c>
      <c r="G491" t="s">
        <v>1008</v>
      </c>
    </row>
    <row r="492" spans="6:7">
      <c r="F492" t="s">
        <v>1300</v>
      </c>
      <c r="G492" t="s">
        <v>1008</v>
      </c>
    </row>
    <row r="493" spans="6:7">
      <c r="F493" t="s">
        <v>1301</v>
      </c>
      <c r="G493" t="s">
        <v>1008</v>
      </c>
    </row>
    <row r="494" spans="6:7">
      <c r="F494" t="s">
        <v>1302</v>
      </c>
      <c r="G494" t="s">
        <v>1008</v>
      </c>
    </row>
    <row r="495" spans="6:7">
      <c r="F495" t="s">
        <v>1303</v>
      </c>
      <c r="G495" t="s">
        <v>1008</v>
      </c>
    </row>
    <row r="496" spans="6:7">
      <c r="F496" t="s">
        <v>1304</v>
      </c>
      <c r="G496" t="s">
        <v>1008</v>
      </c>
    </row>
    <row r="497" spans="6:7">
      <c r="F497" t="s">
        <v>1305</v>
      </c>
      <c r="G497" t="s">
        <v>1008</v>
      </c>
    </row>
    <row r="498" spans="6:7">
      <c r="F498" t="s">
        <v>1306</v>
      </c>
      <c r="G498" t="s">
        <v>1008</v>
      </c>
    </row>
    <row r="499" spans="6:7">
      <c r="F499" t="s">
        <v>1307</v>
      </c>
      <c r="G499" t="s">
        <v>1008</v>
      </c>
    </row>
    <row r="500" spans="6:7">
      <c r="F500" t="s">
        <v>1308</v>
      </c>
      <c r="G500" t="s">
        <v>1008</v>
      </c>
    </row>
    <row r="501" spans="6:7">
      <c r="F501" t="s">
        <v>1309</v>
      </c>
      <c r="G501" t="s">
        <v>1008</v>
      </c>
    </row>
    <row r="502" spans="6:7">
      <c r="F502" t="s">
        <v>1310</v>
      </c>
      <c r="G502" t="s">
        <v>1008</v>
      </c>
    </row>
    <row r="503" spans="6:7">
      <c r="F503" t="s">
        <v>1311</v>
      </c>
      <c r="G503" t="s">
        <v>1008</v>
      </c>
    </row>
    <row r="504" spans="6:7">
      <c r="F504" t="s">
        <v>1312</v>
      </c>
      <c r="G504" t="s">
        <v>1008</v>
      </c>
    </row>
    <row r="505" spans="6:7">
      <c r="F505" t="s">
        <v>1313</v>
      </c>
      <c r="G505" t="s">
        <v>1008</v>
      </c>
    </row>
    <row r="506" spans="6:7">
      <c r="F506" t="s">
        <v>1314</v>
      </c>
      <c r="G506" t="s">
        <v>1008</v>
      </c>
    </row>
    <row r="507" spans="6:7">
      <c r="F507" t="s">
        <v>1315</v>
      </c>
      <c r="G507" t="s">
        <v>1008</v>
      </c>
    </row>
    <row r="508" spans="6:7">
      <c r="F508" t="s">
        <v>1316</v>
      </c>
      <c r="G508" t="s">
        <v>1008</v>
      </c>
    </row>
    <row r="509" spans="6:7">
      <c r="F509" t="s">
        <v>1317</v>
      </c>
      <c r="G509" t="s">
        <v>1008</v>
      </c>
    </row>
    <row r="510" spans="6:7">
      <c r="F510" t="s">
        <v>1318</v>
      </c>
      <c r="G510" t="s">
        <v>1008</v>
      </c>
    </row>
    <row r="511" spans="6:7">
      <c r="F511" t="s">
        <v>1319</v>
      </c>
      <c r="G511" t="s">
        <v>1008</v>
      </c>
    </row>
    <row r="512" spans="6:7">
      <c r="F512" t="s">
        <v>1320</v>
      </c>
      <c r="G512" t="s">
        <v>1008</v>
      </c>
    </row>
    <row r="513" spans="6:7">
      <c r="F513" t="s">
        <v>1321</v>
      </c>
      <c r="G513" t="s">
        <v>1008</v>
      </c>
    </row>
    <row r="514" spans="6:7">
      <c r="F514" t="s">
        <v>1322</v>
      </c>
      <c r="G514" t="s">
        <v>1008</v>
      </c>
    </row>
    <row r="515" spans="6:7">
      <c r="F515" t="s">
        <v>1323</v>
      </c>
      <c r="G515" t="s">
        <v>1008</v>
      </c>
    </row>
    <row r="516" spans="6:7">
      <c r="F516" t="s">
        <v>1324</v>
      </c>
      <c r="G516" t="s">
        <v>1008</v>
      </c>
    </row>
    <row r="517" spans="6:7">
      <c r="F517" t="s">
        <v>1325</v>
      </c>
      <c r="G517" t="s">
        <v>1008</v>
      </c>
    </row>
    <row r="518" spans="6:7">
      <c r="F518" t="s">
        <v>1326</v>
      </c>
      <c r="G518" t="s">
        <v>1008</v>
      </c>
    </row>
    <row r="519" spans="6:7">
      <c r="F519" t="s">
        <v>1327</v>
      </c>
      <c r="G519" t="s">
        <v>1008</v>
      </c>
    </row>
    <row r="520" spans="6:7">
      <c r="F520" t="s">
        <v>1328</v>
      </c>
      <c r="G520" t="s">
        <v>1008</v>
      </c>
    </row>
    <row r="521" spans="6:7">
      <c r="F521" t="s">
        <v>1329</v>
      </c>
      <c r="G521" t="s">
        <v>1008</v>
      </c>
    </row>
    <row r="522" spans="6:7">
      <c r="F522" t="s">
        <v>1330</v>
      </c>
      <c r="G522" t="s">
        <v>1008</v>
      </c>
    </row>
    <row r="523" spans="6:7">
      <c r="F523" t="s">
        <v>1331</v>
      </c>
      <c r="G523" t="s">
        <v>1008</v>
      </c>
    </row>
    <row r="524" spans="6:7">
      <c r="F524" t="s">
        <v>1332</v>
      </c>
      <c r="G524" t="s">
        <v>1008</v>
      </c>
    </row>
    <row r="525" spans="6:7">
      <c r="F525" t="s">
        <v>1333</v>
      </c>
      <c r="G525" t="s">
        <v>1008</v>
      </c>
    </row>
    <row r="526" spans="6:7">
      <c r="F526" t="s">
        <v>1334</v>
      </c>
      <c r="G526" t="s">
        <v>1008</v>
      </c>
    </row>
    <row r="527" spans="6:7">
      <c r="F527" t="s">
        <v>1335</v>
      </c>
      <c r="G527" t="s">
        <v>1008</v>
      </c>
    </row>
    <row r="528" spans="6:7">
      <c r="F528" t="s">
        <v>1336</v>
      </c>
      <c r="G528" t="s">
        <v>1008</v>
      </c>
    </row>
    <row r="529" spans="6:7">
      <c r="F529" t="s">
        <v>1337</v>
      </c>
      <c r="G529" t="s">
        <v>1008</v>
      </c>
    </row>
    <row r="530" spans="6:7">
      <c r="F530" t="s">
        <v>1338</v>
      </c>
      <c r="G530" t="s">
        <v>1008</v>
      </c>
    </row>
    <row r="531" spans="6:7">
      <c r="F531" t="s">
        <v>1339</v>
      </c>
      <c r="G531" t="s">
        <v>1008</v>
      </c>
    </row>
    <row r="532" spans="6:7">
      <c r="F532" t="s">
        <v>1340</v>
      </c>
      <c r="G532" t="s">
        <v>1008</v>
      </c>
    </row>
    <row r="533" spans="6:7">
      <c r="F533" t="s">
        <v>1341</v>
      </c>
      <c r="G533" t="s">
        <v>1008</v>
      </c>
    </row>
    <row r="534" spans="6:7">
      <c r="F534" t="s">
        <v>1342</v>
      </c>
      <c r="G534" t="s">
        <v>1008</v>
      </c>
    </row>
    <row r="535" spans="6:7">
      <c r="F535" t="s">
        <v>1343</v>
      </c>
      <c r="G535" t="s">
        <v>1008</v>
      </c>
    </row>
    <row r="536" spans="6:7">
      <c r="F536" t="s">
        <v>1344</v>
      </c>
      <c r="G536" t="s">
        <v>1008</v>
      </c>
    </row>
    <row r="537" spans="6:7">
      <c r="F537" t="s">
        <v>1345</v>
      </c>
      <c r="G537" t="s">
        <v>1008</v>
      </c>
    </row>
    <row r="538" spans="6:7">
      <c r="F538" t="s">
        <v>1346</v>
      </c>
      <c r="G538" t="s">
        <v>1008</v>
      </c>
    </row>
    <row r="539" spans="6:7">
      <c r="F539" t="s">
        <v>1347</v>
      </c>
      <c r="G539" t="s">
        <v>1008</v>
      </c>
    </row>
    <row r="540" spans="6:7">
      <c r="F540" t="s">
        <v>1348</v>
      </c>
      <c r="G540" t="s">
        <v>1008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64" hidden="0" customWidth="1"/>
  </x:cols>
  <x:sheetData>
    <x:row r="1" ht="40" customHeight="1">
      <x:c r="A1" s="32" t="str">
        <x:v>项目</x:v>
      </x:c>
      <x:c r="B1" s="32" t="str">
        <x:v>说明</x:v>
      </x:c>
    </x:row>
    <x:row r="2" ht="28" customHeight="1">
      <x:c r="A2" s="30" t="str">
        <x:v>状态</x:v>
      </x:c>
      <x:c r="B2" s="30" t="str">
        <x:v>完整内容草案，待用户审核；数值可调；非上线验收</x:v>
      </x:c>
    </x:row>
    <x:row r="3" ht="368" customHeight="1">
      <x:c r="A3" s="30" t="str">
        <x:v>本轮工作</x:v>
      </x:c>
      <x:c r="B3" s="30" t="inlineStr">
        <x:is>
          <x:t xml:space="preserve">保留原已有怪物ID的身份，停用13个服务区旧样例，统一清理鸡、鹿、稻草人与旧项目敌人。本轮形成257个活跃妖兽/魔化遭遇，覆盖72格中所有非剧情格；补齐普通、精英与秘境/第三刷怪格首领职能。普通野兽命名不再谎称修士小境界，境界压制仍使用明确realm_id与1–10层。
原75列保持物理位置，右侧追加quality、origin_type、boss_role。品质用ItemQuality，不把BOSS当成第七档品质；来源只用native/corrupted，魔化发生在8个渗漏短时遭遇格，不扩成全区污染。exp_gift英文导出名与所有数据清空，原位置作为退役提示，怪物不产直接修为。
属性全部写绝对值，攻击、法力、物防、法防两端暂配相等，兼容源AttrKey上下限而表达单值。八境基准HP/攻/防：260/22/5、1500/105/30、7200/410/135、35000/1700/580、160000/7200/2450、760000/30000/10400、3400000/125000/44000、15000000/520000/185000。层级倍率1+0.065×(层−1)；精英生命2.8、攻击1.45、防御1.2倍；首领10、2.1、1.5倍。这是本轮可调试算，已按真实六件玄品装备与80级裸身增量统一预算，详见04共用说明；仍不是实际平衡验收。
每条均配合法普攻11000001、正警戒/攻击范围、移动速度、攻击间隔和AI。206条有相同配置ID对应的怪物沿用主干已有美术模型；51条没有可靠旧新映射的条目暂保留原占位，不凭序号或名字猜配。名称、数值与模型物种的最终对应留待后续具体改造，逐怪资源状态见本簿资源需求。物编底座保持现有配置；美术资源不能因改名、改数值或行号变化而覆盖丢失。</x:t>
        </x:is>
      </x:c>
    </x:row>
    <x:row r="4" ht="28" customHeight="1">
      <x:c r="A4" s="30" t="str">
        <x:v>交付边界</x:v>
      </x:c>
      <x:c r="B4" s="30" t="str">
        <x:v>源文件未改；坐标/资源/程序挂接按需求清单另验收</x:v>
      </x:c>
    </x:row>
    <x:row r="5" ht="28" customHeight="1">
      <x:c r="A5" s="30" t="str">
        <x:v>详细说明</x:v>
      </x:c>
      <x:c r="B5" s="30" t="str">
        <x:v>世界02_怪物完整设计与数值.md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30" hidden="0" customWidth="1"/>
  </x:cols>
  <x:sheetData>
    <x:row r="1" ht="40" customHeight="1">
      <x:c r="A1" s="32" t="str">
        <x:v>怪物ID</x:v>
      </x:c>
      <x:c r="B1" s="32" t="str">
        <x:v>设计名称</x:v>
      </x:c>
      <x:c r="C1" s="32" t="inlineStr">
        <x:is>
          <x:t xml:space="preserve">当前模型ID</x:t>
        </x:is>
      </x:c>
      <x:c r="D1" s="32" t="str">
        <x:v>临时物编</x:v>
      </x:c>
      <x:c r="E1" s="32" t="str">
        <x:v>正式资源需求</x:v>
      </x:c>
    </x:row>
    <x:row r="2" ht="68" customHeight="1">
      <x:c r="A2" s="30" t="n">
        <x:v>60021014</x:v>
      </x:c>
      <x:c r="B2" s="30" t="str">
        <x:v>魔化苇泽灵蛙</x:v>
      </x:c>
      <x:c r="C2" s="30">
        <x:v>20030</x:v>
      </x:c>
      <x:c r="D2" s="30" t="str">
        <x:v>a010</x:v>
      </x:c>
      <x:c r="E2" s="30" t="inlineStr">
        <x:is>
          <x:t xml:space="preserve">沿用主干相同怪物配置ID对应的美术模型；本轮名称与外观尚未逐只重审，后续具体改造时核对。</x:t>
        </x:is>
      </x:c>
    </x:row>
    <x:row r="3" ht="68" customHeight="1">
      <x:c r="A3" s="30" t="n">
        <x:v>60021015</x:v>
      </x:c>
      <x:c r="B3" s="30" t="str">
        <x:v>魔化岩隙灵蝠</x:v>
      </x:c>
      <x:c r="C3" s="30">
        <x:v>20031</x:v>
      </x:c>
      <x:c r="D3" s="30" t="str">
        <x:v>a010</x:v>
      </x:c>
      <x:c r="E3" s="30" t="inlineStr">
        <x:is>
          <x:t xml:space="preserve">沿用主干相同怪物配置ID对应的美术模型；本轮名称与外观尚未逐只重审，后续具体改造时核对。</x:t>
        </x:is>
      </x:c>
    </x:row>
    <x:row r="4" ht="68" customHeight="1">
      <x:c r="A4" s="30" t="n">
        <x:v>60021016</x:v>
      </x:c>
      <x:c r="B4" s="30" t="str">
        <x:v>魔化汀岸灵狼</x:v>
      </x:c>
      <x:c r="C4" s="30">
        <x:v>20032</x:v>
      </x:c>
      <x:c r="D4" s="30" t="str">
        <x:v>a010</x:v>
      </x:c>
      <x:c r="E4" s="30" t="inlineStr">
        <x:is>
          <x:t xml:space="preserve">沿用主干相同怪物配置ID对应的美术模型；本轮名称与外观尚未逐只重审，后续具体改造时核对。</x:t>
        </x:is>
      </x:c>
    </x:row>
    <x:row r="5" ht="68" customHeight="1">
      <x:c r="A5" s="30" t="n">
        <x:v>60021017</x:v>
      </x:c>
      <x:c r="B5" s="30" t="str">
        <x:v>魔化浅汊水蛇</x:v>
      </x:c>
      <x:c r="C5" s="30">
        <x:v>20033</x:v>
      </x:c>
      <x:c r="D5" s="30" t="str">
        <x:v>a010</x:v>
      </x:c>
      <x:c r="E5" s="30" t="inlineStr">
        <x:is>
          <x:t xml:space="preserve">沿用主干相同怪物配置ID对应的美术模型；本轮名称与外观尚未逐只重审，后续具体改造时核对。</x:t>
        </x:is>
      </x:c>
    </x:row>
    <x:row r="6" ht="68" customHeight="1">
      <x:c r="A6" s="30" t="n">
        <x:v>60022018</x:v>
      </x:c>
      <x:c r="B6" s="30" t="str">
        <x:v>魔化苇泽灵蛙·异种</x:v>
      </x:c>
      <x:c r="C6" s="30">
        <x:v>20033</x:v>
      </x:c>
      <x:c r="D6" s="30" t="str">
        <x:v>a010</x:v>
      </x:c>
      <x:c r="E6" s="30" t="inlineStr">
        <x:is>
          <x:t xml:space="preserve">沿用主干相同怪物配置ID对应的美术模型；本轮名称与外观尚未逐只重审，后续具体改造时核对。</x:t>
        </x:is>
      </x:c>
    </x:row>
    <x:row r="7" ht="68" customHeight="1">
      <x:c r="A7" s="30" t="n">
        <x:v>60031019</x:v>
      </x:c>
      <x:c r="B7" s="30" t="str">
        <x:v>岩隙灵蝠</x:v>
      </x:c>
      <x:c r="C7" s="30">
        <x:v>20013</x:v>
      </x:c>
      <x:c r="D7" s="30" t="str">
        <x:v>a010</x:v>
      </x:c>
      <x:c r="E7" s="30" t="inlineStr">
        <x:is>
          <x:t xml:space="preserve">沿用主干相同怪物配置ID对应的美术模型；本轮名称与外观尚未逐只重审，后续具体改造时核对。</x:t>
        </x:is>
      </x:c>
    </x:row>
    <x:row r="8" ht="68" customHeight="1">
      <x:c r="A8" s="30" t="n">
        <x:v>60031020</x:v>
      </x:c>
      <x:c r="B8" s="30" t="str">
        <x:v>汀岸灵狼</x:v>
      </x:c>
      <x:c r="C8" s="30">
        <x:v>20014</x:v>
      </x:c>
      <x:c r="D8" s="30" t="str">
        <x:v>a010</x:v>
      </x:c>
      <x:c r="E8" s="30" t="inlineStr">
        <x:is>
          <x:t xml:space="preserve">沿用主干相同怪物配置ID对应的美术模型；本轮名称与外观尚未逐只重审，后续具体改造时核对。</x:t>
        </x:is>
      </x:c>
    </x:row>
    <x:row r="9" ht="68" customHeight="1">
      <x:c r="A9" s="30" t="n">
        <x:v>60031021</x:v>
      </x:c>
      <x:c r="B9" s="30" t="str">
        <x:v>浅汊水蛇</x:v>
      </x:c>
      <x:c r="C9" s="30">
        <x:v>20016</x:v>
      </x:c>
      <x:c r="D9" s="30" t="str">
        <x:v>a010</x:v>
      </x:c>
      <x:c r="E9" s="30" t="inlineStr">
        <x:is>
          <x:t xml:space="preserve">沿用主干相同怪物配置ID对应的美术模型；本轮名称与外观尚未逐只重审，后续具体改造时核对。</x:t>
        </x:is>
      </x:c>
    </x:row>
    <x:row r="10" ht="68" customHeight="1">
      <x:c r="A10" s="30" t="n">
        <x:v>60031022</x:v>
      </x:c>
      <x:c r="B10" s="30" t="str">
        <x:v>苇泽灵蛙</x:v>
      </x:c>
      <x:c r="C10" s="30">
        <x:v>20017</x:v>
      </x:c>
      <x:c r="D10" s="30" t="str">
        <x:v>a010</x:v>
      </x:c>
      <x:c r="E10" s="30" t="inlineStr">
        <x:is>
          <x:t xml:space="preserve">沿用主干相同怪物配置ID对应的美术模型；本轮名称与外观尚未逐只重审，后续具体改造时核对。</x:t>
        </x:is>
      </x:c>
    </x:row>
    <x:row r="11" ht="68" customHeight="1">
      <x:c r="A11" s="30" t="n">
        <x:v>60031023</x:v>
      </x:c>
      <x:c r="B11" s="30" t="str">
        <x:v>岩隙灵蝠</x:v>
      </x:c>
      <x:c r="C11" s="30">
        <x:v>20036</x:v>
      </x:c>
      <x:c r="D11" s="30" t="str">
        <x:v>a010</x:v>
      </x:c>
      <x:c r="E11" s="30" t="inlineStr">
        <x:is>
          <x:t xml:space="preserve">沿用主干相同怪物配置ID对应的美术模型；本轮名称与外观尚未逐只重审，后续具体改造时核对。</x:t>
        </x:is>
      </x:c>
    </x:row>
    <x:row r="12" ht="68" customHeight="1">
      <x:c r="A12" s="30" t="n">
        <x:v>60032024</x:v>
      </x:c>
      <x:c r="B12" s="30" t="str">
        <x:v>汀岸灵狼·异种</x:v>
      </x:c>
      <x:c r="C12" s="30">
        <x:v>20036</x:v>
      </x:c>
      <x:c r="D12" s="30" t="str">
        <x:v>a010</x:v>
      </x:c>
      <x:c r="E12" s="30" t="inlineStr">
        <x:is>
          <x:t xml:space="preserve">沿用主干相同怪物配置ID对应的美术模型；本轮名称与外观尚未逐只重审，后续具体改造时核对。</x:t>
        </x:is>
      </x:c>
    </x:row>
    <x:row r="13" ht="68" customHeight="1">
      <x:c r="A13" s="30" t="n">
        <x:v>60041025</x:v>
      </x:c>
      <x:c r="B13" s="30" t="str">
        <x:v>浅汊水蛇</x:v>
      </x:c>
      <x:c r="C13" s="30">
        <x:v>20011</x:v>
      </x:c>
      <x:c r="D13" s="30" t="str">
        <x:v>a010</x:v>
      </x:c>
      <x:c r="E13" s="30" t="inlineStr">
        <x:is>
          <x:t xml:space="preserve">沿用主干相同怪物配置ID对应的美术模型；本轮名称与外观尚未逐只重审，后续具体改造时核对。</x:t>
        </x:is>
      </x:c>
    </x:row>
    <x:row r="14" ht="68" customHeight="1">
      <x:c r="A14" s="30" t="n">
        <x:v>60041026</x:v>
      </x:c>
      <x:c r="B14" s="30" t="str">
        <x:v>苇泽灵蛙</x:v>
      </x:c>
      <x:c r="C14" s="30">
        <x:v>20012</x:v>
      </x:c>
      <x:c r="D14" s="30" t="str">
        <x:v>a010</x:v>
      </x:c>
      <x:c r="E14" s="30" t="inlineStr">
        <x:is>
          <x:t xml:space="preserve">沿用主干相同怪物配置ID对应的美术模型；本轮名称与外观尚未逐只重审，后续具体改造时核对。</x:t>
        </x:is>
      </x:c>
    </x:row>
    <x:row r="15" ht="68" customHeight="1">
      <x:c r="A15" s="30" t="n">
        <x:v>60041027</x:v>
      </x:c>
      <x:c r="B15" s="30" t="str">
        <x:v>岩隙灵蝠</x:v>
      </x:c>
      <x:c r="C15" s="30">
        <x:v>20015</x:v>
      </x:c>
      <x:c r="D15" s="30" t="str">
        <x:v>a010</x:v>
      </x:c>
      <x:c r="E15" s="30" t="inlineStr">
        <x:is>
          <x:t xml:space="preserve">沿用主干相同怪物配置ID对应的美术模型；本轮名称与外观尚未逐只重审，后续具体改造时核对。</x:t>
        </x:is>
      </x:c>
    </x:row>
    <x:row r="16" ht="68" customHeight="1">
      <x:c r="A16" s="30" t="n">
        <x:v>60041028</x:v>
      </x:c>
      <x:c r="B16" s="30" t="str">
        <x:v>汀岸灵狼</x:v>
      </x:c>
      <x:c r="C16" s="30">
        <x:v>20022</x:v>
      </x:c>
      <x:c r="D16" s="30" t="str">
        <x:v>a010</x:v>
      </x:c>
      <x:c r="E16" s="30" t="inlineStr">
        <x:is>
          <x:t xml:space="preserve">沿用主干相同怪物配置ID对应的美术模型；本轮名称与外观尚未逐只重审，后续具体改造时核对。</x:t>
        </x:is>
      </x:c>
    </x:row>
    <x:row r="17" ht="68" customHeight="1">
      <x:c r="A17" s="30" t="n">
        <x:v>60041029</x:v>
      </x:c>
      <x:c r="B17" s="30" t="str">
        <x:v>浅汊水蛇</x:v>
      </x:c>
      <x:c r="C17" s="30">
        <x:v>20022</x:v>
      </x:c>
      <x:c r="D17" s="30" t="str">
        <x:v>a010</x:v>
      </x:c>
      <x:c r="E17" s="30" t="inlineStr">
        <x:is>
          <x:t xml:space="preserve">沿用主干相同怪物配置ID对应的美术模型；本轮名称与外观尚未逐只重审，后续具体改造时核对。</x:t>
        </x:is>
      </x:c>
    </x:row>
    <x:row r="18" ht="68" customHeight="1">
      <x:c r="A18" s="30" t="n">
        <x:v>60042030</x:v>
      </x:c>
      <x:c r="B18" s="30" t="str">
        <x:v>苇泽灵蛙·异种</x:v>
      </x:c>
      <x:c r="C18" s="30">
        <x:v>20022</x:v>
      </x:c>
      <x:c r="D18" s="30" t="str">
        <x:v>a010</x:v>
      </x:c>
      <x:c r="E18" s="30" t="inlineStr">
        <x:is>
          <x:t xml:space="preserve">沿用主干相同怪物配置ID对应的美术模型；本轮名称与外观尚未逐只重审，后续具体改造时核对。</x:t>
        </x:is>
      </x:c>
    </x:row>
    <x:row r="19" ht="68" customHeight="1">
      <x:c r="A19" s="30" t="n">
        <x:v>60051031</x:v>
      </x:c>
      <x:c r="B19" s="30" t="str">
        <x:v>岩隙灵蝠</x:v>
      </x:c>
      <x:c r="C19" s="30">
        <x:v>20010</x:v>
      </x:c>
      <x:c r="D19" s="30" t="str">
        <x:v>a010</x:v>
      </x:c>
      <x:c r="E19" s="30" t="inlineStr">
        <x:is>
          <x:t xml:space="preserve">沿用主干相同怪物配置ID对应的美术模型；本轮名称与外观尚未逐只重审，后续具体改造时核对。</x:t>
        </x:is>
      </x:c>
    </x:row>
    <x:row r="20" ht="68" customHeight="1">
      <x:c r="A20" s="30" t="n">
        <x:v>60051032</x:v>
      </x:c>
      <x:c r="B20" s="30" t="str">
        <x:v>汀岸灵狼</x:v>
      </x:c>
      <x:c r="C20" s="30">
        <x:v>20023</x:v>
      </x:c>
      <x:c r="D20" s="30" t="str">
        <x:v>a010</x:v>
      </x:c>
      <x:c r="E20" s="30" t="inlineStr">
        <x:is>
          <x:t xml:space="preserve">沿用主干相同怪物配置ID对应的美术模型；本轮名称与外观尚未逐只重审，后续具体改造时核对。</x:t>
        </x:is>
      </x:c>
    </x:row>
    <x:row r="21" ht="68" customHeight="1">
      <x:c r="A21" s="30" t="n">
        <x:v>60051033</x:v>
      </x:c>
      <x:c r="B21" s="30" t="str">
        <x:v>浅汊水蛇</x:v>
      </x:c>
      <x:c r="C21" s="30">
        <x:v>20037</x:v>
      </x:c>
      <x:c r="D21" s="30" t="str">
        <x:v>a010</x:v>
      </x:c>
      <x:c r="E21" s="30" t="inlineStr">
        <x:is>
          <x:t xml:space="preserve">沿用主干相同怪物配置ID对应的美术模型；本轮名称与外观尚未逐只重审，后续具体改造时核对。</x:t>
        </x:is>
      </x:c>
    </x:row>
    <x:row r="22" ht="68" customHeight="1">
      <x:c r="A22" s="30" t="n">
        <x:v>60051034</x:v>
      </x:c>
      <x:c r="B22" s="30" t="str">
        <x:v>苇泽灵蛙</x:v>
      </x:c>
      <x:c r="C22" s="30">
        <x:v>20025</x:v>
      </x:c>
      <x:c r="D22" s="30" t="str">
        <x:v>a010</x:v>
      </x:c>
      <x:c r="E22" s="30" t="inlineStr">
        <x:is>
          <x:t xml:space="preserve">沿用主干相同怪物配置ID对应的美术模型；本轮名称与外观尚未逐只重审，后续具体改造时核对。</x:t>
        </x:is>
      </x:c>
    </x:row>
    <x:row r="23" ht="68" customHeight="1">
      <x:c r="A23" s="30" t="n">
        <x:v>60052035</x:v>
      </x:c>
      <x:c r="B23" s="30" t="str">
        <x:v>岩隙灵蝠·异种</x:v>
      </x:c>
      <x:c r="C23" s="30">
        <x:v>20025</x:v>
      </x:c>
      <x:c r="D23" s="30" t="str">
        <x:v>a010</x:v>
      </x:c>
      <x:c r="E23" s="30" t="inlineStr">
        <x:is>
          <x:t xml:space="preserve">沿用主干相同怪物配置ID对应的美术模型；本轮名称与外观尚未逐只重审，后续具体改造时核对。</x:t>
        </x:is>
      </x:c>
    </x:row>
    <x:row r="24" ht="68" customHeight="1">
      <x:c r="A24" s="30" t="n">
        <x:v>60054036</x:v>
      </x:c>
      <x:c r="B24" s="30" t="str">
        <x:v>汀岸灵狼·首领</x:v>
      </x:c>
      <x:c r="C24" s="30">
        <x:v>20021</x:v>
      </x:c>
      <x:c r="D24" s="30" t="str">
        <x:v>a010</x:v>
      </x:c>
      <x:c r="E24" s="30" t="inlineStr">
        <x:is>
          <x:t xml:space="preserve">沿用主干相同怪物配置ID对应的美术模型；本轮名称与外观尚未逐只重审，后续具体改造时核对。</x:t>
        </x:is>
      </x:c>
    </x:row>
    <x:row r="25" ht="68" customHeight="1">
      <x:c r="A25" s="30" t="n">
        <x:v>60061037</x:v>
      </x:c>
      <x:c r="B25" s="30" t="str">
        <x:v>浅汊水蛇</x:v>
      </x:c>
      <x:c r="C25" s="30">
        <x:v>20001</x:v>
      </x:c>
      <x:c r="D25" s="30" t="str">
        <x:v>a010</x:v>
      </x:c>
      <x:c r="E25" s="30" t="inlineStr">
        <x:is>
          <x:t xml:space="preserve">沿用主干相同怪物配置ID对应的美术模型；本轮名称与外观尚未逐只重审，后续具体改造时核对。</x:t>
        </x:is>
      </x:c>
    </x:row>
    <x:row r="26" ht="68" customHeight="1">
      <x:c r="A26" s="30" t="n">
        <x:v>60061038</x:v>
      </x:c>
      <x:c r="B26" s="30" t="str">
        <x:v>苇泽灵蛙</x:v>
      </x:c>
      <x:c r="C26" s="30">
        <x:v>20002</x:v>
      </x:c>
      <x:c r="D26" s="30" t="str">
        <x:v>a010</x:v>
      </x:c>
      <x:c r="E26" s="30" t="inlineStr">
        <x:is>
          <x:t xml:space="preserve">沿用主干相同怪物配置ID对应的美术模型；本轮名称与外观尚未逐只重审，后续具体改造时核对。</x:t>
        </x:is>
      </x:c>
    </x:row>
    <x:row r="27" ht="68" customHeight="1">
      <x:c r="A27" s="30" t="n">
        <x:v>60061039</x:v>
      </x:c>
      <x:c r="B27" s="30" t="str">
        <x:v>岩隙灵蝠</x:v>
      </x:c>
      <x:c r="C27" s="30">
        <x:v>20003</x:v>
      </x:c>
      <x:c r="D27" s="30" t="str">
        <x:v>a010</x:v>
      </x:c>
      <x:c r="E27" s="30" t="inlineStr">
        <x:is>
          <x:t xml:space="preserve">沿用主干相同怪物配置ID对应的美术模型；本轮名称与外观尚未逐只重审，后续具体改造时核对。</x:t>
        </x:is>
      </x:c>
    </x:row>
    <x:row r="28" ht="68" customHeight="1">
      <x:c r="A28" s="30" t="n">
        <x:v>60071040</x:v>
      </x:c>
      <x:c r="B28" s="30" t="str">
        <x:v>汀岸灵狼</x:v>
      </x:c>
      <x:c r="C28" s="30">
        <x:v>20005</x:v>
      </x:c>
      <x:c r="D28" s="30" t="str">
        <x:v>a010</x:v>
      </x:c>
      <x:c r="E28" s="30" t="inlineStr">
        <x:is>
          <x:t xml:space="preserve">沿用主干相同怪物配置ID对应的美术模型；本轮名称与外观尚未逐只重审，后续具体改造时核对。</x:t>
        </x:is>
      </x:c>
    </x:row>
    <x:row r="29" ht="68" customHeight="1">
      <x:c r="A29" s="30" t="n">
        <x:v>60071041</x:v>
      </x:c>
      <x:c r="B29" s="30" t="str">
        <x:v>浅汊水蛇</x:v>
      </x:c>
      <x:c r="C29" s="30">
        <x:v>20008</x:v>
      </x:c>
      <x:c r="D29" s="30" t="str">
        <x:v>a010</x:v>
      </x:c>
      <x:c r="E29" s="30" t="inlineStr">
        <x:is>
          <x:t xml:space="preserve">沿用主干相同怪物配置ID对应的美术模型；本轮名称与外观尚未逐只重审，后续具体改造时核对。</x:t>
        </x:is>
      </x:c>
    </x:row>
    <x:row r="30" ht="68" customHeight="1">
      <x:c r="A30" s="30" t="n">
        <x:v>60071042</x:v>
      </x:c>
      <x:c r="B30" s="30" t="str">
        <x:v>苇泽灵蛙</x:v>
      </x:c>
      <x:c r="C30" s="30">
        <x:v>20009</x:v>
      </x:c>
      <x:c r="D30" s="30" t="str">
        <x:v>a010</x:v>
      </x:c>
      <x:c r="E30" s="30" t="inlineStr">
        <x:is>
          <x:t xml:space="preserve">沿用主干相同怪物配置ID对应的美术模型；本轮名称与外观尚未逐只重审，后续具体改造时核对。</x:t>
        </x:is>
      </x:c>
    </x:row>
    <x:row r="31" ht="68" customHeight="1">
      <x:c r="A31" s="30" t="n">
        <x:v>60081043</x:v>
      </x:c>
      <x:c r="B31" s="30" t="str">
        <x:v>岩隙灵蝠</x:v>
      </x:c>
      <x:c r="C31" s="30">
        <x:v>20018</x:v>
      </x:c>
      <x:c r="D31" s="30" t="str">
        <x:v>a010</x:v>
      </x:c>
      <x:c r="E31" s="30" t="inlineStr">
        <x:is>
          <x:t xml:space="preserve">沿用主干相同怪物配置ID对应的美术模型；本轮名称与外观尚未逐只重审，后续具体改造时核对。</x:t>
        </x:is>
      </x:c>
    </x:row>
    <x:row r="32" ht="68" customHeight="1">
      <x:c r="A32" s="30" t="n">
        <x:v>60081044</x:v>
      </x:c>
      <x:c r="B32" s="30" t="str">
        <x:v>汀岸灵狼</x:v>
      </x:c>
      <x:c r="C32" s="30">
        <x:v>20020</x:v>
      </x:c>
      <x:c r="D32" s="30" t="str">
        <x:v>a010</x:v>
      </x:c>
      <x:c r="E32" s="30" t="inlineStr">
        <x:is>
          <x:t xml:space="preserve">沿用主干相同怪物配置ID对应的美术模型；本轮名称与外观尚未逐只重审，后续具体改造时核对。</x:t>
        </x:is>
      </x:c>
    </x:row>
    <x:row r="33" ht="68" customHeight="1">
      <x:c r="A33" s="30" t="n">
        <x:v>60081045</x:v>
      </x:c>
      <x:c r="B33" s="30" t="str">
        <x:v>浅汊水蛇</x:v>
      </x:c>
      <x:c r="C33" s="30">
        <x:v>20027</x:v>
      </x:c>
      <x:c r="D33" s="30" t="str">
        <x:v>a010</x:v>
      </x:c>
      <x:c r="E33" s="30" t="inlineStr">
        <x:is>
          <x:t xml:space="preserve">沿用主干相同怪物配置ID对应的美术模型；本轮名称与外观尚未逐只重审，后续具体改造时核对。</x:t>
        </x:is>
      </x:c>
    </x:row>
    <x:row r="34" ht="68" customHeight="1">
      <x:c r="A34" s="30" t="n">
        <x:v>60082046</x:v>
      </x:c>
      <x:c r="B34" s="30" t="str">
        <x:v>苇泽灵蛙·异种</x:v>
      </x:c>
      <x:c r="C34" s="30">
        <x:v>20027</x:v>
      </x:c>
      <x:c r="D34" s="30" t="str">
        <x:v>a010</x:v>
      </x:c>
      <x:c r="E34" s="30" t="inlineStr">
        <x:is>
          <x:t xml:space="preserve">沿用主干相同怪物配置ID对应的美术模型；本轮名称与外观尚未逐只重审，后续具体改造时核对。</x:t>
        </x:is>
      </x:c>
    </x:row>
    <x:row r="35" ht="68" customHeight="1">
      <x:c r="A35" s="30" t="n">
        <x:v>60084047</x:v>
      </x:c>
      <x:c r="B35" s="30" t="str">
        <x:v>岩隙灵蝠·首领</x:v>
      </x:c>
      <x:c r="C35" s="30">
        <x:v>20019</x:v>
      </x:c>
      <x:c r="D35" s="30" t="str">
        <x:v>a010</x:v>
      </x:c>
      <x:c r="E35" s="30" t="inlineStr">
        <x:is>
          <x:t xml:space="preserve">沿用主干相同怪物配置ID对应的美术模型；本轮名称与外观尚未逐只重审，后续具体改造时核对。</x:t>
        </x:is>
      </x:c>
    </x:row>
    <x:row r="36" ht="68" customHeight="1">
      <x:c r="A36" s="30" t="n">
        <x:v>60091048</x:v>
      </x:c>
      <x:c r="B36" s="30" t="str">
        <x:v>汀岸灵狼</x:v>
      </x:c>
      <x:c r="C36" s="30">
        <x:v>20029</x:v>
      </x:c>
      <x:c r="D36" s="30" t="str">
        <x:v>a010</x:v>
      </x:c>
      <x:c r="E36" s="30" t="inlineStr">
        <x:is>
          <x:t xml:space="preserve">沿用主干相同怪物配置ID对应的美术模型；本轮名称与外观尚未逐只重审，后续具体改造时核对。</x:t>
        </x:is>
      </x:c>
    </x:row>
    <x:row r="37" ht="68" customHeight="1">
      <x:c r="A37" s="30" t="n">
        <x:v>60091049</x:v>
      </x:c>
      <x:c r="B37" s="30" t="str">
        <x:v>浅汊水蛇</x:v>
      </x:c>
      <x:c r="C37" s="30">
        <x:v>20028</x:v>
      </x:c>
      <x:c r="D37" s="30" t="str">
        <x:v>a010</x:v>
      </x:c>
      <x:c r="E37" s="30" t="inlineStr">
        <x:is>
          <x:t xml:space="preserve">沿用主干相同怪物配置ID对应的美术模型；本轮名称与外观尚未逐只重审，后续具体改造时核对。</x:t>
        </x:is>
      </x:c>
    </x:row>
    <x:row r="38" ht="68" customHeight="1">
      <x:c r="A38" s="30" t="n">
        <x:v>60091050</x:v>
      </x:c>
      <x:c r="B38" s="30" t="str">
        <x:v>苇泽灵蛙</x:v>
      </x:c>
      <x:c r="C38" s="30">
        <x:v>20034</x:v>
      </x:c>
      <x:c r="D38" s="30" t="str">
        <x:v>a010</x:v>
      </x:c>
      <x:c r="E38" s="30" t="inlineStr">
        <x:is>
          <x:t xml:space="preserve">沿用主干相同怪物配置ID对应的美术模型；本轮名称与外观尚未逐只重审，后续具体改造时核对。</x:t>
        </x:is>
      </x:c>
    </x:row>
    <x:row r="39" ht="68" customHeight="1">
      <x:c r="A39" s="30" t="n">
        <x:v>60091051</x:v>
      </x:c>
      <x:c r="B39" s="30" t="str">
        <x:v>岩隙灵蝠</x:v>
      </x:c>
      <x:c r="C39" s="30">
        <x:v>20035</x:v>
      </x:c>
      <x:c r="D39" s="30" t="str">
        <x:v>a010</x:v>
      </x:c>
      <x:c r="E39" s="30" t="inlineStr">
        <x:is>
          <x:t xml:space="preserve">沿用主干相同怪物配置ID对应的美术模型；本轮名称与外观尚未逐只重审，后续具体改造时核对。</x:t>
        </x:is>
      </x:c>
    </x:row>
    <x:row r="40" ht="68" customHeight="1">
      <x:c r="A40" s="30" t="n">
        <x:v>60092052</x:v>
      </x:c>
      <x:c r="B40" s="30" t="str">
        <x:v>汀岸灵狼·异种</x:v>
      </x:c>
      <x:c r="C40" s="30">
        <x:v>20035</x:v>
      </x:c>
      <x:c r="D40" s="30" t="str">
        <x:v>a010</x:v>
      </x:c>
      <x:c r="E40" s="30" t="inlineStr">
        <x:is>
          <x:t xml:space="preserve">沿用主干相同怪物配置ID对应的美术模型；本轮名称与外观尚未逐只重审，后续具体改造时核对。</x:t>
        </x:is>
      </x:c>
    </x:row>
    <x:row r="41" ht="68" customHeight="1">
      <x:c r="A41" s="30" t="n">
        <x:v>60181053</x:v>
      </x:c>
      <x:c r="B41" s="30" t="str">
        <x:v>魔化水脉灵蛇</x:v>
      </x:c>
      <x:c r="C41" s="30">
        <x:v>20039</x:v>
      </x:c>
      <x:c r="D41" s="30" t="str">
        <x:v>a010</x:v>
      </x:c>
      <x:c r="E41" s="30" t="inlineStr">
        <x:is>
          <x:t xml:space="preserve">沿用主干相同怪物配置ID对应的美术模型；本轮名称与外观尚未逐只重审，后续具体改造时核对。</x:t>
        </x:is>
      </x:c>
    </x:row>
    <x:row r="42" ht="68" customHeight="1">
      <x:c r="A42" s="30" t="n">
        <x:v>60181054</x:v>
      </x:c>
      <x:c r="B42" s="30" t="str">
        <x:v>魔化低岛灵狼</x:v>
      </x:c>
      <x:c r="C42" s="30">
        <x:v>20040</x:v>
      </x:c>
      <x:c r="D42" s="30" t="str">
        <x:v>a010</x:v>
      </x:c>
      <x:c r="E42" s="30" t="inlineStr">
        <x:is>
          <x:t xml:space="preserve">沿用主干相同怪物配置ID对应的美术模型；本轮名称与外观尚未逐只重审，后续具体改造时核对。</x:t>
        </x:is>
      </x:c>
    </x:row>
    <x:row r="43" ht="68" customHeight="1">
      <x:c r="A43" s="30" t="n">
        <x:v>60182055</x:v>
      </x:c>
      <x:c r="B43" s="30" t="str">
        <x:v>魔化末分岩蟹·异种</x:v>
      </x:c>
      <x:c r="C43" s="30">
        <x:v>20041</x:v>
      </x:c>
      <x:c r="D43" s="30" t="str">
        <x:v>a010</x:v>
      </x:c>
      <x:c r="E43" s="30" t="inlineStr">
        <x:is>
          <x:t xml:space="preserve">沿用主干相同怪物配置ID对应的美术模型；本轮名称与外观尚未逐只重审，后续具体改造时核对。</x:t>
        </x:is>
      </x:c>
    </x:row>
    <x:row r="44" ht="68" customHeight="1">
      <x:c r="A44" s="30" t="n">
        <x:v>60111056</x:v>
      </x:c>
      <x:c r="B44" s="30" t="str">
        <x:v>荷汊灵蛙</x:v>
      </x:c>
      <x:c r="C44" s="30">
        <x:v>20042</x:v>
      </x:c>
      <x:c r="D44" s="30" t="str">
        <x:v>a010</x:v>
      </x:c>
      <x:c r="E44" s="30" t="inlineStr">
        <x:is>
          <x:t xml:space="preserve">沿用主干相同怪物配置ID对应的美术模型；本轮名称与外观尚未逐只重审，后续具体改造时核对。</x:t>
        </x:is>
      </x:c>
    </x:row>
    <x:row r="45" ht="68" customHeight="1">
      <x:c r="A45" s="30" t="n">
        <x:v>60111057</x:v>
      </x:c>
      <x:c r="B45" s="30" t="str">
        <x:v>水脉灵蛇</x:v>
      </x:c>
      <x:c r="C45" s="30">
        <x:v>20043</x:v>
      </x:c>
      <x:c r="D45" s="30" t="str">
        <x:v>a010</x:v>
      </x:c>
      <x:c r="E45" s="30" t="inlineStr">
        <x:is>
          <x:t xml:space="preserve">沿用主干相同怪物配置ID对应的美术模型；本轮名称与外观尚未逐只重审，后续具体改造时核对。</x:t>
        </x:is>
      </x:c>
    </x:row>
    <x:row r="46" ht="68" customHeight="1">
      <x:c r="A46" s="30" t="n">
        <x:v>60111058</x:v>
      </x:c>
      <x:c r="B46" s="30" t="str">
        <x:v>低岛灵狼</x:v>
      </x:c>
      <x:c r="C46" s="30">
        <x:v>20044</x:v>
      </x:c>
      <x:c r="D46" s="30" t="str">
        <x:v>a010</x:v>
      </x:c>
      <x:c r="E46" s="30" t="inlineStr">
        <x:is>
          <x:t xml:space="preserve">沿用主干相同怪物配置ID对应的美术模型；本轮名称与外观尚未逐只重审，后续具体改造时核对。</x:t>
        </x:is>
      </x:c>
    </x:row>
    <x:row r="47" ht="68" customHeight="1">
      <x:c r="A47" s="30" t="n">
        <x:v>60111059</x:v>
      </x:c>
      <x:c r="B47" s="30" t="str">
        <x:v>末分岩蟹</x:v>
      </x:c>
      <x:c r="C47" s="30">
        <x:v>20045</x:v>
      </x:c>
      <x:c r="D47" s="30" t="str">
        <x:v>a010</x:v>
      </x:c>
      <x:c r="E47" s="30" t="inlineStr">
        <x:is>
          <x:t xml:space="preserve">沿用主干相同怪物配置ID对应的美术模型；本轮名称与外观尚未逐只重审，后续具体改造时核对。</x:t>
        </x:is>
      </x:c>
    </x:row>
    <x:row r="48" ht="68" customHeight="1">
      <x:c r="A48" s="30" t="n">
        <x:v>60111060</x:v>
      </x:c>
      <x:c r="B48" s="30" t="str">
        <x:v>荷汊灵蛙</x:v>
      </x:c>
      <x:c r="C48" s="30">
        <x:v>20046</x:v>
      </x:c>
      <x:c r="D48" s="30" t="str">
        <x:v>a010</x:v>
      </x:c>
      <x:c r="E48" s="30" t="inlineStr">
        <x:is>
          <x:t xml:space="preserve">沿用主干相同怪物配置ID对应的美术模型；本轮名称与外观尚未逐只重审，后续具体改造时核对。</x:t>
        </x:is>
      </x:c>
    </x:row>
    <x:row r="49" ht="68" customHeight="1">
      <x:c r="A49" s="30" t="n">
        <x:v>60112061</x:v>
      </x:c>
      <x:c r="B49" s="30" t="str">
        <x:v>水脉灵蛇·异种</x:v>
      </x:c>
      <x:c r="C49" s="30">
        <x:v>20044</x:v>
      </x:c>
      <x:c r="D49" s="30" t="str">
        <x:v>a010</x:v>
      </x:c>
      <x:c r="E49" s="30" t="inlineStr">
        <x:is>
          <x:t xml:space="preserve">沿用主干相同怪物配置ID对应的美术模型；本轮名称与外观尚未逐只重审，后续具体改造时核对。</x:t>
        </x:is>
      </x:c>
    </x:row>
    <x:row r="50" ht="68" customHeight="1">
      <x:c r="A50" s="30" t="n">
        <x:v>60121062</x:v>
      </x:c>
      <x:c r="B50" s="30" t="str">
        <x:v>低岛灵狼</x:v>
      </x:c>
      <x:c r="C50" s="30">
        <x:v>20048</x:v>
      </x:c>
      <x:c r="D50" s="30" t="str">
        <x:v>a010</x:v>
      </x:c>
      <x:c r="E50" s="30" t="inlineStr">
        <x:is>
          <x:t xml:space="preserve">沿用主干相同怪物配置ID对应的美术模型；本轮名称与外观尚未逐只重审，后续具体改造时核对。</x:t>
        </x:is>
      </x:c>
    </x:row>
    <x:row r="51" ht="68" customHeight="1">
      <x:c r="A51" s="30" t="n">
        <x:v>60121063</x:v>
      </x:c>
      <x:c r="B51" s="30" t="str">
        <x:v>末分岩蟹</x:v>
      </x:c>
      <x:c r="C51" s="30">
        <x:v>20049</x:v>
      </x:c>
      <x:c r="D51" s="30" t="str">
        <x:v>a010</x:v>
      </x:c>
      <x:c r="E51" s="30" t="inlineStr">
        <x:is>
          <x:t xml:space="preserve">沿用主干相同怪物配置ID对应的美术模型；本轮名称与外观尚未逐只重审，后续具体改造时核对。</x:t>
        </x:is>
      </x:c>
    </x:row>
    <x:row r="52" ht="68" customHeight="1">
      <x:c r="A52" s="30" t="n">
        <x:v>60121064</x:v>
      </x:c>
      <x:c r="B52" s="30" t="str">
        <x:v>荷汊灵蛙</x:v>
      </x:c>
      <x:c r="C52" s="30">
        <x:v>20050</x:v>
      </x:c>
      <x:c r="D52" s="30" t="str">
        <x:v>a010</x:v>
      </x:c>
      <x:c r="E52" s="30" t="inlineStr">
        <x:is>
          <x:t xml:space="preserve">沿用主干相同怪物配置ID对应的美术模型；本轮名称与外观尚未逐只重审，后续具体改造时核对。</x:t>
        </x:is>
      </x:c>
    </x:row>
    <x:row r="53" ht="68" customHeight="1">
      <x:c r="A53" s="30" t="n">
        <x:v>60121065</x:v>
      </x:c>
      <x:c r="B53" s="30" t="str">
        <x:v>水脉灵蛇</x:v>
      </x:c>
      <x:c r="C53" s="30">
        <x:v>20051</x:v>
      </x:c>
      <x:c r="D53" s="30" t="str">
        <x:v>a010</x:v>
      </x:c>
      <x:c r="E53" s="30" t="inlineStr">
        <x:is>
          <x:t xml:space="preserve">沿用主干相同怪物配置ID对应的美术模型；本轮名称与外观尚未逐只重审，后续具体改造时核对。</x:t>
        </x:is>
      </x:c>
    </x:row>
    <x:row r="54" ht="68" customHeight="1">
      <x:c r="A54" s="30" t="n">
        <x:v>60122066</x:v>
      </x:c>
      <x:c r="B54" s="30" t="str">
        <x:v>低岛灵狼·异种</x:v>
      </x:c>
      <x:c r="C54" s="30">
        <x:v>20051</x:v>
      </x:c>
      <x:c r="D54" s="30" t="str">
        <x:v>a010</x:v>
      </x:c>
      <x:c r="E54" s="30" t="inlineStr">
        <x:is>
          <x:t xml:space="preserve">沿用主干相同怪物配置ID对应的美术模型；本轮名称与外观尚未逐只重审，后续具体改造时核对。</x:t>
        </x:is>
      </x:c>
    </x:row>
    <x:row r="55" ht="68" customHeight="1">
      <x:c r="A55" s="30" t="n">
        <x:v>60131067</x:v>
      </x:c>
      <x:c r="B55" s="30" t="str">
        <x:v>末分岩蟹</x:v>
      </x:c>
      <x:c r="C55" s="30">
        <x:v>20052</x:v>
      </x:c>
      <x:c r="D55" s="30" t="str">
        <x:v>a010</x:v>
      </x:c>
      <x:c r="E55" s="30" t="inlineStr">
        <x:is>
          <x:t xml:space="preserve">沿用主干相同怪物配置ID对应的美术模型；本轮名称与外观尚未逐只重审，后续具体改造时核对。</x:t>
        </x:is>
      </x:c>
    </x:row>
    <x:row r="56" ht="68" customHeight="1">
      <x:c r="A56" s="30" t="n">
        <x:v>60131068</x:v>
      </x:c>
      <x:c r="B56" s="30" t="str">
        <x:v>荷汊灵蛙</x:v>
      </x:c>
      <x:c r="C56" s="30">
        <x:v>20053</x:v>
      </x:c>
      <x:c r="D56" s="30" t="str">
        <x:v>a010</x:v>
      </x:c>
      <x:c r="E56" s="30" t="inlineStr">
        <x:is>
          <x:t xml:space="preserve">沿用主干相同怪物配置ID对应的美术模型；本轮名称与外观尚未逐只重审，后续具体改造时核对。</x:t>
        </x:is>
      </x:c>
    </x:row>
    <x:row r="57" ht="68" customHeight="1">
      <x:c r="A57" s="30" t="n">
        <x:v>60131069</x:v>
      </x:c>
      <x:c r="B57" s="30" t="str">
        <x:v>水脉灵蛇</x:v>
      </x:c>
      <x:c r="C57" s="30">
        <x:v>20054</x:v>
      </x:c>
      <x:c r="D57" s="30" t="str">
        <x:v>a010</x:v>
      </x:c>
      <x:c r="E57" s="30" t="inlineStr">
        <x:is>
          <x:t xml:space="preserve">沿用主干相同怪物配置ID对应的美术模型；本轮名称与外观尚未逐只重审，后续具体改造时核对。</x:t>
        </x:is>
      </x:c>
    </x:row>
    <x:row r="58" ht="68" customHeight="1">
      <x:c r="A58" s="30" t="n">
        <x:v>60132070</x:v>
      </x:c>
      <x:c r="B58" s="30" t="str">
        <x:v>低岛灵狼·异种</x:v>
      </x:c>
      <x:c r="C58" s="30">
        <x:v>20054</x:v>
      </x:c>
      <x:c r="D58" s="30" t="str">
        <x:v>a010</x:v>
      </x:c>
      <x:c r="E58" s="30" t="inlineStr">
        <x:is>
          <x:t xml:space="preserve">沿用主干相同怪物配置ID对应的美术模型；本轮名称与外观尚未逐只重审，后续具体改造时核对。</x:t>
        </x:is>
      </x:c>
    </x:row>
    <x:row r="59" ht="68" customHeight="1">
      <x:c r="A59" s="30" t="n">
        <x:v>60134071</x:v>
      </x:c>
      <x:c r="B59" s="30" t="str">
        <x:v>末分岩蟹·首领</x:v>
      </x:c>
      <x:c r="C59" s="30">
        <x:v>20055</x:v>
      </x:c>
      <x:c r="D59" s="30" t="str">
        <x:v>a010</x:v>
      </x:c>
      <x:c r="E59" s="30" t="inlineStr">
        <x:is>
          <x:t xml:space="preserve">沿用主干相同怪物配置ID对应的美术模型；本轮名称与外观尚未逐只重审，后续具体改造时核对。</x:t>
        </x:is>
      </x:c>
    </x:row>
    <x:row r="60" ht="68" customHeight="1">
      <x:c r="A60" s="30" t="n">
        <x:v>60141072</x:v>
      </x:c>
      <x:c r="B60" s="30" t="str">
        <x:v>荷汊灵蛙</x:v>
      </x:c>
      <x:c r="C60" s="30">
        <x:v>20056</x:v>
      </x:c>
      <x:c r="D60" s="30" t="str">
        <x:v>a010</x:v>
      </x:c>
      <x:c r="E60" s="30" t="inlineStr">
        <x:is>
          <x:t xml:space="preserve">沿用主干相同怪物配置ID对应的美术模型；本轮名称与外观尚未逐只重审，后续具体改造时核对。</x:t>
        </x:is>
      </x:c>
    </x:row>
    <x:row r="61" ht="68" customHeight="1">
      <x:c r="A61" s="30" t="n">
        <x:v>60141073</x:v>
      </x:c>
      <x:c r="B61" s="30" t="str">
        <x:v>水脉灵蛇</x:v>
      </x:c>
      <x:c r="C61" s="30">
        <x:v>20057</x:v>
      </x:c>
      <x:c r="D61" s="30" t="str">
        <x:v>a010</x:v>
      </x:c>
      <x:c r="E61" s="30" t="inlineStr">
        <x:is>
          <x:t xml:space="preserve">沿用主干相同怪物配置ID对应的美术模型；本轮名称与外观尚未逐只重审，后续具体改造时核对。</x:t>
        </x:is>
      </x:c>
    </x:row>
    <x:row r="62" ht="68" customHeight="1">
      <x:c r="A62" s="30" t="n">
        <x:v>60141074</x:v>
      </x:c>
      <x:c r="B62" s="30" t="str">
        <x:v>低岛灵狼</x:v>
      </x:c>
      <x:c r="C62" s="30">
        <x:v>20058</x:v>
      </x:c>
      <x:c r="D62" s="30" t="str">
        <x:v>a010</x:v>
      </x:c>
      <x:c r="E62" s="30" t="inlineStr">
        <x:is>
          <x:t xml:space="preserve">沿用主干相同怪物配置ID对应的美术模型；本轮名称与外观尚未逐只重审，后续具体改造时核对。</x:t>
        </x:is>
      </x:c>
    </x:row>
    <x:row r="63" ht="68" customHeight="1">
      <x:c r="A63" s="30" t="n">
        <x:v>60151075</x:v>
      </x:c>
      <x:c r="B63" s="30" t="str">
        <x:v>末分岩蟹</x:v>
      </x:c>
      <x:c r="C63" s="30">
        <x:v>20059</x:v>
      </x:c>
      <x:c r="D63" s="30" t="str">
        <x:v>a010</x:v>
      </x:c>
      <x:c r="E63" s="30" t="inlineStr">
        <x:is>
          <x:t xml:space="preserve">沿用主干相同怪物配置ID对应的美术模型；本轮名称与外观尚未逐只重审，后续具体改造时核对。</x:t>
        </x:is>
      </x:c>
    </x:row>
    <x:row r="64" ht="68" customHeight="1">
      <x:c r="A64" s="30" t="n">
        <x:v>60151076</x:v>
      </x:c>
      <x:c r="B64" s="30" t="str">
        <x:v>荷汊灵蛙</x:v>
      </x:c>
      <x:c r="C64" s="30">
        <x:v>20060</x:v>
      </x:c>
      <x:c r="D64" s="30" t="str">
        <x:v>a010</x:v>
      </x:c>
      <x:c r="E64" s="30" t="inlineStr">
        <x:is>
          <x:t xml:space="preserve">沿用主干相同怪物配置ID对应的美术模型；本轮名称与外观尚未逐只重审，后续具体改造时核对。</x:t>
        </x:is>
      </x:c>
    </x:row>
    <x:row r="65" ht="68" customHeight="1">
      <x:c r="A65" s="30" t="n">
        <x:v>60161077</x:v>
      </x:c>
      <x:c r="B65" s="30" t="str">
        <x:v>水脉灵蛇</x:v>
      </x:c>
      <x:c r="C65" s="30">
        <x:v>20061</x:v>
      </x:c>
      <x:c r="D65" s="30" t="str">
        <x:v>a010</x:v>
      </x:c>
      <x:c r="E65" s="30" t="inlineStr">
        <x:is>
          <x:t xml:space="preserve">沿用主干相同怪物配置ID对应的美术模型；本轮名称与外观尚未逐只重审，后续具体改造时核对。</x:t>
        </x:is>
      </x:c>
    </x:row>
    <x:row r="66" ht="68" customHeight="1">
      <x:c r="A66" s="30" t="n">
        <x:v>60161078</x:v>
      </x:c>
      <x:c r="B66" s="30" t="str">
        <x:v>低岛灵狼</x:v>
      </x:c>
      <x:c r="C66" s="30">
        <x:v>20062</x:v>
      </x:c>
      <x:c r="D66" s="30" t="str">
        <x:v>a010</x:v>
      </x:c>
      <x:c r="E66" s="30" t="inlineStr">
        <x:is>
          <x:t xml:space="preserve">沿用主干相同怪物配置ID对应的美术模型；本轮名称与外观尚未逐只重审，后续具体改造时核对。</x:t>
        </x:is>
      </x:c>
    </x:row>
    <x:row r="67" ht="68" customHeight="1">
      <x:c r="A67" s="30" t="n">
        <x:v>60161079</x:v>
      </x:c>
      <x:c r="B67" s="30" t="str">
        <x:v>末分岩蟹</x:v>
      </x:c>
      <x:c r="C67" s="30">
        <x:v>20063</x:v>
      </x:c>
      <x:c r="D67" s="30" t="str">
        <x:v>a010</x:v>
      </x:c>
      <x:c r="E67" s="30" t="inlineStr">
        <x:is>
          <x:t xml:space="preserve">沿用主干相同怪物配置ID对应的美术模型；本轮名称与外观尚未逐只重审，后续具体改造时核对。</x:t>
        </x:is>
      </x:c>
    </x:row>
    <x:row r="68" ht="68" customHeight="1">
      <x:c r="A68" s="30" t="n">
        <x:v>60162080</x:v>
      </x:c>
      <x:c r="B68" s="30" t="str">
        <x:v>荷汊灵蛙·异种</x:v>
      </x:c>
      <x:c r="C68" s="30">
        <x:v>20064</x:v>
      </x:c>
      <x:c r="D68" s="30" t="str">
        <x:v>a010</x:v>
      </x:c>
      <x:c r="E68" s="30" t="inlineStr">
        <x:is>
          <x:t xml:space="preserve">沿用主干相同怪物配置ID对应的美术模型；本轮名称与外观尚未逐只重审，后续具体改造时核对。</x:t>
        </x:is>
      </x:c>
    </x:row>
    <x:row r="69" ht="68" customHeight="1">
      <x:c r="A69" s="30" t="n">
        <x:v>60164081</x:v>
      </x:c>
      <x:c r="B69" s="30" t="str">
        <x:v>水脉灵蛇·首领</x:v>
      </x:c>
      <x:c r="C69" s="30">
        <x:v>20064</x:v>
      </x:c>
      <x:c r="D69" s="30" t="str">
        <x:v>a010</x:v>
      </x:c>
      <x:c r="E69" s="30" t="inlineStr">
        <x:is>
          <x:t xml:space="preserve">沿用主干相同怪物配置ID对应的美术模型；本轮名称与外观尚未逐只重审，后续具体改造时核对。</x:t>
        </x:is>
      </x:c>
    </x:row>
    <x:row r="70" ht="68" customHeight="1">
      <x:c r="A70" s="30" t="n">
        <x:v>60171082</x:v>
      </x:c>
      <x:c r="B70" s="30" t="str">
        <x:v>低岛灵狼</x:v>
      </x:c>
      <x:c r="C70" s="30">
        <x:v>20065</x:v>
      </x:c>
      <x:c r="D70" s="30" t="str">
        <x:v>a010</x:v>
      </x:c>
      <x:c r="E70" s="30" t="inlineStr">
        <x:is>
          <x:t xml:space="preserve">沿用主干相同怪物配置ID对应的美术模型；本轮名称与外观尚未逐只重审，后续具体改造时核对。</x:t>
        </x:is>
      </x:c>
    </x:row>
    <x:row r="71" ht="68" customHeight="1">
      <x:c r="A71" s="30" t="n">
        <x:v>60172083</x:v>
      </x:c>
      <x:c r="B71" s="30" t="str">
        <x:v>末分岩蟹·异种</x:v>
      </x:c>
      <x:c r="C71" s="30">
        <x:v>20066</x:v>
      </x:c>
      <x:c r="D71" s="30" t="str">
        <x:v>a010</x:v>
      </x:c>
      <x:c r="E71" s="30" t="inlineStr">
        <x:is>
          <x:t xml:space="preserve">沿用主干相同怪物配置ID对应的美术模型；本轮名称与外观尚未逐只重审，后续具体改造时核对。</x:t>
        </x:is>
      </x:c>
    </x:row>
    <x:row r="72" ht="68" customHeight="1">
      <x:c r="A72" s="30" t="n">
        <x:v>60171084</x:v>
      </x:c>
      <x:c r="B72" s="30" t="str">
        <x:v>荷汊灵蛙</x:v>
      </x:c>
      <x:c r="C72" s="30">
        <x:v>20067</x:v>
      </x:c>
      <x:c r="D72" s="30" t="str">
        <x:v>a010</x:v>
      </x:c>
      <x:c r="E72" s="30" t="inlineStr">
        <x:is>
          <x:t xml:space="preserve">沿用主干相同怪物配置ID对应的美术模型；本轮名称与外观尚未逐只重审，后续具体改造时核对。</x:t>
        </x:is>
      </x:c>
    </x:row>
    <x:row r="73" ht="68" customHeight="1">
      <x:c r="A73" s="30" t="n">
        <x:v>60174085</x:v>
      </x:c>
      <x:c r="B73" s="30" t="str">
        <x:v>水脉灵蛇·首领</x:v>
      </x:c>
      <x:c r="C73" s="30">
        <x:v>20068</x:v>
      </x:c>
      <x:c r="D73" s="30" t="str">
        <x:v>a010</x:v>
      </x:c>
      <x:c r="E73" s="30" t="inlineStr">
        <x:is>
          <x:t xml:space="preserve">沿用主干相同怪物配置ID对应的美术模型；本轮名称与外观尚未逐只重审，后续具体改造时核对。</x:t>
        </x:is>
      </x:c>
    </x:row>
    <x:row r="74" ht="68" customHeight="1">
      <x:c r="A74" s="30" t="n">
        <x:v>60261086</x:v>
      </x:c>
      <x:c r="B74" s="30" t="str">
        <x:v>魔化沟底石蟹</x:v>
      </x:c>
      <x:c r="C74" s="30">
        <x:v>20091</x:v>
      </x:c>
      <x:c r="D74" s="30" t="str">
        <x:v>a010</x:v>
      </x:c>
      <x:c r="E74" s="30" t="inlineStr">
        <x:is>
          <x:t xml:space="preserve">沿用主干相同怪物配置ID对应的美术模型；本轮名称与外观尚未逐只重审，后续具体改造时核对。</x:t>
        </x:is>
      </x:c>
    </x:row>
    <x:row r="75" ht="68" customHeight="1">
      <x:c r="A75" s="30" t="n">
        <x:v>60261087</x:v>
      </x:c>
      <x:c r="B75" s="30" t="str">
        <x:v>魔化瘠地灵蛇</x:v>
      </x:c>
      <x:c r="C75" s="30">
        <x:v>20092</x:v>
      </x:c>
      <x:c r="D75" s="30" t="str">
        <x:v>a010</x:v>
      </x:c>
      <x:c r="E75" s="30" t="inlineStr">
        <x:is>
          <x:t xml:space="preserve">沿用主干相同怪物配置ID对应的美术模型；本轮名称与外观尚未逐只重审，后续具体改造时核对。</x:t>
        </x:is>
      </x:c>
    </x:row>
    <x:row r="76" ht="68" customHeight="1">
      <x:c r="A76" s="30" t="n">
        <x:v>60261088</x:v>
      </x:c>
      <x:c r="B76" s="30" t="str">
        <x:v>魔化赭坡岩狼</x:v>
      </x:c>
      <x:c r="C76" s="30">
        <x:v>20091</x:v>
      </x:c>
      <x:c r="D76" s="30" t="str">
        <x:v>a010</x:v>
      </x:c>
      <x:c r="E76" s="30" t="inlineStr">
        <x:is>
          <x:t xml:space="preserve">沿用主干相同怪物配置ID对应的美术模型；本轮名称与外观尚未逐只重审，后续具体改造时核对。</x:t>
        </x:is>
      </x:c>
    </x:row>
    <x:row r="77" ht="68" customHeight="1">
      <x:c r="A77" s="30" t="n">
        <x:v>60264089</x:v>
      </x:c>
      <x:c r="B77" s="30" t="str">
        <x:v>魔化褐苔灵蜈·首领</x:v>
      </x:c>
      <x:c r="C77" s="30">
        <x:v>20093</x:v>
      </x:c>
      <x:c r="D77" s="30" t="str">
        <x:v>a010</x:v>
      </x:c>
      <x:c r="E77" s="30" t="inlineStr">
        <x:is>
          <x:t xml:space="preserve">沿用主干相同怪物配置ID对应的美术模型；本轮名称与外观尚未逐只重审，后续具体改造时核对。</x:t>
        </x:is>
      </x:c>
    </x:row>
    <x:row r="78" ht="68" customHeight="1">
      <x:c r="A78" s="30" t="n">
        <x:v>60191090</x:v>
      </x:c>
      <x:c r="B78" s="30" t="str">
        <x:v>沟底石蟹</x:v>
      </x:c>
      <x:c r="C78" s="30">
        <x:v>20069</x:v>
      </x:c>
      <x:c r="D78" s="30" t="str">
        <x:v>a010</x:v>
      </x:c>
      <x:c r="E78" s="30" t="inlineStr">
        <x:is>
          <x:t xml:space="preserve">沿用主干相同怪物配置ID对应的美术模型；本轮名称与外观尚未逐只重审，后续具体改造时核对。</x:t>
        </x:is>
      </x:c>
    </x:row>
    <x:row r="79" ht="68" customHeight="1">
      <x:c r="A79" s="30" t="n">
        <x:v>60191091</x:v>
      </x:c>
      <x:c r="B79" s="30" t="str">
        <x:v>瘠地灵蛇</x:v>
      </x:c>
      <x:c r="C79" s="30">
        <x:v>20070</x:v>
      </x:c>
      <x:c r="D79" s="30" t="str">
        <x:v>a010</x:v>
      </x:c>
      <x:c r="E79" s="30" t="inlineStr">
        <x:is>
          <x:t xml:space="preserve">沿用主干相同怪物配置ID对应的美术模型；本轮名称与外观尚未逐只重审，后续具体改造时核对。</x:t>
        </x:is>
      </x:c>
    </x:row>
    <x:row r="80" ht="68" customHeight="1">
      <x:c r="A80" s="30" t="n">
        <x:v>60191092</x:v>
      </x:c>
      <x:c r="B80" s="30" t="str">
        <x:v>赭坡岩狼</x:v>
      </x:c>
      <x:c r="C80" s="30">
        <x:v>20071</x:v>
      </x:c>
      <x:c r="D80" s="30" t="str">
        <x:v>a010</x:v>
      </x:c>
      <x:c r="E80" s="30" t="inlineStr">
        <x:is>
          <x:t xml:space="preserve">沿用主干相同怪物配置ID对应的美术模型；本轮名称与外观尚未逐只重审，后续具体改造时核对。</x:t>
        </x:is>
      </x:c>
    </x:row>
    <x:row r="81" ht="68" customHeight="1">
      <x:c r="A81" s="30" t="n">
        <x:v>60191093</x:v>
      </x:c>
      <x:c r="B81" s="30" t="str">
        <x:v>褐苔灵蜈</x:v>
      </x:c>
      <x:c r="C81" s="30">
        <x:v>20072</x:v>
      </x:c>
      <x:c r="D81" s="30" t="str">
        <x:v>a010</x:v>
      </x:c>
      <x:c r="E81" s="30" t="inlineStr">
        <x:is>
          <x:t xml:space="preserve">沿用主干相同怪物配置ID对应的美术模型；本轮名称与外观尚未逐只重审，后续具体改造时核对。</x:t>
        </x:is>
      </x:c>
    </x:row>
    <x:row r="82" ht="68" customHeight="1">
      <x:c r="A82" s="30" t="n">
        <x:v>60192094</x:v>
      </x:c>
      <x:c r="B82" s="30" t="str">
        <x:v>沟底石蟹·异种</x:v>
      </x:c>
      <x:c r="C82" s="30">
        <x:v>20072</x:v>
      </x:c>
      <x:c r="D82" s="30" t="str">
        <x:v>a010</x:v>
      </x:c>
      <x:c r="E82" s="30" t="inlineStr">
        <x:is>
          <x:t xml:space="preserve">沿用主干相同怪物配置ID对应的美术模型；本轮名称与外观尚未逐只重审，后续具体改造时核对。</x:t>
        </x:is>
      </x:c>
    </x:row>
    <x:row r="83" ht="68" customHeight="1">
      <x:c r="A83" s="30" t="n">
        <x:v>60201095</x:v>
      </x:c>
      <x:c r="B83" s="30" t="str">
        <x:v>瘠地灵蛇</x:v>
      </x:c>
      <x:c r="C83" s="30">
        <x:v>20073</x:v>
      </x:c>
      <x:c r="D83" s="30" t="str">
        <x:v>a010</x:v>
      </x:c>
      <x:c r="E83" s="30" t="inlineStr">
        <x:is>
          <x:t xml:space="preserve">沿用主干相同怪物配置ID对应的美术模型；本轮名称与外观尚未逐只重审，后续具体改造时核对。</x:t>
        </x:is>
      </x:c>
    </x:row>
    <x:row r="84" ht="68" customHeight="1">
      <x:c r="A84" s="30" t="n">
        <x:v>60201096</x:v>
      </x:c>
      <x:c r="B84" s="30" t="str">
        <x:v>赭坡岩狼</x:v>
      </x:c>
      <x:c r="C84" s="30">
        <x:v>20074</x:v>
      </x:c>
      <x:c r="D84" s="30" t="str">
        <x:v>a010</x:v>
      </x:c>
      <x:c r="E84" s="30" t="inlineStr">
        <x:is>
          <x:t xml:space="preserve">沿用主干相同怪物配置ID对应的美术模型；本轮名称与外观尚未逐只重审，后续具体改造时核对。</x:t>
        </x:is>
      </x:c>
    </x:row>
    <x:row r="85" ht="68" customHeight="1">
      <x:c r="A85" s="30" t="n">
        <x:v>60201097</x:v>
      </x:c>
      <x:c r="B85" s="30" t="str">
        <x:v>褐苔灵蜈</x:v>
      </x:c>
      <x:c r="C85" s="30">
        <x:v>20075</x:v>
      </x:c>
      <x:c r="D85" s="30" t="str">
        <x:v>a010</x:v>
      </x:c>
      <x:c r="E85" s="30" t="inlineStr">
        <x:is>
          <x:t xml:space="preserve">沿用主干相同怪物配置ID对应的美术模型；本轮名称与外观尚未逐只重审，后续具体改造时核对。</x:t>
        </x:is>
      </x:c>
    </x:row>
    <x:row r="86" ht="68" customHeight="1">
      <x:c r="A86" s="30" t="n">
        <x:v>60202098</x:v>
      </x:c>
      <x:c r="B86" s="30" t="str">
        <x:v>沟底石蟹·异种</x:v>
      </x:c>
      <x:c r="C86" s="30">
        <x:v>20075</x:v>
      </x:c>
      <x:c r="D86" s="30" t="str">
        <x:v>a010</x:v>
      </x:c>
      <x:c r="E86" s="30" t="inlineStr">
        <x:is>
          <x:t xml:space="preserve">沿用主干相同怪物配置ID对应的美术模型；本轮名称与外观尚未逐只重审，后续具体改造时核对。</x:t>
        </x:is>
      </x:c>
    </x:row>
    <x:row r="87" ht="68" customHeight="1">
      <x:c r="A87" s="30" t="n">
        <x:v>60204099</x:v>
      </x:c>
      <x:c r="B87" s="30" t="str">
        <x:v>瘠地灵蛇·首领</x:v>
      </x:c>
      <x:c r="C87" s="30">
        <x:v>20076</x:v>
      </x:c>
      <x:c r="D87" s="30" t="str">
        <x:v>a010</x:v>
      </x:c>
      <x:c r="E87" s="30" t="inlineStr">
        <x:is>
          <x:t xml:space="preserve">沿用主干相同怪物配置ID对应的美术模型；本轮名称与外观尚未逐只重审，后续具体改造时核对。</x:t>
        </x:is>
      </x:c>
    </x:row>
    <x:row r="88" ht="68" customHeight="1">
      <x:c r="A88" s="30" t="n">
        <x:v>60211100</x:v>
      </x:c>
      <x:c r="B88" s="30" t="str">
        <x:v>赭坡岩狼</x:v>
      </x:c>
      <x:c r="C88" s="30">
        <x:v>20077</x:v>
      </x:c>
      <x:c r="D88" s="30" t="str">
        <x:v>a010</x:v>
      </x:c>
      <x:c r="E88" s="30" t="inlineStr">
        <x:is>
          <x:t xml:space="preserve">沿用主干相同怪物配置ID对应的美术模型；本轮名称与外观尚未逐只重审，后续具体改造时核对。</x:t>
        </x:is>
      </x:c>
    </x:row>
    <x:row r="89" ht="68" customHeight="1">
      <x:c r="A89" s="30" t="n">
        <x:v>60211101</x:v>
      </x:c>
      <x:c r="B89" s="30" t="str">
        <x:v>褐苔灵蜈</x:v>
      </x:c>
      <x:c r="C89" s="30">
        <x:v>20078</x:v>
      </x:c>
      <x:c r="D89" s="30" t="str">
        <x:v>a010</x:v>
      </x:c>
      <x:c r="E89" s="30" t="inlineStr">
        <x:is>
          <x:t xml:space="preserve">沿用主干相同怪物配置ID对应的美术模型；本轮名称与外观尚未逐只重审，后续具体改造时核对。</x:t>
        </x:is>
      </x:c>
    </x:row>
    <x:row r="90" ht="68" customHeight="1">
      <x:c r="A90" s="30" t="n">
        <x:v>60212102</x:v>
      </x:c>
      <x:c r="B90" s="30" t="str">
        <x:v>沟底石蟹·异种</x:v>
      </x:c>
      <x:c r="C90" s="30">
        <x:v>20078</x:v>
      </x:c>
      <x:c r="D90" s="30" t="str">
        <x:v>a010</x:v>
      </x:c>
      <x:c r="E90" s="30" t="inlineStr">
        <x:is>
          <x:t xml:space="preserve">沿用主干相同怪物配置ID对应的美术模型；本轮名称与外观尚未逐只重审，后续具体改造时核对。</x:t>
        </x:is>
      </x:c>
    </x:row>
    <x:row r="91" ht="68" customHeight="1">
      <x:c r="A91" s="30" t="n">
        <x:v>60214103</x:v>
      </x:c>
      <x:c r="B91" s="30" t="str">
        <x:v>瘠地灵蛇·首领</x:v>
      </x:c>
      <x:c r="C91" s="30">
        <x:v>20079</x:v>
      </x:c>
      <x:c r="D91" s="30" t="str">
        <x:v>a010</x:v>
      </x:c>
      <x:c r="E91" s="30" t="inlineStr">
        <x:is>
          <x:t xml:space="preserve">沿用主干相同怪物配置ID对应的美术模型；本轮名称与外观尚未逐只重审，后续具体改造时核对。</x:t>
        </x:is>
      </x:c>
    </x:row>
    <x:row r="92" ht="68" customHeight="1">
      <x:c r="A92" s="30" t="n">
        <x:v>60221104</x:v>
      </x:c>
      <x:c r="B92" s="30" t="str">
        <x:v>赭坡岩狼</x:v>
      </x:c>
      <x:c r="C92" s="30">
        <x:v>20080</x:v>
      </x:c>
      <x:c r="D92" s="30" t="str">
        <x:v>a010</x:v>
      </x:c>
      <x:c r="E92" s="30" t="inlineStr">
        <x:is>
          <x:t xml:space="preserve">沿用主干相同怪物配置ID对应的美术模型；本轮名称与外观尚未逐只重审，后续具体改造时核对。</x:t>
        </x:is>
      </x:c>
    </x:row>
    <x:row r="93" ht="68" customHeight="1">
      <x:c r="A93" s="30" t="n">
        <x:v>60221105</x:v>
      </x:c>
      <x:c r="B93" s="30" t="str">
        <x:v>褐苔灵蜈</x:v>
      </x:c>
      <x:c r="C93" s="30">
        <x:v>20081</x:v>
      </x:c>
      <x:c r="D93" s="30" t="str">
        <x:v>a010</x:v>
      </x:c>
      <x:c r="E93" s="30" t="inlineStr">
        <x:is>
          <x:t xml:space="preserve">沿用主干相同怪物配置ID对应的美术模型；本轮名称与外观尚未逐只重审，后续具体改造时核对。</x:t>
        </x:is>
      </x:c>
    </x:row>
    <x:row r="94" ht="68" customHeight="1">
      <x:c r="A94" s="30" t="n">
        <x:v>60231106</x:v>
      </x:c>
      <x:c r="B94" s="30" t="str">
        <x:v>沟底石蟹</x:v>
      </x:c>
      <x:c r="C94" s="30">
        <x:v>20082</x:v>
      </x:c>
      <x:c r="D94" s="30" t="str">
        <x:v>a010</x:v>
      </x:c>
      <x:c r="E94" s="30" t="inlineStr">
        <x:is>
          <x:t xml:space="preserve">沿用主干相同怪物配置ID对应的美术模型；本轮名称与外观尚未逐只重审，后续具体改造时核对。</x:t>
        </x:is>
      </x:c>
    </x:row>
    <x:row r="95" ht="68" customHeight="1">
      <x:c r="A95" s="30" t="n">
        <x:v>60231107</x:v>
      </x:c>
      <x:c r="B95" s="30" t="str">
        <x:v>瘠地灵蛇</x:v>
      </x:c>
      <x:c r="C95" s="30">
        <x:v>20083</x:v>
      </x:c>
      <x:c r="D95" s="30" t="str">
        <x:v>a010</x:v>
      </x:c>
      <x:c r="E95" s="30" t="inlineStr">
        <x:is>
          <x:t xml:space="preserve">沿用主干相同怪物配置ID对应的美术模型；本轮名称与外观尚未逐只重审，后续具体改造时核对。</x:t>
        </x:is>
      </x:c>
    </x:row>
    <x:row r="96" ht="68" customHeight="1">
      <x:c r="A96" s="30" t="n">
        <x:v>60241108</x:v>
      </x:c>
      <x:c r="B96" s="30" t="str">
        <x:v>赭坡岩狼</x:v>
      </x:c>
      <x:c r="C96" s="30">
        <x:v>20084</x:v>
      </x:c>
      <x:c r="D96" s="30" t="str">
        <x:v>a010</x:v>
      </x:c>
      <x:c r="E96" s="30" t="inlineStr">
        <x:is>
          <x:t xml:space="preserve">沿用主干相同怪物配置ID对应的美术模型；本轮名称与外观尚未逐只重审，后续具体改造时核对。</x:t>
        </x:is>
      </x:c>
    </x:row>
    <x:row r="97" ht="68" customHeight="1">
      <x:c r="A97" s="30" t="n">
        <x:v>60241109</x:v>
      </x:c>
      <x:c r="B97" s="30" t="str">
        <x:v>褐苔灵蜈</x:v>
      </x:c>
      <x:c r="C97" s="30">
        <x:v>20085</x:v>
      </x:c>
      <x:c r="D97" s="30" t="str">
        <x:v>a010</x:v>
      </x:c>
      <x:c r="E97" s="30" t="inlineStr">
        <x:is>
          <x:t xml:space="preserve">沿用主干相同怪物配置ID对应的美术模型；本轮名称与外观尚未逐只重审，后续具体改造时核对。</x:t>
        </x:is>
      </x:c>
    </x:row>
    <x:row r="98" ht="68" customHeight="1">
      <x:c r="A98" s="30" t="n">
        <x:v>60241110</x:v>
      </x:c>
      <x:c r="B98" s="30" t="str">
        <x:v>沟底石蟹</x:v>
      </x:c>
      <x:c r="C98" s="30">
        <x:v>20086</x:v>
      </x:c>
      <x:c r="D98" s="30" t="str">
        <x:v>a010</x:v>
      </x:c>
      <x:c r="E98" s="30" t="inlineStr">
        <x:is>
          <x:t xml:space="preserve">沿用主干相同怪物配置ID对应的美术模型；本轮名称与外观尚未逐只重审，后续具体改造时核对。</x:t>
        </x:is>
      </x:c>
    </x:row>
    <x:row r="99" ht="68" customHeight="1">
      <x:c r="A99" s="30" t="n">
        <x:v>60242111</x:v>
      </x:c>
      <x:c r="B99" s="30" t="str">
        <x:v>瘠地灵蛇·异种</x:v>
      </x:c>
      <x:c r="C99" s="30">
        <x:v>20084</x:v>
      </x:c>
      <x:c r="D99" s="30" t="str">
        <x:v>a010</x:v>
      </x:c>
      <x:c r="E99" s="30" t="inlineStr">
        <x:is>
          <x:t xml:space="preserve">沿用主干相同怪物配置ID对应的美术模型；本轮名称与外观尚未逐只重审，后续具体改造时核对。</x:t>
        </x:is>
      </x:c>
    </x:row>
    <x:row r="100" ht="68" customHeight="1">
      <x:c r="A100" s="30" t="n">
        <x:v>60251112</x:v>
      </x:c>
      <x:c r="B100" s="30" t="str">
        <x:v>赭坡岩狼</x:v>
      </x:c>
      <x:c r="C100" s="30">
        <x:v>20087</x:v>
      </x:c>
      <x:c r="D100" s="30" t="str">
        <x:v>a010</x:v>
      </x:c>
      <x:c r="E100" s="30" t="inlineStr">
        <x:is>
          <x:t xml:space="preserve">沿用主干相同怪物配置ID对应的美术模型；本轮名称与外观尚未逐只重审，后续具体改造时核对。</x:t>
        </x:is>
      </x:c>
    </x:row>
    <x:row r="101" ht="68" customHeight="1">
      <x:c r="A101" s="30" t="n">
        <x:v>60251113</x:v>
      </x:c>
      <x:c r="B101" s="30" t="str">
        <x:v>褐苔灵蜈</x:v>
      </x:c>
      <x:c r="C101" s="30">
        <x:v>20089</x:v>
      </x:c>
      <x:c r="D101" s="30" t="str">
        <x:v>a010</x:v>
      </x:c>
      <x:c r="E101" s="30" t="inlineStr">
        <x:is>
          <x:t xml:space="preserve">沿用主干相同怪物配置ID对应的美术模型；本轮名称与外观尚未逐只重审，后续具体改造时核对。</x:t>
        </x:is>
      </x:c>
    </x:row>
    <x:row r="102" ht="68" customHeight="1">
      <x:c r="A102" s="30" t="n">
        <x:v>60252114</x:v>
      </x:c>
      <x:c r="B102" s="30" t="str">
        <x:v>沟底石蟹·异种</x:v>
      </x:c>
      <x:c r="C102" s="30">
        <x:v>20089</x:v>
      </x:c>
      <x:c r="D102" s="30" t="str">
        <x:v>a010</x:v>
      </x:c>
      <x:c r="E102" s="30" t="inlineStr">
        <x:is>
          <x:t xml:space="preserve">沿用主干相同怪物配置ID对应的美术模型；本轮名称与外观尚未逐只重审，后续具体改造时核对。</x:t>
        </x:is>
      </x:c>
    </x:row>
    <x:row r="103" ht="68" customHeight="1">
      <x:c r="A103" s="30" t="n">
        <x:v>60254115</x:v>
      </x:c>
      <x:c r="B103" s="30" t="str">
        <x:v>瘠地灵蛇·首领</x:v>
      </x:c>
      <x:c r="C103" s="30">
        <x:v>20090</x:v>
      </x:c>
      <x:c r="D103" s="30" t="str">
        <x:v>a010</x:v>
      </x:c>
      <x:c r="E103" s="30" t="inlineStr">
        <x:is>
          <x:t xml:space="preserve">沿用主干相同怪物配置ID对应的美术模型；本轮名称与外观尚未逐只重审，后续具体改造时核对。</x:t>
        </x:is>
      </x:c>
    </x:row>
    <x:row r="104" ht="68" customHeight="1">
      <x:c r="A104" s="30" t="n">
        <x:v>60421116</x:v>
      </x:c>
      <x:c r="B104" s="30" t="str">
        <x:v>碎堑岩狼</x:v>
      </x:c>
      <x:c r="C104" s="30">
        <x:v>20094</x:v>
      </x:c>
      <x:c r="D104" s="30" t="str">
        <x:v>a010</x:v>
      </x:c>
      <x:c r="E104" s="30" t="inlineStr">
        <x:is>
          <x:t xml:space="preserve">沿用主干相同怪物配置ID对应的美术模型；本轮名称与外观尚未逐只重审，后续具体改造时核对。</x:t>
        </x:is>
      </x:c>
    </x:row>
    <x:row r="105" ht="68" customHeight="1">
      <x:c r="A105" s="30" t="n">
        <x:v>60421117</x:v>
      </x:c>
      <x:c r="B105" s="30" t="str">
        <x:v>断谷灵蝠</x:v>
      </x:c>
      <x:c r="C105" s="30">
        <x:v>20095</x:v>
      </x:c>
      <x:c r="D105" s="30" t="str">
        <x:v>a010</x:v>
      </x:c>
      <x:c r="E105" s="30" t="inlineStr">
        <x:is>
          <x:t xml:space="preserve">沿用主干相同怪物配置ID对应的美术模型；本轮名称与外观尚未逐只重审，后续具体改造时核对。</x:t>
        </x:is>
      </x:c>
    </x:row>
    <x:row r="106" ht="68" customHeight="1">
      <x:c r="A106" s="30" t="n">
        <x:v>60421118</x:v>
      </x:c>
      <x:c r="B106" s="30" t="str">
        <x:v>截风灵蛇</x:v>
      </x:c>
      <x:c r="C106" s="30">
        <x:v>20096</x:v>
      </x:c>
      <x:c r="D106" s="30" t="str">
        <x:v>a010</x:v>
      </x:c>
      <x:c r="E106" s="30" t="inlineStr">
        <x:is>
          <x:t xml:space="preserve">沿用主干相同怪物配置ID对应的美术模型；本轮名称与外观尚未逐只重审，后续具体改造时核对。</x:t>
        </x:is>
      </x:c>
    </x:row>
    <x:row r="107" ht="68" customHeight="1">
      <x:c r="A107" s="30" t="n">
        <x:v>60422119</x:v>
      </x:c>
      <x:c r="B107" s="30" t="str">
        <x:v>崩石灵蜈·异种</x:v>
      </x:c>
      <x:c r="C107" s="30">
        <x:v>20097</x:v>
      </x:c>
      <x:c r="D107" s="30" t="str">
        <x:v>a010</x:v>
      </x:c>
      <x:c r="E107" s="30" t="inlineStr">
        <x:is>
          <x:t xml:space="preserve">沿用主干相同怪物配置ID对应的美术模型；本轮名称与外观尚未逐只重审，后续具体改造时核对。</x:t>
        </x:is>
      </x:c>
    </x:row>
    <x:row r="108" ht="68" customHeight="1">
      <x:c r="A108" s="30" t="n">
        <x:v>60431120</x:v>
      </x:c>
      <x:c r="B108" s="30" t="str">
        <x:v>碎堑岩狼</x:v>
      </x:c>
      <x:c r="C108" s="30">
        <x:v>20098</x:v>
      </x:c>
      <x:c r="D108" s="30" t="str">
        <x:v>a010</x:v>
      </x:c>
      <x:c r="E108" s="30" t="inlineStr">
        <x:is>
          <x:t xml:space="preserve">沿用主干相同怪物配置ID对应的美术模型；本轮名称与外观尚未逐只重审，后续具体改造时核对。</x:t>
        </x:is>
      </x:c>
    </x:row>
    <x:row r="109" ht="68" customHeight="1">
      <x:c r="A109" s="30" t="n">
        <x:v>60431121</x:v>
      </x:c>
      <x:c r="B109" s="30" t="str">
        <x:v>断谷灵蝠</x:v>
      </x:c>
      <x:c r="C109" s="30">
        <x:v>20099</x:v>
      </x:c>
      <x:c r="D109" s="30" t="str">
        <x:v>a010</x:v>
      </x:c>
      <x:c r="E109" s="30" t="inlineStr">
        <x:is>
          <x:t xml:space="preserve">沿用主干相同怪物配置ID对应的美术模型；本轮名称与外观尚未逐只重审，后续具体改造时核对。</x:t>
        </x:is>
      </x:c>
    </x:row>
    <x:row r="110" ht="68" customHeight="1">
      <x:c r="A110" s="30" t="n">
        <x:v>60432122</x:v>
      </x:c>
      <x:c r="B110" s="30" t="str">
        <x:v>截风灵蛇·异种</x:v>
      </x:c>
      <x:c r="C110" s="30">
        <x:v>20100</x:v>
      </x:c>
      <x:c r="D110" s="30" t="str">
        <x:v>a010</x:v>
      </x:c>
      <x:c r="E110" s="30" t="inlineStr">
        <x:is>
          <x:t xml:space="preserve">沿用主干相同怪物配置ID对应的美术模型；本轮名称与外观尚未逐只重审，后续具体改造时核对。</x:t>
        </x:is>
      </x:c>
    </x:row>
    <x:row r="111" ht="68" customHeight="1">
      <x:c r="A111" s="30" t="n">
        <x:v>60434123</x:v>
      </x:c>
      <x:c r="B111" s="30" t="str">
        <x:v>崩石灵蜈·首领</x:v>
      </x:c>
      <x:c r="C111" s="30">
        <x:v>20101</x:v>
      </x:c>
      <x:c r="D111" s="30" t="str">
        <x:v>a010</x:v>
      </x:c>
      <x:c r="E111" s="30" t="inlineStr">
        <x:is>
          <x:t xml:space="preserve">沿用主干相同怪物配置ID对应的美术模型；本轮名称与外观尚未逐只重审，后续具体改造时核对。</x:t>
        </x:is>
      </x:c>
    </x:row>
    <x:row r="112" ht="68" customHeight="1">
      <x:c r="A112" s="30" t="n">
        <x:v>60441124</x:v>
      </x:c>
      <x:c r="B112" s="30" t="str">
        <x:v>碎堑岩狼</x:v>
      </x:c>
      <x:c r="C112" s="30">
        <x:v>20102</x:v>
      </x:c>
      <x:c r="D112" s="30" t="str">
        <x:v>a010</x:v>
      </x:c>
      <x:c r="E112" s="30" t="inlineStr">
        <x:is>
          <x:t xml:space="preserve">沿用主干相同怪物配置ID对应的美术模型；本轮名称与外观尚未逐只重审，后续具体改造时核对。</x:t>
        </x:is>
      </x:c>
    </x:row>
    <x:row r="113" ht="68" customHeight="1">
      <x:c r="A113" s="30" t="n">
        <x:v>60441125</x:v>
      </x:c>
      <x:c r="B113" s="30" t="str">
        <x:v>断谷灵蝠</x:v>
      </x:c>
      <x:c r="C113" s="30">
        <x:v>20103</x:v>
      </x:c>
      <x:c r="D113" s="30" t="str">
        <x:v>a010</x:v>
      </x:c>
      <x:c r="E113" s="30" t="inlineStr">
        <x:is>
          <x:t xml:space="preserve">沿用主干相同怪物配置ID对应的美术模型；本轮名称与外观尚未逐只重审，后续具体改造时核对。</x:t>
        </x:is>
      </x:c>
    </x:row>
    <x:row r="114" ht="68" customHeight="1">
      <x:c r="A114" s="30" t="n">
        <x:v>60442126</x:v>
      </x:c>
      <x:c r="B114" s="30" t="str">
        <x:v>截风灵蛇·异种</x:v>
      </x:c>
      <x:c r="C114" s="30">
        <x:v>20104</x:v>
      </x:c>
      <x:c r="D114" s="30" t="str">
        <x:v>a010</x:v>
      </x:c>
      <x:c r="E114" s="30" t="inlineStr">
        <x:is>
          <x:t xml:space="preserve">沿用主干相同怪物配置ID对应的美术模型；本轮名称与外观尚未逐只重审，后续具体改造时核对。</x:t>
        </x:is>
      </x:c>
    </x:row>
    <x:row r="115" ht="68" customHeight="1">
      <x:c r="A115" s="30" t="n">
        <x:v>60444127</x:v>
      </x:c>
      <x:c r="B115" s="30" t="str">
        <x:v>崩石灵蜈·首领</x:v>
      </x:c>
      <x:c r="C115" s="30">
        <x:v>20105</x:v>
      </x:c>
      <x:c r="D115" s="30" t="str">
        <x:v>a010</x:v>
      </x:c>
      <x:c r="E115" s="30" t="inlineStr">
        <x:is>
          <x:t xml:space="preserve">沿用主干相同怪物配置ID对应的美术模型；本轮名称与外观尚未逐只重审，后续具体改造时核对。</x:t>
        </x:is>
      </x:c>
    </x:row>
    <x:row r="116" ht="68" customHeight="1">
      <x:c r="A116" s="30" t="n">
        <x:v>60451128</x:v>
      </x:c>
      <x:c r="B116" s="30" t="str">
        <x:v>碎堑岩狼</x:v>
      </x:c>
      <x:c r="C116" s="30">
        <x:v>20106</x:v>
      </x:c>
      <x:c r="D116" s="30" t="str">
        <x:v>a010</x:v>
      </x:c>
      <x:c r="E116" s="30" t="inlineStr">
        <x:is>
          <x:t xml:space="preserve">沿用主干相同怪物配置ID对应的美术模型；本轮名称与外观尚未逐只重审，后续具体改造时核对。</x:t>
        </x:is>
      </x:c>
    </x:row>
    <x:row r="117" ht="68" customHeight="1">
      <x:c r="A117" s="30" t="n">
        <x:v>60461129</x:v>
      </x:c>
      <x:c r="B117" s="30" t="str">
        <x:v>断谷灵蝠</x:v>
      </x:c>
      <x:c r="C117" s="30">
        <x:v>20107</x:v>
      </x:c>
      <x:c r="D117" s="30" t="str">
        <x:v>a010</x:v>
      </x:c>
      <x:c r="E117" s="30" t="inlineStr">
        <x:is>
          <x:t xml:space="preserve">沿用主干相同怪物配置ID对应的美术模型；本轮名称与外观尚未逐只重审，后续具体改造时核对。</x:t>
        </x:is>
      </x:c>
    </x:row>
    <x:row r="118" ht="68" customHeight="1">
      <x:c r="A118" s="30" t="n">
        <x:v>60471130</x:v>
      </x:c>
      <x:c r="B118" s="30" t="str">
        <x:v>截风灵蛇</x:v>
      </x:c>
      <x:c r="C118" s="30">
        <x:v>20108</x:v>
      </x:c>
      <x:c r="D118" s="30" t="str">
        <x:v>a010</x:v>
      </x:c>
      <x:c r="E118" s="30" t="inlineStr">
        <x:is>
          <x:t xml:space="preserve">沿用主干相同怪物配置ID对应的美术模型；本轮名称与外观尚未逐只重审，后续具体改造时核对。</x:t>
        </x:is>
      </x:c>
    </x:row>
    <x:row r="119" ht="68" customHeight="1">
      <x:c r="A119" s="30" t="n">
        <x:v>60471131</x:v>
      </x:c>
      <x:c r="B119" s="30" t="str">
        <x:v>崩石灵蜈</x:v>
      </x:c>
      <x:c r="C119" s="30">
        <x:v>20109</x:v>
      </x:c>
      <x:c r="D119" s="30" t="str">
        <x:v>a010</x:v>
      </x:c>
      <x:c r="E119" s="30" t="inlineStr">
        <x:is>
          <x:t xml:space="preserve">沿用主干相同怪物配置ID对应的美术模型；本轮名称与外观尚未逐只重审，后续具体改造时核对。</x:t>
        </x:is>
      </x:c>
    </x:row>
    <x:row r="120" ht="68" customHeight="1">
      <x:c r="A120" s="30" t="n">
        <x:v>60471132</x:v>
      </x:c>
      <x:c r="B120" s="30" t="str">
        <x:v>碎堑岩狼</x:v>
      </x:c>
      <x:c r="C120" s="30">
        <x:v>20110</x:v>
      </x:c>
      <x:c r="D120" s="30" t="str">
        <x:v>a010</x:v>
      </x:c>
      <x:c r="E120" s="30" t="inlineStr">
        <x:is>
          <x:t xml:space="preserve">沿用主干相同怪物配置ID对应的美术模型；本轮名称与外观尚未逐只重审，后续具体改造时核对。</x:t>
        </x:is>
      </x:c>
    </x:row>
    <x:row r="121" ht="68" customHeight="1">
      <x:c r="A121" s="30" t="n">
        <x:v>60481133</x:v>
      </x:c>
      <x:c r="B121" s="30" t="str">
        <x:v>断谷灵蝠</x:v>
      </x:c>
      <x:c r="C121" s="30">
        <x:v>20111</x:v>
      </x:c>
      <x:c r="D121" s="30" t="str">
        <x:v>a010</x:v>
      </x:c>
      <x:c r="E121" s="30" t="inlineStr">
        <x:is>
          <x:t xml:space="preserve">沿用主干相同怪物配置ID对应的美术模型；本轮名称与外观尚未逐只重审，后续具体改造时核对。</x:t>
        </x:is>
      </x:c>
    </x:row>
    <x:row r="122" ht="68" customHeight="1">
      <x:c r="A122" s="30" t="n">
        <x:v>60482134</x:v>
      </x:c>
      <x:c r="B122" s="30" t="str">
        <x:v>截风灵蛇·异种</x:v>
      </x:c>
      <x:c r="C122" s="30">
        <x:v>20112</x:v>
      </x:c>
      <x:c r="D122" s="30" t="str">
        <x:v>a010</x:v>
      </x:c>
      <x:c r="E122" s="30" t="inlineStr">
        <x:is>
          <x:t xml:space="preserve">沿用主干相同怪物配置ID对应的美术模型；本轮名称与外观尚未逐只重审，后续具体改造时核对。</x:t>
        </x:is>
      </x:c>
    </x:row>
    <x:row r="123" ht="68" customHeight="1">
      <x:c r="A123" s="30" t="n">
        <x:v>60484135</x:v>
      </x:c>
      <x:c r="B123" s="30" t="str">
        <x:v>崩石灵蜈·首领</x:v>
      </x:c>
      <x:c r="C123" s="30">
        <x:v>20113</x:v>
      </x:c>
      <x:c r="D123" s="30" t="str">
        <x:v>a010</x:v>
      </x:c>
      <x:c r="E123" s="30" t="inlineStr">
        <x:is>
          <x:t xml:space="preserve">沿用主干相同怪物配置ID对应的美术模型；本轮名称与外观尚未逐只重审，后续具体改造时核对。</x:t>
        </x:is>
      </x:c>
    </x:row>
    <x:row r="124" ht="68" customHeight="1">
      <x:c r="A124" s="30" t="n">
        <x:v>60491136</x:v>
      </x:c>
      <x:c r="B124" s="30" t="str">
        <x:v>魔化碎堑岩狼</x:v>
      </x:c>
      <x:c r="C124" s="30">
        <x:v>20114</x:v>
      </x:c>
      <x:c r="D124" s="30" t="str">
        <x:v>a010</x:v>
      </x:c>
      <x:c r="E124" s="30" t="inlineStr">
        <x:is>
          <x:t xml:space="preserve">沿用主干相同怪物配置ID对应的美术模型；本轮名称与外观尚未逐只重审，后续具体改造时核对。</x:t>
        </x:is>
      </x:c>
    </x:row>
    <x:row r="125" ht="68" customHeight="1">
      <x:c r="A125" s="30" t="n">
        <x:v>60491137</x:v>
      </x:c>
      <x:c r="B125" s="30" t="str">
        <x:v>魔化断谷灵蝠</x:v>
      </x:c>
      <x:c r="C125" s="30">
        <x:v>20115</x:v>
      </x:c>
      <x:c r="D125" s="30" t="str">
        <x:v>a010</x:v>
      </x:c>
      <x:c r="E125" s="30" t="inlineStr">
        <x:is>
          <x:t xml:space="preserve">沿用主干相同怪物配置ID对应的美术模型；本轮名称与外观尚未逐只重审，后续具体改造时核对。</x:t>
        </x:is>
      </x:c>
    </x:row>
    <x:row r="126" ht="68" customHeight="1">
      <x:c r="A126" s="30" t="n">
        <x:v>60491138</x:v>
      </x:c>
      <x:c r="B126" s="30" t="str">
        <x:v>魔化截风灵蛇</x:v>
      </x:c>
      <x:c r="C126" s="30">
        <x:v>20116</x:v>
      </x:c>
      <x:c r="D126" s="30" t="str">
        <x:v>a010</x:v>
      </x:c>
      <x:c r="E126" s="30" t="inlineStr">
        <x:is>
          <x:t xml:space="preserve">沿用主干相同怪物配置ID对应的美术模型；本轮名称与外观尚未逐只重审，后续具体改造时核对。</x:t>
        </x:is>
      </x:c>
    </x:row>
    <x:row r="127" ht="68" customHeight="1">
      <x:c r="A127" s="30" t="n">
        <x:v>60511139</x:v>
      </x:c>
      <x:c r="B127" s="30" t="str">
        <x:v>台缘岩蟹</x:v>
      </x:c>
      <x:c r="C127" s="30">
        <x:v>20117</x:v>
      </x:c>
      <x:c r="D127" s="30" t="str">
        <x:v>a010</x:v>
      </x:c>
      <x:c r="E127" s="30" t="inlineStr">
        <x:is>
          <x:t xml:space="preserve">沿用主干相同怪物配置ID对应的美术模型；本轮名称与外观尚未逐只重审，后续具体改造时核对。</x:t>
        </x:is>
      </x:c>
    </x:row>
    <x:row r="128" ht="68" customHeight="1">
      <x:c r="A128" s="30" t="n">
        <x:v>60511140</x:v>
      </x:c>
      <x:c r="B128" s="30" t="str">
        <x:v>雾台灵蝠</x:v>
      </x:c>
      <x:c r="C128" s="30">
        <x:v>20118</x:v>
      </x:c>
      <x:c r="D128" s="30" t="str">
        <x:v>a010</x:v>
      </x:c>
      <x:c r="E128" s="30" t="inlineStr">
        <x:is>
          <x:t xml:space="preserve">沿用主干相同怪物配置ID对应的美术模型；本轮名称与外观尚未逐只重审，后续具体改造时核对。</x:t>
        </x:is>
      </x:c>
    </x:row>
    <x:row r="129" ht="68" customHeight="1">
      <x:c r="A129" s="30" t="n">
        <x:v>60512141</x:v>
      </x:c>
      <x:c r="B129" s="30" t="str">
        <x:v>悬岩灵狼·异种</x:v>
      </x:c>
      <x:c r="C129" s="30">
        <x:v>20119</x:v>
      </x:c>
      <x:c r="D129" s="30" t="str">
        <x:v>a010</x:v>
      </x:c>
      <x:c r="E129" s="30" t="inlineStr">
        <x:is>
          <x:t xml:space="preserve">沿用主干相同怪物配置ID对应的美术模型；本轮名称与外观尚未逐只重审，后续具体改造时核对。</x:t>
        </x:is>
      </x:c>
    </x:row>
    <x:row r="130" ht="68" customHeight="1">
      <x:c r="A130" s="30" t="n">
        <x:v>60521142</x:v>
      </x:c>
      <x:c r="B130" s="30" t="str">
        <x:v>暗角灵蛇</x:v>
      </x:c>
      <x:c r="C130" s="30">
        <x:v>20120</x:v>
      </x:c>
      <x:c r="D130" s="30" t="str">
        <x:v>a010</x:v>
      </x:c>
      <x:c r="E130" s="30" t="inlineStr">
        <x:is>
          <x:t xml:space="preserve">沿用主干相同怪物配置ID对应的美术模型；本轮名称与外观尚未逐只重审，后续具体改造时核对。</x:t>
        </x:is>
      </x:c>
    </x:row>
    <x:row r="131" ht="68" customHeight="1">
      <x:c r="A131" s="30" t="n">
        <x:v>60522143</x:v>
      </x:c>
      <x:c r="B131" s="30" t="str">
        <x:v>台缘岩蟹·异种</x:v>
      </x:c>
      <x:c r="C131" s="30">
        <x:v>20121</x:v>
      </x:c>
      <x:c r="D131" s="30" t="str">
        <x:v>a010</x:v>
      </x:c>
      <x:c r="E131" s="30" t="inlineStr">
        <x:is>
          <x:t xml:space="preserve">沿用主干相同怪物配置ID对应的美术模型；本轮名称与外观尚未逐只重审，后续具体改造时核对。</x:t>
        </x:is>
      </x:c>
    </x:row>
    <x:row r="132" ht="68" customHeight="1">
      <x:c r="A132" s="30" t="n">
        <x:v>60524144</x:v>
      </x:c>
      <x:c r="B132" s="30" t="str">
        <x:v>雾台灵蝠·首领</x:v>
      </x:c>
      <x:c r="C132" s="30">
        <x:v>20122</x:v>
      </x:c>
      <x:c r="D132" s="30" t="str">
        <x:v>a010</x:v>
      </x:c>
      <x:c r="E132" s="30" t="inlineStr">
        <x:is>
          <x:t xml:space="preserve">沿用主干相同怪物配置ID对应的美术模型；本轮名称与外观尚未逐只重审，后续具体改造时核对。</x:t>
        </x:is>
      </x:c>
    </x:row>
    <x:row r="133" ht="68" customHeight="1">
      <x:c r="A133" s="30" t="n">
        <x:v>60531145</x:v>
      </x:c>
      <x:c r="B133" s="30" t="str">
        <x:v>悬岩灵狼</x:v>
      </x:c>
      <x:c r="C133" s="30">
        <x:v>20123</x:v>
      </x:c>
      <x:c r="D133" s="30" t="str">
        <x:v>a010</x:v>
      </x:c>
      <x:c r="E133" s="30" t="inlineStr">
        <x:is>
          <x:t xml:space="preserve">沿用主干相同怪物配置ID对应的美术模型；本轮名称与外观尚未逐只重审，后续具体改造时核对。</x:t>
        </x:is>
      </x:c>
    </x:row>
    <x:row r="134" ht="68" customHeight="1">
      <x:c r="A134" s="30" t="n">
        <x:v>60531146</x:v>
      </x:c>
      <x:c r="B134" s="30" t="str">
        <x:v>暗角灵蛇</x:v>
      </x:c>
      <x:c r="C134" s="30">
        <x:v>20124</x:v>
      </x:c>
      <x:c r="D134" s="30" t="str">
        <x:v>a010</x:v>
      </x:c>
      <x:c r="E134" s="30" t="inlineStr">
        <x:is>
          <x:t xml:space="preserve">沿用主干相同怪物配置ID对应的美术模型；本轮名称与外观尚未逐只重审，后续具体改造时核对。</x:t>
        </x:is>
      </x:c>
    </x:row>
    <x:row r="135" ht="68" customHeight="1">
      <x:c r="A135" s="30" t="n">
        <x:v>60532147</x:v>
      </x:c>
      <x:c r="B135" s="30" t="str">
        <x:v>台缘岩蟹·异种</x:v>
      </x:c>
      <x:c r="C135" s="30">
        <x:v>20125</x:v>
      </x:c>
      <x:c r="D135" s="30" t="str">
        <x:v>a010</x:v>
      </x:c>
      <x:c r="E135" s="30" t="inlineStr">
        <x:is>
          <x:t xml:space="preserve">沿用主干相同怪物配置ID对应的美术模型；本轮名称与外观尚未逐只重审，后续具体改造时核对。</x:t>
        </x:is>
      </x:c>
    </x:row>
    <x:row r="136" ht="68" customHeight="1">
      <x:c r="A136" s="30" t="n">
        <x:v>60534148</x:v>
      </x:c>
      <x:c r="B136" s="30" t="str">
        <x:v>雾台灵蝠·首领</x:v>
      </x:c>
      <x:c r="C136" s="30">
        <x:v>20126</x:v>
      </x:c>
      <x:c r="D136" s="30" t="str">
        <x:v>a010</x:v>
      </x:c>
      <x:c r="E136" s="30" t="inlineStr">
        <x:is>
          <x:t xml:space="preserve">沿用主干相同怪物配置ID对应的美术模型；本轮名称与外观尚未逐只重审，后续具体改造时核对。</x:t>
        </x:is>
      </x:c>
    </x:row>
    <x:row r="137" ht="68" customHeight="1">
      <x:c r="A137" s="30" t="n">
        <x:v>60541149</x:v>
      </x:c>
      <x:c r="B137" s="30" t="str">
        <x:v>悬岩灵狼</x:v>
      </x:c>
      <x:c r="C137" s="30">
        <x:v>20127</x:v>
      </x:c>
      <x:c r="D137" s="30" t="str">
        <x:v>a010</x:v>
      </x:c>
      <x:c r="E137" s="30" t="inlineStr">
        <x:is>
          <x:t xml:space="preserve">沿用主干相同怪物配置ID对应的美术模型；本轮名称与外观尚未逐只重审，后续具体改造时核对。</x:t>
        </x:is>
      </x:c>
    </x:row>
    <x:row r="138" ht="68" customHeight="1">
      <x:c r="A138" s="30" t="n">
        <x:v>60551150</x:v>
      </x:c>
      <x:c r="B138" s="30" t="str">
        <x:v>暗角灵蛇</x:v>
      </x:c>
      <x:c r="C138" s="30">
        <x:v>20128</x:v>
      </x:c>
      <x:c r="D138" s="30" t="str">
        <x:v>a010</x:v>
      </x:c>
      <x:c r="E138" s="30" t="inlineStr">
        <x:is>
          <x:t xml:space="preserve">沿用主干相同怪物配置ID对应的美术模型；本轮名称与外观尚未逐只重审，后续具体改造时核对。</x:t>
        </x:is>
      </x:c>
    </x:row>
    <x:row r="139" ht="68" customHeight="1">
      <x:c r="A139" s="30" t="n">
        <x:v>60561151</x:v>
      </x:c>
      <x:c r="B139" s="30" t="str">
        <x:v>台缘岩蟹</x:v>
      </x:c>
      <x:c r="C139" s="30">
        <x:v>20129</x:v>
      </x:c>
      <x:c r="D139" s="30" t="str">
        <x:v>a010</x:v>
      </x:c>
      <x:c r="E139" s="30" t="inlineStr">
        <x:is>
          <x:t xml:space="preserve">沿用主干相同怪物配置ID对应的美术模型；本轮名称与外观尚未逐只重审，后续具体改造时核对。</x:t>
        </x:is>
      </x:c>
    </x:row>
    <x:row r="140" ht="68" customHeight="1">
      <x:c r="A140" s="30" t="n">
        <x:v>60561152</x:v>
      </x:c>
      <x:c r="B140" s="30" t="str">
        <x:v>雾台灵蝠</x:v>
      </x:c>
      <x:c r="C140" s="30">
        <x:v>20130</x:v>
      </x:c>
      <x:c r="D140" s="30" t="str">
        <x:v>a010</x:v>
      </x:c>
      <x:c r="E140" s="30" t="inlineStr">
        <x:is>
          <x:t xml:space="preserve">沿用主干相同怪物配置ID对应的美术模型；本轮名称与外观尚未逐只重审，后续具体改造时核对。</x:t>
        </x:is>
      </x:c>
    </x:row>
    <x:row r="141" ht="68" customHeight="1">
      <x:c r="A141" s="30" t="n">
        <x:v>60562153</x:v>
      </x:c>
      <x:c r="B141" s="30" t="str">
        <x:v>悬岩灵狼·异种</x:v>
      </x:c>
      <x:c r="C141" s="30">
        <x:v>20131</x:v>
      </x:c>
      <x:c r="D141" s="30" t="str">
        <x:v>a010</x:v>
      </x:c>
      <x:c r="E141" s="30" t="inlineStr">
        <x:is>
          <x:t xml:space="preserve">沿用主干相同怪物配置ID对应的美术模型；本轮名称与外观尚未逐只重审，后续具体改造时核对。</x:t>
        </x:is>
      </x:c>
    </x:row>
    <x:row r="142" ht="68" customHeight="1">
      <x:c r="A142" s="30" t="n">
        <x:v>60564154</x:v>
      </x:c>
      <x:c r="B142" s="30" t="str">
        <x:v>暗角灵蛇·首领</x:v>
      </x:c>
      <x:c r="C142" s="30">
        <x:v>20132</x:v>
      </x:c>
      <x:c r="D142" s="30" t="str">
        <x:v>a010</x:v>
      </x:c>
      <x:c r="E142" s="30" t="inlineStr">
        <x:is>
          <x:t xml:space="preserve">沿用主干相同怪物配置ID对应的美术模型；本轮名称与外观尚未逐只重审，后续具体改造时核对。</x:t>
        </x:is>
      </x:c>
    </x:row>
    <x:row r="143" ht="68" customHeight="1">
      <x:c r="A143" s="30" t="n">
        <x:v>60571155</x:v>
      </x:c>
      <x:c r="B143" s="30" t="str">
        <x:v>台缘岩蟹</x:v>
      </x:c>
      <x:c r="C143" s="30">
        <x:v>20133</x:v>
      </x:c>
      <x:c r="D143" s="30" t="str">
        <x:v>a010</x:v>
      </x:c>
      <x:c r="E143" s="30" t="inlineStr">
        <x:is>
          <x:t xml:space="preserve">沿用主干相同怪物配置ID对应的美术模型；本轮名称与外观尚未逐只重审，后续具体改造时核对。</x:t>
        </x:is>
      </x:c>
    </x:row>
    <x:row r="144" ht="68" customHeight="1">
      <x:c r="A144" s="30" t="n">
        <x:v>60571156</x:v>
      </x:c>
      <x:c r="B144" s="30" t="str">
        <x:v>雾台灵蝠</x:v>
      </x:c>
      <x:c r="C144" s="30">
        <x:v>20134</x:v>
      </x:c>
      <x:c r="D144" s="30" t="str">
        <x:v>a010</x:v>
      </x:c>
      <x:c r="E144" s="30" t="inlineStr">
        <x:is>
          <x:t xml:space="preserve">沿用主干相同怪物配置ID对应的美术模型；本轮名称与外观尚未逐只重审，后续具体改造时核对。</x:t>
        </x:is>
      </x:c>
    </x:row>
    <x:row r="145" ht="68" customHeight="1">
      <x:c r="A145" s="30" t="n">
        <x:v>60572157</x:v>
      </x:c>
      <x:c r="B145" s="30" t="str">
        <x:v>悬岩灵狼·异种</x:v>
      </x:c>
      <x:c r="C145" s="30">
        <x:v>20135</x:v>
      </x:c>
      <x:c r="D145" s="30" t="str">
        <x:v>a010</x:v>
      </x:c>
      <x:c r="E145" s="30" t="inlineStr">
        <x:is>
          <x:t xml:space="preserve">沿用主干相同怪物配置ID对应的美术模型；本轮名称与外观尚未逐只重审，后续具体改造时核对。</x:t>
        </x:is>
      </x:c>
    </x:row>
    <x:row r="146" ht="68" customHeight="1">
      <x:c r="A146" s="30" t="n">
        <x:v>60574158</x:v>
      </x:c>
      <x:c r="B146" s="30" t="str">
        <x:v>暗角灵蛇·首领</x:v>
      </x:c>
      <x:c r="C146" s="30">
        <x:v>20136</x:v>
      </x:c>
      <x:c r="D146" s="30" t="str">
        <x:v>a010</x:v>
      </x:c>
      <x:c r="E146" s="30" t="inlineStr">
        <x:is>
          <x:t xml:space="preserve">沿用主干相同怪物配置ID对应的美术模型；本轮名称与外观尚未逐只重审，后续具体改造时核对。</x:t>
        </x:is>
      </x:c>
    </x:row>
    <x:row r="147" ht="68" customHeight="1">
      <x:c r="A147" s="30" t="n">
        <x:v>60581159</x:v>
      </x:c>
      <x:c r="B147" s="30" t="str">
        <x:v>魔化台缘岩蟹</x:v>
      </x:c>
      <x:c r="C147" s="30">
        <x:v>20137</x:v>
      </x:c>
      <x:c r="D147" s="30" t="str">
        <x:v>a010</x:v>
      </x:c>
      <x:c r="E147" s="30" t="inlineStr">
        <x:is>
          <x:t xml:space="preserve">沿用主干相同怪物配置ID对应的美术模型；本轮名称与外观尚未逐只重审，后续具体改造时核对。</x:t>
        </x:is>
      </x:c>
    </x:row>
    <x:row r="148" ht="68" customHeight="1">
      <x:c r="A148" s="30" t="n">
        <x:v>60582160</x:v>
      </x:c>
      <x:c r="B148" s="30" t="str">
        <x:v>魔化雾台灵蝠·异种</x:v>
      </x:c>
      <x:c r="C148" s="30">
        <x:v>20138</x:v>
      </x:c>
      <x:c r="D148" s="30" t="str">
        <x:v>a010</x:v>
      </x:c>
      <x:c r="E148" s="30" t="inlineStr">
        <x:is>
          <x:t xml:space="preserve">沿用主干相同怪物配置ID对应的美术模型；本轮名称与外观尚未逐只重审，后续具体改造时核对。</x:t>
        </x:is>
      </x:c>
    </x:row>
    <x:row r="149" ht="68" customHeight="1">
      <x:c r="A149" s="30" t="n">
        <x:v>60584161</x:v>
      </x:c>
      <x:c r="B149" s="30" t="str">
        <x:v>魔化悬岩灵狼·首领</x:v>
      </x:c>
      <x:c r="C149" s="30">
        <x:v>20139</x:v>
      </x:c>
      <x:c r="D149" s="30" t="str">
        <x:v>a010</x:v>
      </x:c>
      <x:c r="E149" s="30" t="inlineStr">
        <x:is>
          <x:t xml:space="preserve">沿用主干相同怪物配置ID对应的美术模型；本轮名称与外观尚未逐只重审，后续具体改造时核对。</x:t>
        </x:is>
      </x:c>
    </x:row>
    <x:row r="150" ht="68" customHeight="1">
      <x:c r="A150" s="30" t="n">
        <x:v>60641162</x:v>
      </x:c>
      <x:c r="B150" s="30" t="str">
        <x:v>霰坡岩蟹</x:v>
      </x:c>
      <x:c r="C150" s="30">
        <x:v>20156</x:v>
      </x:c>
      <x:c r="D150" s="30" t="str">
        <x:v>a010</x:v>
      </x:c>
      <x:c r="E150" s="30" t="inlineStr">
        <x:is>
          <x:t xml:space="preserve">沿用主干相同怪物配置ID对应的美术模型；本轮名称与外观尚未逐只重审，后续具体改造时核对。</x:t>
        </x:is>
      </x:c>
    </x:row>
    <x:row r="151" ht="68" customHeight="1">
      <x:c r="A151" s="30" t="n">
        <x:v>60644163</x:v>
      </x:c>
      <x:c r="B151" s="30" t="str">
        <x:v>凇痕灵蝠·首领</x:v>
      </x:c>
      <x:c r="C151" s="30">
        <x:v>20157</x:v>
      </x:c>
      <x:c r="D151" s="30" t="str">
        <x:v>a010</x:v>
      </x:c>
      <x:c r="E151" s="30" t="inlineStr">
        <x:is>
          <x:t xml:space="preserve">沿用主干相同怪物配置ID对应的美术模型；本轮名称与外观尚未逐只重审，后续具体改造时核对。</x:t>
        </x:is>
      </x:c>
    </x:row>
    <x:row r="152" ht="68" customHeight="1">
      <x:c r="A152" s="30" t="n">
        <x:v>60642164</x:v>
      </x:c>
      <x:c r="B152" s="30" t="str">
        <x:v>雪脊灵狼·异种</x:v>
      </x:c>
      <x:c r="C152" s="30">
        <x:v>20157</x:v>
      </x:c>
      <x:c r="D152" s="30" t="str">
        <x:v>a010</x:v>
      </x:c>
      <x:c r="E152" s="30" t="inlineStr">
        <x:is>
          <x:t xml:space="preserve">沿用主干相同怪物配置ID对应的美术模型；本轮名称与外观尚未逐只重审，后续具体改造时核对。</x:t>
        </x:is>
      </x:c>
    </x:row>
    <x:row r="153" ht="68" customHeight="1">
      <x:c r="A153" s="30" t="n">
        <x:v>60641165</x:v>
      </x:c>
      <x:c r="B153" s="30" t="str">
        <x:v>融沟灵蛇</x:v>
      </x:c>
      <x:c r="C153" s="30">
        <x:v>20158</x:v>
      </x:c>
      <x:c r="D153" s="30" t="str">
        <x:v>a010</x:v>
      </x:c>
      <x:c r="E153" s="30" t="inlineStr">
        <x:is>
          <x:t xml:space="preserve">沿用主干相同怪物配置ID对应的美术模型；本轮名称与外观尚未逐只重审，后续具体改造时核对。</x:t>
        </x:is>
      </x:c>
    </x:row>
    <x:row r="154" ht="68" customHeight="1">
      <x:c r="A154" s="30" t="n">
        <x:v>60641166</x:v>
      </x:c>
      <x:c r="B154" s="30" t="str">
        <x:v>霰坡岩蟹</x:v>
      </x:c>
      <x:c r="C154" s="30">
        <x:v>20159</x:v>
      </x:c>
      <x:c r="D154" s="30" t="str">
        <x:v>a010</x:v>
      </x:c>
      <x:c r="E154" s="30" t="inlineStr">
        <x:is>
          <x:t xml:space="preserve">沿用主干相同怪物配置ID对应的美术模型；本轮名称与外观尚未逐只重审，后续具体改造时核对。</x:t>
        </x:is>
      </x:c>
    </x:row>
    <x:row r="155" ht="68" customHeight="1">
      <x:c r="A155" s="30" t="n">
        <x:v>60652167</x:v>
      </x:c>
      <x:c r="B155" s="30" t="str">
        <x:v>凇痕灵蝠·异种</x:v>
      </x:c>
      <x:c r="C155" s="30">
        <x:v>20160</x:v>
      </x:c>
      <x:c r="D155" s="30" t="str">
        <x:v>a010</x:v>
      </x:c>
      <x:c r="E155" s="30" t="inlineStr">
        <x:is>
          <x:t xml:space="preserve">沿用主干相同怪物配置ID对应的美术模型；本轮名称与外观尚未逐只重审，后续具体改造时核对。</x:t>
        </x:is>
      </x:c>
    </x:row>
    <x:row r="156" ht="68" customHeight="1">
      <x:c r="A156" s="30" t="n">
        <x:v>60651168</x:v>
      </x:c>
      <x:c r="B156" s="30" t="str">
        <x:v>雪脊灵狼</x:v>
      </x:c>
      <x:c r="C156" s="30">
        <x:v>20160</x:v>
      </x:c>
      <x:c r="D156" s="30" t="str">
        <x:v>a010</x:v>
      </x:c>
      <x:c r="E156" s="30" t="inlineStr">
        <x:is>
          <x:t xml:space="preserve">沿用主干相同怪物配置ID对应的美术模型；本轮名称与外观尚未逐只重审，后续具体改造时核对。</x:t>
        </x:is>
      </x:c>
    </x:row>
    <x:row r="157" ht="68" customHeight="1">
      <x:c r="A157" s="30" t="n">
        <x:v>60651169</x:v>
      </x:c>
      <x:c r="B157" s="30" t="str">
        <x:v>融沟灵蛇</x:v>
      </x:c>
      <x:c r="C157" s="30">
        <x:v>20161</x:v>
      </x:c>
      <x:c r="D157" s="30" t="str">
        <x:v>a010</x:v>
      </x:c>
      <x:c r="E157" s="30" t="inlineStr">
        <x:is>
          <x:t xml:space="preserve">沿用主干相同怪物配置ID对应的美术模型；本轮名称与外观尚未逐只重审，后续具体改造时核对。</x:t>
        </x:is>
      </x:c>
    </x:row>
    <x:row r="158" ht="68" customHeight="1">
      <x:c r="A158" s="30" t="n">
        <x:v>60651170</x:v>
      </x:c>
      <x:c r="B158" s="30" t="str">
        <x:v>霰坡岩蟹</x:v>
      </x:c>
      <x:c r="C158" s="30">
        <x:v>20162</x:v>
      </x:c>
      <x:c r="D158" s="30" t="str">
        <x:v>a010</x:v>
      </x:c>
      <x:c r="E158" s="30" t="inlineStr">
        <x:is>
          <x:t xml:space="preserve">沿用主干相同怪物配置ID对应的美术模型；本轮名称与外观尚未逐只重审，后续具体改造时核对。</x:t>
        </x:is>
      </x:c>
    </x:row>
    <x:row r="159" ht="68" customHeight="1">
      <x:c r="A159" s="30" t="n">
        <x:v>60651171</x:v>
      </x:c>
      <x:c r="B159" s="30" t="str">
        <x:v>凇痕灵蝠</x:v>
      </x:c>
      <x:c r="C159" s="30">
        <x:v>20163</x:v>
      </x:c>
      <x:c r="D159" s="30" t="str">
        <x:v>a010</x:v>
      </x:c>
      <x:c r="E159" s="30" t="inlineStr">
        <x:is>
          <x:t xml:space="preserve">沿用主干相同怪物配置ID对应的美术模型；本轮名称与外观尚未逐只重审，后续具体改造时核对。</x:t>
        </x:is>
      </x:c>
    </x:row>
    <x:row r="160" ht="68" customHeight="1">
      <x:c r="A160" s="30" t="n">
        <x:v>60614172</x:v>
      </x:c>
      <x:c r="B160" s="30" t="str">
        <x:v>雪脊灵狼·首领</x:v>
      </x:c>
      <x:c r="C160" s="30">
        <x:v>20146</x:v>
      </x:c>
      <x:c r="D160" s="30" t="str">
        <x:v>a010</x:v>
      </x:c>
      <x:c r="E160" s="30" t="inlineStr">
        <x:is>
          <x:t xml:space="preserve">沿用主干相同怪物配置ID对应的美术模型；本轮名称与外观尚未逐只重审，后续具体改造时核对。</x:t>
        </x:is>
      </x:c>
    </x:row>
    <x:row r="161" ht="68" customHeight="1">
      <x:c r="A161" s="30" t="n">
        <x:v>60611173</x:v>
      </x:c>
      <x:c r="B161" s="30" t="str">
        <x:v>融沟灵蛇</x:v>
      </x:c>
      <x:c r="C161" s="30">
        <x:v>20147</x:v>
      </x:c>
      <x:c r="D161" s="30" t="str">
        <x:v>a010</x:v>
      </x:c>
      <x:c r="E161" s="30" t="inlineStr">
        <x:is>
          <x:t xml:space="preserve">沿用主干相同怪物配置ID对应的美术模型；本轮名称与外观尚未逐只重审，后续具体改造时核对。</x:t>
        </x:is>
      </x:c>
    </x:row>
    <x:row r="162" ht="68" customHeight="1">
      <x:c r="A162" s="30" t="n">
        <x:v>60612174</x:v>
      </x:c>
      <x:c r="B162" s="30" t="str">
        <x:v>霰坡岩蟹·异种</x:v>
      </x:c>
      <x:c r="C162" s="30">
        <x:v>20148</x:v>
      </x:c>
      <x:c r="D162" s="30" t="str">
        <x:v>a010</x:v>
      </x:c>
      <x:c r="E162" s="30" t="inlineStr">
        <x:is>
          <x:t xml:space="preserve">沿用主干相同怪物配置ID对应的美术模型；本轮名称与外观尚未逐只重审，后续具体改造时核对。</x:t>
        </x:is>
      </x:c>
    </x:row>
    <x:row r="163" ht="68" customHeight="1">
      <x:c r="A163" s="30" t="n">
        <x:v>60611175</x:v>
      </x:c>
      <x:c r="B163" s="30" t="str">
        <x:v>凇痕灵蝠</x:v>
      </x:c>
      <x:c r="C163" s="30">
        <x:v>20148</x:v>
      </x:c>
      <x:c r="D163" s="30" t="str">
        <x:v>a010</x:v>
      </x:c>
      <x:c r="E163" s="30" t="inlineStr">
        <x:is>
          <x:t xml:space="preserve">沿用主干相同怪物配置ID对应的美术模型；本轮名称与外观尚未逐只重审，后续具体改造时核对。</x:t>
        </x:is>
      </x:c>
    </x:row>
    <x:row r="164" ht="68" customHeight="1">
      <x:c r="A164" s="30" t="n">
        <x:v>60621176</x:v>
      </x:c>
      <x:c r="B164" s="30" t="str">
        <x:v>雪脊灵狼</x:v>
      </x:c>
      <x:c r="C164" s="30">
        <x:v>20149</x:v>
      </x:c>
      <x:c r="D164" s="30" t="str">
        <x:v>a010</x:v>
      </x:c>
      <x:c r="E164" s="30" t="inlineStr">
        <x:is>
          <x:t xml:space="preserve">沿用主干相同怪物配置ID对应的美术模型；本轮名称与外观尚未逐只重审，后续具体改造时核对。</x:t>
        </x:is>
      </x:c>
    </x:row>
    <x:row r="165" ht="68" customHeight="1">
      <x:c r="A165" s="30" t="n">
        <x:v>60622177</x:v>
      </x:c>
      <x:c r="B165" s="30" t="str">
        <x:v>融沟灵蛇·异种</x:v>
      </x:c>
      <x:c r="C165" s="30">
        <x:v>20150</x:v>
      </x:c>
      <x:c r="D165" s="30" t="str">
        <x:v>a010</x:v>
      </x:c>
      <x:c r="E165" s="30" t="inlineStr">
        <x:is>
          <x:t xml:space="preserve">沿用主干相同怪物配置ID对应的美术模型；本轮名称与外观尚未逐只重审，后续具体改造时核对。</x:t>
        </x:is>
      </x:c>
    </x:row>
    <x:row r="166" ht="68" customHeight="1">
      <x:c r="A166" s="30" t="n">
        <x:v>60621178</x:v>
      </x:c>
      <x:c r="B166" s="30" t="str">
        <x:v>霰坡岩蟹</x:v>
      </x:c>
      <x:c r="C166" s="30">
        <x:v>20150</x:v>
      </x:c>
      <x:c r="D166" s="30" t="str">
        <x:v>a010</x:v>
      </x:c>
      <x:c r="E166" s="30" t="inlineStr">
        <x:is>
          <x:t xml:space="preserve">沿用主干相同怪物配置ID对应的美术模型；本轮名称与外观尚未逐只重审，后续具体改造时核对。</x:t>
        </x:is>
      </x:c>
    </x:row>
    <x:row r="167" ht="68" customHeight="1">
      <x:c r="A167" s="30" t="n">
        <x:v>60621179</x:v>
      </x:c>
      <x:c r="B167" s="30" t="str">
        <x:v>凇痕灵蝠</x:v>
      </x:c>
      <x:c r="C167" s="30">
        <x:v>20151</x:v>
      </x:c>
      <x:c r="D167" s="30" t="str">
        <x:v>a010</x:v>
      </x:c>
      <x:c r="E167" s="30" t="inlineStr">
        <x:is>
          <x:t xml:space="preserve">沿用主干相同怪物配置ID对应的美术模型；本轮名称与外观尚未逐只重审，后续具体改造时核对。</x:t>
        </x:is>
      </x:c>
    </x:row>
    <x:row r="168" ht="68" customHeight="1">
      <x:c r="A168" s="30" t="n">
        <x:v>60621180</x:v>
      </x:c>
      <x:c r="B168" s="30" t="str">
        <x:v>雪脊灵狼</x:v>
      </x:c>
      <x:c r="C168" s="30">
        <x:v>20152</x:v>
      </x:c>
      <x:c r="D168" s="30" t="str">
        <x:v>a010</x:v>
      </x:c>
      <x:c r="E168" s="30" t="inlineStr">
        <x:is>
          <x:t xml:space="preserve">沿用主干相同怪物配置ID对应的美术模型；本轮名称与外观尚未逐只重审，后续具体改造时核对。</x:t>
        </x:is>
      </x:c>
    </x:row>
    <x:row r="169" ht="68" customHeight="1">
      <x:c r="A169" s="30" t="n">
        <x:v>60591181</x:v>
      </x:c>
      <x:c r="B169" s="30" t="str">
        <x:v>融沟灵蛇</x:v>
      </x:c>
      <x:c r="C169" s="30">
        <x:v>20140</x:v>
      </x:c>
      <x:c r="D169" s="30" t="str">
        <x:v>a010</x:v>
      </x:c>
      <x:c r="E169" s="30" t="inlineStr">
        <x:is>
          <x:t xml:space="preserve">沿用主干相同怪物配置ID对应的美术模型；本轮名称与外观尚未逐只重审，后续具体改造时核对。</x:t>
        </x:is>
      </x:c>
    </x:row>
    <x:row r="170" ht="68" customHeight="1">
      <x:c r="A170" s="30" t="n">
        <x:v>60591182</x:v>
      </x:c>
      <x:c r="B170" s="30" t="str">
        <x:v>霰坡岩蟹</x:v>
      </x:c>
      <x:c r="C170" s="30">
        <x:v>20140</x:v>
      </x:c>
      <x:c r="D170" s="30" t="str">
        <x:v>a010</x:v>
      </x:c>
      <x:c r="E170" s="30" t="inlineStr">
        <x:is>
          <x:t xml:space="preserve">沿用主干相同怪物配置ID对应的美术模型；本轮名称与外观尚未逐只重审，后续具体改造时核对。</x:t>
        </x:is>
      </x:c>
    </x:row>
    <x:row r="171" ht="68" customHeight="1">
      <x:c r="A171" s="30" t="n">
        <x:v>60592183</x:v>
      </x:c>
      <x:c r="B171" s="30" t="str">
        <x:v>凇痕灵蝠·异种</x:v>
      </x:c>
      <x:c r="C171" s="30">
        <x:v>20141</x:v>
      </x:c>
      <x:c r="D171" s="30" t="str">
        <x:v>a010</x:v>
      </x:c>
      <x:c r="E171" s="30" t="inlineStr">
        <x:is>
          <x:t xml:space="preserve">沿用主干相同怪物配置ID对应的美术模型；本轮名称与外观尚未逐只重审，后续具体改造时核对。</x:t>
        </x:is>
      </x:c>
    </x:row>
    <x:row r="172" ht="68" customHeight="1">
      <x:c r="A172" s="30" t="n">
        <x:v>60591184</x:v>
      </x:c>
      <x:c r="B172" s="30" t="str">
        <x:v>雪脊灵狼</x:v>
      </x:c>
      <x:c r="C172" s="30">
        <x:v>20141</x:v>
      </x:c>
      <x:c r="D172" s="30" t="str">
        <x:v>a010</x:v>
      </x:c>
      <x:c r="E172" s="30" t="inlineStr">
        <x:is>
          <x:t xml:space="preserve">沿用主干相同怪物配置ID对应的美术模型；本轮名称与外观尚未逐只重审，后续具体改造时核对。</x:t>
        </x:is>
      </x:c>
    </x:row>
    <x:row r="173" ht="68" customHeight="1">
      <x:c r="A173" s="30" t="n">
        <x:v>60591185</x:v>
      </x:c>
      <x:c r="B173" s="30" t="str">
        <x:v>融沟灵蛇</x:v>
      </x:c>
      <x:c r="C173" s="30">
        <x:v>20142</x:v>
      </x:c>
      <x:c r="D173" s="30" t="str">
        <x:v>a010</x:v>
      </x:c>
      <x:c r="E173" s="30" t="inlineStr">
        <x:is>
          <x:t xml:space="preserve">沿用主干相同怪物配置ID对应的美术模型；本轮名称与外观尚未逐只重审，后续具体改造时核对。</x:t>
        </x:is>
      </x:c>
    </x:row>
    <x:row r="174" ht="68" customHeight="1">
      <x:c r="A174" s="30" t="n">
        <x:v>60601186</x:v>
      </x:c>
      <x:c r="B174" s="30" t="str">
        <x:v>霰坡岩蟹</x:v>
      </x:c>
      <x:c r="C174" s="30">
        <x:v>20143</x:v>
      </x:c>
      <x:c r="D174" s="30" t="str">
        <x:v>a010</x:v>
      </x:c>
      <x:c r="E174" s="30" t="inlineStr">
        <x:is>
          <x:t xml:space="preserve">沿用主干相同怪物配置ID对应的美术模型；本轮名称与外观尚未逐只重审，后续具体改造时核对。</x:t>
        </x:is>
      </x:c>
    </x:row>
    <x:row r="175" ht="68" customHeight="1">
      <x:c r="A175" s="30" t="n">
        <x:v>60601187</x:v>
      </x:c>
      <x:c r="B175" s="30" t="str">
        <x:v>凇痕灵蝠</x:v>
      </x:c>
      <x:c r="C175" s="30">
        <x:v>20144</x:v>
      </x:c>
      <x:c r="D175" s="30" t="str">
        <x:v>a010</x:v>
      </x:c>
      <x:c r="E175" s="30" t="inlineStr">
        <x:is>
          <x:t xml:space="preserve">沿用主干相同怪物配置ID对应的美术模型；本轮名称与外观尚未逐只重审，后续具体改造时核对。</x:t>
        </x:is>
      </x:c>
    </x:row>
    <x:row r="176" ht="68" customHeight="1">
      <x:c r="A176" s="30" t="n">
        <x:v>60602188</x:v>
      </x:c>
      <x:c r="B176" s="30" t="str">
        <x:v>雪脊灵狼·异种</x:v>
      </x:c>
      <x:c r="C176" s="30">
        <x:v>20145</x:v>
      </x:c>
      <x:c r="D176" s="30" t="str">
        <x:v>a010</x:v>
      </x:c>
      <x:c r="E176" s="30" t="inlineStr">
        <x:is>
          <x:t xml:space="preserve">沿用主干相同怪物配置ID对应的美术模型；本轮名称与外观尚未逐只重审，后续具体改造时核对。</x:t>
        </x:is>
      </x:c>
    </x:row>
    <x:row r="177" ht="68" customHeight="1">
      <x:c r="A177" s="30" t="n">
        <x:v>60601189</x:v>
      </x:c>
      <x:c r="B177" s="30" t="str">
        <x:v>融沟灵蛇</x:v>
      </x:c>
      <x:c r="C177" s="30">
        <x:v>20145</x:v>
      </x:c>
      <x:c r="D177" s="30" t="str">
        <x:v>a010</x:v>
      </x:c>
      <x:c r="E177" s="30" t="inlineStr">
        <x:is>
          <x:t xml:space="preserve">沿用主干相同怪物配置ID对应的美术模型；本轮名称与外观尚未逐只重审，后续具体改造时核对。</x:t>
        </x:is>
      </x:c>
    </x:row>
    <x:row r="178" ht="68" customHeight="1">
      <x:c r="A178" s="30" t="n">
        <x:v>60631190</x:v>
      </x:c>
      <x:c r="B178" s="30" t="str">
        <x:v>霰坡岩蟹</x:v>
      </x:c>
      <x:c r="C178" s="30">
        <x:v>20153</x:v>
      </x:c>
      <x:c r="D178" s="30" t="str">
        <x:v>a010</x:v>
      </x:c>
      <x:c r="E178" s="30" t="inlineStr">
        <x:is>
          <x:t xml:space="preserve">沿用主干相同怪物配置ID对应的美术模型；本轮名称与外观尚未逐只重审，后续具体改造时核对。</x:t>
        </x:is>
      </x:c>
    </x:row>
    <x:row r="179" ht="68" customHeight="1">
      <x:c r="A179" s="30" t="n">
        <x:v>60632191</x:v>
      </x:c>
      <x:c r="B179" s="30" t="str">
        <x:v>凇痕灵蝠·异种</x:v>
      </x:c>
      <x:c r="C179" s="30">
        <x:v>20154</x:v>
      </x:c>
      <x:c r="D179" s="30" t="str">
        <x:v>a010</x:v>
      </x:c>
      <x:c r="E179" s="30" t="inlineStr">
        <x:is>
          <x:t xml:space="preserve">沿用主干相同怪物配置ID对应的美术模型；本轮名称与外观尚未逐只重审，后续具体改造时核对。</x:t>
        </x:is>
      </x:c>
    </x:row>
    <x:row r="180" ht="68" customHeight="1">
      <x:c r="A180" s="30" t="n">
        <x:v>60631192</x:v>
      </x:c>
      <x:c r="B180" s="30" t="str">
        <x:v>雪脊灵狼</x:v>
      </x:c>
      <x:c r="C180" s="30">
        <x:v>20154</x:v>
      </x:c>
      <x:c r="D180" s="30" t="str">
        <x:v>a010</x:v>
      </x:c>
      <x:c r="E180" s="30" t="inlineStr">
        <x:is>
          <x:t xml:space="preserve">沿用主干相同怪物配置ID对应的美术模型；本轮名称与外观尚未逐只重审，后续具体改造时核对。</x:t>
        </x:is>
      </x:c>
    </x:row>
    <x:row r="181" ht="68" customHeight="1">
      <x:c r="A181" s="30" t="n">
        <x:v>60631193</x:v>
      </x:c>
      <x:c r="B181" s="30" t="str">
        <x:v>融沟灵蛇</x:v>
      </x:c>
      <x:c r="C181" s="30">
        <x:v>20155</x:v>
      </x:c>
      <x:c r="D181" s="30" t="str">
        <x:v>a010</x:v>
      </x:c>
      <x:c r="E181" s="30" t="inlineStr">
        <x:is>
          <x:t xml:space="preserve">沿用主干相同怪物配置ID对应的美术模型；本轮名称与外观尚未逐只重审，后续具体改造时核对。</x:t>
        </x:is>
      </x:c>
    </x:row>
    <x:row r="182" ht="68" customHeight="1">
      <x:c r="A182" s="30" t="n">
        <x:v>60661194</x:v>
      </x:c>
      <x:c r="B182" s="30" t="str">
        <x:v>裸岩灵蛇</x:v>
      </x:c>
      <x:c r="C182" s="30">
        <x:v>20166</x:v>
      </x:c>
      <x:c r="D182" s="30" t="str">
        <x:v>a010</x:v>
      </x:c>
      <x:c r="E182" s="30" t="inlineStr">
        <x:is>
          <x:t xml:space="preserve">沿用主干相同怪物配置ID对应的美术模型；本轮名称与外观尚未逐只重审，后续具体改造时核对。</x:t>
        </x:is>
      </x:c>
    </x:row>
    <x:row r="183" ht="68" customHeight="1">
      <x:c r="A183" s="30" t="n">
        <x:v>60661195</x:v>
      </x:c>
      <x:c r="B183" s="30" t="str">
        <x:v>回光岩蟹</x:v>
      </x:c>
      <x:c r="C183" s="30">
        <x:v>20167</x:v>
      </x:c>
      <x:c r="D183" s="30" t="str">
        <x:v>a010</x:v>
      </x:c>
      <x:c r="E183" s="30" t="inlineStr">
        <x:is>
          <x:t xml:space="preserve">沿用主干相同怪物配置ID对应的美术模型；本轮名称与外观尚未逐只重审，后续具体改造时核对。</x:t>
        </x:is>
      </x:c>
    </x:row>
    <x:row r="184" ht="68" customHeight="1">
      <x:c r="A184" s="30" t="n">
        <x:v>60661196</x:v>
      </x:c>
      <x:c r="B184" s="30" t="str">
        <x:v>高风灵蝠</x:v>
      </x:c>
      <x:c r="C184" s="30">
        <x:v>20168</x:v>
      </x:c>
      <x:c r="D184" s="30" t="str">
        <x:v>a010</x:v>
      </x:c>
      <x:c r="E184" s="30" t="inlineStr">
        <x:is>
          <x:t xml:space="preserve">沿用主干相同怪物配置ID对应的美术模型；本轮名称与外观尚未逐只重审，后续具体改造时核对。</x:t>
        </x:is>
      </x:c>
    </x:row>
    <x:row r="185" ht="68" customHeight="1">
      <x:c r="A185" s="30" t="n">
        <x:v>60662197</x:v>
      </x:c>
      <x:c r="B185" s="30" t="str">
        <x:v>绝顶灵狼·异种</x:v>
      </x:c>
      <x:c r="C185" s="30">
        <x:v>20168</x:v>
      </x:c>
      <x:c r="D185" s="30" t="str">
        <x:v>a010</x:v>
      </x:c>
      <x:c r="E185" s="30" t="inlineStr">
        <x:is>
          <x:t xml:space="preserve">沿用主干相同怪物配置ID对应的美术模型；本轮名称与外观尚未逐只重审，后续具体改造时核对。</x:t>
        </x:is>
      </x:c>
    </x:row>
    <x:row r="186" ht="68" customHeight="1">
      <x:c r="A186" s="30" t="n">
        <x:v>60671198</x:v>
      </x:c>
      <x:c r="B186" s="30" t="str">
        <x:v>裸岩灵蛇</x:v>
      </x:c>
      <x:c r="C186" s="30">
        <x:v>20169</x:v>
      </x:c>
      <x:c r="D186" s="30" t="str">
        <x:v>a010</x:v>
      </x:c>
      <x:c r="E186" s="30" t="inlineStr">
        <x:is>
          <x:t xml:space="preserve">沿用主干相同怪物配置ID对应的美术模型；本轮名称与外观尚未逐只重审，后续具体改造时核对。</x:t>
        </x:is>
      </x:c>
    </x:row>
    <x:row r="187" ht="68" customHeight="1">
      <x:c r="A187" s="30" t="n">
        <x:v>60671199</x:v>
      </x:c>
      <x:c r="B187" s="30" t="str">
        <x:v>回光岩蟹</x:v>
      </x:c>
      <x:c r="C187" s="30">
        <x:v>20170</x:v>
      </x:c>
      <x:c r="D187" s="30" t="str">
        <x:v>a010</x:v>
      </x:c>
      <x:c r="E187" s="30" t="inlineStr">
        <x:is>
          <x:t xml:space="preserve">沿用主干相同怪物配置ID对应的美术模型；本轮名称与外观尚未逐只重审，后续具体改造时核对。</x:t>
        </x:is>
      </x:c>
    </x:row>
    <x:row r="188" ht="68" customHeight="1">
      <x:c r="A188" s="30" t="n">
        <x:v>60671200</x:v>
      </x:c>
      <x:c r="B188" s="30" t="str">
        <x:v>高风灵蝠</x:v>
      </x:c>
      <x:c r="C188" s="30">
        <x:v>20171</x:v>
      </x:c>
      <x:c r="D188" s="30" t="str">
        <x:v>a010</x:v>
      </x:c>
      <x:c r="E188" s="30" t="inlineStr">
        <x:is>
          <x:t xml:space="preserve">沿用主干相同怪物配置ID对应的美术模型；本轮名称与外观尚未逐只重审，后续具体改造时核对。</x:t>
        </x:is>
      </x:c>
    </x:row>
    <x:row r="189" ht="68" customHeight="1">
      <x:c r="A189" s="30" t="n">
        <x:v>60672201</x:v>
      </x:c>
      <x:c r="B189" s="30" t="str">
        <x:v>绝顶灵狼·异种</x:v>
      </x:c>
      <x:c r="C189" s="30">
        <x:v>20171</x:v>
      </x:c>
      <x:c r="D189" s="30" t="str">
        <x:v>a010</x:v>
      </x:c>
      <x:c r="E189" s="30" t="inlineStr">
        <x:is>
          <x:t xml:space="preserve">沿用主干相同怪物配置ID对应的美术模型；本轮名称与外观尚未逐只重审，后续具体改造时核对。</x:t>
        </x:is>
      </x:c>
    </x:row>
    <x:row r="190" ht="68" customHeight="1">
      <x:c r="A190" s="30" t="n">
        <x:v>60681203</x:v>
      </x:c>
      <x:c r="B190" s="30" t="str">
        <x:v>裸岩灵蛇</x:v>
      </x:c>
      <x:c r="C190" s="30">
        <x:v>20173</x:v>
      </x:c>
      <x:c r="D190" s="30" t="str">
        <x:v>a010</x:v>
      </x:c>
      <x:c r="E190" s="30" t="inlineStr">
        <x:is>
          <x:t xml:space="preserve">沿用主干相同怪物配置ID对应的美术模型；本轮名称与外观尚未逐只重审，后续具体改造时核对。</x:t>
        </x:is>
      </x:c>
    </x:row>
    <x:row r="191" ht="68" customHeight="1">
      <x:c r="A191" s="30" t="n">
        <x:v>60681204</x:v>
      </x:c>
      <x:c r="B191" s="30" t="str">
        <x:v>回光岩蟹</x:v>
      </x:c>
      <x:c r="C191" s="30">
        <x:v>20174</x:v>
      </x:c>
      <x:c r="D191" s="30" t="str">
        <x:v>a010</x:v>
      </x:c>
      <x:c r="E191" s="30" t="inlineStr">
        <x:is>
          <x:t xml:space="preserve">沿用主干相同怪物配置ID对应的美术模型；本轮名称与外观尚未逐只重审，后续具体改造时核对。</x:t>
        </x:is>
      </x:c>
    </x:row>
    <x:row r="192" ht="68" customHeight="1">
      <x:c r="A192" s="30" t="n">
        <x:v>60682205</x:v>
      </x:c>
      <x:c r="B192" s="30" t="str">
        <x:v>高风灵蝠·异种</x:v>
      </x:c>
      <x:c r="C192" s="30">
        <x:v>20174</x:v>
      </x:c>
      <x:c r="D192" s="30" t="str">
        <x:v>a010</x:v>
      </x:c>
      <x:c r="E192" s="30" t="inlineStr">
        <x:is>
          <x:t xml:space="preserve">沿用主干相同怪物配置ID对应的美术模型；本轮名称与外观尚未逐只重审，后续具体改造时核对。</x:t>
        </x:is>
      </x:c>
    </x:row>
    <x:row r="193" ht="68" customHeight="1">
      <x:c r="A193" s="30" t="n">
        <x:v>60684206</x:v>
      </x:c>
      <x:c r="B193" s="30" t="str">
        <x:v>绝顶灵狼·首领</x:v>
      </x:c>
      <x:c r="C193" s="30">
        <x:v>20172</x:v>
      </x:c>
      <x:c r="D193" s="30" t="str">
        <x:v>a010</x:v>
      </x:c>
      <x:c r="E193" s="30" t="inlineStr">
        <x:is>
          <x:t xml:space="preserve">沿用主干相同怪物配置ID对应的美术模型；本轮名称与外观尚未逐只重审，后续具体改造时核对。</x:t>
        </x:is>
      </x:c>
    </x:row>
    <x:row r="194" ht="68" customHeight="1">
      <x:c r="A194" s="30" t="n">
        <x:v>60691207</x:v>
      </x:c>
      <x:c r="B194" s="30" t="str">
        <x:v>裸岩灵蛇</x:v>
      </x:c>
      <x:c r="C194" s="30">
        <x:v>20175</x:v>
      </x:c>
      <x:c r="D194" s="30" t="str">
        <x:v>a010</x:v>
      </x:c>
      <x:c r="E194" s="30" t="inlineStr">
        <x:is>
          <x:t xml:space="preserve">沿用主干相同怪物配置ID对应的美术模型；本轮名称与外观尚未逐只重审，后续具体改造时核对。</x:t>
        </x:is>
      </x:c>
    </x:row>
    <x:row r="195" ht="68" customHeight="1">
      <x:c r="A195" s="30" t="n">
        <x:v>60701208</x:v>
      </x:c>
      <x:c r="B195" s="30" t="str">
        <x:v>回光岩蟹</x:v>
      </x:c>
      <x:c r="C195" s="30">
        <x:v>20176</x:v>
      </x:c>
      <x:c r="D195" s="30" t="str">
        <x:v>a010</x:v>
      </x:c>
      <x:c r="E195" s="30" t="inlineStr">
        <x:is>
          <x:t xml:space="preserve">沿用主干相同怪物配置ID对应的美术模型；本轮名称与外观尚未逐只重审，后续具体改造时核对。</x:t>
        </x:is>
      </x:c>
    </x:row>
    <x:row r="196" ht="68" customHeight="1">
      <x:c r="A196" s="30" t="n">
        <x:v>60711209</x:v>
      </x:c>
      <x:c r="B196" s="30" t="str">
        <x:v>高风灵蝠</x:v>
      </x:c>
      <x:c r="C196" s="30">
        <x:v>20177</x:v>
      </x:c>
      <x:c r="D196" s="30" t="str">
        <x:v>a010</x:v>
      </x:c>
      <x:c r="E196" s="30" t="inlineStr">
        <x:is>
          <x:t xml:space="preserve">沿用主干相同怪物配置ID对应的美术模型；本轮名称与外观尚未逐只重审，后续具体改造时核对。</x:t>
        </x:is>
      </x:c>
    </x:row>
    <x:row r="197" ht="68" customHeight="1">
      <x:c r="A197" s="30" t="n">
        <x:v>60711211</x:v>
      </x:c>
      <x:c r="B197" s="30" t="str">
        <x:v>绝顶灵狼</x:v>
      </x:c>
      <x:c r="C197" s="30">
        <x:v>20179</x:v>
      </x:c>
      <x:c r="D197" s="30" t="str">
        <x:v>a010</x:v>
      </x:c>
      <x:c r="E197" s="30" t="inlineStr">
        <x:is>
          <x:t xml:space="preserve">沿用主干相同怪物配置ID对应的美术模型；本轮名称与外观尚未逐只重审，后续具体改造时核对。</x:t>
        </x:is>
      </x:c>
    </x:row>
    <x:row r="198" ht="68" customHeight="1">
      <x:c r="A198" s="30" t="n">
        <x:v>60712212</x:v>
      </x:c>
      <x:c r="B198" s="30" t="str">
        <x:v>裸岩灵蛇·异种</x:v>
      </x:c>
      <x:c r="C198" s="30">
        <x:v>20179</x:v>
      </x:c>
      <x:c r="D198" s="30" t="str">
        <x:v>a010</x:v>
      </x:c>
      <x:c r="E198" s="30" t="inlineStr">
        <x:is>
          <x:t xml:space="preserve">沿用主干相同怪物配置ID对应的美术模型；本轮名称与外观尚未逐只重审，后续具体改造时核对。</x:t>
        </x:is>
      </x:c>
    </x:row>
    <x:row r="199" ht="68" customHeight="1">
      <x:c r="A199" s="30" t="n">
        <x:v>60714213</x:v>
      </x:c>
      <x:c r="B199" s="30" t="str">
        <x:v>回光岩蟹·首领</x:v>
      </x:c>
      <x:c r="C199" s="30">
        <x:v>20178</x:v>
      </x:c>
      <x:c r="D199" s="30" t="str">
        <x:v>a010</x:v>
      </x:c>
      <x:c r="E199" s="30" t="inlineStr">
        <x:is>
          <x:t xml:space="preserve">沿用主干相同怪物配置ID对应的美术模型；本轮名称与外观尚未逐只重审，后续具体改造时核对。</x:t>
        </x:is>
      </x:c>
    </x:row>
    <x:row r="200" ht="68" customHeight="1">
      <x:c r="A200" s="30" t="n">
        <x:v>60721214</x:v>
      </x:c>
      <x:c r="B200" s="30" t="str">
        <x:v>高风灵蝠</x:v>
      </x:c>
      <x:c r="C200" s="30">
        <x:v>20180</x:v>
      </x:c>
      <x:c r="D200" s="30" t="str">
        <x:v>a010</x:v>
      </x:c>
      <x:c r="E200" s="30" t="inlineStr">
        <x:is>
          <x:t xml:space="preserve">沿用主干相同怪物配置ID对应的美术模型；本轮名称与外观尚未逐只重审，后续具体改造时核对。</x:t>
        </x:is>
      </x:c>
    </x:row>
    <x:row r="201" ht="68" customHeight="1">
      <x:c r="A201" s="30" t="n">
        <x:v>60721215</x:v>
      </x:c>
      <x:c r="B201" s="30" t="str">
        <x:v>绝顶灵狼</x:v>
      </x:c>
      <x:c r="C201" s="30">
        <x:v>20181</x:v>
      </x:c>
      <x:c r="D201" s="30" t="str">
        <x:v>a010</x:v>
      </x:c>
      <x:c r="E201" s="30" t="inlineStr">
        <x:is>
          <x:t xml:space="preserve">沿用主干相同怪物配置ID对应的美术模型；本轮名称与外观尚未逐只重审，后续具体改造时核对。</x:t>
        </x:is>
      </x:c>
    </x:row>
    <x:row r="202" ht="68" customHeight="1">
      <x:c r="A202" s="30" t="n">
        <x:v>60721216</x:v>
      </x:c>
      <x:c r="B202" s="30" t="str">
        <x:v>裸岩灵蛇</x:v>
      </x:c>
      <x:c r="C202" s="30">
        <x:v>20182</x:v>
      </x:c>
      <x:c r="D202" s="30" t="str">
        <x:v>a010</x:v>
      </x:c>
      <x:c r="E202" s="30" t="inlineStr">
        <x:is>
          <x:t xml:space="preserve">沿用主干相同怪物配置ID对应的美术模型；本轮名称与外观尚未逐只重审，后续具体改造时核对。</x:t>
        </x:is>
      </x:c>
    </x:row>
    <x:row r="203" ht="68" customHeight="1">
      <x:c r="A203" s="30" t="n">
        <x:v>60722217</x:v>
      </x:c>
      <x:c r="B203" s="30" t="str">
        <x:v>回光岩蟹·异种</x:v>
      </x:c>
      <x:c r="C203" s="30">
        <x:v>20180</x:v>
      </x:c>
      <x:c r="D203" s="30" t="str">
        <x:v>a010</x:v>
      </x:c>
      <x:c r="E203" s="30" t="inlineStr">
        <x:is>
          <x:t xml:space="preserve">沿用主干相同怪物配置ID对应的美术模型；本轮名称与外观尚未逐只重审，后续具体改造时核对。</x:t>
        </x:is>
      </x:c>
    </x:row>
    <x:row r="204" ht="68" customHeight="1">
      <x:c r="A204" s="30" t="n">
        <x:v>60731219</x:v>
      </x:c>
      <x:c r="B204" s="30" t="str">
        <x:v>魔化高风灵蝠</x:v>
      </x:c>
      <x:c r="C204" s="30">
        <x:v>20184</x:v>
      </x:c>
      <x:c r="D204" s="30" t="str">
        <x:v>a010</x:v>
      </x:c>
      <x:c r="E204" s="30" t="inlineStr">
        <x:is>
          <x:t xml:space="preserve">沿用主干相同怪物配置ID对应的美术模型；本轮名称与外观尚未逐只重审，后续具体改造时核对。</x:t>
        </x:is>
      </x:c>
    </x:row>
    <x:row r="205" ht="68" customHeight="1">
      <x:c r="A205" s="30" t="n">
        <x:v>60731220</x:v>
      </x:c>
      <x:c r="B205" s="30" t="str">
        <x:v>魔化绝顶灵狼</x:v>
      </x:c>
      <x:c r="C205" s="30">
        <x:v>20185</x:v>
      </x:c>
      <x:c r="D205" s="30" t="str">
        <x:v>a010</x:v>
      </x:c>
      <x:c r="E205" s="30" t="inlineStr">
        <x:is>
          <x:t xml:space="preserve">沿用主干相同怪物配置ID对应的美术模型；本轮名称与外观尚未逐只重审，后续具体改造时核对。</x:t>
        </x:is>
      </x:c>
    </x:row>
    <x:row r="206" ht="68" customHeight="1">
      <x:c r="A206" s="30" t="n">
        <x:v>60732221</x:v>
      </x:c>
      <x:c r="B206" s="30" t="str">
        <x:v>魔化裸岩灵蛇·异种</x:v>
      </x:c>
      <x:c r="C206" s="30">
        <x:v>20184</x:v>
      </x:c>
      <x:c r="D206" s="30" t="str">
        <x:v>a010</x:v>
      </x:c>
      <x:c r="E206" s="30" t="inlineStr">
        <x:is>
          <x:t xml:space="preserve">沿用主干相同怪物配置ID对应的美术模型；本轮名称与外观尚未逐只重审，后续具体改造时核对。</x:t>
        </x:is>
      </x:c>
    </x:row>
    <x:row r="207" ht="68" customHeight="1">
      <x:c r="A207" s="30" t="n">
        <x:v>60734222</x:v>
      </x:c>
      <x:c r="B207" s="30" t="str">
        <x:v>魔化回光岩蟹·首领</x:v>
      </x:c>
      <x:c r="C207" s="30">
        <x:v>20183</x:v>
      </x:c>
      <x:c r="D207" s="30" t="str">
        <x:v>a010</x:v>
      </x:c>
      <x:c r="E207" s="30" t="inlineStr">
        <x:is>
          <x:t xml:space="preserve">沿用主干相同怪物配置ID对应的美术模型；本轮名称与外观尚未逐只重审，后续具体改造时核对。</x:t>
        </x:is>
      </x:c>
    </x:row>
    <x:row r="208" ht="68" customHeight="1">
      <x:c r="A208" s="30" t="n">
        <x:v>61001001</x:v>
      </x:c>
      <x:c r="B208" s="30" t="str">
        <x:v>湿壁灵蝠</x:v>
      </x:c>
      <x:c r="C208" s="30" t="n">
        <x:v>20008</x:v>
      </x:c>
      <x:c r="D208" s="30" t="str">
        <x:v>a010</x:v>
      </x:c>
      <x:c r="E208" s="30" t="str">
        <x:v>目前共用已存在狼形底座作表格预览；正式按物种补模型/动作/碰撞，属于待制作资源，不是最终表现</x:v>
      </x:c>
    </x:row>
    <x:row r="209" ht="68" customHeight="1">
      <x:c r="A209" s="30" t="n">
        <x:v>61001002</x:v>
      </x:c>
      <x:c r="B209" s="30" t="str">
        <x:v>湍流石蟹</x:v>
      </x:c>
      <x:c r="C209" s="30" t="n">
        <x:v>20008</x:v>
      </x:c>
      <x:c r="D209" s="30" t="str">
        <x:v>a010</x:v>
      </x:c>
      <x:c r="E209" s="30" t="str">
        <x:v>目前共用已存在狼形底座作表格预览；正式按物种补模型/动作/碰撞，属于待制作资源，不是最终表现</x:v>
      </x:c>
    </x:row>
    <x:row r="210" ht="68" customHeight="1">
      <x:c r="A210" s="30" t="n">
        <x:v>61002003</x:v>
      </x:c>
      <x:c r="B210" s="30" t="str">
        <x:v>峡岩灵狼·异种</x:v>
      </x:c>
      <x:c r="C210" s="30" t="n">
        <x:v>20008</x:v>
      </x:c>
      <x:c r="D210" s="30" t="str">
        <x:v>a010</x:v>
      </x:c>
      <x:c r="E210" s="30" t="str">
        <x:v>目前共用已存在狼形底座作表格预览；正式按物种补模型/动作/碰撞，属于待制作资源，不是最终表现</x:v>
      </x:c>
    </x:row>
    <x:row r="211" ht="68" customHeight="1">
      <x:c r="A211" s="30" t="n">
        <x:v>61011001</x:v>
      </x:c>
      <x:c r="B211" s="30" t="str">
        <x:v>湿壁灵蝠</x:v>
      </x:c>
      <x:c r="C211" s="30" t="n">
        <x:v>20008</x:v>
      </x:c>
      <x:c r="D211" s="30" t="str">
        <x:v>a010</x:v>
      </x:c>
      <x:c r="E211" s="30" t="str">
        <x:v>目前共用已存在狼形底座作表格预览；正式按物种补模型/动作/碰撞，属于待制作资源，不是最终表现</x:v>
      </x:c>
    </x:row>
    <x:row r="212" ht="68" customHeight="1">
      <x:c r="A212" s="30" t="n">
        <x:v>61011002</x:v>
      </x:c>
      <x:c r="B212" s="30" t="str">
        <x:v>湍流石蟹</x:v>
      </x:c>
      <x:c r="C212" s="30" t="n">
        <x:v>20008</x:v>
      </x:c>
      <x:c r="D212" s="30" t="str">
        <x:v>a010</x:v>
      </x:c>
      <x:c r="E212" s="30" t="str">
        <x:v>目前共用已存在狼形底座作表格预览；正式按物种补模型/动作/碰撞，属于待制作资源，不是最终表现</x:v>
      </x:c>
    </x:row>
    <x:row r="213" ht="68" customHeight="1">
      <x:c r="A213" s="30" t="n">
        <x:v>61012003</x:v>
      </x:c>
      <x:c r="B213" s="30" t="str">
        <x:v>峡岩灵狼·异种</x:v>
      </x:c>
      <x:c r="C213" s="30" t="n">
        <x:v>20008</x:v>
      </x:c>
      <x:c r="D213" s="30" t="str">
        <x:v>a010</x:v>
      </x:c>
      <x:c r="E213" s="30" t="str">
        <x:v>目前共用已存在狼形底座作表格预览；正式按物种补模型/动作/碰撞，属于待制作资源，不是最终表现</x:v>
      </x:c>
    </x:row>
    <x:row r="214" ht="68" customHeight="1">
      <x:c r="A214" s="30" t="n">
        <x:v>61021001</x:v>
      </x:c>
      <x:c r="B214" s="30" t="str">
        <x:v>湿壁灵蝠</x:v>
      </x:c>
      <x:c r="C214" s="30" t="n">
        <x:v>20008</x:v>
      </x:c>
      <x:c r="D214" s="30" t="str">
        <x:v>a010</x:v>
      </x:c>
      <x:c r="E214" s="30" t="str">
        <x:v>目前共用已存在狼形底座作表格预览；正式按物种补模型/动作/碰撞，属于待制作资源，不是最终表现</x:v>
      </x:c>
    </x:row>
    <x:row r="215" ht="68" customHeight="1">
      <x:c r="A215" s="30" t="n">
        <x:v>61021002</x:v>
      </x:c>
      <x:c r="B215" s="30" t="str">
        <x:v>湍流石蟹</x:v>
      </x:c>
      <x:c r="C215" s="30" t="n">
        <x:v>20008</x:v>
      </x:c>
      <x:c r="D215" s="30" t="str">
        <x:v>a010</x:v>
      </x:c>
      <x:c r="E215" s="30" t="str">
        <x:v>目前共用已存在狼形底座作表格预览；正式按物种补模型/动作/碰撞，属于待制作资源，不是最终表现</x:v>
      </x:c>
    </x:row>
    <x:row r="216" ht="68" customHeight="1">
      <x:c r="A216" s="30" t="n">
        <x:v>61022003</x:v>
      </x:c>
      <x:c r="B216" s="30" t="str">
        <x:v>峡岩灵狼·异种</x:v>
      </x:c>
      <x:c r="C216" s="30" t="n">
        <x:v>20008</x:v>
      </x:c>
      <x:c r="D216" s="30" t="str">
        <x:v>a010</x:v>
      </x:c>
      <x:c r="E216" s="30" t="str">
        <x:v>目前共用已存在狼形底座作表格预览；正式按物种补模型/动作/碰撞，属于待制作资源，不是最终表现</x:v>
      </x:c>
    </x:row>
    <x:row r="217" ht="68" customHeight="1">
      <x:c r="A217" s="30" t="n">
        <x:v>61024004</x:v>
      </x:c>
      <x:c r="B217" s="30" t="str">
        <x:v>裂罅灵蛇·首领</x:v>
      </x:c>
      <x:c r="C217" s="30" t="n">
        <x:v>20008</x:v>
      </x:c>
      <x:c r="D217" s="30" t="str">
        <x:v>a010</x:v>
      </x:c>
      <x:c r="E217" s="30" t="str">
        <x:v>目前共用已存在狼形底座作表格预览；正式按物种补模型/动作/碰撞，属于待制作资源，不是最终表现</x:v>
      </x:c>
    </x:row>
    <x:row r="218" ht="68" customHeight="1">
      <x:c r="A218" s="30" t="n">
        <x:v>61031001</x:v>
      </x:c>
      <x:c r="B218" s="30" t="str">
        <x:v>湿壁灵蝠</x:v>
      </x:c>
      <x:c r="C218" s="30" t="n">
        <x:v>20008</x:v>
      </x:c>
      <x:c r="D218" s="30" t="str">
        <x:v>a010</x:v>
      </x:c>
      <x:c r="E218" s="30" t="str">
        <x:v>目前共用已存在狼形底座作表格预览；正式按物种补模型/动作/碰撞，属于待制作资源，不是最终表现</x:v>
      </x:c>
    </x:row>
    <x:row r="219" ht="68" customHeight="1">
      <x:c r="A219" s="30" t="n">
        <x:v>61031002</x:v>
      </x:c>
      <x:c r="B219" s="30" t="str">
        <x:v>湍流石蟹</x:v>
      </x:c>
      <x:c r="C219" s="30" t="n">
        <x:v>20008</x:v>
      </x:c>
      <x:c r="D219" s="30" t="str">
        <x:v>a010</x:v>
      </x:c>
      <x:c r="E219" s="30" t="str">
        <x:v>目前共用已存在狼形底座作表格预览；正式按物种补模型/动作/碰撞，属于待制作资源，不是最终表现</x:v>
      </x:c>
    </x:row>
    <x:row r="220" ht="68" customHeight="1">
      <x:c r="A220" s="30" t="n">
        <x:v>61032003</x:v>
      </x:c>
      <x:c r="B220" s="30" t="str">
        <x:v>峡岩灵狼·异种</x:v>
      </x:c>
      <x:c r="C220" s="30" t="n">
        <x:v>20008</x:v>
      </x:c>
      <x:c r="D220" s="30" t="str">
        <x:v>a010</x:v>
      </x:c>
      <x:c r="E220" s="30" t="str">
        <x:v>目前共用已存在狼形底座作表格预览；正式按物种补模型/动作/碰撞，属于待制作资源，不是最终表现</x:v>
      </x:c>
    </x:row>
    <x:row r="221" ht="68" customHeight="1">
      <x:c r="A221" s="30" t="n">
        <x:v>61041001</x:v>
      </x:c>
      <x:c r="B221" s="30" t="str">
        <x:v>湿壁灵蝠</x:v>
      </x:c>
      <x:c r="C221" s="30" t="n">
        <x:v>20008</x:v>
      </x:c>
      <x:c r="D221" s="30" t="str">
        <x:v>a010</x:v>
      </x:c>
      <x:c r="E221" s="30" t="str">
        <x:v>目前共用已存在狼形底座作表格预览；正式按物种补模型/动作/碰撞，属于待制作资源，不是最终表现</x:v>
      </x:c>
    </x:row>
    <x:row r="222" ht="68" customHeight="1">
      <x:c r="A222" s="30" t="n">
        <x:v>61041002</x:v>
      </x:c>
      <x:c r="B222" s="30" t="str">
        <x:v>湍流石蟹</x:v>
      </x:c>
      <x:c r="C222" s="30" t="n">
        <x:v>20008</x:v>
      </x:c>
      <x:c r="D222" s="30" t="str">
        <x:v>a010</x:v>
      </x:c>
      <x:c r="E222" s="30" t="str">
        <x:v>目前共用已存在狼形底座作表格预览；正式按物种补模型/动作/碰撞，属于待制作资源，不是最终表现</x:v>
      </x:c>
    </x:row>
    <x:row r="223" ht="68" customHeight="1">
      <x:c r="A223" s="30" t="n">
        <x:v>61042003</x:v>
      </x:c>
      <x:c r="B223" s="30" t="str">
        <x:v>峡岩灵狼·异种</x:v>
      </x:c>
      <x:c r="C223" s="30" t="n">
        <x:v>20008</x:v>
      </x:c>
      <x:c r="D223" s="30" t="str">
        <x:v>a010</x:v>
      </x:c>
      <x:c r="E223" s="30" t="str">
        <x:v>目前共用已存在狼形底座作表格预览；正式按物种补模型/动作/碰撞，属于待制作资源，不是最终表现</x:v>
      </x:c>
    </x:row>
    <x:row r="224" ht="68" customHeight="1">
      <x:c r="A224" s="30" t="n">
        <x:v>61051001</x:v>
      </x:c>
      <x:c r="B224" s="30" t="str">
        <x:v>湿壁灵蝠</x:v>
      </x:c>
      <x:c r="C224" s="30" t="n">
        <x:v>20008</x:v>
      </x:c>
      <x:c r="D224" s="30" t="str">
        <x:v>a010</x:v>
      </x:c>
      <x:c r="E224" s="30" t="str">
        <x:v>目前共用已存在狼形底座作表格预览；正式按物种补模型/动作/碰撞，属于待制作资源，不是最终表现</x:v>
      </x:c>
    </x:row>
    <x:row r="225" ht="68" customHeight="1">
      <x:c r="A225" s="30" t="n">
        <x:v>61051002</x:v>
      </x:c>
      <x:c r="B225" s="30" t="str">
        <x:v>湍流石蟹</x:v>
      </x:c>
      <x:c r="C225" s="30" t="n">
        <x:v>20008</x:v>
      </x:c>
      <x:c r="D225" s="30" t="str">
        <x:v>a010</x:v>
      </x:c>
      <x:c r="E225" s="30" t="str">
        <x:v>目前共用已存在狼形底座作表格预览；正式按物种补模型/动作/碰撞，属于待制作资源，不是最终表现</x:v>
      </x:c>
    </x:row>
    <x:row r="226" ht="68" customHeight="1">
      <x:c r="A226" s="30" t="n">
        <x:v>61052003</x:v>
      </x:c>
      <x:c r="B226" s="30" t="str">
        <x:v>峡岩灵狼·异种</x:v>
      </x:c>
      <x:c r="C226" s="30" t="n">
        <x:v>20008</x:v>
      </x:c>
      <x:c r="D226" s="30" t="str">
        <x:v>a010</x:v>
      </x:c>
      <x:c r="E226" s="30" t="str">
        <x:v>目前共用已存在狼形底座作表格预览；正式按物种补模型/动作/碰撞，属于待制作资源，不是最终表现</x:v>
      </x:c>
    </x:row>
    <x:row r="227" ht="68" customHeight="1">
      <x:c r="A227" s="30" t="n">
        <x:v>61054004</x:v>
      </x:c>
      <x:c r="B227" s="30" t="str">
        <x:v>裂罅灵蛇·首领</x:v>
      </x:c>
      <x:c r="C227" s="30" t="n">
        <x:v>20008</x:v>
      </x:c>
      <x:c r="D227" s="30" t="str">
        <x:v>a010</x:v>
      </x:c>
      <x:c r="E227" s="30" t="str">
        <x:v>目前共用已存在狼形底座作表格预览；正式按物种补模型/动作/碰撞，属于待制作资源，不是最终表现</x:v>
      </x:c>
    </x:row>
    <x:row r="228" ht="68" customHeight="1">
      <x:c r="A228" s="30" t="n">
        <x:v>61061001</x:v>
      </x:c>
      <x:c r="B228" s="30" t="str">
        <x:v>湿壁灵蝠</x:v>
      </x:c>
      <x:c r="C228" s="30" t="n">
        <x:v>20008</x:v>
      </x:c>
      <x:c r="D228" s="30" t="str">
        <x:v>a010</x:v>
      </x:c>
      <x:c r="E228" s="30" t="str">
        <x:v>目前共用已存在狼形底座作表格预览；正式按物种补模型/动作/碰撞，属于待制作资源，不是最终表现</x:v>
      </x:c>
    </x:row>
    <x:row r="229" ht="68" customHeight="1">
      <x:c r="A229" s="30" t="n">
        <x:v>61061002</x:v>
      </x:c>
      <x:c r="B229" s="30" t="str">
        <x:v>湍流石蟹</x:v>
      </x:c>
      <x:c r="C229" s="30" t="n">
        <x:v>20008</x:v>
      </x:c>
      <x:c r="D229" s="30" t="str">
        <x:v>a010</x:v>
      </x:c>
      <x:c r="E229" s="30" t="str">
        <x:v>目前共用已存在狼形底座作表格预览；正式按物种补模型/动作/碰撞，属于待制作资源，不是最终表现</x:v>
      </x:c>
    </x:row>
    <x:row r="230" ht="68" customHeight="1">
      <x:c r="A230" s="30" t="n">
        <x:v>61062003</x:v>
      </x:c>
      <x:c r="B230" s="30" t="str">
        <x:v>峡岩灵狼·异种</x:v>
      </x:c>
      <x:c r="C230" s="30" t="n">
        <x:v>20008</x:v>
      </x:c>
      <x:c r="D230" s="30" t="str">
        <x:v>a010</x:v>
      </x:c>
      <x:c r="E230" s="30" t="str">
        <x:v>目前共用已存在狼形底座作表格预览；正式按物种补模型/动作/碰撞，属于待制作资源，不是最终表现</x:v>
      </x:c>
    </x:row>
    <x:row r="231" ht="68" customHeight="1">
      <x:c r="A231" s="30" t="n">
        <x:v>61064004</x:v>
      </x:c>
      <x:c r="B231" s="30" t="str">
        <x:v>裂罅灵蛇·首领</x:v>
      </x:c>
      <x:c r="C231" s="30" t="n">
        <x:v>20008</x:v>
      </x:c>
      <x:c r="D231" s="30" t="str">
        <x:v>a010</x:v>
      </x:c>
      <x:c r="E231" s="30" t="str">
        <x:v>目前共用已存在狼形底座作表格预览；正式按物种补模型/动作/碰撞，属于待制作资源，不是最终表现</x:v>
      </x:c>
    </x:row>
    <x:row r="232" ht="68" customHeight="1">
      <x:c r="A232" s="30" t="n">
        <x:v>61071001</x:v>
      </x:c>
      <x:c r="B232" s="30" t="str">
        <x:v>魔化湿壁灵蝠</x:v>
      </x:c>
      <x:c r="C232" s="30" t="n">
        <x:v>20008</x:v>
      </x:c>
      <x:c r="D232" s="30" t="str">
        <x:v>a010</x:v>
      </x:c>
      <x:c r="E232" s="30" t="str">
        <x:v>目前共用已存在狼形底座作表格预览；正式按物种补模型/动作/碰撞，属于待制作资源，不是最终表现</x:v>
      </x:c>
    </x:row>
    <x:row r="233" ht="68" customHeight="1">
      <x:c r="A233" s="30" t="n">
        <x:v>61071002</x:v>
      </x:c>
      <x:c r="B233" s="30" t="str">
        <x:v>魔化湍流石蟹</x:v>
      </x:c>
      <x:c r="C233" s="30" t="n">
        <x:v>20008</x:v>
      </x:c>
      <x:c r="D233" s="30" t="str">
        <x:v>a010</x:v>
      </x:c>
      <x:c r="E233" s="30" t="str">
        <x:v>目前共用已存在狼形底座作表格预览；正式按物种补模型/动作/碰撞，属于待制作资源，不是最终表现</x:v>
      </x:c>
    </x:row>
    <x:row r="234" ht="68" customHeight="1">
      <x:c r="A234" s="30" t="n">
        <x:v>61072003</x:v>
      </x:c>
      <x:c r="B234" s="30" t="str">
        <x:v>魔化峡岩灵狼·异种</x:v>
      </x:c>
      <x:c r="C234" s="30" t="n">
        <x:v>20008</x:v>
      </x:c>
      <x:c r="D234" s="30" t="str">
        <x:v>a010</x:v>
      </x:c>
      <x:c r="E234" s="30" t="str">
        <x:v>目前共用已存在狼形底座作表格预览；正式按物种补模型/动作/碰撞，属于待制作资源，不是最终表现</x:v>
      </x:c>
    </x:row>
    <x:row r="235" ht="68" customHeight="1">
      <x:c r="A235" s="30" t="n">
        <x:v>61074004</x:v>
      </x:c>
      <x:c r="B235" s="30" t="str">
        <x:v>魔化裂罅灵蛇·首领</x:v>
      </x:c>
      <x:c r="C235" s="30" t="n">
        <x:v>20008</x:v>
      </x:c>
      <x:c r="D235" s="30" t="str">
        <x:v>a010</x:v>
      </x:c>
      <x:c r="E235" s="30" t="str">
        <x:v>目前共用已存在狼形底座作表格预览；正式按物种补模型/动作/碰撞，属于待制作资源，不是最终表现</x:v>
      </x:c>
    </x:row>
    <x:row r="236" ht="68" customHeight="1">
      <x:c r="A236" s="30" t="n">
        <x:v>60062903</x:v>
      </x:c>
      <x:c r="B236" s="30" t="str">
        <x:v>岩隙灵蝠·异种</x:v>
      </x:c>
      <x:c r="C236" s="30" t="n">
        <x:v>20008</x:v>
      </x:c>
      <x:c r="D236" s="30" t="str">
        <x:v>a010</x:v>
      </x:c>
      <x:c r="E236" s="30" t="str">
        <x:v>目前共用已存在狼形底座作表格预览；正式按物种补模型/动作/碰撞，属于待制作资源，不是最终表现</x:v>
      </x:c>
    </x:row>
    <x:row r="237" ht="68" customHeight="1">
      <x:c r="A237" s="30" t="n">
        <x:v>60072903</x:v>
      </x:c>
      <x:c r="B237" s="30" t="str">
        <x:v>岩隙灵蝠·异种</x:v>
      </x:c>
      <x:c r="C237" s="30" t="n">
        <x:v>20008</x:v>
      </x:c>
      <x:c r="D237" s="30" t="str">
        <x:v>a010</x:v>
      </x:c>
      <x:c r="E237" s="30" t="str">
        <x:v>目前共用已存在狼形底座作表格预览；正式按物种补模型/动作/碰撞，属于待制作资源，不是最终表现</x:v>
      </x:c>
    </x:row>
    <x:row r="238" ht="68" customHeight="1">
      <x:c r="A238" s="30" t="n">
        <x:v>60104905</x:v>
      </x:c>
      <x:c r="B238" s="30" t="str">
        <x:v>浅汊水蛇·首领</x:v>
      </x:c>
      <x:c r="C238" s="30" t="n">
        <x:v>20008</x:v>
      </x:c>
      <x:c r="D238" s="30" t="str">
        <x:v>a010</x:v>
      </x:c>
      <x:c r="E238" s="30" t="str">
        <x:v>目前共用已存在狼形底座作表格预览；正式按物种补模型/动作/碰撞，属于待制作资源，不是最终表现</x:v>
      </x:c>
    </x:row>
    <x:row r="239" ht="68" customHeight="1">
      <x:c r="A239" s="30" t="n">
        <x:v>60142903</x:v>
      </x:c>
      <x:c r="B239" s="30" t="str">
        <x:v>末分岩蟹·异种</x:v>
      </x:c>
      <x:c r="C239" s="30" t="n">
        <x:v>20008</x:v>
      </x:c>
      <x:c r="D239" s="30" t="str">
        <x:v>a010</x:v>
      </x:c>
      <x:c r="E239" s="30" t="str">
        <x:v>目前共用已存在狼形底座作表格预览；正式按物种补模型/动作/碰撞，属于待制作资源，不是最终表现</x:v>
      </x:c>
    </x:row>
    <x:row r="240" ht="68" customHeight="1">
      <x:c r="A240" s="30" t="n">
        <x:v>60152902</x:v>
      </x:c>
      <x:c r="B240" s="30" t="str">
        <x:v>低岛灵狼·异种</x:v>
      </x:c>
      <x:c r="C240" s="30" t="n">
        <x:v>20008</x:v>
      </x:c>
      <x:c r="D240" s="30" t="str">
        <x:v>a010</x:v>
      </x:c>
      <x:c r="E240" s="30" t="str">
        <x:v>目前共用已存在狼形底座作表格预览；正式按物种补模型/动作/碰撞，属于待制作资源，不是最终表现</x:v>
      </x:c>
    </x:row>
    <x:row r="241" ht="68" customHeight="1">
      <x:c r="A241" s="30" t="n">
        <x:v>60222902</x:v>
      </x:c>
      <x:c r="B241" s="30" t="str">
        <x:v>沟底石蟹·异种</x:v>
      </x:c>
      <x:c r="C241" s="30" t="n">
        <x:v>20008</x:v>
      </x:c>
      <x:c r="D241" s="30" t="str">
        <x:v>a010</x:v>
      </x:c>
      <x:c r="E241" s="30" t="str">
        <x:v>目前共用已存在狼形底座作表格预览；正式按物种补模型/动作/碰撞，属于待制作资源，不是最终表现</x:v>
      </x:c>
    </x:row>
    <x:row r="242" ht="68" customHeight="1">
      <x:c r="A242" s="30" t="n">
        <x:v>60232902</x:v>
      </x:c>
      <x:c r="B242" s="30" t="str">
        <x:v>沟底石蟹·异种</x:v>
      </x:c>
      <x:c r="C242" s="30" t="n">
        <x:v>20008</x:v>
      </x:c>
      <x:c r="D242" s="30" t="str">
        <x:v>a010</x:v>
      </x:c>
      <x:c r="E242" s="30" t="str">
        <x:v>目前共用已存在狼形底座作表格预览；正式按物种补模型/动作/碰撞，属于待制作资源，不是最终表现</x:v>
      </x:c>
    </x:row>
    <x:row r="243" ht="68" customHeight="1">
      <x:c r="A243" s="30" t="n">
        <x:v>60244904</x:v>
      </x:c>
      <x:c r="B243" s="30" t="str">
        <x:v>赭坡岩狼·首领</x:v>
      </x:c>
      <x:c r="C243" s="30" t="n">
        <x:v>20008</x:v>
      </x:c>
      <x:c r="D243" s="30" t="str">
        <x:v>a010</x:v>
      </x:c>
      <x:c r="E243" s="30" t="str">
        <x:v>目前共用已存在狼形底座作表格预览；正式按物种补模型/动作/碰撞，属于待制作资源，不是最终表现</x:v>
      </x:c>
    </x:row>
    <x:row r="244" ht="68" customHeight="1">
      <x:c r="A244" s="30" t="n">
        <x:v>60262904</x:v>
      </x:c>
      <x:c r="B244" s="30" t="str">
        <x:v>魔化赭坡岩狼·异种</x:v>
      </x:c>
      <x:c r="C244" s="30" t="n">
        <x:v>20008</x:v>
      </x:c>
      <x:c r="D244" s="30" t="str">
        <x:v>a010</x:v>
      </x:c>
      <x:c r="E244" s="30" t="str">
        <x:v>目前共用已存在狼形底座作表格预览；正式按物种补模型/动作/碰撞，属于待制作资源，不是最终表现</x:v>
      </x:c>
    </x:row>
    <x:row r="245" ht="68" customHeight="1">
      <x:c r="A245" s="30" t="n">
        <x:v>60452901</x:v>
      </x:c>
      <x:c r="B245" s="30" t="str">
        <x:v>断谷灵蝠·异种</x:v>
      </x:c>
      <x:c r="C245" s="30" t="n">
        <x:v>20008</x:v>
      </x:c>
      <x:c r="D245" s="30" t="str">
        <x:v>a010</x:v>
      </x:c>
      <x:c r="E245" s="30" t="str">
        <x:v>目前共用已存在狼形底座作表格预览；正式按物种补模型/动作/碰撞，属于待制作资源，不是最终表现</x:v>
      </x:c>
    </x:row>
    <x:row r="246" ht="68" customHeight="1">
      <x:c r="A246" s="30" t="n">
        <x:v>60462901</x:v>
      </x:c>
      <x:c r="B246" s="30" t="str">
        <x:v>断谷灵蝠·异种</x:v>
      </x:c>
      <x:c r="C246" s="30" t="n">
        <x:v>20008</x:v>
      </x:c>
      <x:c r="D246" s="30" t="str">
        <x:v>a010</x:v>
      </x:c>
      <x:c r="E246" s="30" t="str">
        <x:v>目前共用已存在狼形底座作表格预览；正式按物种补模型/动作/碰撞，属于待制作资源，不是最终表现</x:v>
      </x:c>
    </x:row>
    <x:row r="247" ht="68" customHeight="1">
      <x:c r="A247" s="30" t="n">
        <x:v>60472903</x:v>
      </x:c>
      <x:c r="B247" s="30" t="str">
        <x:v>崩石灵蜈·异种</x:v>
      </x:c>
      <x:c r="C247" s="30" t="n">
        <x:v>20008</x:v>
      </x:c>
      <x:c r="D247" s="30" t="str">
        <x:v>a010</x:v>
      </x:c>
      <x:c r="E247" s="30" t="str">
        <x:v>目前共用已存在狼形底座作表格预览；正式按物种补模型/动作/碰撞，属于待制作资源，不是最终表现</x:v>
      </x:c>
    </x:row>
    <x:row r="248" ht="68" customHeight="1">
      <x:c r="A248" s="30" t="n">
        <x:v>60474904</x:v>
      </x:c>
      <x:c r="B248" s="30" t="str">
        <x:v>碎堑岩狼·首领</x:v>
      </x:c>
      <x:c r="C248" s="30" t="n">
        <x:v>20008</x:v>
      </x:c>
      <x:c r="D248" s="30" t="str">
        <x:v>a010</x:v>
      </x:c>
      <x:c r="E248" s="30" t="str">
        <x:v>目前共用已存在狼形底座作表格预览；正式按物种补模型/动作/碰撞，属于待制作资源，不是最终表现</x:v>
      </x:c>
    </x:row>
    <x:row r="249" ht="68" customHeight="1">
      <x:c r="A249" s="30" t="n">
        <x:v>60492903</x:v>
      </x:c>
      <x:c r="B249" s="30" t="str">
        <x:v>魔化崩石灵蜈·异种</x:v>
      </x:c>
      <x:c r="C249" s="30" t="n">
        <x:v>20008</x:v>
      </x:c>
      <x:c r="D249" s="30" t="str">
        <x:v>a010</x:v>
      </x:c>
      <x:c r="E249" s="30" t="str">
        <x:v>目前共用已存在狼形底座作表格预览；正式按物种补模型/动作/碰撞，属于待制作资源，不是最终表现</x:v>
      </x:c>
    </x:row>
    <x:row r="250" ht="68" customHeight="1">
      <x:c r="A250" s="30" t="n">
        <x:v>60542901</x:v>
      </x:c>
      <x:c r="B250" s="30" t="str">
        <x:v>悬岩灵狼·异种</x:v>
      </x:c>
      <x:c r="C250" s="30" t="n">
        <x:v>20008</x:v>
      </x:c>
      <x:c r="D250" s="30" t="str">
        <x:v>a010</x:v>
      </x:c>
      <x:c r="E250" s="30" t="str">
        <x:v>目前共用已存在狼形底座作表格预览；正式按物种补模型/动作/碰撞，属于待制作资源，不是最终表现</x:v>
      </x:c>
    </x:row>
    <x:row r="251" ht="68" customHeight="1">
      <x:c r="A251" s="30" t="n">
        <x:v>60552901</x:v>
      </x:c>
      <x:c r="B251" s="30" t="str">
        <x:v>悬岩灵狼·异种</x:v>
      </x:c>
      <x:c r="C251" s="30" t="n">
        <x:v>20008</x:v>
      </x:c>
      <x:c r="D251" s="30" t="str">
        <x:v>a010</x:v>
      </x:c>
      <x:c r="E251" s="30" t="str">
        <x:v>目前共用已存在狼形底座作表格预览；正式按物种补模型/动作/碰撞，属于待制作资源，不是最终表现</x:v>
      </x:c>
    </x:row>
    <x:row r="252" ht="68" customHeight="1">
      <x:c r="A252" s="30" t="n">
        <x:v>60604904</x:v>
      </x:c>
      <x:c r="B252" s="30" t="str">
        <x:v>雪脊灵狼·首领</x:v>
      </x:c>
      <x:c r="C252" s="30" t="n">
        <x:v>20008</x:v>
      </x:c>
      <x:c r="D252" s="30" t="str">
        <x:v>a010</x:v>
      </x:c>
      <x:c r="E252" s="30" t="str">
        <x:v>目前共用已存在狼形底座作表格预览；正式按物种补模型/动作/碰撞，属于待制作资源，不是最终表现</x:v>
      </x:c>
    </x:row>
    <x:row r="253" ht="68" customHeight="1">
      <x:c r="A253" s="30" t="n">
        <x:v>60634904</x:v>
      </x:c>
      <x:c r="B253" s="30" t="str">
        <x:v>雪脊灵狼·首领</x:v>
      </x:c>
      <x:c r="C253" s="30" t="n">
        <x:v>20008</x:v>
      </x:c>
      <x:c r="D253" s="30" t="str">
        <x:v>a010</x:v>
      </x:c>
      <x:c r="E253" s="30" t="str">
        <x:v>目前共用已存在狼形底座作表格预览；正式按物种补模型/动作/碰撞，属于待制作资源，不是最终表现</x:v>
      </x:c>
    </x:row>
    <x:row r="254" ht="68" customHeight="1">
      <x:c r="A254" s="30" t="n">
        <x:v>60551900</x:v>
      </x:c>
      <x:c r="B254" s="30" t="str">
        <x:v>魔化雪脊灵狼</x:v>
      </x:c>
      <x:c r="C254" s="30" t="n">
        <x:v>20008</x:v>
      </x:c>
      <x:c r="D254" s="30" t="str">
        <x:v>a010</x:v>
      </x:c>
      <x:c r="E254" s="30" t="str">
        <x:v>目前共用已存在狼形底座作表格预览；正式按物种补模型/动作/碰撞，属于待制作资源，不是最终表现</x:v>
      </x:c>
    </x:row>
    <x:row r="255" ht="68" customHeight="1">
      <x:c r="A255" s="30" t="n">
        <x:v>60552902</x:v>
      </x:c>
      <x:c r="B255" s="30" t="str">
        <x:v>魔化霰坡岩蟹·异种</x:v>
      </x:c>
      <x:c r="C255" s="30" t="n">
        <x:v>20008</x:v>
      </x:c>
      <x:c r="D255" s="30" t="str">
        <x:v>a010</x:v>
      </x:c>
      <x:c r="E255" s="30" t="str">
        <x:v>目前共用已存在狼形底座作表格预览；正式按物种补模型/动作/碰撞，属于待制作资源，不是最终表现</x:v>
      </x:c>
    </x:row>
    <x:row r="256" ht="68" customHeight="1">
      <x:c r="A256" s="30" t="n">
        <x:v>60602901</x:v>
      </x:c>
      <x:c r="B256" s="30" t="str">
        <x:v>绝顶灵狼·异种</x:v>
      </x:c>
      <x:c r="C256" s="30" t="n">
        <x:v>20008</x:v>
      </x:c>
      <x:c r="D256" s="30" t="str">
        <x:v>a010</x:v>
      </x:c>
      <x:c r="E256" s="30" t="str">
        <x:v>目前共用已存在狼形底座作表格预览；正式按物种补模型/动作/碰撞，属于待制作资源，不是最终表现</x:v>
      </x:c>
    </x:row>
    <x:row r="257" ht="68" customHeight="1">
      <x:c r="A257" s="30" t="n">
        <x:v>60612901</x:v>
      </x:c>
      <x:c r="B257" s="30" t="str">
        <x:v>绝顶灵狼·异种</x:v>
      </x:c>
      <x:c r="C257" s="30" t="n">
        <x:v>20008</x:v>
      </x:c>
      <x:c r="D257" s="30" t="str">
        <x:v>a010</x:v>
      </x:c>
      <x:c r="E257" s="30" t="str">
        <x:v>目前共用已存在狼形底座作表格预览；正式按物种补模型/动作/碰撞，属于待制作资源，不是最终表现</x:v>
      </x:c>
    </x:row>
    <x:row r="258" ht="68" customHeight="1">
      <x:c r="A258" s="30" t="n">
        <x:v>60634905</x:v>
      </x:c>
      <x:c r="B258" s="30" t="str">
        <x:v>绝顶灵狼·首领</x:v>
      </x:c>
      <x:c r="C258" s="30" t="n">
        <x:v>20008</x:v>
      </x:c>
      <x:c r="D258" s="30" t="str">
        <x:v>a010</x:v>
      </x:c>
      <x:c r="E258" s="30" t="str">
        <x:v>目前共用已存在狼形底座作表格预览；正式按物种补模型/动作/碰撞，属于待制作资源，不是最终表现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2025-12-11T20:04:00Z</dcterms:created>
  <dcterms:modified xsi:type="dcterms:W3CDTF">2026-10-12T19:00:22Z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