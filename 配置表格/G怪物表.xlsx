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monster_config" sheetId="1" r:id="rId1"/>
    <sheet name="编号表" sheetId="2" r:id="rId2"/>
    <sheet name="名称表" sheetId="3" r:id="rId3"/>
    <sheet name="版本变更" sheetId="4" r:id="rId4"/>
    <sheet name="Sheet1" sheetId="5" r:id="rId5"/>
  </sheets>
  <definedNames>
    <definedName name="_xlnm._FilterDatabase" localSheetId="0" hidden="1">monster_config!$A$4:$BW$302</definedName>
    <definedName name="怪物类型">名称表!$A$3:$A$26</definedName>
    <definedName name="是否">名称表!$C$3:$C$4</definedName>
    <definedName name="阵营">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<sst xmlns="http://schemas.openxmlformats.org/spreadsheetml/2006/main" count="6490" uniqueCount="1349">
  <si>
    <t>##var</t>
  </si>
  <si>
    <t>config_id</t>
  </si>
  <si>
    <t>monster_id</t>
  </si>
  <si>
    <t>monster_name</t>
  </si>
  <si>
    <t>level</t>
  </si>
  <si>
    <t>color</t>
  </si>
  <si>
    <t>scene_id</t>
  </si>
  <si>
    <t>dignity</t>
  </si>
  <si>
    <t>hp_color_number</t>
  </si>
  <si>
    <t xml:space="preserve"> </t>
  </si>
  <si>
    <t>collision</t>
  </si>
  <si>
    <t>refresh_time</t>
  </si>
  <si>
    <t>drop_owner_policy</t>
  </si>
  <si>
    <t>protect_time</t>
  </si>
  <si>
    <t>ai_profile</t>
  </si>
  <si>
    <t>drop_methods</t>
  </si>
  <si>
    <t>skills</t>
  </si>
  <si>
    <t>cultivation_tags</t>
  </si>
  <si>
    <t>model_id</t>
  </si>
  <si>
    <t>model_scale</t>
  </si>
  <si>
    <t>shadow_w</t>
  </si>
  <si>
    <t>shadow_h</t>
  </si>
  <si>
    <t>shadow_x</t>
  </si>
  <si>
    <t>shadow_y</t>
  </si>
  <si>
    <t>attack_type</t>
  </si>
  <si>
    <t>attack_effect</t>
  </si>
  <si>
    <t>effect</t>
  </si>
  <si>
    <t>effect_scale</t>
  </si>
  <si>
    <t>exp_gift</t>
  </si>
  <si>
    <t>attrs</t>
  </si>
  <si>
    <t>life_bar_pd</t>
  </si>
  <si>
    <t>life_bar_name_pd</t>
  </si>
  <si>
    <t>ambient_sound</t>
  </si>
  <si>
    <t>ambient_rate</t>
  </si>
  <si>
    <t>hit_sound</t>
  </si>
  <si>
    <t>hit_rate</t>
  </si>
  <si>
    <t>desc</t>
  </si>
  <si>
    <t>realm_id</t>
  </si>
  <si>
    <t>realm_sublevel</t>
  </si>
  <si>
    <t>##type</t>
  </si>
  <si>
    <t>int</t>
  </si>
  <si>
    <t>string</t>
  </si>
  <si>
    <t>MonsterDignity</t>
  </si>
  <si>
    <t>float</t>
  </si>
  <si>
    <t>array,int</t>
  </si>
  <si>
    <t>array,Attr</t>
  </si>
  <si>
    <t>MajorRealm</t>
  </si>
  <si>
    <t>##group</t>
  </si>
  <si>
    <t>c</t>
  </si>
  <si>
    <t>s</t>
  </si>
  <si>
    <t>##</t>
  </si>
  <si>
    <t>配置ID</t>
  </si>
  <si>
    <t>0怪物ID</t>
  </si>
  <si>
    <t>0名称</t>
  </si>
  <si>
    <t>0内部名</t>
  </si>
  <si>
    <t>0等级</t>
  </si>
  <si>
    <t>0怪物名字颜色</t>
  </si>
  <si>
    <t>区域编号</t>
  </si>
  <si>
    <t>地图内位置</t>
  </si>
  <si>
    <t>0归属场景</t>
  </si>
  <si>
    <t>怪物身份</t>
  </si>
  <si>
    <t>0序号</t>
  </si>
  <si>
    <t>0序号（计算用）</t>
  </si>
  <si>
    <t>0血条的条数</t>
  </si>
  <si>
    <t>0是否显示百分比</t>
  </si>
  <si>
    <t>碰撞半径</t>
  </si>
  <si>
    <t>0复活时间（ms）</t>
  </si>
  <si>
    <t>归属策略</t>
  </si>
  <si>
    <t>保护期</t>
  </si>
  <si>
    <t>AI参数组
ai_profile.id（索敌周期/脱战/回防/回血/接战策略）；0/空=不打、不挂行为，怪站着不动。配了就必须在 attrs 里给 警戒范围 和 攻击范围（&gt;0），能动的怪再给 移动速度；主动索敌还是受击还手看参数组行的 engage</t>
  </si>
  <si>
    <t>0掉落方案1</t>
  </si>
  <si>
    <t>0掉落方案2</t>
  </si>
  <si>
    <t>0掉落方案3</t>
  </si>
  <si>
    <t>0技能ID
出手时挑哪个由参数组 ai_profile.attack_policy 决定（留空 = 配置顺序优先：从前往后选第一个当前可放的）。普攻也是一行技能（skill_config 里 is_basic_attack=true 的行），要平 A 就把它写进来，想兜底就放最后；全部留空 = 没有普攻也没有技能，只追不打</t>
  </si>
  <si>
    <t>0技能ID</t>
  </si>
  <si>
    <t>修炼标签</t>
  </si>
  <si>
    <t>0怪物模型</t>
  </si>
  <si>
    <t>0缩放比例</t>
  </si>
  <si>
    <t>阴影宽度</t>
  </si>
  <si>
    <t>阴影高度</t>
  </si>
  <si>
    <t>阴影偏移量X</t>
  </si>
  <si>
    <t>阴影偏移量Y</t>
  </si>
  <si>
    <t>0近战/远程</t>
  </si>
  <si>
    <t>0特效模型</t>
  </si>
  <si>
    <t>0绑定特效</t>
  </si>
  <si>
    <t>0绑定特效缩放</t>
  </si>
  <si>
    <t>掉落经验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</si>
  <si>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</si>
  <si>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</si>
  <si>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</si>
  <si>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</si>
  <si>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</si>
  <si>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</si>
  <si>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</si>
  <si>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</si>
  <si>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属性名5</t>
  </si>
  <si>
    <t>属性值5</t>
  </si>
  <si>
    <t>属性名6</t>
  </si>
  <si>
    <t>属性值6</t>
  </si>
  <si>
    <t>属性名7</t>
  </si>
  <si>
    <t>属性值7</t>
  </si>
  <si>
    <t>属性名8</t>
  </si>
  <si>
    <t>属性值8</t>
  </si>
  <si>
    <t>属性名9</t>
  </si>
  <si>
    <t>属性值9</t>
  </si>
  <si>
    <t>属性名10</t>
  </si>
  <si>
    <t>属性值10</t>
  </si>
  <si>
    <t>属性名11</t>
  </si>
  <si>
    <t>属性值11</t>
  </si>
  <si>
    <t>属性名12</t>
  </si>
  <si>
    <t>属性值12</t>
  </si>
  <si>
    <t>属性名13</t>
  </si>
  <si>
    <t>属性值13</t>
  </si>
  <si>
    <t>属性名14</t>
  </si>
  <si>
    <t>属性值14</t>
  </si>
  <si>
    <t>血条偏移量</t>
  </si>
  <si>
    <t>血条名字偏移量</t>
  </si>
  <si>
    <t>氛围音效</t>
  </si>
  <si>
    <t>氛围音效概率</t>
  </si>
  <si>
    <t>受击音效</t>
  </si>
  <si>
    <t>受击音效概率</t>
  </si>
  <si>
    <t>大地图怪物TIPS</t>
  </si>
  <si>
    <t>大境界（0=凡人）。用途：伤害管线的境界压制；值当前按等级分档占位预填，待策划给</t>
  </si>
  <si>
    <t>大境界内的第几层（1~10）。用途：属性基数与境界展示；值当前按等级分档占位预填，待策划给</t>
  </si>
  <si>
    <t>a001</t>
  </si>
  <si>
    <t>炼气一层·鸡</t>
  </si>
  <si>
    <t>鸡</t>
  </si>
  <si>
    <t>天元宗门——灵兽园</t>
  </si>
  <si>
    <t>天元宗门</t>
  </si>
  <si>
    <t>普通</t>
  </si>
  <si>
    <t>体修</t>
  </si>
  <si>
    <t>近战</t>
  </si>
  <si>
    <t>生命值</t>
  </si>
  <si>
    <t>物防下限</t>
  </si>
  <si>
    <t>物防上限</t>
  </si>
  <si>
    <t>法防下限</t>
  </si>
  <si>
    <t>法防上限</t>
  </si>
  <si>
    <t>攻击下限</t>
  </si>
  <si>
    <t>攻击上限</t>
  </si>
  <si>
    <t>攻法下限</t>
  </si>
  <si>
    <t>攻法上限</t>
  </si>
  <si>
    <t>移动速度</t>
  </si>
  <si>
    <t>攻击范围</t>
  </si>
  <si>
    <t>警戒范围</t>
  </si>
  <si>
    <t>怪物说明功能测试：
怪物身份颜色：|cffFF0000BOSS|r，|cff00FF00精英怪|r，普通怪
概率掉落以下物品：
|cffFFA500美刀|r、|cffd9d919one刀乐|r、|cffA020F0two刀乐</t>
  </si>
  <si>
    <t>a002</t>
  </si>
  <si>
    <t>炼气一层·鹿</t>
  </si>
  <si>
    <t>鹿</t>
  </si>
  <si>
    <t>a003</t>
  </si>
  <si>
    <t>炼气一层·羊</t>
  </si>
  <si>
    <t>羊</t>
  </si>
  <si>
    <t>a004</t>
  </si>
  <si>
    <t>炼气一层·稻草人</t>
  </si>
  <si>
    <t>稻草人</t>
  </si>
  <si>
    <t>a005</t>
  </si>
  <si>
    <t>炼气一层·蛤蟆</t>
  </si>
  <si>
    <t>蛤蟆</t>
  </si>
  <si>
    <t>a006</t>
  </si>
  <si>
    <t>炼气一层·毒蜘蛛</t>
  </si>
  <si>
    <t>毒蜘蛛</t>
  </si>
  <si>
    <t>远程</t>
  </si>
  <si>
    <t>a007</t>
  </si>
  <si>
    <t>炼气一层·食人花</t>
  </si>
  <si>
    <t>食人花</t>
  </si>
  <si>
    <t>a008</t>
  </si>
  <si>
    <t>炼气一层·红蛇</t>
  </si>
  <si>
    <t>红蛇</t>
  </si>
  <si>
    <t>a009</t>
  </si>
  <si>
    <t>炼气一层·虎蛇</t>
  </si>
  <si>
    <t>虎蛇</t>
  </si>
  <si>
    <t>a010</t>
  </si>
  <si>
    <t>炼气一层·狼</t>
  </si>
  <si>
    <t>狼</t>
  </si>
  <si>
    <t>a011</t>
  </si>
  <si>
    <t>炼气一层·虎卫</t>
  </si>
  <si>
    <t>虎卫</t>
  </si>
  <si>
    <t>a012</t>
  </si>
  <si>
    <t>炼气一层·鹰卫</t>
  </si>
  <si>
    <t>鹰卫</t>
  </si>
  <si>
    <t>a013</t>
  </si>
  <si>
    <t>炼气一层·山洞蝙蝠</t>
  </si>
  <si>
    <t>山洞蝙蝠</t>
  </si>
  <si>
    <t>a014</t>
  </si>
  <si>
    <t>炼气二层·青魂煞灵</t>
  </si>
  <si>
    <t>青魂煞灵</t>
  </si>
  <si>
    <t>蚀苇沼·末流所积</t>
  </si>
  <si>
    <t>a015</t>
  </si>
  <si>
    <t>炼气二层·深渊水魔</t>
  </si>
  <si>
    <t>深渊水魔</t>
  </si>
  <si>
    <t>a016</t>
  </si>
  <si>
    <t>炼气二层·冥海幽灵</t>
  </si>
  <si>
    <t>冥海幽灵</t>
  </si>
  <si>
    <t>a017</t>
  </si>
  <si>
    <t>炼气二层·冥河幽魂</t>
  </si>
  <si>
    <t>冥河幽魂</t>
  </si>
  <si>
    <t>a018</t>
  </si>
  <si>
    <t>精英</t>
  </si>
  <si>
    <t>a019</t>
  </si>
  <si>
    <t>炼气三层·骷髅长枪兵</t>
  </si>
  <si>
    <t>骷髅长枪兵</t>
  </si>
  <si>
    <t>浮沉洲</t>
  </si>
  <si>
    <t>a020</t>
  </si>
  <si>
    <t>炼气三层·骷髅弓箭手</t>
  </si>
  <si>
    <t>骷髅弓箭手</t>
  </si>
  <si>
    <t>a021</t>
  </si>
  <si>
    <t>炼气三层·骷髅锤兵</t>
  </si>
  <si>
    <t>骷髅锤兵</t>
  </si>
  <si>
    <t>a022</t>
  </si>
  <si>
    <t>炼气三层·骷髅刀斧手</t>
  </si>
  <si>
    <t>骷髅刀斧手</t>
  </si>
  <si>
    <t>a023</t>
  </si>
  <si>
    <t>炼气三层·骷髅盾卫</t>
  </si>
  <si>
    <t>骷髅盾卫</t>
  </si>
  <si>
    <t>a024</t>
  </si>
  <si>
    <t>a025</t>
  </si>
  <si>
    <t>炼气五层·跳跳蜂</t>
  </si>
  <si>
    <t>跳跳蜂</t>
  </si>
  <si>
    <t>蔽苇汀</t>
  </si>
  <si>
    <t>a026</t>
  </si>
  <si>
    <t>炼气五层·飞蛾</t>
  </si>
  <si>
    <t>飞蛾</t>
  </si>
  <si>
    <t>a027</t>
  </si>
  <si>
    <t>炼气五层·蝎蛇</t>
  </si>
  <si>
    <t>蝎蛇</t>
  </si>
  <si>
    <t>a028</t>
  </si>
  <si>
    <t>炼气五层·腐毒蛙</t>
  </si>
  <si>
    <t>腐毒蛙</t>
  </si>
  <si>
    <t>a029</t>
  </si>
  <si>
    <t>a030</t>
  </si>
  <si>
    <t>a031</t>
  </si>
  <si>
    <t>炼气六层·蜈蚣</t>
  </si>
  <si>
    <t>蜈蚣</t>
  </si>
  <si>
    <t>岳骨阶</t>
  </si>
  <si>
    <t>a032</t>
  </si>
  <si>
    <t>炼气六层·血炼尸妖</t>
  </si>
  <si>
    <t>血炼尸妖</t>
  </si>
  <si>
    <t>a033</t>
  </si>
  <si>
    <t>炼气六层·碎骨妖兵</t>
  </si>
  <si>
    <t>碎骨妖兵</t>
  </si>
  <si>
    <t>a034</t>
  </si>
  <si>
    <t>炼气六层·骨棺祭司</t>
  </si>
  <si>
    <t>骨棺祭司</t>
  </si>
  <si>
    <t>a035</t>
  </si>
  <si>
    <t>a036</t>
  </si>
  <si>
    <t>炼气六层·狂骨妖刀将</t>
  </si>
  <si>
    <t>狂骨妖刀将</t>
  </si>
  <si>
    <t>BOSS</t>
  </si>
  <si>
    <t>a037</t>
  </si>
  <si>
    <t>炼气七层·鸡</t>
  </si>
  <si>
    <t xml:space="preserve">异霭浦 </t>
  </si>
  <si>
    <t>a038</t>
  </si>
  <si>
    <t>炼气七层·鹿</t>
  </si>
  <si>
    <t>a039</t>
  </si>
  <si>
    <t>炼气七层·羊</t>
  </si>
  <si>
    <t>a040</t>
  </si>
  <si>
    <t>炼气八层·蛤蟆</t>
  </si>
  <si>
    <t>砾台</t>
  </si>
  <si>
    <t>a041</t>
  </si>
  <si>
    <t>炼气八层·狼</t>
  </si>
  <si>
    <t>a042</t>
  </si>
  <si>
    <t>炼气八层·红蛇</t>
  </si>
  <si>
    <t>a043</t>
  </si>
  <si>
    <t>炼气圆满·霜锋客</t>
  </si>
  <si>
    <t>霜锋客</t>
  </si>
  <si>
    <t>垂练岩·覆而偶开</t>
  </si>
  <si>
    <t>a044</t>
  </si>
  <si>
    <t>炼气圆满·霜锋戟将</t>
  </si>
  <si>
    <t>霜锋戟将</t>
  </si>
  <si>
    <t>a045</t>
  </si>
  <si>
    <t>炼气圆满·苍玄真人</t>
  </si>
  <si>
    <t>苍玄真人</t>
  </si>
  <si>
    <t>a046</t>
  </si>
  <si>
    <t>a047</t>
  </si>
  <si>
    <t>炼气圆满·霜锋阵仙</t>
  </si>
  <si>
    <t>霜锋阵仙</t>
  </si>
  <si>
    <t>a048</t>
  </si>
  <si>
    <t>筑基一层·蚀骨血核</t>
  </si>
  <si>
    <t>蚀骨血核</t>
  </si>
  <si>
    <t>水镜滩·水退方见</t>
  </si>
  <si>
    <t>a049</t>
  </si>
  <si>
    <t>筑基一层·石像魔狮</t>
  </si>
  <si>
    <t>石像魔狮</t>
  </si>
  <si>
    <t>a050</t>
  </si>
  <si>
    <t>筑基一层·灵心石魔</t>
  </si>
  <si>
    <t>灵心石魔</t>
  </si>
  <si>
    <t>a051</t>
  </si>
  <si>
    <t>筑基一层·机关兽</t>
  </si>
  <si>
    <t>机关兽</t>
  </si>
  <si>
    <t>a052</t>
  </si>
  <si>
    <t>a053</t>
  </si>
  <si>
    <t>筑基二层·无面血妖</t>
  </si>
  <si>
    <t>无面血妖</t>
  </si>
  <si>
    <t>沉浊坡</t>
  </si>
  <si>
    <t>a054</t>
  </si>
  <si>
    <t>筑基二层·面首</t>
  </si>
  <si>
    <t>面首</t>
  </si>
  <si>
    <t>a055</t>
  </si>
  <si>
    <t>筑基二层·心魔</t>
  </si>
  <si>
    <t>心魔</t>
  </si>
  <si>
    <t>a056</t>
  </si>
  <si>
    <t>筑基三层·大老鼠</t>
  </si>
  <si>
    <t>大老鼠</t>
  </si>
  <si>
    <t>豁烟水</t>
  </si>
  <si>
    <t>a057</t>
  </si>
  <si>
    <t>筑基三层·普通尸妖</t>
  </si>
  <si>
    <t>普通尸妖</t>
  </si>
  <si>
    <t>a058</t>
  </si>
  <si>
    <t>筑基三层·玄冥尸</t>
  </si>
  <si>
    <t>玄冥尸</t>
  </si>
  <si>
    <t>a059</t>
  </si>
  <si>
    <t>筑基三层·尸鬼</t>
  </si>
  <si>
    <t>尸鬼</t>
  </si>
  <si>
    <t>a060</t>
  </si>
  <si>
    <t>筑基三层·爬行尸鬼</t>
  </si>
  <si>
    <t>爬行尸鬼</t>
  </si>
  <si>
    <t>a061</t>
  </si>
  <si>
    <t>a062</t>
  </si>
  <si>
    <t>筑基四层·暗狱角魔</t>
  </si>
  <si>
    <t>暗狱角魔</t>
  </si>
  <si>
    <t>密荷影</t>
  </si>
  <si>
    <t>a063</t>
  </si>
  <si>
    <t>筑基四层·幽泽龙蛟</t>
  </si>
  <si>
    <t>幽泽龙蛟</t>
  </si>
  <si>
    <t>a064</t>
  </si>
  <si>
    <t>筑基四层·泥沼蛙</t>
  </si>
  <si>
    <t>泥沼蛙</t>
  </si>
  <si>
    <t>a065</t>
  </si>
  <si>
    <t>筑基四层·幽泽蛟王</t>
  </si>
  <si>
    <t>幽泽蛟王</t>
  </si>
  <si>
    <t>a066</t>
  </si>
  <si>
    <t>a067</t>
  </si>
  <si>
    <t>筑基六层·深渊战魔</t>
  </si>
  <si>
    <t>深渊战魔</t>
  </si>
  <si>
    <t>末分石</t>
  </si>
  <si>
    <t>a068</t>
  </si>
  <si>
    <t>筑基六层·深渊剑魂</t>
  </si>
  <si>
    <t>深渊剑魂</t>
  </si>
  <si>
    <t>a069</t>
  </si>
  <si>
    <t>筑基六层·邪甲战魔</t>
  </si>
  <si>
    <t>邪甲战魔</t>
  </si>
  <si>
    <t>a070</t>
  </si>
  <si>
    <t>a071</t>
  </si>
  <si>
    <t>筑基六层·深渊妖尊</t>
  </si>
  <si>
    <t>深渊妖尊</t>
  </si>
  <si>
    <t>a072</t>
  </si>
  <si>
    <t>筑基七层·狐狸</t>
  </si>
  <si>
    <t>狐狸</t>
  </si>
  <si>
    <t>粉浪风</t>
  </si>
  <si>
    <t>a073</t>
  </si>
  <si>
    <t>筑基七层·毒蜘蛛</t>
  </si>
  <si>
    <t>a074</t>
  </si>
  <si>
    <t>筑基七层·稻草人</t>
  </si>
  <si>
    <t>a075</t>
  </si>
  <si>
    <t>筑基八层·蝎子</t>
  </si>
  <si>
    <t>蝎子</t>
  </si>
  <si>
    <t>漫莎台</t>
  </si>
  <si>
    <t>a076</t>
  </si>
  <si>
    <t>筑基八层·暴牙蜘蛛</t>
  </si>
  <si>
    <t>暴牙蜘蛛</t>
  </si>
  <si>
    <t>a077</t>
  </si>
  <si>
    <t>筑基九层·荒古石像</t>
  </si>
  <si>
    <t>荒古石像</t>
  </si>
  <si>
    <t>匿汊口</t>
  </si>
  <si>
    <t>a078</t>
  </si>
  <si>
    <t>筑基九层·云纹巨灵</t>
  </si>
  <si>
    <t>云纹巨灵</t>
  </si>
  <si>
    <t>a079</t>
  </si>
  <si>
    <t>筑基九层·镇符兽</t>
  </si>
  <si>
    <t>镇符兽</t>
  </si>
  <si>
    <t>a080</t>
  </si>
  <si>
    <t>筑基九层·秘境守护者</t>
  </si>
  <si>
    <t>秘境守护者</t>
  </si>
  <si>
    <t>a081</t>
  </si>
  <si>
    <t>a082</t>
  </si>
  <si>
    <t>金丹一层·金霄戟将</t>
  </si>
  <si>
    <t>金霄戟将</t>
  </si>
  <si>
    <t>砾藏岩</t>
  </si>
  <si>
    <t>a083</t>
  </si>
  <si>
    <t>金丹一层·金霄守卫</t>
  </si>
  <si>
    <t>金霄守卫</t>
  </si>
  <si>
    <t>a084</t>
  </si>
  <si>
    <t>金丹一层·玄阳仙人</t>
  </si>
  <si>
    <t>玄阳仙人</t>
  </si>
  <si>
    <t>a085</t>
  </si>
  <si>
    <t>金丹一层·金羽仙主</t>
  </si>
  <si>
    <t>金羽仙主</t>
  </si>
  <si>
    <t>a086</t>
  </si>
  <si>
    <t>金丹二层·炎晶狱魔</t>
  </si>
  <si>
    <t>炎晶狱魔</t>
  </si>
  <si>
    <t>风背余晦</t>
  </si>
  <si>
    <t>a087</t>
  </si>
  <si>
    <t>金丹二层·炎晶虫</t>
  </si>
  <si>
    <t>炎晶虫</t>
  </si>
  <si>
    <t>a088</t>
  </si>
  <si>
    <t>a089</t>
  </si>
  <si>
    <t>金丹二层·炎晶狱主</t>
  </si>
  <si>
    <t>炎晶狱主</t>
  </si>
  <si>
    <t>a090</t>
  </si>
  <si>
    <t>金丹三层·焚山岩魔</t>
  </si>
  <si>
    <t>焚山岩魔</t>
  </si>
  <si>
    <t>砺赭坂</t>
  </si>
  <si>
    <t>a091</t>
  </si>
  <si>
    <t>金丹三层·焚山石灵</t>
  </si>
  <si>
    <t>焚山石灵</t>
  </si>
  <si>
    <t>a092</t>
  </si>
  <si>
    <t>金丹三层·焚山岩龟</t>
  </si>
  <si>
    <t>焚山岩龟</t>
  </si>
  <si>
    <t>a093</t>
  </si>
  <si>
    <t>金丹三层·焚山魔王</t>
  </si>
  <si>
    <t>焚山魔王</t>
  </si>
  <si>
    <t>a094</t>
  </si>
  <si>
    <t>a095</t>
  </si>
  <si>
    <t>金丹四层·熔岩战傀</t>
  </si>
  <si>
    <t>熔岩战傀</t>
  </si>
  <si>
    <t>铁色横侵</t>
  </si>
  <si>
    <t>a096</t>
  </si>
  <si>
    <t>金丹四层·熔火巨蟒</t>
  </si>
  <si>
    <t>熔火巨蟒</t>
  </si>
  <si>
    <t>a097</t>
  </si>
  <si>
    <t>金丹四层·赤发魔童</t>
  </si>
  <si>
    <t>赤发魔童</t>
  </si>
  <si>
    <t>a098</t>
  </si>
  <si>
    <t>a099</t>
  </si>
  <si>
    <t>金丹四层·焚界炎帝</t>
  </si>
  <si>
    <t>焚界炎帝</t>
  </si>
  <si>
    <t>a100</t>
  </si>
  <si>
    <t>金丹五层·赤焰岩卫</t>
  </si>
  <si>
    <t>赤焰岩卫</t>
  </si>
  <si>
    <t>伏沟鸣石</t>
  </si>
  <si>
    <t>a101</t>
  </si>
  <si>
    <t>金丹五层·炎牛将军</t>
  </si>
  <si>
    <t>炎牛将军</t>
  </si>
  <si>
    <t>a102</t>
  </si>
  <si>
    <t>a103</t>
  </si>
  <si>
    <t>金丹五层·无首狱侯</t>
  </si>
  <si>
    <t>无首狱侯</t>
  </si>
  <si>
    <t>a104</t>
  </si>
  <si>
    <t>金丹七层·山中虎</t>
  </si>
  <si>
    <t>山中虎</t>
  </si>
  <si>
    <t>褐苔含润</t>
  </si>
  <si>
    <t>a105</t>
  </si>
  <si>
    <t>金丹七层·冥牙虎</t>
  </si>
  <si>
    <t>冥牙虎</t>
  </si>
  <si>
    <t>a106</t>
  </si>
  <si>
    <t>金丹八层·赤斑蟒</t>
  </si>
  <si>
    <t>赤斑蟒</t>
  </si>
  <si>
    <t>肩生瘠芽</t>
  </si>
  <si>
    <t>a107</t>
  </si>
  <si>
    <t>金丹八层·飞隼</t>
  </si>
  <si>
    <t>飞隼</t>
  </si>
  <si>
    <t>a108</t>
  </si>
  <si>
    <t>金丹九层·山猊</t>
  </si>
  <si>
    <t>山猊</t>
  </si>
  <si>
    <t>岩腹潜龛</t>
  </si>
  <si>
    <t>a109</t>
  </si>
  <si>
    <t>金丹九层·枫骨妖</t>
  </si>
  <si>
    <t>枫骨妖</t>
  </si>
  <si>
    <t>a110</t>
  </si>
  <si>
    <t>金丹九层·假面邪徒</t>
  </si>
  <si>
    <t>假面邪徒</t>
  </si>
  <si>
    <t>a111</t>
  </si>
  <si>
    <t>a112</t>
  </si>
  <si>
    <t>金丹圆满·荒村游魂</t>
  </si>
  <si>
    <t>荒村游魂</t>
  </si>
  <si>
    <t>水息留痕</t>
  </si>
  <si>
    <t>a113</t>
  </si>
  <si>
    <t>金丹圆满·幽笼炼魂士</t>
  </si>
  <si>
    <t>幽笼炼魂士</t>
  </si>
  <si>
    <t>a114</t>
  </si>
  <si>
    <t>a115</t>
  </si>
  <si>
    <t>金丹圆满·幽火骨煞</t>
  </si>
  <si>
    <t>幽火骨煞</t>
  </si>
  <si>
    <t>a116</t>
  </si>
  <si>
    <t>元婴一层·黑锷蜘蛛</t>
  </si>
  <si>
    <t>黑锷蜘蛛</t>
  </si>
  <si>
    <t>泻砾堑</t>
  </si>
  <si>
    <t>a117</t>
  </si>
  <si>
    <t>元婴一层·钢牙蜘蛛</t>
  </si>
  <si>
    <t>钢牙蜘蛛</t>
  </si>
  <si>
    <t>a118</t>
  </si>
  <si>
    <t>元婴一层·天狼蜘蛛</t>
  </si>
  <si>
    <t>天狼蜘蛛</t>
  </si>
  <si>
    <t>a119</t>
  </si>
  <si>
    <t>元婴一层·花吻蜘蛛</t>
  </si>
  <si>
    <t>花吻蜘蛛</t>
  </si>
  <si>
    <t>a120</t>
  </si>
  <si>
    <t>元婴三层·血纹蛛姬</t>
  </si>
  <si>
    <t>血纹蛛姬</t>
  </si>
  <si>
    <t>幽崩谷</t>
  </si>
  <si>
    <t>a121</t>
  </si>
  <si>
    <t>元婴三层·寒晶蛛魔</t>
  </si>
  <si>
    <t>寒晶蛛魔</t>
  </si>
  <si>
    <t>a122</t>
  </si>
  <si>
    <t>元婴三层·多臂血魔</t>
  </si>
  <si>
    <t>多臂血魔</t>
  </si>
  <si>
    <t>a123</t>
  </si>
  <si>
    <t>元婴三层·炎蛛魔帝</t>
  </si>
  <si>
    <t>炎蛛魔帝</t>
  </si>
  <si>
    <t>a124</t>
  </si>
  <si>
    <t>元婴四层·浮墟祈师</t>
  </si>
  <si>
    <t>浮墟祈师</t>
  </si>
  <si>
    <t>截风坡</t>
  </si>
  <si>
    <t>a125</t>
  </si>
  <si>
    <t>元婴四层·腐角剑士</t>
  </si>
  <si>
    <t>腐角剑士</t>
  </si>
  <si>
    <t>a126</t>
  </si>
  <si>
    <t>元婴四层·腐林王尊</t>
  </si>
  <si>
    <t>腐林王尊</t>
  </si>
  <si>
    <t>a127</t>
  </si>
  <si>
    <t>元婴四层·玄罡魔尊</t>
  </si>
  <si>
    <t>玄罡魔尊</t>
  </si>
  <si>
    <t>a128</t>
  </si>
  <si>
    <t>元婴五层·熊</t>
  </si>
  <si>
    <t>熊</t>
  </si>
  <si>
    <t>隙光苔</t>
  </si>
  <si>
    <t>a129</t>
  </si>
  <si>
    <t>元婴六层·腐毒穿山甲</t>
  </si>
  <si>
    <t>腐毒穿山甲</t>
  </si>
  <si>
    <t>浸岩菖</t>
  </si>
  <si>
    <t>a130</t>
  </si>
  <si>
    <t>元婴八层·破戒金刚</t>
  </si>
  <si>
    <t>破戒金刚</t>
  </si>
  <si>
    <t>裂口</t>
  </si>
  <si>
    <t>a131</t>
  </si>
  <si>
    <t>元婴八层·禅斧武僧</t>
  </si>
  <si>
    <t>禅斧武僧</t>
  </si>
  <si>
    <t>a132</t>
  </si>
  <si>
    <t>元婴八层·焚魔禅师</t>
  </si>
  <si>
    <t>焚魔禅师</t>
  </si>
  <si>
    <t>a133</t>
  </si>
  <si>
    <t>元婴九层·澄光坐佛</t>
  </si>
  <si>
    <t>澄光坐佛</t>
  </si>
  <si>
    <t>承影</t>
  </si>
  <si>
    <t>a134</t>
  </si>
  <si>
    <t>元婴九层·金身护法</t>
  </si>
  <si>
    <t>金身护法</t>
  </si>
  <si>
    <t>a135</t>
  </si>
  <si>
    <t>元婴九层·寂莲堕尊</t>
  </si>
  <si>
    <t>寂莲堕尊</t>
  </si>
  <si>
    <t>a136</t>
  </si>
  <si>
    <t>元婴圆满·腐虫</t>
  </si>
  <si>
    <t>腐虫</t>
  </si>
  <si>
    <t>壅浊石</t>
  </si>
  <si>
    <t>a137</t>
  </si>
  <si>
    <t>元婴圆满·磷骨犬</t>
  </si>
  <si>
    <t>磷骨犬</t>
  </si>
  <si>
    <t>a138</t>
  </si>
  <si>
    <t>元婴圆满·空寂</t>
  </si>
  <si>
    <t>空寂</t>
  </si>
  <si>
    <t>a139</t>
  </si>
  <si>
    <t>化神一层·山贼杂兵</t>
  </si>
  <si>
    <t>山贼杂兵</t>
  </si>
  <si>
    <t>沉岚</t>
  </si>
  <si>
    <t>a140</t>
  </si>
  <si>
    <t>化神一层·草笠山贼</t>
  </si>
  <si>
    <t>草笠山贼</t>
  </si>
  <si>
    <t>a141</t>
  </si>
  <si>
    <t>化神一层·醉酒刀客</t>
  </si>
  <si>
    <t>醉酒刀客</t>
  </si>
  <si>
    <t>a142</t>
  </si>
  <si>
    <t>化神二层·巨斧山贼</t>
  </si>
  <si>
    <t>巨斧山贼</t>
  </si>
  <si>
    <t>悬晖</t>
  </si>
  <si>
    <t>a143</t>
  </si>
  <si>
    <t>化神二层·山贼队长</t>
  </si>
  <si>
    <t>山贼队长</t>
  </si>
  <si>
    <t>a144</t>
  </si>
  <si>
    <t>化神二层·山贼头目</t>
  </si>
  <si>
    <t>山贼头目</t>
  </si>
  <si>
    <t>a145</t>
  </si>
  <si>
    <t>化神四层·狼牙小卒</t>
  </si>
  <si>
    <t>狼牙小卒</t>
  </si>
  <si>
    <t>隐翳</t>
  </si>
  <si>
    <t>a146</t>
  </si>
  <si>
    <t>化神四层·狼牙先锋</t>
  </si>
  <si>
    <t>狼牙先锋</t>
  </si>
  <si>
    <t>a147</t>
  </si>
  <si>
    <t>化神四层·狼牙战士</t>
  </si>
  <si>
    <t>狼牙战士</t>
  </si>
  <si>
    <t>a148</t>
  </si>
  <si>
    <t>化神四层·狼牙妖尊</t>
  </si>
  <si>
    <t>狼牙妖尊</t>
  </si>
  <si>
    <t>a149</t>
  </si>
  <si>
    <t>化神五层·铁臂巨猿</t>
  </si>
  <si>
    <t>铁臂巨猿</t>
  </si>
  <si>
    <t>云根露</t>
  </si>
  <si>
    <t>a150</t>
  </si>
  <si>
    <t>化神六层·鳄鱼</t>
  </si>
  <si>
    <t>鳄鱼</t>
  </si>
  <si>
    <t>风痕苔生</t>
  </si>
  <si>
    <t>a151</t>
  </si>
  <si>
    <t>化神七层·紫霄散仙</t>
  </si>
  <si>
    <t>紫霄散仙</t>
  </si>
  <si>
    <t>涓台窦</t>
  </si>
  <si>
    <t>a152</t>
  </si>
  <si>
    <t>化神七层·金甲门神</t>
  </si>
  <si>
    <t>金甲门神</t>
  </si>
  <si>
    <t>a153</t>
  </si>
  <si>
    <t>化神七层·雷泽战尊</t>
  </si>
  <si>
    <t>雷泽战尊</t>
  </si>
  <si>
    <t>a154</t>
  </si>
  <si>
    <t>化神七层·托塔天王</t>
  </si>
  <si>
    <t>托塔天王</t>
  </si>
  <si>
    <t>a155</t>
  </si>
  <si>
    <t>化神九层·寒晶遗傀</t>
  </si>
  <si>
    <t>寒晶遗傀</t>
  </si>
  <si>
    <t>孔收暮影</t>
  </si>
  <si>
    <t>a156</t>
  </si>
  <si>
    <t>化神九层·荒古石将</t>
  </si>
  <si>
    <t>荒古石将</t>
  </si>
  <si>
    <t>a157</t>
  </si>
  <si>
    <t>化神九层·云环守卫</t>
  </si>
  <si>
    <t>云环守卫</t>
  </si>
  <si>
    <t>a158</t>
  </si>
  <si>
    <t>化神九层·环锁魂灵</t>
  </si>
  <si>
    <t>环锁魂灵</t>
  </si>
  <si>
    <t>a159</t>
  </si>
  <si>
    <t>化神圆满·赤角魔獠</t>
  </si>
  <si>
    <t>赤角魔獠</t>
  </si>
  <si>
    <t>雾黯岩</t>
  </si>
  <si>
    <t>a160</t>
  </si>
  <si>
    <t>化神圆满·链炉火奴</t>
  </si>
  <si>
    <t>链炉火奴</t>
  </si>
  <si>
    <t>a161</t>
  </si>
  <si>
    <t>化神圆满·赤幡炎将</t>
  </si>
  <si>
    <t>赤幡炎将</t>
  </si>
  <si>
    <t>a162</t>
  </si>
  <si>
    <t>炼虚六层·残骨士卒</t>
  </si>
  <si>
    <t>残骨士卒</t>
  </si>
  <si>
    <t>雪檐古兽</t>
  </si>
  <si>
    <t>a163</t>
  </si>
  <si>
    <t>炼虚六层·残颅獠将</t>
  </si>
  <si>
    <t>残颅獠将</t>
  </si>
  <si>
    <t>a164</t>
  </si>
  <si>
    <t>赤纹魔狞</t>
  </si>
  <si>
    <t>a165</t>
  </si>
  <si>
    <t>炼虚六层·赤纹魔狞</t>
  </si>
  <si>
    <t>a166</t>
  </si>
  <si>
    <t>炼虚六层·残骨将军</t>
  </si>
  <si>
    <t>残骨将军</t>
  </si>
  <si>
    <t>a167</t>
  </si>
  <si>
    <t>炼虚七层·链锤魔猪</t>
  </si>
  <si>
    <t>链锤魔猪</t>
  </si>
  <si>
    <t>霰砾坡</t>
  </si>
  <si>
    <t>a168</t>
  </si>
  <si>
    <t>a169</t>
  </si>
  <si>
    <t>炼虚七层·蛮猪战士</t>
  </si>
  <si>
    <t>蛮猪战士</t>
  </si>
  <si>
    <t>a170</t>
  </si>
  <si>
    <t>炼虚七层·蛮猪勇士</t>
  </si>
  <si>
    <t>蛮猪勇士</t>
  </si>
  <si>
    <t>a171</t>
  </si>
  <si>
    <t>炼虚七层·链锤野猪</t>
  </si>
  <si>
    <t>链锤野猪</t>
  </si>
  <si>
    <t>a172</t>
  </si>
  <si>
    <t>炼虚三层·九齿天蓬</t>
  </si>
  <si>
    <t>九齿天蓬</t>
  </si>
  <si>
    <t>融口初声</t>
  </si>
  <si>
    <t>a173</t>
  </si>
  <si>
    <t>炼虚三层·赤鬃蛮猪</t>
  </si>
  <si>
    <t>赤鬃蛮猪</t>
  </si>
  <si>
    <t>a174</t>
  </si>
  <si>
    <t>炼虚三层·妄念猪罗</t>
  </si>
  <si>
    <t>妄念猪罗</t>
  </si>
  <si>
    <t>a175</t>
  </si>
  <si>
    <t>a176</t>
  </si>
  <si>
    <t>炼虚四层·破阵战牛</t>
  </si>
  <si>
    <t>破阵战牛</t>
  </si>
  <si>
    <t>凇覆苔痕</t>
  </si>
  <si>
    <t>a177</t>
  </si>
  <si>
    <t>炼虚四层·犀牛妖兵</t>
  </si>
  <si>
    <t>犀牛妖兵</t>
  </si>
  <si>
    <t>a178</t>
  </si>
  <si>
    <t>a179</t>
  </si>
  <si>
    <t>炼虚四层·岩棘魔蜥</t>
  </si>
  <si>
    <t>岩棘魔蜥</t>
  </si>
  <si>
    <t>a180</t>
  </si>
  <si>
    <t>炼虚四层·蛮牛魔灵</t>
  </si>
  <si>
    <t>蛮牛魔灵</t>
  </si>
  <si>
    <t>a181</t>
  </si>
  <si>
    <t>炼虚一层·食人花</t>
  </si>
  <si>
    <t>寒水迟芽</t>
  </si>
  <si>
    <t>a182</t>
  </si>
  <si>
    <t>a183</t>
  </si>
  <si>
    <t>炼虚一层·毒萝花姬</t>
  </si>
  <si>
    <t>毒萝花姬</t>
  </si>
  <si>
    <t>a184</t>
  </si>
  <si>
    <t>a185</t>
  </si>
  <si>
    <t>炼虚一层·花犬</t>
  </si>
  <si>
    <t>花犬</t>
  </si>
  <si>
    <t>a186</t>
  </si>
  <si>
    <t>炼虚二层·碧涛龙蛟</t>
  </si>
  <si>
    <t>碧涛龙蛟</t>
  </si>
  <si>
    <t>鞍窍</t>
  </si>
  <si>
    <t>a187</t>
  </si>
  <si>
    <t>炼虚二层·碧涛羽客</t>
  </si>
  <si>
    <t>碧涛羽客</t>
  </si>
  <si>
    <t>a188</t>
  </si>
  <si>
    <t>炼虚二层·碧涛蛟仙</t>
  </si>
  <si>
    <t>碧涛蛟仙</t>
  </si>
  <si>
    <t>a189</t>
  </si>
  <si>
    <t>a190</t>
  </si>
  <si>
    <t>炼虚五层·凝霜水魂</t>
  </si>
  <si>
    <t>凝霜水魂</t>
  </si>
  <si>
    <t>霁台</t>
  </si>
  <si>
    <t>a191</t>
  </si>
  <si>
    <t>炼虚五层·幽澜刀尉</t>
  </si>
  <si>
    <t>幽澜刀尉</t>
  </si>
  <si>
    <t>a192</t>
  </si>
  <si>
    <t>a193</t>
  </si>
  <si>
    <t>炼虚五层·玄金傀卫</t>
  </si>
  <si>
    <t>玄金傀卫</t>
  </si>
  <si>
    <t>a194</t>
  </si>
  <si>
    <t>炼虚六层·冰晶龟</t>
  </si>
  <si>
    <t>冰晶龟</t>
  </si>
  <si>
    <t>白色</t>
  </si>
  <si>
    <t>凛冽坡</t>
  </si>
  <si>
    <t/>
  </si>
  <si>
    <t>无</t>
  </si>
  <si>
    <t>a195</t>
  </si>
  <si>
    <t>炼虚六层·寒冰巨犀</t>
  </si>
  <si>
    <t>寒冰巨犀</t>
  </si>
  <si>
    <t>a196</t>
  </si>
  <si>
    <t>炼虚六层·冰煞巨兽</t>
  </si>
  <si>
    <t>冰煞巨兽</t>
  </si>
  <si>
    <t>a197</t>
  </si>
  <si>
    <t>绿色</t>
  </si>
  <si>
    <t>a198</t>
  </si>
  <si>
    <t>炼虚七层·冰尸妖</t>
  </si>
  <si>
    <t>冰尸妖</t>
  </si>
  <si>
    <t>虚浮台</t>
  </si>
  <si>
    <t>a199</t>
  </si>
  <si>
    <t>炼虚七层·阴魂女煞</t>
  </si>
  <si>
    <t>阴魂女煞</t>
  </si>
  <si>
    <t>a200</t>
  </si>
  <si>
    <t>炼虚七层·霜风射手</t>
  </si>
  <si>
    <t>霜风射手</t>
  </si>
  <si>
    <t>a201</t>
  </si>
  <si>
    <t>a202</t>
  </si>
  <si>
    <t>炼虚八层·玄冰守将</t>
  </si>
  <si>
    <t>玄冰守将</t>
  </si>
  <si>
    <t>照影窗</t>
  </si>
  <si>
    <t>a203</t>
  </si>
  <si>
    <t>炼虚八层·玄枢鼎君</t>
  </si>
  <si>
    <t>玄枢鼎君</t>
  </si>
  <si>
    <t>a204</t>
  </si>
  <si>
    <t>a205</t>
  </si>
  <si>
    <t>炼虚八层·北境玄帝</t>
  </si>
  <si>
    <t>北境玄帝</t>
  </si>
  <si>
    <t>橙色</t>
  </si>
  <si>
    <t>a206</t>
  </si>
  <si>
    <t>炼虚八层·寒天虎</t>
  </si>
  <si>
    <t>寒天虎</t>
  </si>
  <si>
    <t>回光藓</t>
  </si>
  <si>
    <t>a207</t>
  </si>
  <si>
    <t>炼虚九层·灵鹤</t>
  </si>
  <si>
    <t>灵鹤</t>
  </si>
  <si>
    <t>风偃枝</t>
  </si>
  <si>
    <t>a208</t>
  </si>
  <si>
    <t>炼虚九层·冰虫</t>
  </si>
  <si>
    <t>冰虫</t>
  </si>
  <si>
    <t>阖岫口</t>
  </si>
  <si>
    <t>a209</t>
  </si>
  <si>
    <t>炼虚九层·墟晶魔兽</t>
  </si>
  <si>
    <t>墟晶魔兽</t>
  </si>
  <si>
    <t>a210</t>
  </si>
  <si>
    <t>a211</t>
  </si>
  <si>
    <t>炼虚九层·霜渊冥姬</t>
  </si>
  <si>
    <t>霜渊冥姬</t>
  </si>
  <si>
    <t>a212</t>
  </si>
  <si>
    <t>炼虚圆满·玄苍遗种</t>
  </si>
  <si>
    <t>玄苍遗种</t>
  </si>
  <si>
    <t>坠尽渊</t>
  </si>
  <si>
    <t>a213</t>
  </si>
  <si>
    <t>炼虚圆满·玄霜战猿</t>
  </si>
  <si>
    <t>玄霜战猿</t>
  </si>
  <si>
    <t>a214</t>
  </si>
  <si>
    <t>炼虚圆满·独眼魔石像</t>
  </si>
  <si>
    <t>独眼魔石像</t>
  </si>
  <si>
    <t>a215</t>
  </si>
  <si>
    <t>a216</t>
  </si>
  <si>
    <t>合体一层·执旗蛮奴</t>
  </si>
  <si>
    <t>执旗蛮奴</t>
  </si>
  <si>
    <t>昏金岩</t>
  </si>
  <si>
    <t>a217</t>
  </si>
  <si>
    <t>合体一层·浮台冥君</t>
  </si>
  <si>
    <t>浮台冥君</t>
  </si>
  <si>
    <t>a218</t>
  </si>
  <si>
    <t>a219</t>
  </si>
  <si>
    <t>合体一层·枷罗冥主</t>
  </si>
  <si>
    <t>枷罗冥主</t>
  </si>
  <si>
    <t>场景归属</t>
  </si>
  <si>
    <t>内部编号</t>
  </si>
  <si>
    <t>颜色</t>
  </si>
  <si>
    <t>新手</t>
  </si>
  <si>
    <t>沃玛级</t>
  </si>
  <si>
    <t>装备是5开头8位数</t>
  </si>
  <si>
    <t>祖玛级</t>
  </si>
  <si>
    <t>大精英</t>
  </si>
  <si>
    <t>紫色</t>
  </si>
  <si>
    <t>第1位</t>
  </si>
  <si>
    <t>6开头代表怪物</t>
  </si>
  <si>
    <t>苍月级</t>
  </si>
  <si>
    <t>第2位</t>
  </si>
  <si>
    <t>用场景来代表级别。相当于装备的阶级，沃玛级，祖玛级，苍月级，赤月级等，2位应该够，暂时用3位保险。这个级别和场景区域配置严格匹配，相等。</t>
  </si>
  <si>
    <t>赤月级</t>
  </si>
  <si>
    <t>大BOSS</t>
  </si>
  <si>
    <t>红色</t>
  </si>
  <si>
    <t>第3位</t>
  </si>
  <si>
    <t>雷霆级</t>
  </si>
  <si>
    <t>任务</t>
  </si>
  <si>
    <t>第4位</t>
  </si>
  <si>
    <t>战神级</t>
  </si>
  <si>
    <t>活动</t>
  </si>
  <si>
    <t>第5位</t>
  </si>
  <si>
    <t>怪物身份，区分普通/精英怪/BOSS</t>
  </si>
  <si>
    <t>星王级</t>
  </si>
  <si>
    <t>第6位</t>
  </si>
  <si>
    <t>具体数字，填在正表E列，3位数总共1000个，代表本类别的具体序号。每个场景的每一类怪物分别计。比如比奇城的普通怪，从0开始计算1，2，3……比奇城的精英怪的序号，BOSS的序号也都是从0开始重新计算</t>
  </si>
  <si>
    <t>天龙级</t>
  </si>
  <si>
    <t>第7位</t>
  </si>
  <si>
    <t>王者级</t>
  </si>
  <si>
    <t>汇歧渚</t>
  </si>
  <si>
    <t>第8位</t>
  </si>
  <si>
    <t>皓天级</t>
  </si>
  <si>
    <t>传奇级</t>
  </si>
  <si>
    <t>怪物的区分</t>
  </si>
  <si>
    <t>区域，代表等级范围或者说级别，决定掉落，经验，数值</t>
  </si>
  <si>
    <t>身份，决定掉落，经验，数值</t>
  </si>
  <si>
    <t>ID使用公式的主要原因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</si>
  <si>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</si>
  <si>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</si>
  <si>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</si>
  <si>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BOSS物编使用B开头，BNNN</t>
  </si>
  <si>
    <t>尸魔洞一层</t>
  </si>
  <si>
    <t>尸魔洞二层</t>
  </si>
  <si>
    <t>骨魔洞一层</t>
  </si>
  <si>
    <t>骨魔洞二层</t>
  </si>
  <si>
    <t>牛魔寺庙入口</t>
  </si>
  <si>
    <t>牛魔寺庙一层</t>
  </si>
  <si>
    <t>牛魔寺庙大厅</t>
  </si>
  <si>
    <t>丛林迷宫</t>
  </si>
  <si>
    <t>赤月峡谷西走廊</t>
  </si>
  <si>
    <t>赤月峡谷东二层</t>
  </si>
  <si>
    <t>赤月峡谷广场</t>
  </si>
  <si>
    <t>抉择之地</t>
  </si>
  <si>
    <t>恶魔祭坛</t>
  </si>
  <si>
    <t>赤月魔穴</t>
  </si>
  <si>
    <t>石息</t>
  </si>
  <si>
    <t>化骨妖</t>
  </si>
  <si>
    <t>妖姬（小boss）</t>
  </si>
  <si>
    <t>血腥女王（大boss）</t>
  </si>
  <si>
    <t>血炎兽</t>
  </si>
  <si>
    <t>剑刃魔王（大boss）</t>
  </si>
  <si>
    <t>邪灵</t>
  </si>
  <si>
    <t>巨魔守卫（小boss）</t>
  </si>
  <si>
    <t>蛮族尊主（大boss）</t>
  </si>
  <si>
    <t>百年尸草</t>
  </si>
  <si>
    <t>千年树灵（小boss）</t>
  </si>
  <si>
    <t>万年尸草王（大boss）</t>
  </si>
  <si>
    <t>魔熊</t>
  </si>
  <si>
    <t>上古魔使（大boss）</t>
  </si>
  <si>
    <t>天降福神专用</t>
  </si>
  <si>
    <t>封魔塔1层小怪专用</t>
  </si>
  <si>
    <t>未央遗迹</t>
  </si>
  <si>
    <t>第1玩法</t>
  </si>
  <si>
    <t>简单的殴打BOSS</t>
  </si>
  <si>
    <t>第2玩法</t>
  </si>
  <si>
    <t>极限刷怪，在规定时间内打到200个怪，就先通关，有些怪物固定伤害的</t>
  </si>
  <si>
    <t>第3玩法</t>
  </si>
  <si>
    <t>boss叫小怪，每个30秒叫1个小怪固定伤害，小怪增强怪物攻击</t>
  </si>
  <si>
    <t>第4玩法</t>
  </si>
  <si>
    <t>boss（血厚低攻）叫怪，每个1分钟叫一波小怪攻高，血薄</t>
  </si>
  <si>
    <t>第5玩法</t>
  </si>
  <si>
    <t>boss叫小怪，小怪固定伤害，极高攻击，需要跑位，或者眩晕小怪，同时boss无敌，共叫4次</t>
  </si>
  <si>
    <t>第6玩法</t>
  </si>
  <si>
    <t>极限刷怪，每击杀到50个怪的时候，会出现一个BOSS(BOSS血厚，降低玩家的攻击，最多出现3个)</t>
  </si>
  <si>
    <t>第7玩法</t>
  </si>
  <si>
    <t>狂暴-BOSS，每30秒狂暴一次，持续10秒</t>
  </si>
  <si>
    <t>地宫小怪</t>
  </si>
  <si>
    <t>Dignity</t>
  </si>
  <si>
    <t>OwnerMode</t>
  </si>
  <si>
    <t>掉落类型</t>
  </si>
  <si>
    <t>阵营</t>
  </si>
  <si>
    <t>显示名字类型</t>
  </si>
  <si>
    <t>等级</t>
  </si>
  <si>
    <t>名字颜色</t>
  </si>
  <si>
    <t>职业</t>
  </si>
  <si>
    <t>种族</t>
  </si>
  <si>
    <t>属主模型</t>
  </si>
  <si>
    <t>掉落_均可见属主拾取</t>
  </si>
  <si>
    <t>阵营_普通玩家</t>
  </si>
  <si>
    <t>名字_显示</t>
  </si>
  <si>
    <t>职业_战士</t>
  </si>
  <si>
    <t>种族_风</t>
  </si>
  <si>
    <t>怪物类型_普通</t>
  </si>
  <si>
    <t>是</t>
  </si>
  <si>
    <t>属主_首刀</t>
  </si>
  <si>
    <t>掉落_属主可见可拾取</t>
  </si>
  <si>
    <t>阵营_普通怪物</t>
  </si>
  <si>
    <t>名字_不显示</t>
  </si>
  <si>
    <t>职业_法师</t>
  </si>
  <si>
    <t>种族_火</t>
  </si>
  <si>
    <t>怪物类型_世界BOSS</t>
  </si>
  <si>
    <t>否</t>
  </si>
  <si>
    <t>属主_组队伤害</t>
  </si>
  <si>
    <t>掉落_均可见均可拾取</t>
  </si>
  <si>
    <t>阵营_中立怪物</t>
  </si>
  <si>
    <t>名字_永久显示</t>
  </si>
  <si>
    <t>职业_牧师</t>
  </si>
  <si>
    <t>种族_雷</t>
  </si>
  <si>
    <t>怪物类型_人数值</t>
  </si>
  <si>
    <t>属主_组队伤害唯一</t>
  </si>
  <si>
    <t>掉落_均可见队伍拾取</t>
  </si>
  <si>
    <t>阵营_友好怪物</t>
  </si>
  <si>
    <t>职业_萨满</t>
  </si>
  <si>
    <t>种族_水</t>
  </si>
  <si>
    <t>怪物类型_宠数值</t>
  </si>
  <si>
    <t>属主_仇恨</t>
  </si>
  <si>
    <t>掉落_均可见区服拾取</t>
  </si>
  <si>
    <t>阵营_动画怪物</t>
  </si>
  <si>
    <t>怪物类型_精英</t>
  </si>
  <si>
    <t>属主_普通</t>
  </si>
  <si>
    <t>阵营_动画怪物2</t>
  </si>
  <si>
    <t>属主_末刀</t>
  </si>
  <si>
    <t>阵营_动画怪物3</t>
  </si>
  <si>
    <t>属主_个人伤害</t>
  </si>
  <si>
    <t>阵营_动画怪物4</t>
  </si>
  <si>
    <t>属主_个人伤害唯一</t>
  </si>
  <si>
    <t>蓝色</t>
  </si>
  <si>
    <t>怪物类型_首领</t>
  </si>
  <si>
    <t>怪物类型_世界PVPBOSS</t>
  </si>
  <si>
    <t>怪物类型_散仙陷阱</t>
  </si>
  <si>
    <t>怪物类型_采集物</t>
  </si>
  <si>
    <t>怪物类型_琅琊福地NPC</t>
  </si>
  <si>
    <t>怪物类型_阵营战炮台</t>
  </si>
  <si>
    <t>怪物类型_技能召唤</t>
  </si>
  <si>
    <t>怪物类型_前台怪</t>
  </si>
  <si>
    <t>怪物类型_受击掉落</t>
  </si>
  <si>
    <t>版本号</t>
  </si>
  <si>
    <t>改动内容</t>
  </si>
  <si>
    <t>V1.12</t>
  </si>
  <si>
    <t>1、删除金币掉落字段
2、更新怪物模型</t>
  </si>
  <si>
    <t>V1.13</t>
  </si>
  <si>
    <t>1、新增怪物缩放比例
2、更改盔甲虫模型</t>
  </si>
  <si>
    <t>V1.14</t>
  </si>
  <si>
    <t>1、更改了比奇城怪物攻击数值
2、更改的归属场景数据</t>
  </si>
  <si>
    <t>V1.15</t>
  </si>
  <si>
    <t>更新掉落方案</t>
  </si>
  <si>
    <t>V1.16</t>
  </si>
  <si>
    <t>更新怪物普攻和技能ID</t>
  </si>
  <si>
    <t>V1.17</t>
  </si>
  <si>
    <t>更改怪物的编号计算规则和对应的编号</t>
  </si>
  <si>
    <t>V1.18</t>
  </si>
  <si>
    <t>更新“蛤蟆”模型</t>
  </si>
  <si>
    <t>V1.19</t>
  </si>
  <si>
    <t>更新移动速度巡逻半径等数据</t>
  </si>
  <si>
    <t>V1.20</t>
  </si>
  <si>
    <t>所有蛤蟆模型放大到原5倍</t>
  </si>
  <si>
    <t>V1.21</t>
  </si>
  <si>
    <t>祖玛弓箭手模型更新</t>
  </si>
  <si>
    <t>V1.22</t>
  </si>
  <si>
    <t>怪物距离和速度属性更改</t>
  </si>
  <si>
    <t>V1.23</t>
  </si>
  <si>
    <t>删掉原来的速度一列，新增属性移动速度</t>
  </si>
  <si>
    <t>V1.24</t>
  </si>
  <si>
    <t>增加远程怪物字段，弹道模型字段</t>
  </si>
  <si>
    <t>V1.25</t>
  </si>
  <si>
    <t>怪物增加攻击范围属性</t>
  </si>
  <si>
    <t>V1.26</t>
  </si>
  <si>
    <t>怪物动作模型更新</t>
  </si>
  <si>
    <t>V1.27</t>
  </si>
  <si>
    <t>更新怪物模型</t>
  </si>
  <si>
    <t>V1.28</t>
  </si>
  <si>
    <t>60371394 60371395，黑狐赤狐改为测试数值</t>
  </si>
  <si>
    <t>V1.29</t>
  </si>
  <si>
    <t>V1.30</t>
  </si>
  <si>
    <t>V1.31</t>
  </si>
  <si>
    <t>V1.32</t>
  </si>
  <si>
    <t>V1.33</t>
  </si>
  <si>
    <t>V1.34</t>
  </si>
  <si>
    <t>V1.35</t>
  </si>
  <si>
    <t>删掉视野半径和巡逻范围，新增属性警戒范围。</t>
  </si>
  <si>
    <t>V1.36</t>
  </si>
  <si>
    <t>调整掉落方案，对应调整怪物表</t>
  </si>
  <si>
    <t>V1.37</t>
  </si>
  <si>
    <t>怪物数据使用李鑫配置版本，同时所有的ID规则进行调整。困惑殿堂新增2普通2精英怪，封魔殿新增3精英物编ID用aa开头</t>
  </si>
  <si>
    <t>V1.38</t>
  </si>
  <si>
    <t>调整模型大小，1.36版本模型大小应该是对的，这个版本是之前复制李鑫的数据，模型大小可能比较原始，对所有＞0.5的基本都改成0.5了，持续修改
复制过来遗留的0全都删了，模型缩放不要配置0！！！
所有模型改前缀，很多模型名字乱填的都改了，还有2个模型缺失，先用别的代替了。</t>
  </si>
  <si>
    <t>V1.39</t>
  </si>
  <si>
    <t>修改模型大小，沃玛战将模型用沃玛勇士暂替，碰撞体积20改为10</t>
  </si>
  <si>
    <t>V1.40</t>
  </si>
  <si>
    <t>新增任务掉落</t>
  </si>
  <si>
    <t>V1.41</t>
  </si>
  <si>
    <t>掉落方案出现BUG，把错误的掉落方案ID改正。增加一个木桩。所有怪物复活时间×10</t>
  </si>
  <si>
    <t>V1.42</t>
  </si>
  <si>
    <t>新增3个配置项，2个绑定特效+缩放，新增一个技能配置，改技能ID。修改警戒范围，</t>
  </si>
  <si>
    <t>V1.43</t>
  </si>
  <si>
    <t>增加NPC鸡</t>
  </si>
  <si>
    <t>V1.44</t>
  </si>
  <si>
    <t>V1.45</t>
  </si>
  <si>
    <t>V1.46</t>
  </si>
  <si>
    <t>V1.47</t>
  </si>
  <si>
    <t>V1.48</t>
  </si>
  <si>
    <t>V1.49</t>
  </si>
  <si>
    <t>V1.50</t>
  </si>
  <si>
    <t>比奇城</t>
  </si>
  <si>
    <t>A107</t>
  </si>
  <si>
    <t>待定</t>
  </si>
  <si>
    <t>A038</t>
  </si>
  <si>
    <t>A120</t>
  </si>
  <si>
    <t>A036</t>
  </si>
  <si>
    <t>A033</t>
  </si>
  <si>
    <t>A034</t>
  </si>
  <si>
    <t>A013</t>
  </si>
  <si>
    <t>A001</t>
  </si>
  <si>
    <t>A106</t>
  </si>
  <si>
    <t>A020</t>
  </si>
  <si>
    <t>A029</t>
  </si>
  <si>
    <t>A027</t>
  </si>
  <si>
    <t>A091</t>
  </si>
  <si>
    <t>A017</t>
  </si>
  <si>
    <t>A015</t>
  </si>
  <si>
    <t>A023</t>
  </si>
  <si>
    <t>A128</t>
  </si>
  <si>
    <t>A122</t>
  </si>
  <si>
    <t>A133</t>
  </si>
  <si>
    <t>A082</t>
  </si>
  <si>
    <t>a220</t>
  </si>
  <si>
    <t>a221</t>
  </si>
  <si>
    <t>a222</t>
  </si>
  <si>
    <t>a223</t>
  </si>
  <si>
    <t>a224</t>
  </si>
  <si>
    <t>a225</t>
  </si>
  <si>
    <t>a226</t>
  </si>
  <si>
    <t>a227</t>
  </si>
  <si>
    <t>a228</t>
  </si>
  <si>
    <t>a229</t>
  </si>
  <si>
    <t>a230</t>
  </si>
  <si>
    <t>a231</t>
  </si>
  <si>
    <t>a232</t>
  </si>
  <si>
    <t>a233</t>
  </si>
  <si>
    <t>a234</t>
  </si>
  <si>
    <t>a235</t>
  </si>
  <si>
    <t>a236</t>
  </si>
  <si>
    <t>a237</t>
  </si>
  <si>
    <t>a238</t>
  </si>
  <si>
    <t>a239</t>
  </si>
  <si>
    <t>a240</t>
  </si>
  <si>
    <t>a241</t>
  </si>
  <si>
    <t>a242</t>
  </si>
  <si>
    <t>a243</t>
  </si>
  <si>
    <t>a244</t>
  </si>
  <si>
    <t>a245</t>
  </si>
  <si>
    <t>a246</t>
  </si>
  <si>
    <t>a247</t>
  </si>
  <si>
    <t>a248</t>
  </si>
  <si>
    <t>a249</t>
  </si>
  <si>
    <t>a250</t>
  </si>
  <si>
    <t>a251</t>
  </si>
  <si>
    <t>a252</t>
  </si>
  <si>
    <t>a253</t>
  </si>
  <si>
    <t>a254</t>
  </si>
  <si>
    <t>a255</t>
  </si>
  <si>
    <t>a256</t>
  </si>
  <si>
    <t>a257</t>
  </si>
  <si>
    <t>a258</t>
  </si>
  <si>
    <t>a259</t>
  </si>
  <si>
    <t>a260</t>
  </si>
  <si>
    <t>a261</t>
  </si>
  <si>
    <t>a262</t>
  </si>
  <si>
    <t>a263</t>
  </si>
  <si>
    <t>a264</t>
  </si>
  <si>
    <t>a265</t>
  </si>
  <si>
    <t>a266</t>
  </si>
  <si>
    <t>a267</t>
  </si>
  <si>
    <t>a268</t>
  </si>
  <si>
    <t>a269</t>
  </si>
  <si>
    <t>a270</t>
  </si>
  <si>
    <t>a271</t>
  </si>
  <si>
    <t>a272</t>
  </si>
  <si>
    <t>a273</t>
  </si>
  <si>
    <t>a274</t>
  </si>
  <si>
    <t>a275</t>
  </si>
  <si>
    <t>a276</t>
  </si>
  <si>
    <t>a277</t>
  </si>
  <si>
    <t>a278</t>
  </si>
  <si>
    <t>a279</t>
  </si>
  <si>
    <t>a280</t>
  </si>
  <si>
    <t>a281</t>
  </si>
  <si>
    <t>a282</t>
  </si>
  <si>
    <t>a283</t>
  </si>
  <si>
    <t>a284</t>
  </si>
  <si>
    <t>a285</t>
  </si>
  <si>
    <t>a286</t>
  </si>
  <si>
    <t>a287</t>
  </si>
  <si>
    <t>a288</t>
  </si>
  <si>
    <t>a289</t>
  </si>
  <si>
    <t>a290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</si>
  <si>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</si>
  <si>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</si>
  <si>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</si>
  <si>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</si>
  <si>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</si>
  <si>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</si>
  <si>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</si>
  <si>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</si>
  <si>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</si>
  <si>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a300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</si>
  <si>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</si>
  <si>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</si>
  <si>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</si>
  <si>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</si>
  <si>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</si>
  <si>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</si>
  <si>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</si>
  <si>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</si>
  <si>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</si>
  <si>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a310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</si>
  <si>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</si>
  <si>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</si>
  <si>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</si>
  <si>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</si>
  <si>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</si>
  <si>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</si>
  <si>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</si>
  <si>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</si>
  <si>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</si>
  <si>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a320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</si>
  <si>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</si>
  <si>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</si>
  <si>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</si>
  <si>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</si>
  <si>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</si>
  <si>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</si>
  <si>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</si>
  <si>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</si>
  <si>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</si>
  <si>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a330</t>
  </si>
  <si>
    <t>a331</t>
  </si>
  <si>
    <t>a332</t>
  </si>
  <si>
    <t>a333</t>
  </si>
  <si>
    <t>a334</t>
  </si>
  <si>
    <t>a335</t>
  </si>
  <si>
    <t>a336</t>
  </si>
  <si>
    <t>a337</t>
  </si>
  <si>
    <t>a338</t>
  </si>
  <si>
    <t>a339</t>
  </si>
  <si>
    <t>a340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</si>
  <si>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</si>
  <si>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</si>
  <si>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</si>
  <si>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</si>
  <si>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</si>
  <si>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</si>
  <si>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</si>
  <si>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</si>
  <si>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</si>
  <si>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a350</t>
  </si>
  <si>
    <t>a351</t>
  </si>
  <si>
    <t>a352</t>
  </si>
  <si>
    <t>a353</t>
  </si>
  <si>
    <t>a354</t>
  </si>
  <si>
    <t>a355</t>
  </si>
  <si>
    <t>a356</t>
  </si>
  <si>
    <t>a357</t>
  </si>
  <si>
    <t>a358</t>
  </si>
  <si>
    <t>a359</t>
  </si>
  <si>
    <t>a360</t>
  </si>
  <si>
    <t>a361</t>
  </si>
  <si>
    <t>a362</t>
  </si>
  <si>
    <t>a363</t>
  </si>
  <si>
    <t>a364</t>
  </si>
  <si>
    <t>a365</t>
  </si>
  <si>
    <t>a366</t>
  </si>
  <si>
    <t>a367</t>
  </si>
  <si>
    <t>a368</t>
  </si>
  <si>
    <t>a369</t>
  </si>
  <si>
    <t>a370</t>
  </si>
  <si>
    <t>a371</t>
  </si>
  <si>
    <t>a372</t>
  </si>
  <si>
    <t>a373</t>
  </si>
  <si>
    <t>a374</t>
  </si>
  <si>
    <t>a375</t>
  </si>
  <si>
    <t>a376</t>
  </si>
  <si>
    <t>a377</t>
  </si>
  <si>
    <t>a378</t>
  </si>
  <si>
    <t>a379</t>
  </si>
  <si>
    <t>a380</t>
  </si>
  <si>
    <t>a381</t>
  </si>
  <si>
    <t>a382</t>
  </si>
  <si>
    <t>a383</t>
  </si>
  <si>
    <t>a384</t>
  </si>
  <si>
    <t>a385</t>
  </si>
  <si>
    <t>a386</t>
  </si>
  <si>
    <t>a387</t>
  </si>
  <si>
    <t>a388</t>
  </si>
  <si>
    <t>a389</t>
  </si>
  <si>
    <t>a390</t>
  </si>
  <si>
    <t>a391</t>
  </si>
  <si>
    <t>a392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</si>
  <si>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</si>
  <si>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</si>
  <si>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</si>
  <si>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</si>
  <si>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</si>
  <si>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</si>
  <si>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</si>
  <si>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</si>
  <si>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</si>
  <si>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</si>
  <si>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</si>
  <si>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</si>
  <si>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</si>
  <si>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</si>
  <si>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</si>
  <si>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</si>
  <si>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</si>
  <si>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</si>
  <si>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</si>
  <si>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</si>
  <si>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</si>
  <si>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a414</t>
  </si>
  <si>
    <t>a415</t>
  </si>
  <si>
    <t>a416</t>
  </si>
  <si>
    <t>a417</t>
  </si>
  <si>
    <t>a418</t>
  </si>
  <si>
    <t>a419</t>
  </si>
  <si>
    <t>a420</t>
  </si>
  <si>
    <t>a421</t>
  </si>
  <si>
    <t>a422</t>
  </si>
  <si>
    <t>a423</t>
  </si>
  <si>
    <t>a424</t>
  </si>
  <si>
    <t>a425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</si>
  <si>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</si>
  <si>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</si>
  <si>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</si>
  <si>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</si>
  <si>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</si>
  <si>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</si>
  <si>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</si>
  <si>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</si>
  <si>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</si>
  <si>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</si>
  <si>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</si>
  <si>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a437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</si>
  <si>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</si>
  <si>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</si>
  <si>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</si>
  <si>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</si>
  <si>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</si>
  <si>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</si>
  <si>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</si>
  <si>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</si>
  <si>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</si>
  <si>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</si>
  <si>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</si>
  <si>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</si>
  <si>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</si>
  <si>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</si>
  <si>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</si>
  <si>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a453</t>
  </si>
  <si>
    <t>a454</t>
  </si>
  <si>
    <t>a455</t>
  </si>
  <si>
    <t>a456</t>
  </si>
  <si>
    <t>a457</t>
  </si>
  <si>
    <t>a458</t>
  </si>
  <si>
    <t>a459</t>
  </si>
  <si>
    <t>a460</t>
  </si>
  <si>
    <t>a461</t>
  </si>
  <si>
    <t>a462</t>
  </si>
  <si>
    <t>a463</t>
  </si>
  <si>
    <t>a464</t>
  </si>
  <si>
    <t>a465</t>
  </si>
  <si>
    <t>a466</t>
  </si>
  <si>
    <t>a467</t>
  </si>
  <si>
    <t>a468</t>
  </si>
  <si>
    <t>a469</t>
  </si>
  <si>
    <t>a470</t>
  </si>
  <si>
    <t>a471</t>
  </si>
  <si>
    <t>a472</t>
  </si>
  <si>
    <t>a473</t>
  </si>
  <si>
    <t>a474</t>
  </si>
  <si>
    <t>a475</t>
  </si>
  <si>
    <t>a476</t>
  </si>
  <si>
    <t>a477</t>
  </si>
  <si>
    <t>a478</t>
  </si>
  <si>
    <t>a479</t>
  </si>
  <si>
    <t>a480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</si>
  <si>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</si>
  <si>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</si>
  <si>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</si>
  <si>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</si>
  <si>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</si>
  <si>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</si>
  <si>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</si>
  <si>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</si>
  <si>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</si>
  <si>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a490</t>
  </si>
  <si>
    <t>a491</t>
  </si>
  <si>
    <t>a492</t>
  </si>
  <si>
    <t>a493</t>
  </si>
  <si>
    <t>a494</t>
  </si>
  <si>
    <t>a495</t>
  </si>
  <si>
    <t>a496</t>
  </si>
  <si>
    <t>a497</t>
  </si>
  <si>
    <t>a498</t>
  </si>
  <si>
    <t>a499</t>
  </si>
  <si>
    <t>a500</t>
  </si>
  <si>
    <t>a501</t>
  </si>
  <si>
    <t>a502</t>
  </si>
  <si>
    <t>a503</t>
  </si>
  <si>
    <t>a504</t>
  </si>
  <si>
    <t>a505</t>
  </si>
  <si>
    <t>a506</t>
  </si>
  <si>
    <t>a507</t>
  </si>
  <si>
    <t>a508</t>
  </si>
  <si>
    <t>a509</t>
  </si>
  <si>
    <t>a510</t>
  </si>
  <si>
    <t>a511</t>
  </si>
  <si>
    <t>a512</t>
  </si>
  <si>
    <t>a513</t>
  </si>
  <si>
    <t>a514</t>
  </si>
  <si>
    <t>a515</t>
  </si>
  <si>
    <t>a516</t>
  </si>
  <si>
    <t>a517</t>
  </si>
  <si>
    <t>a518</t>
  </si>
  <si>
    <t>a519</t>
  </si>
  <si>
    <t>a520</t>
  </si>
  <si>
    <t>a521</t>
  </si>
  <si>
    <t>a522</t>
  </si>
  <si>
    <t>a523</t>
  </si>
  <si>
    <t>a524</t>
  </si>
  <si>
    <t>a525</t>
  </si>
  <si>
    <t>a526</t>
  </si>
  <si>
    <t>a527</t>
  </si>
  <si>
    <t>a528</t>
  </si>
  <si>
    <t>a529</t>
  </si>
  <si>
    <t>a530</t>
  </si>
  <si>
    <t>a531</t>
  </si>
  <si>
    <t>a532</t>
  </si>
  <si>
    <t>a533</t>
  </si>
  <si>
    <t>a534</t>
  </si>
  <si>
    <t>a535</t>
  </si>
  <si>
    <t>a536</t>
  </si>
  <si>
    <t>a537</t>
  </si>
  <si>
    <t>a538</t>
  </si>
  <si>
    <t>a539</t>
  </si>
  <si>
    <t>a540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</si>
</sst>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indexed="8"/>
      <name val="宋体"/>
      <charset val="134"/>
    </font>
    <font>
      <sz val="11"/>
      <color indexed="8"/>
      <name val="微软雅黑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sz val="9"/>
      <color rgb="FF00B050"/>
      <name val="微软雅黑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宋体"/>
      <charset val="134"/>
    </font>
    <font>
      <sz val="11"/>
      <color rgb="FF222222"/>
      <name val="Carlito"/>
      <charset val="134"/>
    </font>
    <font>
      <sz val="11"/>
      <name val="Carlito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sz val="12"/>
      <name val="宋体"/>
      <charset val="134"/>
    </font>
    <font>
      <u/>
      <sz val="11"/>
      <color indexed="12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0" tint="-0.14877773369548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7" borderId="5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12" fillId="0" borderId="0"/>
    <xf numFmtId="0" fontId="33" fillId="0" borderId="0"/>
    <xf numFmtId="0" fontId="34" fillId="0" borderId="0">
      <alignment vertical="center"/>
    </xf>
    <xf numFmtId="0" fontId="4" fillId="0" borderId="0">
      <alignment vertical="center"/>
    </xf>
    <xf numFmtId="0" fontId="13" fillId="0" borderId="0"/>
    <xf numFmtId="0" fontId="13" fillId="0" borderId="0">
      <alignment vertical="center"/>
    </xf>
    <xf numFmtId="0" fontId="35" fillId="0" borderId="0">
      <alignment vertical="top"/>
      <protection locked="0"/>
    </xf>
    <xf numFmtId="0" fontId="36" fillId="36" borderId="0">
      <alignment vertical="center"/>
    </xf>
    <xf numFmtId="0" fontId="37" fillId="37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9" fillId="4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11" fillId="0" borderId="0" xfId="49" applyFont="1" applyAlignment="1">
      <alignment vertical="center"/>
    </xf>
    <xf numFmtId="0" fontId="12" fillId="0" borderId="0" xfId="49"/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 16" xfId="50"/>
    <cellStyle name="常规 2 3 2 2 2" xfId="51"/>
    <cellStyle name="常规 2 7 2 2" xfId="52"/>
    <cellStyle name="常规 39" xfId="53"/>
    <cellStyle name="常规 40" xfId="54"/>
    <cellStyle name="超链接 4 3" xfId="55"/>
    <cellStyle name="好 2 2" xfId="56"/>
    <cellStyle name="适中 2 4" xfId="57"/>
  </cellStyles>
  <dxfs count="21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BW273"/>
  <sheetViews>
    <sheetView tabSelected="1" zoomScale="115" zoomScaleNormal="115" workbookViewId="0">
      <pane xSplit="7" ySplit="2" topLeftCell="H205" activePane="bottomRight" state="frozen"/>
      <selection/>
      <selection pane="topRight"/>
      <selection pane="bottomLeft"/>
      <selection pane="bottomRight" activeCell="H223" sqref="H223"/>
    </sheetView>
  </sheetViews>
  <sheetFormatPr defaultColWidth="9" defaultRowHeight="13.2"/>
  <cols>
    <col min="1" max="1" width="11.2685185185185" style="8" customWidth="1"/>
    <col min="2" max="2" width="9.26851851851852" style="8" customWidth="1"/>
    <col min="3" max="3" width="12.0925925925926" style="8" customWidth="1"/>
    <col min="4" max="4" width="18" style="8" customWidth="1"/>
    <col min="5" max="5" width="11.5462962962963" style="8" customWidth="1"/>
    <col min="6" max="6" width="7.09259259259259" style="15" customWidth="1"/>
    <col min="7" max="7" width="12.2685185185185" style="8" customWidth="1"/>
    <col min="8" max="8" width="9.81481481481481" style="8" customWidth="1"/>
    <col min="9" max="9" width="11.3611111111111" style="8" customWidth="1"/>
    <col min="10" max="10" width="13" style="8" customWidth="1"/>
    <col min="11" max="11" width="16.1759259259259" style="8" customWidth="1"/>
    <col min="12" max="12" width="6" style="8" customWidth="1"/>
    <col min="13" max="13" width="14.9074074074074" style="15" customWidth="1"/>
    <col min="14" max="15" width="16.6296296296296" style="15" customWidth="1"/>
    <col min="16" max="16" width="8.09259259259259" style="15" customWidth="1"/>
    <col min="17" max="19" width="14.7222222222222" style="15" customWidth="1"/>
    <col min="20" max="20" width="10.6296296296296" style="15" customWidth="1"/>
    <col min="21" max="21" width="13.2685185185185" style="15" customWidth="1"/>
    <col min="22" max="22" width="10.6296296296296" style="15" customWidth="1"/>
    <col min="23" max="25" width="8.5462962962963" style="8" customWidth="1"/>
    <col min="26" max="26" width="9.72222222222222" style="15" customWidth="1"/>
    <col min="27" max="27" width="30.5462962962963" style="11" customWidth="1"/>
    <col min="28" max="28" width="32.3611111111111" style="11" customWidth="1"/>
    <col min="29" max="29" width="9" style="15" customWidth="1"/>
    <col min="30" max="30" width="6" style="15" customWidth="1"/>
    <col min="31" max="31" width="9.90740740740741" style="15" customWidth="1"/>
    <col min="32" max="32" width="9.72222222222222" style="15" customWidth="1"/>
    <col min="33" max="33" width="10.4537037037037" style="8" customWidth="1"/>
    <col min="34" max="34" width="31.0925925925926" style="8" customWidth="1"/>
    <col min="35" max="35" width="25.7222222222222" style="8" customWidth="1"/>
    <col min="36" max="36" width="29.9074074074074" style="8" customWidth="1"/>
    <col min="37" max="37" width="11" style="8" customWidth="1"/>
    <col min="38" max="38" width="9" style="8" customWidth="1"/>
    <col min="39" max="39" width="10" style="8" customWidth="1"/>
    <col min="40" max="52" width="9" style="8" customWidth="1"/>
    <col min="53" max="53" width="10.3611111111111" style="8" customWidth="1"/>
    <col min="54" max="66" width="9" style="8" customWidth="1"/>
    <col min="67" max="67" width="15.4537037037037" style="8" customWidth="1"/>
    <col min="68" max="68" width="7.5462962962963" style="8" customWidth="1"/>
    <col min="69" max="69" width="14.6296296296296" style="8" customWidth="1"/>
    <col min="70" max="70" width="12.6296296296296" style="8" customWidth="1"/>
    <col min="71" max="71" width="7.5462962962963" style="8" customWidth="1"/>
    <col min="72" max="73" width="9" style="8" customWidth="1"/>
    <col min="74" max="16384" width="9" style="8"/>
  </cols>
  <sheetData>
    <row r="1" ht="14.4" spans="1:75">
      <c r="A1" s="8" t="s">
        <v>0</v>
      </c>
      <c r="B1" s="8" t="s">
        <v>1</v>
      </c>
      <c r="C1" s="8" t="s">
        <v>2</v>
      </c>
      <c r="D1" s="8" t="s">
        <v>3</v>
      </c>
      <c r="F1" s="8" t="s">
        <v>4</v>
      </c>
      <c r="G1" s="8" t="s">
        <v>5</v>
      </c>
      <c r="J1" s="8" t="s">
        <v>6</v>
      </c>
      <c r="K1" s="8" t="s">
        <v>7</v>
      </c>
      <c r="M1" s="8"/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  <c r="T1" s="8" t="s">
        <v>14</v>
      </c>
      <c r="U1" s="15" t="s">
        <v>15</v>
      </c>
      <c r="W1" s="15"/>
      <c r="X1" s="15" t="s">
        <v>16</v>
      </c>
      <c r="Y1" s="15"/>
      <c r="AA1" s="8" t="s">
        <v>17</v>
      </c>
      <c r="AB1" s="11" t="s">
        <v>18</v>
      </c>
      <c r="AC1" s="8" t="s">
        <v>19</v>
      </c>
      <c r="AD1" s="8" t="s">
        <v>20</v>
      </c>
      <c r="AE1" s="8" t="s">
        <v>21</v>
      </c>
      <c r="AF1" s="8" t="s">
        <v>22</v>
      </c>
      <c r="AG1" s="8" t="s">
        <v>23</v>
      </c>
      <c r="AH1" s="8" t="s">
        <v>24</v>
      </c>
      <c r="AI1" s="8" t="s">
        <v>25</v>
      </c>
      <c r="AJ1" s="8" t="s">
        <v>26</v>
      </c>
      <c r="AK1" s="8" t="s">
        <v>27</v>
      </c>
      <c r="AL1" s="8" t="s">
        <v>28</v>
      </c>
      <c r="AM1" s="15" t="s">
        <v>29</v>
      </c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8" t="s">
        <v>30</v>
      </c>
      <c r="BP1" s="8" t="s">
        <v>31</v>
      </c>
      <c r="BQ1" s="8" t="s">
        <v>32</v>
      </c>
      <c r="BR1" s="8" t="s">
        <v>33</v>
      </c>
      <c r="BS1" s="8" t="s">
        <v>34</v>
      </c>
      <c r="BT1" s="8" t="s">
        <v>35</v>
      </c>
      <c r="BU1" s="8" t="s">
        <v>36</v>
      </c>
      <c r="BV1" t="s">
        <v>37</v>
      </c>
      <c r="BW1" t="s">
        <v>38</v>
      </c>
    </row>
    <row r="2" ht="14.4" spans="1:75">
      <c r="A2" s="8" t="s">
        <v>39</v>
      </c>
      <c r="B2" s="8" t="s">
        <v>40</v>
      </c>
      <c r="C2" s="8" t="s">
        <v>41</v>
      </c>
      <c r="D2" s="8" t="s">
        <v>41</v>
      </c>
      <c r="F2" s="8" t="s">
        <v>40</v>
      </c>
      <c r="G2" s="8" t="s">
        <v>41</v>
      </c>
      <c r="I2"/>
      <c r="J2" s="8" t="s">
        <v>41</v>
      </c>
      <c r="K2" s="8" t="s">
        <v>42</v>
      </c>
      <c r="M2" s="8"/>
      <c r="N2" s="8" t="s">
        <v>40</v>
      </c>
      <c r="O2" s="8" t="s">
        <v>43</v>
      </c>
      <c r="P2" s="8" t="s">
        <v>40</v>
      </c>
      <c r="Q2" s="8" t="s">
        <v>40</v>
      </c>
      <c r="R2" s="8" t="s">
        <v>41</v>
      </c>
      <c r="S2" s="8" t="s">
        <v>40</v>
      </c>
      <c r="T2" s="8" t="s">
        <v>40</v>
      </c>
      <c r="U2" s="15" t="s">
        <v>44</v>
      </c>
      <c r="W2" s="15"/>
      <c r="X2" s="15" t="s">
        <v>44</v>
      </c>
      <c r="Y2" s="15"/>
      <c r="AA2" s="8" t="s">
        <v>41</v>
      </c>
      <c r="AB2" s="11" t="s">
        <v>40</v>
      </c>
      <c r="AC2" s="8" t="s">
        <v>43</v>
      </c>
      <c r="AD2" s="8" t="s">
        <v>40</v>
      </c>
      <c r="AE2" s="8" t="s">
        <v>40</v>
      </c>
      <c r="AF2" s="8" t="s">
        <v>40</v>
      </c>
      <c r="AG2" s="8" t="s">
        <v>40</v>
      </c>
      <c r="AH2" s="8" t="s">
        <v>41</v>
      </c>
      <c r="AI2" s="8" t="s">
        <v>40</v>
      </c>
      <c r="AJ2" s="11" t="s">
        <v>40</v>
      </c>
      <c r="AK2" s="8" t="s">
        <v>43</v>
      </c>
      <c r="AL2" s="8" t="s">
        <v>40</v>
      </c>
      <c r="AM2" s="15" t="s">
        <v>45</v>
      </c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8" t="s">
        <v>43</v>
      </c>
      <c r="BP2" s="8" t="s">
        <v>41</v>
      </c>
      <c r="BQ2" s="8" t="s">
        <v>40</v>
      </c>
      <c r="BR2" s="8" t="s">
        <v>40</v>
      </c>
      <c r="BS2" s="8" t="s">
        <v>40</v>
      </c>
      <c r="BT2" s="8" t="s">
        <v>40</v>
      </c>
      <c r="BU2" s="8" t="s">
        <v>41</v>
      </c>
      <c r="BV2" t="s">
        <v>46</v>
      </c>
      <c r="BW2" t="s">
        <v>40</v>
      </c>
    </row>
    <row r="3" ht="14.4" spans="1:75">
      <c r="A3" s="8" t="s">
        <v>47</v>
      </c>
      <c r="D3" s="8" t="s">
        <v>48</v>
      </c>
      <c r="F3" s="8"/>
      <c r="G3" s="8" t="s">
        <v>48</v>
      </c>
      <c r="J3" s="8" t="s">
        <v>48</v>
      </c>
      <c r="K3" s="8" t="s">
        <v>48</v>
      </c>
      <c r="M3" s="8"/>
      <c r="N3" s="8" t="s">
        <v>48</v>
      </c>
      <c r="O3" s="8" t="s">
        <v>48</v>
      </c>
      <c r="P3" s="8" t="s">
        <v>48</v>
      </c>
      <c r="Q3" s="8"/>
      <c r="R3" s="8" t="s">
        <v>49</v>
      </c>
      <c r="S3" s="8" t="s">
        <v>49</v>
      </c>
      <c r="T3" s="8" t="s">
        <v>48</v>
      </c>
      <c r="U3" s="15" t="s">
        <v>49</v>
      </c>
      <c r="W3" s="15"/>
      <c r="X3" s="15" t="s">
        <v>48</v>
      </c>
      <c r="Y3" s="15"/>
      <c r="AA3" s="8" t="s">
        <v>48</v>
      </c>
      <c r="AB3" s="11" t="s">
        <v>48</v>
      </c>
      <c r="AC3" s="8" t="s">
        <v>48</v>
      </c>
      <c r="AD3" s="8" t="s">
        <v>48</v>
      </c>
      <c r="AE3" s="8" t="s">
        <v>48</v>
      </c>
      <c r="AF3" s="8" t="s">
        <v>48</v>
      </c>
      <c r="AG3" s="8" t="s">
        <v>48</v>
      </c>
      <c r="AH3" s="8" t="s">
        <v>48</v>
      </c>
      <c r="AI3" s="8" t="s">
        <v>48</v>
      </c>
      <c r="AJ3" s="8" t="s">
        <v>48</v>
      </c>
      <c r="AK3" s="8" t="s">
        <v>48</v>
      </c>
      <c r="BO3" s="8" t="s">
        <v>48</v>
      </c>
      <c r="BP3" s="8" t="s">
        <v>48</v>
      </c>
      <c r="BQ3" s="8" t="s">
        <v>48</v>
      </c>
      <c r="BR3" s="8" t="s">
        <v>48</v>
      </c>
      <c r="BS3" s="8" t="s">
        <v>48</v>
      </c>
      <c r="BT3" s="8" t="s">
        <v>48</v>
      </c>
      <c r="BU3" s="8" t="s">
        <v>48</v>
      </c>
      <c r="BV3" t="s">
        <v>48</v>
      </c>
      <c r="BW3" t="s">
        <v>48</v>
      </c>
    </row>
    <row r="4" ht="21" customHeight="1" spans="1:75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74</v>
      </c>
      <c r="AA4" s="8" t="s">
        <v>75</v>
      </c>
      <c r="AB4" s="11" t="s">
        <v>76</v>
      </c>
      <c r="AC4" s="8" t="s">
        <v>77</v>
      </c>
      <c r="AD4" s="8" t="s">
        <v>78</v>
      </c>
      <c r="AE4" s="8" t="s">
        <v>79</v>
      </c>
      <c r="AF4" s="8" t="s">
        <v>80</v>
      </c>
      <c r="AG4" s="8" t="s">
        <v>81</v>
      </c>
      <c r="AH4" s="8" t="s">
        <v>82</v>
      </c>
      <c r="AI4" s="8" t="s">
        <v>83</v>
      </c>
      <c r="AJ4" s="8" t="s">
        <v>84</v>
      </c>
      <c r="AK4" s="8" t="s">
        <v>85</v>
      </c>
      <c r="AL4" s="8" t="s">
        <v>86</v>
      </c>
      <c r="AM4" s="8" t="s">
        <v>87</v>
      </c>
      <c r="AN4" s="8" t="s">
        <v>88</v>
      </c>
      <c r="AO4" s="8" t="s">
        <v>89</v>
      </c>
      <c r="AP4" s="8" t="s">
        <v>90</v>
      </c>
      <c r="AQ4" s="8" t="s">
        <v>91</v>
      </c>
      <c r="AR4" s="8" t="s">
        <v>92</v>
      </c>
      <c r="AS4" s="8" t="s">
        <v>93</v>
      </c>
      <c r="AT4" s="8" t="s">
        <v>94</v>
      </c>
      <c r="AU4" s="8" t="s">
        <v>95</v>
      </c>
      <c r="AV4" s="8" t="s">
        <v>96</v>
      </c>
      <c r="AW4" s="8" t="s">
        <v>97</v>
      </c>
      <c r="AX4" s="8" t="s">
        <v>98</v>
      </c>
      <c r="AY4" s="8" t="s">
        <v>99</v>
      </c>
      <c r="AZ4" s="8" t="s">
        <v>100</v>
      </c>
      <c r="BA4" s="8" t="s">
        <v>101</v>
      </c>
      <c r="BB4" s="8" t="s">
        <v>102</v>
      </c>
      <c r="BC4" s="8" t="s">
        <v>103</v>
      </c>
      <c r="BD4" s="8" t="s">
        <v>104</v>
      </c>
      <c r="BE4" s="8" t="s">
        <v>105</v>
      </c>
      <c r="BF4" s="8" t="s">
        <v>106</v>
      </c>
      <c r="BG4" s="8" t="s">
        <v>107</v>
      </c>
      <c r="BH4" s="8" t="s">
        <v>108</v>
      </c>
      <c r="BI4" s="8" t="s">
        <v>109</v>
      </c>
      <c r="BJ4" s="8" t="s">
        <v>110</v>
      </c>
      <c r="BK4" s="8" t="s">
        <v>111</v>
      </c>
      <c r="BL4" s="8" t="s">
        <v>112</v>
      </c>
      <c r="BM4" s="8" t="s">
        <v>113</v>
      </c>
      <c r="BN4" s="8" t="s">
        <v>114</v>
      </c>
      <c r="BO4" s="8" t="s">
        <v>115</v>
      </c>
      <c r="BP4" s="8" t="s">
        <v>116</v>
      </c>
      <c r="BQ4" s="8" t="s">
        <v>117</v>
      </c>
      <c r="BR4" s="8" t="s">
        <v>118</v>
      </c>
      <c r="BS4" s="8" t="s">
        <v>119</v>
      </c>
      <c r="BT4" s="8" t="s">
        <v>120</v>
      </c>
      <c r="BU4" s="8" t="s">
        <v>121</v>
      </c>
      <c r="BV4" t="s">
        <v>122</v>
      </c>
      <c r="BW4" t="s">
        <v>123</v>
      </c>
    </row>
    <row r="5" ht="16.5" customHeight="1" spans="1:75">
      <c r="B5" s="8">
        <f>60000000+INDEX(编号表!$B:$B,MATCH(J5,编号表!$A:$A,0))*10000+INDEX(编号表!$B:$B,MATCH(K5,编号表!$C:$C,0))*1000+L5</f>
        <v>60011001</v>
      </c>
      <c r="C5" s="8" t="s">
        <v>124</v>
      </c>
      <c r="D5" s="5" t="s">
        <v>125</v>
      </c>
      <c r="E5" s="8" t="s">
        <v>126</v>
      </c>
      <c r="F5" s="8">
        <v>1</v>
      </c>
      <c r="G5" s="8" t="str">
        <f>INDEX(编号表!$E:$E,MATCH(K5,编号表!$C:$C,0))</f>
        <v>白色</v>
      </c>
      <c r="H5" s="8">
        <v>1</v>
      </c>
      <c r="I5" s="8" t="s">
        <v>127</v>
      </c>
      <c r="J5" s="8" t="s">
        <v>128</v>
      </c>
      <c r="K5" s="8" t="s">
        <v>129</v>
      </c>
      <c r="L5" s="8">
        <v>1</v>
      </c>
      <c r="M5" s="8">
        <v>1</v>
      </c>
      <c r="N5" s="8"/>
      <c r="O5" s="8"/>
      <c r="P5" s="8">
        <v>10</v>
      </c>
      <c r="Q5" s="8">
        <v>100000</v>
      </c>
      <c r="R5" s="8"/>
      <c r="S5" s="8"/>
      <c r="T5" s="8">
        <v>1</v>
      </c>
      <c r="U5" s="16">
        <v>40010001</v>
      </c>
      <c r="V5" s="8">
        <v>40030001</v>
      </c>
      <c r="X5" s="8">
        <v>11000001</v>
      </c>
      <c r="Z5" s="8"/>
      <c r="AA5" s="8" t="s">
        <v>130</v>
      </c>
      <c r="AB5" s="11">
        <v>20001</v>
      </c>
      <c r="AC5" s="8">
        <v>2</v>
      </c>
      <c r="AD5" s="8">
        <v>10</v>
      </c>
      <c r="AE5" s="8">
        <v>10</v>
      </c>
      <c r="AF5" s="8">
        <v>5</v>
      </c>
      <c r="AG5" s="8">
        <v>5</v>
      </c>
      <c r="AH5" s="8" t="s">
        <v>131</v>
      </c>
      <c r="AJ5" s="17"/>
      <c r="AL5" s="18">
        <v>12</v>
      </c>
      <c r="AM5" s="8" t="s">
        <v>132</v>
      </c>
      <c r="AN5" s="19">
        <v>1</v>
      </c>
      <c r="AO5" s="8" t="s">
        <v>133</v>
      </c>
      <c r="AP5" s="8">
        <v>0</v>
      </c>
      <c r="AQ5" s="8" t="s">
        <v>134</v>
      </c>
      <c r="AR5" s="8">
        <v>0</v>
      </c>
      <c r="AS5" s="8" t="s">
        <v>135</v>
      </c>
      <c r="AT5" s="8">
        <v>0</v>
      </c>
      <c r="AU5" s="8" t="s">
        <v>136</v>
      </c>
      <c r="AV5" s="8">
        <v>0</v>
      </c>
      <c r="AW5" s="8" t="s">
        <v>137</v>
      </c>
      <c r="AX5" s="8">
        <v>1</v>
      </c>
      <c r="AY5" s="8" t="s">
        <v>138</v>
      </c>
      <c r="AZ5" s="8">
        <v>2</v>
      </c>
      <c r="BA5" s="8" t="s">
        <v>139</v>
      </c>
      <c r="BB5" s="8">
        <v>1</v>
      </c>
      <c r="BC5" s="8" t="s">
        <v>140</v>
      </c>
      <c r="BD5" s="8">
        <v>2</v>
      </c>
      <c r="BE5" s="8" t="s">
        <v>139</v>
      </c>
      <c r="BF5" s="8">
        <v>1</v>
      </c>
      <c r="BG5" s="8" t="s">
        <v>140</v>
      </c>
      <c r="BH5" s="8">
        <v>2</v>
      </c>
      <c r="BI5" s="8" t="s">
        <v>141</v>
      </c>
      <c r="BJ5" s="8">
        <v>100</v>
      </c>
      <c r="BK5" s="8" t="s">
        <v>142</v>
      </c>
      <c r="BL5" s="8">
        <v>120</v>
      </c>
      <c r="BM5" s="8" t="s">
        <v>143</v>
      </c>
      <c r="BN5" s="8">
        <v>400</v>
      </c>
      <c r="BQ5" s="8">
        <v>1</v>
      </c>
      <c r="BR5" s="8">
        <v>2500</v>
      </c>
      <c r="BS5" s="8">
        <v>2</v>
      </c>
      <c r="BT5" s="8">
        <v>2500</v>
      </c>
      <c r="BU5" s="20" t="s">
        <v>144</v>
      </c>
      <c r="BV5">
        <v>1</v>
      </c>
      <c r="BW5">
        <v>1</v>
      </c>
    </row>
    <row r="6" ht="16.5" customHeight="1" spans="1:75">
      <c r="B6" s="8">
        <f>60000000+INDEX(编号表!$B:$B,MATCH(J6,编号表!$A:$A,0))*10000+INDEX(编号表!$B:$B,MATCH(K6,编号表!$C:$C,0))*1000+L6</f>
        <v>60011002</v>
      </c>
      <c r="C6" s="8" t="s">
        <v>145</v>
      </c>
      <c r="D6" s="5" t="s">
        <v>146</v>
      </c>
      <c r="E6" s="8" t="s">
        <v>147</v>
      </c>
      <c r="F6" s="8">
        <v>2</v>
      </c>
      <c r="G6" s="8" t="str">
        <f>INDEX(编号表!$E:$E,MATCH(K6,编号表!$C:$C,0))</f>
        <v>白色</v>
      </c>
      <c r="H6" s="8">
        <v>1</v>
      </c>
      <c r="I6" s="8" t="s">
        <v>127</v>
      </c>
      <c r="J6" s="8" t="s">
        <v>128</v>
      </c>
      <c r="K6" s="8" t="s">
        <v>129</v>
      </c>
      <c r="L6" s="8">
        <v>2</v>
      </c>
      <c r="M6" s="8">
        <v>2</v>
      </c>
      <c r="N6" s="8"/>
      <c r="O6" s="8"/>
      <c r="P6" s="8">
        <v>10</v>
      </c>
      <c r="Q6" s="8">
        <v>150000</v>
      </c>
      <c r="R6" s="8"/>
      <c r="S6" s="8"/>
      <c r="T6" s="8">
        <v>1</v>
      </c>
      <c r="U6" s="16">
        <v>40010001</v>
      </c>
      <c r="V6" s="16">
        <v>40030001</v>
      </c>
      <c r="X6" s="8">
        <v>11000001</v>
      </c>
      <c r="Z6" s="8"/>
      <c r="AA6" s="8" t="s">
        <v>130</v>
      </c>
      <c r="AB6" s="11">
        <v>20002</v>
      </c>
      <c r="AC6" s="8">
        <v>1.27</v>
      </c>
      <c r="AD6" s="8">
        <v>10</v>
      </c>
      <c r="AE6" s="8">
        <v>10</v>
      </c>
      <c r="AF6" s="8">
        <v>5</v>
      </c>
      <c r="AG6" s="8">
        <v>5</v>
      </c>
      <c r="AH6" s="8" t="s">
        <v>131</v>
      </c>
      <c r="AJ6" s="17"/>
      <c r="AL6" s="18">
        <v>33</v>
      </c>
      <c r="AM6" s="8" t="s">
        <v>132</v>
      </c>
      <c r="AN6" s="19">
        <v>1</v>
      </c>
      <c r="AO6" s="8" t="s">
        <v>133</v>
      </c>
      <c r="AP6" s="8">
        <v>0</v>
      </c>
      <c r="AQ6" s="8" t="s">
        <v>134</v>
      </c>
      <c r="AR6" s="8">
        <v>0</v>
      </c>
      <c r="AS6" s="8" t="s">
        <v>135</v>
      </c>
      <c r="AT6" s="8">
        <v>0</v>
      </c>
      <c r="AU6" s="8" t="s">
        <v>136</v>
      </c>
      <c r="AV6" s="8">
        <v>0</v>
      </c>
      <c r="AW6" s="8" t="s">
        <v>137</v>
      </c>
      <c r="AX6" s="8">
        <v>1</v>
      </c>
      <c r="AY6" s="8" t="s">
        <v>138</v>
      </c>
      <c r="AZ6" s="8">
        <v>2</v>
      </c>
      <c r="BA6" s="8" t="s">
        <v>139</v>
      </c>
      <c r="BB6" s="8">
        <v>1</v>
      </c>
      <c r="BC6" s="8" t="s">
        <v>140</v>
      </c>
      <c r="BD6" s="8">
        <v>2</v>
      </c>
      <c r="BE6" s="8" t="s">
        <v>139</v>
      </c>
      <c r="BF6" s="8">
        <v>1</v>
      </c>
      <c r="BG6" s="8" t="s">
        <v>140</v>
      </c>
      <c r="BH6" s="8">
        <v>2</v>
      </c>
      <c r="BI6" s="8" t="s">
        <v>141</v>
      </c>
      <c r="BJ6" s="8">
        <v>100</v>
      </c>
      <c r="BK6" s="8" t="s">
        <v>142</v>
      </c>
      <c r="BL6" s="8">
        <v>120</v>
      </c>
      <c r="BM6" s="8" t="s">
        <v>143</v>
      </c>
      <c r="BN6" s="8">
        <v>400</v>
      </c>
      <c r="BQ6" s="8">
        <v>1</v>
      </c>
      <c r="BR6" s="8">
        <v>2500</v>
      </c>
      <c r="BS6" s="8">
        <v>2</v>
      </c>
      <c r="BT6" s="8">
        <v>2500</v>
      </c>
      <c r="BU6" s="8" t="s">
        <v>144</v>
      </c>
      <c r="BV6">
        <v>1</v>
      </c>
      <c r="BW6">
        <v>2</v>
      </c>
    </row>
    <row r="7" ht="16.5" customHeight="1" spans="1:75">
      <c r="B7" s="8">
        <f>60000000+INDEX(编号表!$B:$B,MATCH(J7,编号表!$A:$A,0))*10000+INDEX(编号表!$B:$B,MATCH(K7,编号表!$C:$C,0))*1000+L7</f>
        <v>60011003</v>
      </c>
      <c r="C7" s="8" t="s">
        <v>148</v>
      </c>
      <c r="D7" s="5" t="s">
        <v>149</v>
      </c>
      <c r="E7" s="8" t="s">
        <v>150</v>
      </c>
      <c r="F7" s="8">
        <v>3</v>
      </c>
      <c r="G7" s="8" t="str">
        <f>INDEX(编号表!$E:$E,MATCH(K7,编号表!$C:$C,0))</f>
        <v>白色</v>
      </c>
      <c r="H7" s="8">
        <v>1</v>
      </c>
      <c r="I7" s="8" t="s">
        <v>127</v>
      </c>
      <c r="J7" s="8" t="s">
        <v>128</v>
      </c>
      <c r="K7" s="8" t="s">
        <v>129</v>
      </c>
      <c r="L7" s="8">
        <v>3</v>
      </c>
      <c r="M7" s="8">
        <v>3</v>
      </c>
      <c r="N7" s="8"/>
      <c r="O7" s="8"/>
      <c r="P7" s="8">
        <v>10</v>
      </c>
      <c r="Q7" s="8">
        <v>300000</v>
      </c>
      <c r="R7" s="8"/>
      <c r="S7" s="8"/>
      <c r="T7" s="8">
        <v>1</v>
      </c>
      <c r="U7" s="16">
        <v>40010001</v>
      </c>
      <c r="V7" s="16">
        <v>40030001</v>
      </c>
      <c r="X7" s="8">
        <v>11000001</v>
      </c>
      <c r="Z7" s="8"/>
      <c r="AA7" s="8" t="s">
        <v>130</v>
      </c>
      <c r="AB7" s="11">
        <v>20003</v>
      </c>
      <c r="AC7" s="8">
        <v>1.45</v>
      </c>
      <c r="AD7" s="8">
        <v>30</v>
      </c>
      <c r="AE7" s="8">
        <v>30</v>
      </c>
      <c r="AF7" s="8">
        <v>15</v>
      </c>
      <c r="AG7" s="8">
        <v>15</v>
      </c>
      <c r="AH7" s="8" t="s">
        <v>131</v>
      </c>
      <c r="AJ7" s="17"/>
      <c r="AL7" s="18">
        <v>36</v>
      </c>
      <c r="AM7" s="8" t="s">
        <v>132</v>
      </c>
      <c r="AN7" s="19">
        <v>1</v>
      </c>
      <c r="AO7" s="8" t="s">
        <v>133</v>
      </c>
      <c r="AP7" s="8">
        <v>0</v>
      </c>
      <c r="AQ7" s="8" t="s">
        <v>134</v>
      </c>
      <c r="AR7" s="8">
        <v>0</v>
      </c>
      <c r="AS7" s="8" t="s">
        <v>135</v>
      </c>
      <c r="AT7" s="8">
        <v>0</v>
      </c>
      <c r="AU7" s="8" t="s">
        <v>136</v>
      </c>
      <c r="AV7" s="8">
        <v>0</v>
      </c>
      <c r="AW7" s="8" t="s">
        <v>137</v>
      </c>
      <c r="AX7" s="8">
        <v>1</v>
      </c>
      <c r="AY7" s="8" t="s">
        <v>138</v>
      </c>
      <c r="AZ7" s="8">
        <v>2</v>
      </c>
      <c r="BA7" s="8" t="s">
        <v>139</v>
      </c>
      <c r="BB7" s="8">
        <v>1</v>
      </c>
      <c r="BC7" s="8" t="s">
        <v>140</v>
      </c>
      <c r="BD7" s="8">
        <v>2</v>
      </c>
      <c r="BE7" s="8" t="s">
        <v>139</v>
      </c>
      <c r="BF7" s="8">
        <v>1</v>
      </c>
      <c r="BG7" s="8" t="s">
        <v>140</v>
      </c>
      <c r="BH7" s="8">
        <v>2</v>
      </c>
      <c r="BI7" s="8" t="s">
        <v>141</v>
      </c>
      <c r="BJ7" s="8">
        <v>100</v>
      </c>
      <c r="BK7" s="8" t="s">
        <v>142</v>
      </c>
      <c r="BL7" s="8">
        <v>120</v>
      </c>
      <c r="BM7" s="8" t="s">
        <v>143</v>
      </c>
      <c r="BN7" s="8">
        <v>400</v>
      </c>
      <c r="BQ7" s="8">
        <v>1</v>
      </c>
      <c r="BR7" s="8">
        <v>2500</v>
      </c>
      <c r="BS7" s="8">
        <v>2</v>
      </c>
      <c r="BT7" s="8">
        <v>2500</v>
      </c>
      <c r="BU7" s="8" t="s">
        <v>144</v>
      </c>
      <c r="BV7">
        <v>1</v>
      </c>
      <c r="BW7">
        <v>3</v>
      </c>
    </row>
    <row r="8" ht="16.5" customHeight="1" spans="1:75">
      <c r="B8" s="8">
        <f>60000000+INDEX(编号表!$B:$B,MATCH(J8,编号表!$A:$A,0))*10000+INDEX(编号表!$B:$B,MATCH(K8,编号表!$C:$C,0))*1000+L8</f>
        <v>60011004</v>
      </c>
      <c r="C8" s="8" t="s">
        <v>151</v>
      </c>
      <c r="D8" s="5" t="s">
        <v>152</v>
      </c>
      <c r="E8" s="8" t="s">
        <v>153</v>
      </c>
      <c r="F8" s="8">
        <v>4</v>
      </c>
      <c r="G8" s="8" t="str">
        <f>INDEX(编号表!$E:$E,MATCH(K8,编号表!$C:$C,0))</f>
        <v>白色</v>
      </c>
      <c r="H8" s="8">
        <v>1</v>
      </c>
      <c r="I8" s="8" t="s">
        <v>127</v>
      </c>
      <c r="J8" s="8" t="s">
        <v>128</v>
      </c>
      <c r="K8" s="8" t="s">
        <v>129</v>
      </c>
      <c r="L8" s="8">
        <v>4</v>
      </c>
      <c r="M8" s="8">
        <v>4</v>
      </c>
      <c r="N8" s="8"/>
      <c r="O8" s="8"/>
      <c r="P8" s="8">
        <v>10</v>
      </c>
      <c r="Q8" s="8">
        <v>150000</v>
      </c>
      <c r="R8" s="8"/>
      <c r="S8" s="8"/>
      <c r="T8" s="8">
        <v>1</v>
      </c>
      <c r="U8" s="16">
        <v>40010001</v>
      </c>
      <c r="V8" s="8">
        <v>40030001</v>
      </c>
      <c r="X8" s="8">
        <v>11000001</v>
      </c>
      <c r="Z8" s="8"/>
      <c r="AA8" s="8" t="s">
        <v>130</v>
      </c>
      <c r="AB8" s="11">
        <v>20004</v>
      </c>
      <c r="AC8" s="8">
        <v>1.06</v>
      </c>
      <c r="AD8" s="8">
        <v>10</v>
      </c>
      <c r="AE8" s="8">
        <v>10</v>
      </c>
      <c r="AF8" s="8">
        <v>5</v>
      </c>
      <c r="AG8" s="8">
        <v>5</v>
      </c>
      <c r="AH8" s="8" t="s">
        <v>131</v>
      </c>
      <c r="AJ8" s="17"/>
      <c r="AL8" s="18">
        <v>26</v>
      </c>
      <c r="AM8" s="8" t="s">
        <v>132</v>
      </c>
      <c r="AN8" s="19">
        <v>1</v>
      </c>
      <c r="AO8" s="8" t="s">
        <v>133</v>
      </c>
      <c r="AP8" s="8">
        <v>2</v>
      </c>
      <c r="AQ8" s="8" t="s">
        <v>134</v>
      </c>
      <c r="AR8" s="8">
        <v>3</v>
      </c>
      <c r="AS8" s="8" t="s">
        <v>135</v>
      </c>
      <c r="AT8" s="8">
        <v>2</v>
      </c>
      <c r="AU8" s="8" t="s">
        <v>136</v>
      </c>
      <c r="AV8" s="8">
        <v>3</v>
      </c>
      <c r="AW8" s="8" t="s">
        <v>137</v>
      </c>
      <c r="AX8" s="8">
        <v>5</v>
      </c>
      <c r="AY8" s="8" t="s">
        <v>138</v>
      </c>
      <c r="AZ8" s="8">
        <v>7</v>
      </c>
      <c r="BA8" s="8" t="s">
        <v>139</v>
      </c>
      <c r="BB8" s="8">
        <v>5</v>
      </c>
      <c r="BC8" s="8" t="s">
        <v>140</v>
      </c>
      <c r="BD8" s="8">
        <v>7</v>
      </c>
      <c r="BE8" s="8" t="s">
        <v>139</v>
      </c>
      <c r="BF8" s="8">
        <v>0</v>
      </c>
      <c r="BG8" s="8" t="s">
        <v>140</v>
      </c>
      <c r="BH8" s="8">
        <v>0</v>
      </c>
      <c r="BI8" s="8" t="s">
        <v>141</v>
      </c>
      <c r="BJ8" s="8">
        <v>100</v>
      </c>
      <c r="BK8" s="8" t="s">
        <v>142</v>
      </c>
      <c r="BL8" s="8">
        <v>120</v>
      </c>
      <c r="BM8" s="8" t="s">
        <v>143</v>
      </c>
      <c r="BN8" s="8">
        <v>400</v>
      </c>
      <c r="BQ8" s="8">
        <v>1</v>
      </c>
      <c r="BR8" s="8">
        <v>2500</v>
      </c>
      <c r="BS8" s="8">
        <v>2</v>
      </c>
      <c r="BT8" s="8">
        <v>2500</v>
      </c>
      <c r="BU8" s="8" t="s">
        <v>144</v>
      </c>
      <c r="BV8">
        <v>1</v>
      </c>
      <c r="BW8">
        <v>4</v>
      </c>
    </row>
    <row r="9" ht="16.5" customHeight="1" spans="1:75">
      <c r="B9" s="8">
        <f>60000000+INDEX(编号表!$B:$B,MATCH(J9,编号表!$A:$A,0))*10000+INDEX(编号表!$B:$B,MATCH(K9,编号表!$C:$C,0))*1000+L9</f>
        <v>60011005</v>
      </c>
      <c r="C9" s="8" t="s">
        <v>154</v>
      </c>
      <c r="D9" s="5" t="s">
        <v>155</v>
      </c>
      <c r="E9" s="8" t="s">
        <v>156</v>
      </c>
      <c r="F9" s="8">
        <v>5</v>
      </c>
      <c r="G9" s="8" t="str">
        <f>INDEX(编号表!$E:$E,MATCH(K9,编号表!$C:$C,0))</f>
        <v>白色</v>
      </c>
      <c r="H9" s="8">
        <v>1</v>
      </c>
      <c r="I9" s="8" t="s">
        <v>127</v>
      </c>
      <c r="J9" s="8" t="s">
        <v>128</v>
      </c>
      <c r="K9" s="8" t="s">
        <v>129</v>
      </c>
      <c r="L9" s="8">
        <v>5</v>
      </c>
      <c r="M9" s="8">
        <v>5</v>
      </c>
      <c r="N9" s="8"/>
      <c r="O9" s="8"/>
      <c r="P9" s="8">
        <v>10</v>
      </c>
      <c r="Q9" s="8">
        <v>150000</v>
      </c>
      <c r="R9" s="8"/>
      <c r="S9" s="8"/>
      <c r="T9" s="8">
        <v>1</v>
      </c>
      <c r="U9" s="16">
        <v>40010001</v>
      </c>
      <c r="V9" s="8">
        <v>40030001</v>
      </c>
      <c r="X9" s="8">
        <v>11000001</v>
      </c>
      <c r="Z9" s="8"/>
      <c r="AA9" s="8" t="s">
        <v>130</v>
      </c>
      <c r="AB9" s="11">
        <v>20005</v>
      </c>
      <c r="AC9" s="8">
        <v>1.57</v>
      </c>
      <c r="AD9" s="8">
        <v>10</v>
      </c>
      <c r="AE9" s="8">
        <v>10</v>
      </c>
      <c r="AF9" s="8">
        <v>5</v>
      </c>
      <c r="AG9" s="8">
        <v>5</v>
      </c>
      <c r="AH9" s="8" t="s">
        <v>131</v>
      </c>
      <c r="AJ9" s="17"/>
      <c r="AL9" s="18">
        <v>33</v>
      </c>
      <c r="AM9" s="8" t="s">
        <v>132</v>
      </c>
      <c r="AN9" s="19">
        <v>1</v>
      </c>
      <c r="AO9" s="8" t="s">
        <v>133</v>
      </c>
      <c r="AP9" s="8">
        <v>3</v>
      </c>
      <c r="AQ9" s="8" t="s">
        <v>134</v>
      </c>
      <c r="AR9" s="8">
        <v>4</v>
      </c>
      <c r="AS9" s="8" t="s">
        <v>135</v>
      </c>
      <c r="AT9" s="8">
        <v>3</v>
      </c>
      <c r="AU9" s="8" t="s">
        <v>136</v>
      </c>
      <c r="AV9" s="8">
        <v>4</v>
      </c>
      <c r="AW9" s="8" t="s">
        <v>137</v>
      </c>
      <c r="AX9" s="8">
        <v>7</v>
      </c>
      <c r="AY9" s="8" t="s">
        <v>138</v>
      </c>
      <c r="AZ9" s="8">
        <v>9</v>
      </c>
      <c r="BA9" s="8" t="s">
        <v>139</v>
      </c>
      <c r="BB9" s="8">
        <v>7</v>
      </c>
      <c r="BC9" s="8" t="s">
        <v>140</v>
      </c>
      <c r="BD9" s="8">
        <v>9</v>
      </c>
      <c r="BE9" s="8" t="s">
        <v>139</v>
      </c>
      <c r="BF9" s="8">
        <v>0</v>
      </c>
      <c r="BG9" s="8" t="s">
        <v>140</v>
      </c>
      <c r="BH9" s="8">
        <v>0</v>
      </c>
      <c r="BI9" s="8" t="s">
        <v>141</v>
      </c>
      <c r="BJ9" s="8">
        <v>100</v>
      </c>
      <c r="BK9" s="8" t="s">
        <v>142</v>
      </c>
      <c r="BL9" s="8">
        <v>120</v>
      </c>
      <c r="BM9" s="8" t="s">
        <v>143</v>
      </c>
      <c r="BN9" s="8">
        <v>400</v>
      </c>
      <c r="BQ9" s="8">
        <v>1</v>
      </c>
      <c r="BR9" s="8">
        <v>2500</v>
      </c>
      <c r="BS9" s="8">
        <v>2</v>
      </c>
      <c r="BT9" s="8">
        <v>2500</v>
      </c>
      <c r="BU9" s="8" t="s">
        <v>144</v>
      </c>
      <c r="BV9">
        <v>1</v>
      </c>
      <c r="BW9">
        <v>5</v>
      </c>
    </row>
    <row r="10" ht="16.5" customHeight="1" spans="1:75">
      <c r="B10" s="8">
        <f>60000000+INDEX(编号表!$B:$B,MATCH(J10,编号表!$A:$A,0))*10000+INDEX(编号表!$B:$B,MATCH(K10,编号表!$C:$C,0))*1000+L10</f>
        <v>60011006</v>
      </c>
      <c r="C10" s="8" t="s">
        <v>157</v>
      </c>
      <c r="D10" s="5" t="s">
        <v>158</v>
      </c>
      <c r="E10" s="8" t="s">
        <v>159</v>
      </c>
      <c r="F10" s="8">
        <v>6</v>
      </c>
      <c r="G10" s="8" t="str">
        <f>INDEX(编号表!$E:$E,MATCH(K10,编号表!$C:$C,0))</f>
        <v>白色</v>
      </c>
      <c r="H10" s="8">
        <v>1</v>
      </c>
      <c r="I10" s="8" t="s">
        <v>127</v>
      </c>
      <c r="J10" s="8" t="s">
        <v>128</v>
      </c>
      <c r="K10" s="8" t="s">
        <v>129</v>
      </c>
      <c r="L10" s="8">
        <v>6</v>
      </c>
      <c r="M10" s="8">
        <v>6</v>
      </c>
      <c r="N10" s="8"/>
      <c r="O10" s="8"/>
      <c r="P10" s="8">
        <v>10</v>
      </c>
      <c r="Q10" s="8">
        <v>150000</v>
      </c>
      <c r="R10" s="8"/>
      <c r="S10" s="8"/>
      <c r="T10" s="8">
        <v>1</v>
      </c>
      <c r="U10" s="16">
        <v>40010001</v>
      </c>
      <c r="V10" s="8">
        <v>40030002</v>
      </c>
      <c r="X10" s="8">
        <v>11000242</v>
      </c>
      <c r="Z10" s="8"/>
      <c r="AA10" s="8" t="s">
        <v>130</v>
      </c>
      <c r="AB10" s="11">
        <v>20057</v>
      </c>
      <c r="AC10" s="8"/>
      <c r="AD10" s="8">
        <v>30</v>
      </c>
      <c r="AE10" s="8">
        <v>30</v>
      </c>
      <c r="AF10" s="8">
        <v>15</v>
      </c>
      <c r="AG10" s="8">
        <v>15</v>
      </c>
      <c r="AH10" s="8" t="s">
        <v>160</v>
      </c>
      <c r="AI10">
        <v>30062</v>
      </c>
      <c r="AJ10" s="17"/>
      <c r="AL10" s="18">
        <v>49</v>
      </c>
      <c r="AM10" s="8" t="s">
        <v>132</v>
      </c>
      <c r="AN10" s="19">
        <v>1</v>
      </c>
      <c r="AO10" s="8" t="s">
        <v>133</v>
      </c>
      <c r="AP10" s="8">
        <v>4</v>
      </c>
      <c r="AQ10" s="8" t="s">
        <v>134</v>
      </c>
      <c r="AR10" s="8">
        <v>6</v>
      </c>
      <c r="AS10" s="8" t="s">
        <v>135</v>
      </c>
      <c r="AT10" s="8">
        <v>4</v>
      </c>
      <c r="AU10" s="8" t="s">
        <v>136</v>
      </c>
      <c r="AV10" s="8">
        <v>5</v>
      </c>
      <c r="AW10" s="8" t="s">
        <v>137</v>
      </c>
      <c r="AX10" s="8">
        <v>10</v>
      </c>
      <c r="AY10" s="8" t="s">
        <v>138</v>
      </c>
      <c r="AZ10" s="8">
        <v>13</v>
      </c>
      <c r="BA10" s="8" t="s">
        <v>139</v>
      </c>
      <c r="BB10" s="8">
        <v>10</v>
      </c>
      <c r="BC10" s="8" t="s">
        <v>140</v>
      </c>
      <c r="BD10" s="8">
        <v>13</v>
      </c>
      <c r="BE10" s="8" t="s">
        <v>139</v>
      </c>
      <c r="BF10" s="8">
        <v>0</v>
      </c>
      <c r="BG10" s="8" t="s">
        <v>140</v>
      </c>
      <c r="BH10" s="8">
        <v>0</v>
      </c>
      <c r="BI10" s="8" t="s">
        <v>141</v>
      </c>
      <c r="BJ10" s="8">
        <v>100</v>
      </c>
      <c r="BK10" s="8" t="s">
        <v>142</v>
      </c>
      <c r="BL10" s="8">
        <v>600</v>
      </c>
      <c r="BM10" s="8" t="s">
        <v>143</v>
      </c>
      <c r="BN10" s="8">
        <v>800</v>
      </c>
      <c r="BQ10" s="8">
        <v>1</v>
      </c>
      <c r="BR10" s="8">
        <v>2500</v>
      </c>
      <c r="BS10" s="8">
        <v>2</v>
      </c>
      <c r="BT10" s="8">
        <v>2500</v>
      </c>
      <c r="BU10" s="8" t="s">
        <v>144</v>
      </c>
      <c r="BV10">
        <v>1</v>
      </c>
      <c r="BW10">
        <v>6</v>
      </c>
    </row>
    <row r="11" ht="16.5" customHeight="1" spans="1:75">
      <c r="B11" s="8">
        <f>60000000+INDEX(编号表!$B:$B,MATCH(J11,编号表!$A:$A,0))*10000+INDEX(编号表!$B:$B,MATCH(K11,编号表!$C:$C,0))*1000+L11</f>
        <v>60011007</v>
      </c>
      <c r="C11" s="8" t="s">
        <v>161</v>
      </c>
      <c r="D11" s="5" t="s">
        <v>162</v>
      </c>
      <c r="E11" s="8" t="s">
        <v>163</v>
      </c>
      <c r="F11" s="8">
        <v>7</v>
      </c>
      <c r="G11" s="8" t="str">
        <f>INDEX(编号表!$E:$E,MATCH(K11,编号表!$C:$C,0))</f>
        <v>白色</v>
      </c>
      <c r="H11" s="8">
        <v>1</v>
      </c>
      <c r="I11" s="8" t="s">
        <v>127</v>
      </c>
      <c r="J11" s="8" t="s">
        <v>128</v>
      </c>
      <c r="K11" s="8" t="s">
        <v>129</v>
      </c>
      <c r="L11" s="8">
        <v>7</v>
      </c>
      <c r="M11" s="8">
        <v>7</v>
      </c>
      <c r="N11" s="8"/>
      <c r="O11" s="8"/>
      <c r="P11" s="8">
        <v>10</v>
      </c>
      <c r="Q11" s="8">
        <v>300000</v>
      </c>
      <c r="R11" s="8"/>
      <c r="S11" s="8"/>
      <c r="T11" s="8">
        <v>1</v>
      </c>
      <c r="U11" s="16">
        <v>40010001</v>
      </c>
      <c r="V11" s="8">
        <v>40030002</v>
      </c>
      <c r="X11" s="8">
        <v>11000001</v>
      </c>
      <c r="Z11" s="8"/>
      <c r="AA11" s="8" t="s">
        <v>130</v>
      </c>
      <c r="AC11" s="8"/>
      <c r="AD11" s="8">
        <v>30</v>
      </c>
      <c r="AE11" s="8">
        <v>30</v>
      </c>
      <c r="AF11" s="8">
        <v>15</v>
      </c>
      <c r="AG11" s="8">
        <v>15</v>
      </c>
      <c r="AH11" s="8" t="s">
        <v>131</v>
      </c>
      <c r="AJ11" s="17"/>
      <c r="AL11" s="18">
        <v>58</v>
      </c>
      <c r="AM11" s="8" t="s">
        <v>132</v>
      </c>
      <c r="AN11" s="19">
        <v>1</v>
      </c>
      <c r="AO11" s="8" t="s">
        <v>133</v>
      </c>
      <c r="AP11" s="8">
        <v>5</v>
      </c>
      <c r="AQ11" s="8" t="s">
        <v>134</v>
      </c>
      <c r="AR11" s="8">
        <v>7</v>
      </c>
      <c r="AS11" s="8" t="s">
        <v>135</v>
      </c>
      <c r="AT11" s="8">
        <v>4</v>
      </c>
      <c r="AU11" s="8" t="s">
        <v>136</v>
      </c>
      <c r="AV11" s="8">
        <v>6</v>
      </c>
      <c r="AW11" s="8" t="s">
        <v>137</v>
      </c>
      <c r="AX11" s="8">
        <v>11</v>
      </c>
      <c r="AY11" s="8" t="s">
        <v>138</v>
      </c>
      <c r="AZ11" s="8">
        <v>14</v>
      </c>
      <c r="BA11" s="8" t="s">
        <v>139</v>
      </c>
      <c r="BB11" s="8">
        <v>11</v>
      </c>
      <c r="BC11" s="8" t="s">
        <v>140</v>
      </c>
      <c r="BD11" s="8">
        <v>14</v>
      </c>
      <c r="BE11" s="8" t="s">
        <v>139</v>
      </c>
      <c r="BF11" s="8">
        <v>1</v>
      </c>
      <c r="BG11" s="8" t="s">
        <v>140</v>
      </c>
      <c r="BH11" s="8">
        <v>2</v>
      </c>
      <c r="BI11" s="8" t="s">
        <v>141</v>
      </c>
      <c r="BJ11" s="8">
        <v>100</v>
      </c>
      <c r="BK11" s="8" t="s">
        <v>142</v>
      </c>
      <c r="BL11" s="8">
        <v>120</v>
      </c>
      <c r="BM11" s="8" t="s">
        <v>143</v>
      </c>
      <c r="BN11" s="8">
        <v>400</v>
      </c>
      <c r="BQ11" s="8">
        <v>1</v>
      </c>
      <c r="BR11" s="8">
        <v>2500</v>
      </c>
      <c r="BS11" s="8">
        <v>2</v>
      </c>
      <c r="BT11" s="8">
        <v>2500</v>
      </c>
      <c r="BU11" s="8" t="s">
        <v>144</v>
      </c>
      <c r="BV11">
        <v>1</v>
      </c>
      <c r="BW11">
        <v>7</v>
      </c>
    </row>
    <row r="12" ht="16.5" customHeight="1" spans="1:75">
      <c r="B12" s="8">
        <f>60000000+INDEX(编号表!$B:$B,MATCH(J12,编号表!$A:$A,0))*10000+INDEX(编号表!$B:$B,MATCH(K12,编号表!$C:$C,0))*1000+L12</f>
        <v>60011008</v>
      </c>
      <c r="C12" s="8" t="s">
        <v>164</v>
      </c>
      <c r="D12" s="5" t="s">
        <v>165</v>
      </c>
      <c r="E12" s="8" t="s">
        <v>166</v>
      </c>
      <c r="F12" s="8">
        <v>8</v>
      </c>
      <c r="G12" s="8" t="str">
        <f>INDEX(编号表!$E:$E,MATCH(K12,编号表!$C:$C,0))</f>
        <v>白色</v>
      </c>
      <c r="H12" s="8">
        <v>1</v>
      </c>
      <c r="I12" s="8" t="s">
        <v>127</v>
      </c>
      <c r="J12" s="8" t="s">
        <v>128</v>
      </c>
      <c r="K12" s="8" t="s">
        <v>129</v>
      </c>
      <c r="L12" s="8">
        <v>8</v>
      </c>
      <c r="M12" s="8">
        <v>8</v>
      </c>
      <c r="N12" s="8"/>
      <c r="O12" s="8"/>
      <c r="P12" s="8">
        <v>10</v>
      </c>
      <c r="Q12" s="8">
        <v>300000</v>
      </c>
      <c r="R12" s="8"/>
      <c r="S12" s="8"/>
      <c r="T12" s="8">
        <v>1</v>
      </c>
      <c r="U12" s="16">
        <v>40010001</v>
      </c>
      <c r="V12" s="8">
        <v>40030002</v>
      </c>
      <c r="X12" s="8">
        <v>11000001</v>
      </c>
      <c r="Z12" s="8"/>
      <c r="AA12" s="8" t="s">
        <v>130</v>
      </c>
      <c r="AB12" s="11">
        <v>20009</v>
      </c>
      <c r="AC12" s="8">
        <v>0.44</v>
      </c>
      <c r="AD12" s="8">
        <v>30</v>
      </c>
      <c r="AE12" s="8">
        <v>30</v>
      </c>
      <c r="AF12" s="8">
        <v>15</v>
      </c>
      <c r="AG12" s="8">
        <v>15</v>
      </c>
      <c r="AH12" s="8" t="s">
        <v>131</v>
      </c>
      <c r="AJ12" s="17"/>
      <c r="AL12" s="18">
        <v>53</v>
      </c>
      <c r="AM12" s="8" t="s">
        <v>132</v>
      </c>
      <c r="AN12" s="19">
        <v>1</v>
      </c>
      <c r="AO12" s="8" t="s">
        <v>133</v>
      </c>
      <c r="AP12" s="8">
        <v>4</v>
      </c>
      <c r="AQ12" s="8" t="s">
        <v>134</v>
      </c>
      <c r="AR12" s="8">
        <v>6</v>
      </c>
      <c r="AS12" s="8" t="s">
        <v>135</v>
      </c>
      <c r="AT12" s="8">
        <v>4</v>
      </c>
      <c r="AU12" s="8" t="s">
        <v>136</v>
      </c>
      <c r="AV12" s="8">
        <v>6</v>
      </c>
      <c r="AW12" s="8" t="s">
        <v>137</v>
      </c>
      <c r="AX12" s="8">
        <v>11</v>
      </c>
      <c r="AY12" s="8" t="s">
        <v>138</v>
      </c>
      <c r="AZ12" s="8">
        <v>15</v>
      </c>
      <c r="BA12" s="8" t="s">
        <v>139</v>
      </c>
      <c r="BB12" s="8">
        <v>11</v>
      </c>
      <c r="BC12" s="8" t="s">
        <v>140</v>
      </c>
      <c r="BD12" s="8">
        <v>15</v>
      </c>
      <c r="BE12" s="8" t="s">
        <v>139</v>
      </c>
      <c r="BF12" s="8">
        <v>1</v>
      </c>
      <c r="BG12" s="8" t="s">
        <v>140</v>
      </c>
      <c r="BH12" s="8">
        <v>2</v>
      </c>
      <c r="BI12" s="8" t="s">
        <v>141</v>
      </c>
      <c r="BJ12" s="8">
        <v>100</v>
      </c>
      <c r="BK12" s="8" t="s">
        <v>142</v>
      </c>
      <c r="BL12" s="8">
        <v>120</v>
      </c>
      <c r="BM12" s="8" t="s">
        <v>143</v>
      </c>
      <c r="BN12" s="8">
        <v>400</v>
      </c>
      <c r="BQ12" s="8">
        <v>1</v>
      </c>
      <c r="BR12" s="8">
        <v>2500</v>
      </c>
      <c r="BS12" s="8">
        <v>2</v>
      </c>
      <c r="BT12" s="8">
        <v>2500</v>
      </c>
      <c r="BU12" s="8" t="s">
        <v>144</v>
      </c>
      <c r="BV12">
        <v>1</v>
      </c>
      <c r="BW12">
        <v>8</v>
      </c>
    </row>
    <row r="13" ht="16.5" customHeight="1" spans="1:75">
      <c r="B13" s="8">
        <f>60000000+INDEX(编号表!$B:$B,MATCH(J13,编号表!$A:$A,0))*10000+INDEX(编号表!$B:$B,MATCH(K13,编号表!$C:$C,0))*1000+L13</f>
        <v>60011009</v>
      </c>
      <c r="C13" s="8" t="s">
        <v>167</v>
      </c>
      <c r="D13" s="5" t="s">
        <v>168</v>
      </c>
      <c r="E13" s="8" t="s">
        <v>169</v>
      </c>
      <c r="F13" s="8">
        <v>9</v>
      </c>
      <c r="G13" s="8" t="str">
        <f>INDEX(编号表!$E:$E,MATCH(K13,编号表!$C:$C,0))</f>
        <v>白色</v>
      </c>
      <c r="H13" s="8">
        <v>1</v>
      </c>
      <c r="I13" s="8" t="s">
        <v>127</v>
      </c>
      <c r="J13" s="8" t="s">
        <v>128</v>
      </c>
      <c r="K13" s="8" t="s">
        <v>129</v>
      </c>
      <c r="L13" s="8">
        <v>9</v>
      </c>
      <c r="M13" s="8">
        <v>9</v>
      </c>
      <c r="N13" s="8"/>
      <c r="O13" s="8"/>
      <c r="P13" s="8">
        <v>10</v>
      </c>
      <c r="Q13" s="8">
        <v>300000</v>
      </c>
      <c r="R13" s="8"/>
      <c r="S13" s="8"/>
      <c r="T13" s="8">
        <v>1</v>
      </c>
      <c r="U13" s="16">
        <v>40010001</v>
      </c>
      <c r="V13" s="8">
        <v>40030002</v>
      </c>
      <c r="X13" s="8">
        <v>11000001</v>
      </c>
      <c r="Z13" s="8"/>
      <c r="AA13" s="8" t="s">
        <v>130</v>
      </c>
      <c r="AC13" s="8"/>
      <c r="AD13" s="8">
        <v>30</v>
      </c>
      <c r="AE13" s="8">
        <v>30</v>
      </c>
      <c r="AF13" s="8">
        <v>15</v>
      </c>
      <c r="AG13" s="8">
        <v>15</v>
      </c>
      <c r="AH13" s="8" t="s">
        <v>131</v>
      </c>
      <c r="AJ13" s="17"/>
      <c r="AL13" s="18">
        <v>58</v>
      </c>
      <c r="AM13" s="8" t="s">
        <v>132</v>
      </c>
      <c r="AN13" s="19">
        <v>1</v>
      </c>
      <c r="AO13" s="8" t="s">
        <v>133</v>
      </c>
      <c r="AP13" s="8">
        <v>5</v>
      </c>
      <c r="AQ13" s="8" t="s">
        <v>134</v>
      </c>
      <c r="AR13" s="8">
        <v>7</v>
      </c>
      <c r="AS13" s="8" t="s">
        <v>135</v>
      </c>
      <c r="AT13" s="8">
        <v>4</v>
      </c>
      <c r="AU13" s="8" t="s">
        <v>136</v>
      </c>
      <c r="AV13" s="8">
        <v>6</v>
      </c>
      <c r="AW13" s="8" t="s">
        <v>137</v>
      </c>
      <c r="AX13" s="8">
        <v>12</v>
      </c>
      <c r="AY13" s="8" t="s">
        <v>138</v>
      </c>
      <c r="AZ13" s="8">
        <v>16</v>
      </c>
      <c r="BA13" s="8" t="s">
        <v>139</v>
      </c>
      <c r="BB13" s="8">
        <v>12</v>
      </c>
      <c r="BC13" s="8" t="s">
        <v>140</v>
      </c>
      <c r="BD13" s="8">
        <v>16</v>
      </c>
      <c r="BE13" s="8" t="s">
        <v>139</v>
      </c>
      <c r="BF13" s="8">
        <v>1</v>
      </c>
      <c r="BG13" s="8" t="s">
        <v>140</v>
      </c>
      <c r="BH13" s="8">
        <v>2</v>
      </c>
      <c r="BI13" s="8" t="s">
        <v>141</v>
      </c>
      <c r="BJ13" s="8">
        <v>100</v>
      </c>
      <c r="BK13" s="8" t="s">
        <v>142</v>
      </c>
      <c r="BL13" s="8">
        <v>120</v>
      </c>
      <c r="BM13" s="8" t="s">
        <v>143</v>
      </c>
      <c r="BN13" s="8">
        <v>400</v>
      </c>
      <c r="BQ13" s="8">
        <v>1</v>
      </c>
      <c r="BR13" s="8">
        <v>2500</v>
      </c>
      <c r="BS13" s="8">
        <v>2</v>
      </c>
      <c r="BT13" s="8">
        <v>2500</v>
      </c>
      <c r="BU13" s="8" t="s">
        <v>144</v>
      </c>
      <c r="BV13">
        <v>1</v>
      </c>
      <c r="BW13">
        <v>9</v>
      </c>
    </row>
    <row r="14" ht="16.5" customHeight="1" spans="1:75">
      <c r="B14" s="8">
        <f>60000000+INDEX(编号表!$B:$B,MATCH(J14,编号表!$A:$A,0))*10000+INDEX(编号表!$B:$B,MATCH(K14,编号表!$C:$C,0))*1000+L14</f>
        <v>60011010</v>
      </c>
      <c r="C14" s="8" t="s">
        <v>170</v>
      </c>
      <c r="D14" s="8" t="s">
        <v>171</v>
      </c>
      <c r="E14" s="8" t="s">
        <v>172</v>
      </c>
      <c r="F14" s="8">
        <v>10</v>
      </c>
      <c r="G14" s="8" t="str">
        <f>INDEX(编号表!$E:$E,MATCH(K14,编号表!$C:$C,0))</f>
        <v>白色</v>
      </c>
      <c r="H14" s="8">
        <v>1</v>
      </c>
      <c r="I14" s="8" t="s">
        <v>127</v>
      </c>
      <c r="J14" s="8" t="s">
        <v>128</v>
      </c>
      <c r="K14" s="8" t="s">
        <v>129</v>
      </c>
      <c r="L14" s="8">
        <v>10</v>
      </c>
      <c r="M14" s="8">
        <v>10</v>
      </c>
      <c r="N14" s="8"/>
      <c r="O14" s="8"/>
      <c r="P14" s="8">
        <v>10</v>
      </c>
      <c r="Q14" s="8">
        <v>150000</v>
      </c>
      <c r="R14" s="8"/>
      <c r="S14" s="8"/>
      <c r="T14" s="8">
        <v>1</v>
      </c>
      <c r="U14" s="16">
        <v>40010001</v>
      </c>
      <c r="V14" s="16">
        <v>40030002</v>
      </c>
      <c r="X14" s="8">
        <v>11000001</v>
      </c>
      <c r="Z14" s="8"/>
      <c r="AA14" s="8" t="s">
        <v>130</v>
      </c>
      <c r="AB14" s="11">
        <v>20008</v>
      </c>
      <c r="AC14" s="8">
        <v>0.95</v>
      </c>
      <c r="AD14" s="8">
        <v>30</v>
      </c>
      <c r="AE14" s="8">
        <v>30</v>
      </c>
      <c r="AF14" s="8">
        <v>15</v>
      </c>
      <c r="AG14" s="8">
        <v>15</v>
      </c>
      <c r="AH14" s="8" t="s">
        <v>131</v>
      </c>
      <c r="AJ14" s="17"/>
      <c r="AL14" s="18">
        <v>49</v>
      </c>
      <c r="AM14" s="8" t="s">
        <v>132</v>
      </c>
      <c r="AN14" s="19">
        <v>1</v>
      </c>
      <c r="AO14" s="8" t="s">
        <v>133</v>
      </c>
      <c r="AP14" s="8">
        <v>4</v>
      </c>
      <c r="AQ14" s="8" t="s">
        <v>134</v>
      </c>
      <c r="AR14" s="8">
        <v>6</v>
      </c>
      <c r="AS14" s="8" t="s">
        <v>135</v>
      </c>
      <c r="AT14" s="8">
        <v>4</v>
      </c>
      <c r="AU14" s="8" t="s">
        <v>136</v>
      </c>
      <c r="AV14" s="8">
        <v>5</v>
      </c>
      <c r="AW14" s="8" t="s">
        <v>137</v>
      </c>
      <c r="AX14" s="8">
        <v>9</v>
      </c>
      <c r="AY14" s="8" t="s">
        <v>138</v>
      </c>
      <c r="AZ14" s="8">
        <v>12</v>
      </c>
      <c r="BA14" s="8" t="s">
        <v>139</v>
      </c>
      <c r="BB14" s="8">
        <v>9</v>
      </c>
      <c r="BC14" s="8" t="s">
        <v>140</v>
      </c>
      <c r="BD14" s="8">
        <v>12</v>
      </c>
      <c r="BE14" s="8" t="s">
        <v>139</v>
      </c>
      <c r="BF14" s="8">
        <v>0</v>
      </c>
      <c r="BG14" s="8" t="s">
        <v>140</v>
      </c>
      <c r="BH14" s="8">
        <v>0</v>
      </c>
      <c r="BI14" s="8" t="s">
        <v>141</v>
      </c>
      <c r="BJ14" s="8">
        <v>100</v>
      </c>
      <c r="BK14" s="8" t="s">
        <v>142</v>
      </c>
      <c r="BL14" s="8">
        <v>120</v>
      </c>
      <c r="BM14" s="8" t="s">
        <v>143</v>
      </c>
      <c r="BN14" s="8">
        <v>400</v>
      </c>
      <c r="BQ14" s="8">
        <v>1</v>
      </c>
      <c r="BR14" s="8">
        <v>2500</v>
      </c>
      <c r="BS14" s="8">
        <v>2</v>
      </c>
      <c r="BT14" s="8">
        <v>2500</v>
      </c>
      <c r="BU14" s="8" t="s">
        <v>144</v>
      </c>
      <c r="BV14">
        <v>1</v>
      </c>
      <c r="BW14">
        <v>10</v>
      </c>
    </row>
    <row r="15" ht="16.5" customHeight="1" spans="1:75">
      <c r="B15" s="8">
        <f>60000000+INDEX(编号表!$B:$B,MATCH(J15,编号表!$A:$A,0))*10000+INDEX(编号表!$B:$B,MATCH(K15,编号表!$C:$C,0))*1000+L15</f>
        <v>60011011</v>
      </c>
      <c r="C15" s="8" t="s">
        <v>173</v>
      </c>
      <c r="D15" s="5" t="s">
        <v>174</v>
      </c>
      <c r="E15" s="8" t="s">
        <v>175</v>
      </c>
      <c r="F15" s="8">
        <v>11</v>
      </c>
      <c r="G15" s="8" t="str">
        <f>INDEX(编号表!$E:$E,MATCH(K15,编号表!$C:$C,0))</f>
        <v>白色</v>
      </c>
      <c r="H15" s="8">
        <v>1</v>
      </c>
      <c r="I15" s="8" t="s">
        <v>127</v>
      </c>
      <c r="J15" s="8" t="s">
        <v>128</v>
      </c>
      <c r="K15" s="8" t="s">
        <v>129</v>
      </c>
      <c r="L15" s="8">
        <v>11</v>
      </c>
      <c r="M15" s="8">
        <v>11</v>
      </c>
      <c r="N15" s="8"/>
      <c r="O15" s="8"/>
      <c r="P15" s="8">
        <v>10</v>
      </c>
      <c r="Q15" s="8">
        <v>300000</v>
      </c>
      <c r="R15" s="8"/>
      <c r="S15" s="8"/>
      <c r="T15" s="8">
        <v>1</v>
      </c>
      <c r="U15" s="16">
        <v>40010001</v>
      </c>
      <c r="V15" s="8">
        <v>40030002</v>
      </c>
      <c r="X15" s="8">
        <v>11000001</v>
      </c>
      <c r="Z15" s="8"/>
      <c r="AA15" s="8" t="s">
        <v>130</v>
      </c>
      <c r="AB15" s="11">
        <v>20006</v>
      </c>
      <c r="AC15" s="8">
        <v>0.75</v>
      </c>
      <c r="AD15" s="8">
        <v>10</v>
      </c>
      <c r="AE15" s="8">
        <v>10</v>
      </c>
      <c r="AF15" s="8">
        <v>5</v>
      </c>
      <c r="AG15" s="8">
        <v>5</v>
      </c>
      <c r="AH15" s="8" t="s">
        <v>131</v>
      </c>
      <c r="AJ15" s="17"/>
      <c r="AL15" s="18">
        <v>58</v>
      </c>
      <c r="AM15" s="8" t="s">
        <v>132</v>
      </c>
      <c r="AN15" s="19">
        <v>1</v>
      </c>
      <c r="AO15" s="8" t="s">
        <v>133</v>
      </c>
      <c r="AP15" s="8">
        <v>5</v>
      </c>
      <c r="AQ15" s="8" t="s">
        <v>134</v>
      </c>
      <c r="AR15" s="8">
        <v>7</v>
      </c>
      <c r="AS15" s="8" t="s">
        <v>135</v>
      </c>
      <c r="AT15" s="8">
        <v>4</v>
      </c>
      <c r="AU15" s="8" t="s">
        <v>136</v>
      </c>
      <c r="AV15" s="8">
        <v>6</v>
      </c>
      <c r="AW15" s="8" t="s">
        <v>137</v>
      </c>
      <c r="AX15" s="8">
        <v>11</v>
      </c>
      <c r="AY15" s="8" t="s">
        <v>138</v>
      </c>
      <c r="AZ15" s="8">
        <v>14</v>
      </c>
      <c r="BA15" s="8" t="s">
        <v>139</v>
      </c>
      <c r="BB15" s="8">
        <v>11</v>
      </c>
      <c r="BC15" s="8" t="s">
        <v>140</v>
      </c>
      <c r="BD15" s="8">
        <v>14</v>
      </c>
      <c r="BE15" s="8" t="s">
        <v>139</v>
      </c>
      <c r="BF15" s="8">
        <v>1</v>
      </c>
      <c r="BG15" s="8" t="s">
        <v>140</v>
      </c>
      <c r="BH15" s="8">
        <v>2</v>
      </c>
      <c r="BI15" s="8" t="s">
        <v>141</v>
      </c>
      <c r="BJ15" s="8">
        <v>100</v>
      </c>
      <c r="BK15" s="8" t="s">
        <v>142</v>
      </c>
      <c r="BL15" s="8">
        <v>120</v>
      </c>
      <c r="BM15" s="8" t="s">
        <v>143</v>
      </c>
      <c r="BN15" s="8">
        <v>400</v>
      </c>
      <c r="BQ15" s="8">
        <v>1</v>
      </c>
      <c r="BR15" s="8">
        <v>2500</v>
      </c>
      <c r="BS15" s="8">
        <v>2</v>
      </c>
      <c r="BT15" s="8">
        <v>2500</v>
      </c>
      <c r="BU15" s="8" t="s">
        <v>144</v>
      </c>
      <c r="BV15">
        <v>2</v>
      </c>
      <c r="BW15">
        <v>1</v>
      </c>
    </row>
    <row r="16" ht="16.5" customHeight="1" spans="1:75">
      <c r="B16" s="8">
        <f>60000000+INDEX(编号表!$B:$B,MATCH(J16,编号表!$A:$A,0))*10000+INDEX(编号表!$B:$B,MATCH(K16,编号表!$C:$C,0))*1000+L16</f>
        <v>60011012</v>
      </c>
      <c r="C16" s="8" t="s">
        <v>176</v>
      </c>
      <c r="D16" s="5" t="s">
        <v>177</v>
      </c>
      <c r="E16" s="8" t="s">
        <v>178</v>
      </c>
      <c r="F16" s="8">
        <v>12</v>
      </c>
      <c r="G16" s="8" t="str">
        <f>INDEX(编号表!$E:$E,MATCH(K16,编号表!$C:$C,0))</f>
        <v>白色</v>
      </c>
      <c r="H16" s="8">
        <v>1</v>
      </c>
      <c r="I16" s="8" t="s">
        <v>127</v>
      </c>
      <c r="J16" s="8" t="s">
        <v>128</v>
      </c>
      <c r="K16" s="8" t="s">
        <v>129</v>
      </c>
      <c r="L16" s="8">
        <v>12</v>
      </c>
      <c r="M16" s="8">
        <v>12</v>
      </c>
      <c r="N16" s="8"/>
      <c r="O16" s="8"/>
      <c r="P16" s="8">
        <v>10</v>
      </c>
      <c r="Q16" s="8">
        <v>300000</v>
      </c>
      <c r="R16" s="8"/>
      <c r="S16" s="8"/>
      <c r="T16" s="8">
        <v>1</v>
      </c>
      <c r="U16" s="16">
        <v>40010001</v>
      </c>
      <c r="V16" s="8">
        <v>40030002</v>
      </c>
      <c r="X16" s="8">
        <v>11000001</v>
      </c>
      <c r="Z16" s="8"/>
      <c r="AA16" s="8" t="s">
        <v>130</v>
      </c>
      <c r="AB16" s="11">
        <v>20007</v>
      </c>
      <c r="AC16" s="8">
        <v>1.05</v>
      </c>
      <c r="AD16" s="8">
        <v>10</v>
      </c>
      <c r="AE16" s="8">
        <v>10</v>
      </c>
      <c r="AF16" s="8">
        <v>5</v>
      </c>
      <c r="AG16" s="8">
        <v>5</v>
      </c>
      <c r="AH16" s="8" t="s">
        <v>160</v>
      </c>
      <c r="AJ16" s="17"/>
      <c r="AL16" s="18">
        <v>58</v>
      </c>
      <c r="AM16" s="8" t="s">
        <v>132</v>
      </c>
      <c r="AN16" s="19">
        <v>1</v>
      </c>
      <c r="AO16" s="8" t="s">
        <v>133</v>
      </c>
      <c r="AP16" s="8">
        <v>5</v>
      </c>
      <c r="AQ16" s="8" t="s">
        <v>134</v>
      </c>
      <c r="AR16" s="8">
        <v>7</v>
      </c>
      <c r="AS16" s="8" t="s">
        <v>135</v>
      </c>
      <c r="AT16" s="8">
        <v>4</v>
      </c>
      <c r="AU16" s="8" t="s">
        <v>136</v>
      </c>
      <c r="AV16" s="8">
        <v>6</v>
      </c>
      <c r="AW16" s="8" t="s">
        <v>137</v>
      </c>
      <c r="AX16" s="8">
        <v>11</v>
      </c>
      <c r="AY16" s="8" t="s">
        <v>138</v>
      </c>
      <c r="AZ16" s="8">
        <v>14</v>
      </c>
      <c r="BA16" s="8" t="s">
        <v>139</v>
      </c>
      <c r="BB16" s="8">
        <v>11</v>
      </c>
      <c r="BC16" s="8" t="s">
        <v>140</v>
      </c>
      <c r="BD16" s="8">
        <v>14</v>
      </c>
      <c r="BE16" s="8" t="s">
        <v>139</v>
      </c>
      <c r="BF16" s="8">
        <v>1</v>
      </c>
      <c r="BG16" s="8" t="s">
        <v>140</v>
      </c>
      <c r="BH16" s="8">
        <v>2</v>
      </c>
      <c r="BI16" s="8" t="s">
        <v>141</v>
      </c>
      <c r="BJ16" s="8">
        <v>100</v>
      </c>
      <c r="BK16" s="8" t="s">
        <v>142</v>
      </c>
      <c r="BL16" s="8">
        <v>300</v>
      </c>
      <c r="BM16" s="8" t="s">
        <v>143</v>
      </c>
      <c r="BN16" s="8">
        <v>400</v>
      </c>
      <c r="BQ16" s="8">
        <v>1</v>
      </c>
      <c r="BR16" s="8">
        <v>2500</v>
      </c>
      <c r="BS16" s="8">
        <v>2</v>
      </c>
      <c r="BT16" s="8">
        <v>2500</v>
      </c>
      <c r="BU16" s="8" t="s">
        <v>144</v>
      </c>
      <c r="BV16">
        <v>2</v>
      </c>
      <c r="BW16">
        <v>2</v>
      </c>
    </row>
    <row r="17" ht="16.5" customHeight="1" spans="2:75">
      <c r="B17" s="8">
        <f>60000000+INDEX(编号表!$B:$B,MATCH(J17,编号表!$A:$A,0))*10000+INDEX(编号表!$B:$B,MATCH(K17,编号表!$C:$C,0))*1000+L17</f>
        <v>60011013</v>
      </c>
      <c r="C17" s="8" t="s">
        <v>179</v>
      </c>
      <c r="D17" s="5" t="s">
        <v>180</v>
      </c>
      <c r="E17" s="8" t="s">
        <v>181</v>
      </c>
      <c r="F17" s="8">
        <v>13</v>
      </c>
      <c r="G17" s="8" t="str">
        <f>INDEX(编号表!$E:$E,MATCH(K17,编号表!$C:$C,0))</f>
        <v>白色</v>
      </c>
      <c r="H17" s="8">
        <v>1</v>
      </c>
      <c r="I17" s="8" t="s">
        <v>127</v>
      </c>
      <c r="J17" s="8" t="s">
        <v>128</v>
      </c>
      <c r="K17" s="8" t="s">
        <v>129</v>
      </c>
      <c r="L17" s="8">
        <v>13</v>
      </c>
      <c r="M17" s="8">
        <v>13</v>
      </c>
      <c r="N17" s="8"/>
      <c r="O17" s="8"/>
      <c r="P17" s="8">
        <v>10</v>
      </c>
      <c r="Q17" s="8">
        <v>150000</v>
      </c>
      <c r="R17" s="8"/>
      <c r="S17" s="8"/>
      <c r="T17" s="8">
        <v>1</v>
      </c>
      <c r="U17" s="16">
        <v>40010001</v>
      </c>
      <c r="V17" s="8">
        <v>40030002</v>
      </c>
      <c r="X17" s="8">
        <v>11000001</v>
      </c>
      <c r="Z17" s="8"/>
      <c r="AA17" s="8" t="s">
        <v>130</v>
      </c>
      <c r="AB17" s="11">
        <v>20038</v>
      </c>
      <c r="AC17" s="8">
        <v>0.77</v>
      </c>
      <c r="AD17" s="8">
        <v>10</v>
      </c>
      <c r="AE17" s="8">
        <v>20</v>
      </c>
      <c r="AF17" s="8">
        <v>5</v>
      </c>
      <c r="AG17" s="8">
        <v>10</v>
      </c>
      <c r="AH17" s="8" t="s">
        <v>131</v>
      </c>
      <c r="AJ17" s="17"/>
      <c r="AL17" s="18">
        <v>59</v>
      </c>
      <c r="AM17" s="8" t="s">
        <v>132</v>
      </c>
      <c r="AN17" s="19">
        <v>190</v>
      </c>
      <c r="AO17" s="8" t="s">
        <v>133</v>
      </c>
      <c r="AP17" s="8">
        <v>4</v>
      </c>
      <c r="AQ17" s="8" t="s">
        <v>134</v>
      </c>
      <c r="AR17" s="8">
        <v>5</v>
      </c>
      <c r="AS17" s="8" t="s">
        <v>135</v>
      </c>
      <c r="AT17" s="8">
        <v>3</v>
      </c>
      <c r="AU17" s="8" t="s">
        <v>136</v>
      </c>
      <c r="AV17" s="8">
        <v>5</v>
      </c>
      <c r="AW17" s="8" t="s">
        <v>137</v>
      </c>
      <c r="AX17" s="8">
        <v>12</v>
      </c>
      <c r="AY17" s="8" t="s">
        <v>138</v>
      </c>
      <c r="AZ17" s="8">
        <v>16</v>
      </c>
      <c r="BA17" s="8" t="s">
        <v>139</v>
      </c>
      <c r="BB17" s="8">
        <v>12</v>
      </c>
      <c r="BC17" s="8" t="s">
        <v>140</v>
      </c>
      <c r="BD17" s="8">
        <v>16</v>
      </c>
      <c r="BE17" s="8" t="s">
        <v>139</v>
      </c>
      <c r="BF17" s="8">
        <v>0</v>
      </c>
      <c r="BG17" s="8" t="s">
        <v>140</v>
      </c>
      <c r="BH17" s="8">
        <v>0</v>
      </c>
      <c r="BI17" s="8" t="s">
        <v>141</v>
      </c>
      <c r="BJ17" s="8">
        <v>100</v>
      </c>
      <c r="BK17" s="8" t="s">
        <v>142</v>
      </c>
      <c r="BL17" s="8">
        <v>120</v>
      </c>
      <c r="BM17" s="8" t="s">
        <v>143</v>
      </c>
      <c r="BN17" s="8">
        <v>600</v>
      </c>
      <c r="BO17" s="8">
        <v>0.03</v>
      </c>
      <c r="BQ17" s="8">
        <v>1</v>
      </c>
      <c r="BR17" s="8">
        <v>2500</v>
      </c>
      <c r="BS17" s="8">
        <v>2</v>
      </c>
      <c r="BT17" s="8">
        <v>2500</v>
      </c>
      <c r="BU17" s="8" t="s">
        <v>144</v>
      </c>
      <c r="BV17">
        <v>2</v>
      </c>
      <c r="BW17">
        <v>3</v>
      </c>
    </row>
    <row r="18" ht="16.5" customHeight="1" spans="2:75">
      <c r="B18" s="8">
        <f>60000000+INDEX(编号表!$B:$B,MATCH(J18,编号表!$A:$A,0))*10000+INDEX(编号表!$B:$B,MATCH(K18,编号表!$C:$C,0))*1000+L18</f>
        <v>60021014</v>
      </c>
      <c r="C18" s="8" t="s">
        <v>182</v>
      </c>
      <c r="D18" s="5" t="s">
        <v>183</v>
      </c>
      <c r="E18" s="5" t="s">
        <v>184</v>
      </c>
      <c r="F18" s="8">
        <v>14</v>
      </c>
      <c r="G18" s="8" t="str">
        <f>INDEX(编号表!$E:$E,MATCH(K18,编号表!$C:$C,0))</f>
        <v>白色</v>
      </c>
      <c r="H18" s="8">
        <v>2</v>
      </c>
      <c r="I18" s="8" t="s">
        <v>185</v>
      </c>
      <c r="J18" s="8" t="s">
        <v>185</v>
      </c>
      <c r="K18" s="8" t="s">
        <v>129</v>
      </c>
      <c r="L18" s="8">
        <v>14</v>
      </c>
      <c r="M18" s="8">
        <v>14</v>
      </c>
      <c r="N18" s="8"/>
      <c r="O18" s="8"/>
      <c r="P18" s="8">
        <v>10</v>
      </c>
      <c r="Q18" s="8">
        <v>150000</v>
      </c>
      <c r="R18" s="8"/>
      <c r="S18" s="8"/>
      <c r="T18" s="8">
        <v>1</v>
      </c>
      <c r="U18" s="16">
        <v>40010001</v>
      </c>
      <c r="V18" s="8"/>
      <c r="X18" s="8">
        <v>11000256</v>
      </c>
      <c r="Z18" s="8"/>
      <c r="AA18" s="8" t="s">
        <v>130</v>
      </c>
      <c r="AB18" s="11">
        <v>20030</v>
      </c>
      <c r="AC18" s="8">
        <v>0.39</v>
      </c>
      <c r="AD18" s="8">
        <v>80</v>
      </c>
      <c r="AE18" s="8">
        <v>80</v>
      </c>
      <c r="AF18" s="8">
        <v>40</v>
      </c>
      <c r="AG18" s="8">
        <v>40</v>
      </c>
      <c r="AH18" s="8" t="s">
        <v>160</v>
      </c>
      <c r="AI18">
        <v>30076</v>
      </c>
      <c r="AJ18" s="17"/>
      <c r="AL18" s="18">
        <v>255</v>
      </c>
      <c r="AM18" s="8" t="s">
        <v>132</v>
      </c>
      <c r="AN18" s="19">
        <v>1500</v>
      </c>
      <c r="AO18" s="8" t="s">
        <v>133</v>
      </c>
      <c r="AP18" s="8">
        <v>8</v>
      </c>
      <c r="AQ18" s="8" t="s">
        <v>134</v>
      </c>
      <c r="AR18" s="8">
        <v>12</v>
      </c>
      <c r="AS18" s="8" t="s">
        <v>135</v>
      </c>
      <c r="AT18" s="8">
        <v>8</v>
      </c>
      <c r="AU18" s="8" t="s">
        <v>136</v>
      </c>
      <c r="AV18" s="8">
        <v>11</v>
      </c>
      <c r="AW18" s="8" t="s">
        <v>137</v>
      </c>
      <c r="AX18" s="8">
        <v>21</v>
      </c>
      <c r="AY18" s="8" t="s">
        <v>138</v>
      </c>
      <c r="AZ18" s="8">
        <v>29</v>
      </c>
      <c r="BA18" s="8" t="s">
        <v>139</v>
      </c>
      <c r="BB18" s="8">
        <v>21</v>
      </c>
      <c r="BC18" s="8" t="s">
        <v>140</v>
      </c>
      <c r="BD18" s="8">
        <v>29</v>
      </c>
      <c r="BE18" s="8" t="s">
        <v>139</v>
      </c>
      <c r="BF18" s="8">
        <v>0</v>
      </c>
      <c r="BG18" s="8" t="s">
        <v>140</v>
      </c>
      <c r="BH18" s="8">
        <v>0</v>
      </c>
      <c r="BI18" s="8" t="s">
        <v>141</v>
      </c>
      <c r="BJ18" s="8">
        <v>100</v>
      </c>
      <c r="BK18" s="8" t="s">
        <v>142</v>
      </c>
      <c r="BL18" s="8">
        <v>600</v>
      </c>
      <c r="BM18" s="8" t="s">
        <v>143</v>
      </c>
      <c r="BN18" s="8">
        <v>800</v>
      </c>
      <c r="BQ18" s="8">
        <v>1</v>
      </c>
      <c r="BR18" s="8">
        <v>2500</v>
      </c>
      <c r="BS18" s="8">
        <v>2</v>
      </c>
      <c r="BT18" s="8">
        <v>2500</v>
      </c>
      <c r="BU18" s="8" t="s">
        <v>144</v>
      </c>
      <c r="BV18">
        <v>2</v>
      </c>
      <c r="BW18">
        <v>4</v>
      </c>
    </row>
    <row r="19" ht="16.5" customHeight="1" spans="2:75">
      <c r="B19" s="8">
        <f>60000000+INDEX(编号表!$B:$B,MATCH(J19,编号表!$A:$A,0))*10000+INDEX(编号表!$B:$B,MATCH(K19,编号表!$C:$C,0))*1000+L19</f>
        <v>60021015</v>
      </c>
      <c r="C19" s="8" t="s">
        <v>186</v>
      </c>
      <c r="D19" s="5" t="s">
        <v>187</v>
      </c>
      <c r="E19" s="5" t="s">
        <v>188</v>
      </c>
      <c r="F19" s="8">
        <v>15</v>
      </c>
      <c r="G19" s="8" t="str">
        <f>INDEX(编号表!$E:$E,MATCH(K19,编号表!$C:$C,0))</f>
        <v>白色</v>
      </c>
      <c r="H19" s="8">
        <v>2</v>
      </c>
      <c r="I19" s="8" t="s">
        <v>185</v>
      </c>
      <c r="J19" s="8" t="s">
        <v>185</v>
      </c>
      <c r="K19" s="8" t="s">
        <v>129</v>
      </c>
      <c r="L19" s="8">
        <v>15</v>
      </c>
      <c r="M19" s="8">
        <v>15</v>
      </c>
      <c r="N19" s="8"/>
      <c r="O19" s="8"/>
      <c r="P19" s="8">
        <v>10</v>
      </c>
      <c r="Q19" s="8">
        <v>150000</v>
      </c>
      <c r="R19" s="8"/>
      <c r="S19" s="8"/>
      <c r="T19" s="8">
        <v>1</v>
      </c>
      <c r="U19" s="16">
        <v>40010001</v>
      </c>
      <c r="V19" s="8"/>
      <c r="X19" s="8">
        <v>11000247</v>
      </c>
      <c r="Z19" s="8"/>
      <c r="AA19" s="8" t="s">
        <v>130</v>
      </c>
      <c r="AB19" s="11">
        <v>20031</v>
      </c>
      <c r="AC19" s="8">
        <v>0.3</v>
      </c>
      <c r="AD19" s="8">
        <v>80</v>
      </c>
      <c r="AE19" s="8">
        <v>80</v>
      </c>
      <c r="AF19" s="8">
        <v>40</v>
      </c>
      <c r="AG19" s="8">
        <v>40</v>
      </c>
      <c r="AH19" s="8" t="s">
        <v>160</v>
      </c>
      <c r="AI19">
        <v>30067</v>
      </c>
      <c r="AJ19" s="17"/>
      <c r="AL19" s="18">
        <v>255</v>
      </c>
      <c r="AM19" s="8" t="s">
        <v>132</v>
      </c>
      <c r="AN19" s="19">
        <v>1500</v>
      </c>
      <c r="AO19" s="8" t="s">
        <v>133</v>
      </c>
      <c r="AP19" s="8">
        <v>8</v>
      </c>
      <c r="AQ19" s="8" t="s">
        <v>134</v>
      </c>
      <c r="AR19" s="8">
        <v>12</v>
      </c>
      <c r="AS19" s="8" t="s">
        <v>135</v>
      </c>
      <c r="AT19" s="8">
        <v>8</v>
      </c>
      <c r="AU19" s="8" t="s">
        <v>136</v>
      </c>
      <c r="AV19" s="8">
        <v>11</v>
      </c>
      <c r="AW19" s="8" t="s">
        <v>137</v>
      </c>
      <c r="AX19" s="8">
        <v>21</v>
      </c>
      <c r="AY19" s="8" t="s">
        <v>138</v>
      </c>
      <c r="AZ19" s="8">
        <v>29</v>
      </c>
      <c r="BA19" s="8" t="s">
        <v>139</v>
      </c>
      <c r="BB19" s="8">
        <v>21</v>
      </c>
      <c r="BC19" s="8" t="s">
        <v>140</v>
      </c>
      <c r="BD19" s="8">
        <v>29</v>
      </c>
      <c r="BE19" s="8" t="s">
        <v>139</v>
      </c>
      <c r="BF19" s="8">
        <v>0</v>
      </c>
      <c r="BG19" s="8" t="s">
        <v>140</v>
      </c>
      <c r="BH19" s="8">
        <v>0</v>
      </c>
      <c r="BI19" s="8" t="s">
        <v>141</v>
      </c>
      <c r="BJ19" s="8">
        <v>100</v>
      </c>
      <c r="BK19" s="8" t="s">
        <v>142</v>
      </c>
      <c r="BL19" s="8">
        <v>600</v>
      </c>
      <c r="BM19" s="8" t="s">
        <v>143</v>
      </c>
      <c r="BN19" s="8">
        <v>800</v>
      </c>
      <c r="BQ19" s="8">
        <v>1</v>
      </c>
      <c r="BR19" s="8">
        <v>2500</v>
      </c>
      <c r="BS19" s="8">
        <v>2</v>
      </c>
      <c r="BT19" s="8">
        <v>2500</v>
      </c>
      <c r="BU19" s="8" t="s">
        <v>144</v>
      </c>
      <c r="BV19">
        <v>2</v>
      </c>
      <c r="BW19">
        <v>5</v>
      </c>
    </row>
    <row r="20" ht="16.5" customHeight="1" spans="2:75">
      <c r="B20" s="8">
        <f>60000000+INDEX(编号表!$B:$B,MATCH(J20,编号表!$A:$A,0))*10000+INDEX(编号表!$B:$B,MATCH(K20,编号表!$C:$C,0))*1000+L20</f>
        <v>60021016</v>
      </c>
      <c r="C20" s="8" t="s">
        <v>189</v>
      </c>
      <c r="D20" s="5" t="s">
        <v>190</v>
      </c>
      <c r="E20" s="5" t="s">
        <v>191</v>
      </c>
      <c r="F20" s="8">
        <v>16</v>
      </c>
      <c r="G20" s="8" t="str">
        <f>INDEX(编号表!$E:$E,MATCH(K20,编号表!$C:$C,0))</f>
        <v>白色</v>
      </c>
      <c r="H20" s="8">
        <v>2</v>
      </c>
      <c r="I20" s="8" t="s">
        <v>185</v>
      </c>
      <c r="J20" s="8" t="s">
        <v>185</v>
      </c>
      <c r="K20" s="8" t="s">
        <v>129</v>
      </c>
      <c r="L20" s="8">
        <v>16</v>
      </c>
      <c r="M20" s="8">
        <v>16</v>
      </c>
      <c r="N20" s="8"/>
      <c r="O20" s="8"/>
      <c r="P20" s="8">
        <v>10</v>
      </c>
      <c r="Q20" s="8">
        <v>150000</v>
      </c>
      <c r="R20" s="8"/>
      <c r="S20" s="8"/>
      <c r="T20" s="8">
        <v>1</v>
      </c>
      <c r="U20" s="16">
        <v>40010001</v>
      </c>
      <c r="V20" s="8"/>
      <c r="X20" s="8">
        <v>11000001</v>
      </c>
      <c r="Z20" s="8"/>
      <c r="AA20" s="8" t="s">
        <v>130</v>
      </c>
      <c r="AB20" s="11">
        <v>20032</v>
      </c>
      <c r="AC20" s="8">
        <v>0.74</v>
      </c>
      <c r="AD20" s="8">
        <v>80</v>
      </c>
      <c r="AE20" s="8">
        <v>80</v>
      </c>
      <c r="AF20" s="8">
        <v>40</v>
      </c>
      <c r="AG20" s="8">
        <v>40</v>
      </c>
      <c r="AH20" s="8" t="s">
        <v>131</v>
      </c>
      <c r="AJ20" s="17"/>
      <c r="AL20" s="18">
        <v>255</v>
      </c>
      <c r="AM20" s="8" t="s">
        <v>132</v>
      </c>
      <c r="AN20" s="19">
        <v>1500</v>
      </c>
      <c r="AO20" s="8" t="s">
        <v>133</v>
      </c>
      <c r="AP20" s="8">
        <v>8</v>
      </c>
      <c r="AQ20" s="8" t="s">
        <v>134</v>
      </c>
      <c r="AR20" s="8">
        <v>12</v>
      </c>
      <c r="AS20" s="8" t="s">
        <v>135</v>
      </c>
      <c r="AT20" s="8">
        <v>8</v>
      </c>
      <c r="AU20" s="8" t="s">
        <v>136</v>
      </c>
      <c r="AV20" s="8">
        <v>11</v>
      </c>
      <c r="AW20" s="8" t="s">
        <v>137</v>
      </c>
      <c r="AX20" s="8">
        <v>21</v>
      </c>
      <c r="AY20" s="8" t="s">
        <v>138</v>
      </c>
      <c r="AZ20" s="8">
        <v>29</v>
      </c>
      <c r="BA20" s="8" t="s">
        <v>139</v>
      </c>
      <c r="BB20" s="8">
        <v>21</v>
      </c>
      <c r="BC20" s="8" t="s">
        <v>140</v>
      </c>
      <c r="BD20" s="8">
        <v>29</v>
      </c>
      <c r="BE20" s="8" t="s">
        <v>139</v>
      </c>
      <c r="BF20" s="8">
        <v>0</v>
      </c>
      <c r="BG20" s="8" t="s">
        <v>140</v>
      </c>
      <c r="BH20" s="8">
        <v>0</v>
      </c>
      <c r="BI20" s="8" t="s">
        <v>141</v>
      </c>
      <c r="BJ20" s="8">
        <v>100</v>
      </c>
      <c r="BK20" s="8" t="s">
        <v>142</v>
      </c>
      <c r="BL20" s="8">
        <v>120</v>
      </c>
      <c r="BM20" s="8" t="s">
        <v>143</v>
      </c>
      <c r="BN20" s="8">
        <v>600</v>
      </c>
      <c r="BQ20" s="8">
        <v>1</v>
      </c>
      <c r="BR20" s="8">
        <v>2500</v>
      </c>
      <c r="BS20" s="8">
        <v>2</v>
      </c>
      <c r="BT20" s="8">
        <v>2500</v>
      </c>
      <c r="BU20" s="8" t="s">
        <v>144</v>
      </c>
      <c r="BV20">
        <v>2</v>
      </c>
      <c r="BW20">
        <v>6</v>
      </c>
    </row>
    <row r="21" ht="16.5" customHeight="1" spans="2:75">
      <c r="B21" s="8">
        <f>60000000+INDEX(编号表!$B:$B,MATCH(J21,编号表!$A:$A,0))*10000+INDEX(编号表!$B:$B,MATCH(K21,编号表!$C:$C,0))*1000+L21</f>
        <v>60021017</v>
      </c>
      <c r="C21" s="8" t="s">
        <v>192</v>
      </c>
      <c r="D21" s="5" t="s">
        <v>193</v>
      </c>
      <c r="E21" s="5" t="s">
        <v>194</v>
      </c>
      <c r="F21" s="8">
        <v>17</v>
      </c>
      <c r="G21" s="8" t="str">
        <f>INDEX(编号表!$E:$E,MATCH(K21,编号表!$C:$C,0))</f>
        <v>白色</v>
      </c>
      <c r="H21" s="8">
        <v>2</v>
      </c>
      <c r="I21" s="8" t="s">
        <v>185</v>
      </c>
      <c r="J21" s="8" t="s">
        <v>185</v>
      </c>
      <c r="K21" s="8" t="s">
        <v>129</v>
      </c>
      <c r="L21" s="8">
        <v>17</v>
      </c>
      <c r="M21" s="8">
        <v>17</v>
      </c>
      <c r="N21" s="8"/>
      <c r="O21" s="8"/>
      <c r="P21" s="8">
        <v>10</v>
      </c>
      <c r="Q21" s="8">
        <v>150000</v>
      </c>
      <c r="R21" s="8"/>
      <c r="S21" s="8"/>
      <c r="T21" s="8">
        <v>1</v>
      </c>
      <c r="U21" s="16">
        <v>40010001</v>
      </c>
      <c r="V21" s="8"/>
      <c r="X21" s="8">
        <v>11000001</v>
      </c>
      <c r="Z21" s="8"/>
      <c r="AA21" s="8" t="s">
        <v>130</v>
      </c>
      <c r="AB21" s="11">
        <v>20033</v>
      </c>
      <c r="AC21" s="8">
        <v>0.78</v>
      </c>
      <c r="AD21" s="8">
        <v>80</v>
      </c>
      <c r="AE21" s="8">
        <v>80</v>
      </c>
      <c r="AF21" s="8">
        <v>40</v>
      </c>
      <c r="AG21" s="8">
        <v>40</v>
      </c>
      <c r="AH21" s="8" t="s">
        <v>131</v>
      </c>
      <c r="AJ21" s="17"/>
      <c r="AL21" s="18">
        <v>255</v>
      </c>
      <c r="AM21" s="8" t="s">
        <v>132</v>
      </c>
      <c r="AN21" s="19">
        <v>1500</v>
      </c>
      <c r="AO21" s="8" t="s">
        <v>133</v>
      </c>
      <c r="AP21" s="8">
        <v>8</v>
      </c>
      <c r="AQ21" s="8" t="s">
        <v>134</v>
      </c>
      <c r="AR21" s="8">
        <v>12</v>
      </c>
      <c r="AS21" s="8" t="s">
        <v>135</v>
      </c>
      <c r="AT21" s="8">
        <v>8</v>
      </c>
      <c r="AU21" s="8" t="s">
        <v>136</v>
      </c>
      <c r="AV21" s="8">
        <v>11</v>
      </c>
      <c r="AW21" s="8" t="s">
        <v>137</v>
      </c>
      <c r="AX21" s="8">
        <v>21</v>
      </c>
      <c r="AY21" s="8" t="s">
        <v>138</v>
      </c>
      <c r="AZ21" s="8">
        <v>29</v>
      </c>
      <c r="BA21" s="8" t="s">
        <v>139</v>
      </c>
      <c r="BB21" s="8">
        <v>21</v>
      </c>
      <c r="BC21" s="8" t="s">
        <v>140</v>
      </c>
      <c r="BD21" s="8">
        <v>29</v>
      </c>
      <c r="BE21" s="8" t="s">
        <v>139</v>
      </c>
      <c r="BF21" s="8">
        <v>0</v>
      </c>
      <c r="BG21" s="8" t="s">
        <v>140</v>
      </c>
      <c r="BH21" s="8">
        <v>0</v>
      </c>
      <c r="BI21" s="8" t="s">
        <v>141</v>
      </c>
      <c r="BJ21" s="8">
        <v>100</v>
      </c>
      <c r="BK21" s="8" t="s">
        <v>142</v>
      </c>
      <c r="BL21" s="8">
        <v>120</v>
      </c>
      <c r="BM21" s="8" t="s">
        <v>143</v>
      </c>
      <c r="BN21" s="8">
        <v>600</v>
      </c>
      <c r="BQ21" s="8">
        <v>1</v>
      </c>
      <c r="BR21" s="8">
        <v>2500</v>
      </c>
      <c r="BS21" s="8">
        <v>2</v>
      </c>
      <c r="BT21" s="8">
        <v>2500</v>
      </c>
      <c r="BU21" s="8" t="s">
        <v>144</v>
      </c>
      <c r="BV21">
        <v>2</v>
      </c>
      <c r="BW21">
        <v>7</v>
      </c>
    </row>
    <row r="22" ht="16.5" customHeight="1" spans="2:75">
      <c r="B22" s="8">
        <f>60000000+INDEX(编号表!$B:$B,MATCH(J22,编号表!$A:$A,0))*10000+INDEX(编号表!$B:$B,MATCH(K22,编号表!$C:$C,0))*1000+L22</f>
        <v>60022018</v>
      </c>
      <c r="C22" s="8" t="s">
        <v>195</v>
      </c>
      <c r="D22" s="5" t="s">
        <v>193</v>
      </c>
      <c r="E22" s="5" t="s">
        <v>194</v>
      </c>
      <c r="F22" s="8">
        <v>18</v>
      </c>
      <c r="G22" s="8" t="str">
        <f>INDEX(编号表!$E:$E,MATCH(K22,编号表!$C:$C,0))</f>
        <v>绿色</v>
      </c>
      <c r="H22" s="8">
        <v>2</v>
      </c>
      <c r="I22" s="8" t="s">
        <v>185</v>
      </c>
      <c r="J22" s="8" t="s">
        <v>185</v>
      </c>
      <c r="K22" s="8" t="s">
        <v>196</v>
      </c>
      <c r="L22" s="8">
        <v>18</v>
      </c>
      <c r="M22" s="8">
        <v>18</v>
      </c>
      <c r="N22" s="8"/>
      <c r="O22" s="8"/>
      <c r="P22" s="8">
        <v>10</v>
      </c>
      <c r="Q22" s="8">
        <v>150000</v>
      </c>
      <c r="R22" s="8"/>
      <c r="S22" s="8"/>
      <c r="T22" s="8">
        <v>1</v>
      </c>
      <c r="U22" s="16">
        <v>40010001</v>
      </c>
      <c r="V22" s="8"/>
      <c r="X22" s="8">
        <v>11000001</v>
      </c>
      <c r="Z22" s="8"/>
      <c r="AA22" s="8" t="s">
        <v>130</v>
      </c>
      <c r="AB22" s="11">
        <v>20033</v>
      </c>
      <c r="AC22" s="8">
        <v>0.87</v>
      </c>
      <c r="AD22" s="8">
        <v>80</v>
      </c>
      <c r="AE22" s="8">
        <v>80</v>
      </c>
      <c r="AF22" s="8">
        <v>40</v>
      </c>
      <c r="AG22" s="8">
        <v>40</v>
      </c>
      <c r="AH22" s="8" t="s">
        <v>131</v>
      </c>
      <c r="AJ22" s="17">
        <v>30010</v>
      </c>
      <c r="AL22" s="18">
        <v>255</v>
      </c>
      <c r="AM22" s="8" t="s">
        <v>132</v>
      </c>
      <c r="AN22" s="19">
        <v>1500</v>
      </c>
      <c r="AO22" s="8" t="s">
        <v>133</v>
      </c>
      <c r="AP22" s="8">
        <v>8</v>
      </c>
      <c r="AQ22" s="8" t="s">
        <v>134</v>
      </c>
      <c r="AR22" s="8">
        <v>12</v>
      </c>
      <c r="AS22" s="8" t="s">
        <v>135</v>
      </c>
      <c r="AT22" s="8">
        <v>8</v>
      </c>
      <c r="AU22" s="8" t="s">
        <v>136</v>
      </c>
      <c r="AV22" s="8">
        <v>11</v>
      </c>
      <c r="AW22" s="8" t="s">
        <v>137</v>
      </c>
      <c r="AX22" s="8">
        <v>21</v>
      </c>
      <c r="AY22" s="8" t="s">
        <v>138</v>
      </c>
      <c r="AZ22" s="8">
        <v>29</v>
      </c>
      <c r="BA22" s="8" t="s">
        <v>139</v>
      </c>
      <c r="BB22" s="8">
        <v>21</v>
      </c>
      <c r="BC22" s="8" t="s">
        <v>140</v>
      </c>
      <c r="BD22" s="8">
        <v>29</v>
      </c>
      <c r="BE22" s="8" t="s">
        <v>139</v>
      </c>
      <c r="BF22" s="8">
        <v>0</v>
      </c>
      <c r="BG22" s="8" t="s">
        <v>140</v>
      </c>
      <c r="BH22" s="8">
        <v>0</v>
      </c>
      <c r="BI22" s="8" t="s">
        <v>141</v>
      </c>
      <c r="BJ22" s="8">
        <v>100</v>
      </c>
      <c r="BK22" s="8" t="s">
        <v>142</v>
      </c>
      <c r="BL22" s="8">
        <v>120</v>
      </c>
      <c r="BM22" s="8" t="s">
        <v>143</v>
      </c>
      <c r="BN22" s="8">
        <v>600</v>
      </c>
      <c r="BQ22" s="8">
        <v>1</v>
      </c>
      <c r="BR22" s="8">
        <v>2500</v>
      </c>
      <c r="BS22" s="8">
        <v>2</v>
      </c>
      <c r="BT22" s="8">
        <v>2500</v>
      </c>
      <c r="BU22" s="8" t="s">
        <v>144</v>
      </c>
      <c r="BV22">
        <v>2</v>
      </c>
      <c r="BW22">
        <v>8</v>
      </c>
    </row>
    <row r="23" ht="16.5" customHeight="1" spans="2:75">
      <c r="B23" s="8">
        <f>60000000+INDEX(编号表!$B:$B,MATCH(J23,编号表!$A:$A,0))*10000+INDEX(编号表!$B:$B,MATCH(K23,编号表!$C:$C,0))*1000+L23</f>
        <v>60031019</v>
      </c>
      <c r="C23" s="8" t="s">
        <v>197</v>
      </c>
      <c r="D23" s="5" t="s">
        <v>198</v>
      </c>
      <c r="E23" s="5" t="s">
        <v>199</v>
      </c>
      <c r="F23" s="8">
        <v>19</v>
      </c>
      <c r="G23" s="8" t="str">
        <f>INDEX(编号表!$E:$E,MATCH(K23,编号表!$C:$C,0))</f>
        <v>白色</v>
      </c>
      <c r="H23" s="8">
        <v>3</v>
      </c>
      <c r="I23" s="8" t="s">
        <v>200</v>
      </c>
      <c r="J23" s="8" t="s">
        <v>200</v>
      </c>
      <c r="K23" s="8" t="s">
        <v>129</v>
      </c>
      <c r="L23" s="8">
        <v>19</v>
      </c>
      <c r="M23" s="8">
        <v>19</v>
      </c>
      <c r="N23" s="8"/>
      <c r="O23" s="8"/>
      <c r="P23" s="8">
        <v>10</v>
      </c>
      <c r="Q23" s="8">
        <v>150000</v>
      </c>
      <c r="R23" s="8"/>
      <c r="S23" s="8"/>
      <c r="T23" s="8">
        <v>1</v>
      </c>
      <c r="U23" s="16">
        <v>40010001</v>
      </c>
      <c r="V23" s="8"/>
      <c r="X23" s="8">
        <v>11000001</v>
      </c>
      <c r="Z23" s="8"/>
      <c r="AA23" s="8" t="s">
        <v>130</v>
      </c>
      <c r="AB23" s="11">
        <v>20013</v>
      </c>
      <c r="AC23" s="8">
        <v>0.76</v>
      </c>
      <c r="AD23" s="8">
        <v>80</v>
      </c>
      <c r="AE23" s="8">
        <v>80</v>
      </c>
      <c r="AF23" s="8">
        <v>40</v>
      </c>
      <c r="AG23" s="8">
        <v>40</v>
      </c>
      <c r="AH23" s="8" t="s">
        <v>131</v>
      </c>
      <c r="AJ23" s="17"/>
      <c r="AL23" s="18">
        <v>255</v>
      </c>
      <c r="AM23" s="8" t="s">
        <v>132</v>
      </c>
      <c r="AN23" s="19">
        <v>1500</v>
      </c>
      <c r="AO23" s="8" t="s">
        <v>133</v>
      </c>
      <c r="AP23" s="8">
        <v>8</v>
      </c>
      <c r="AQ23" s="8" t="s">
        <v>134</v>
      </c>
      <c r="AR23" s="8">
        <v>12</v>
      </c>
      <c r="AS23" s="8" t="s">
        <v>135</v>
      </c>
      <c r="AT23" s="8">
        <v>8</v>
      </c>
      <c r="AU23" s="8" t="s">
        <v>136</v>
      </c>
      <c r="AV23" s="8">
        <v>11</v>
      </c>
      <c r="AW23" s="8" t="s">
        <v>137</v>
      </c>
      <c r="AX23" s="8">
        <v>21</v>
      </c>
      <c r="AY23" s="8" t="s">
        <v>138</v>
      </c>
      <c r="AZ23" s="8">
        <v>29</v>
      </c>
      <c r="BA23" s="8" t="s">
        <v>139</v>
      </c>
      <c r="BB23" s="8">
        <v>21</v>
      </c>
      <c r="BC23" s="8" t="s">
        <v>140</v>
      </c>
      <c r="BD23" s="8">
        <v>29</v>
      </c>
      <c r="BE23" s="8" t="s">
        <v>139</v>
      </c>
      <c r="BF23" s="8">
        <v>0</v>
      </c>
      <c r="BG23" s="8" t="s">
        <v>140</v>
      </c>
      <c r="BH23" s="8">
        <v>0</v>
      </c>
      <c r="BI23" s="8" t="s">
        <v>141</v>
      </c>
      <c r="BJ23" s="8">
        <v>100</v>
      </c>
      <c r="BK23" s="8" t="s">
        <v>142</v>
      </c>
      <c r="BL23" s="8">
        <v>120</v>
      </c>
      <c r="BM23" s="8" t="s">
        <v>143</v>
      </c>
      <c r="BN23" s="8">
        <v>600</v>
      </c>
      <c r="BQ23" s="8">
        <v>1</v>
      </c>
      <c r="BR23" s="8">
        <v>2500</v>
      </c>
      <c r="BS23" s="8">
        <v>2</v>
      </c>
      <c r="BT23" s="8">
        <v>2500</v>
      </c>
      <c r="BU23" s="8" t="s">
        <v>144</v>
      </c>
      <c r="BV23">
        <v>2</v>
      </c>
      <c r="BW23">
        <v>9</v>
      </c>
    </row>
    <row r="24" ht="16.5" customHeight="1" spans="2:75">
      <c r="B24" s="8">
        <f>60000000+INDEX(编号表!$B:$B,MATCH(J24,编号表!$A:$A,0))*10000+INDEX(编号表!$B:$B,MATCH(K24,编号表!$C:$C,0))*1000+L24</f>
        <v>60031020</v>
      </c>
      <c r="C24" s="8" t="s">
        <v>201</v>
      </c>
      <c r="D24" s="5" t="s">
        <v>202</v>
      </c>
      <c r="E24" s="5" t="s">
        <v>203</v>
      </c>
      <c r="F24" s="8">
        <v>20</v>
      </c>
      <c r="G24" s="8" t="str">
        <f>INDEX(编号表!$E:$E,MATCH(K24,编号表!$C:$C,0))</f>
        <v>白色</v>
      </c>
      <c r="H24" s="8">
        <v>3</v>
      </c>
      <c r="I24" s="8" t="s">
        <v>200</v>
      </c>
      <c r="J24" s="8" t="s">
        <v>200</v>
      </c>
      <c r="K24" s="8" t="s">
        <v>129</v>
      </c>
      <c r="L24" s="8">
        <v>20</v>
      </c>
      <c r="M24" s="8">
        <v>20</v>
      </c>
      <c r="N24" s="8"/>
      <c r="O24" s="8"/>
      <c r="P24" s="8">
        <v>10</v>
      </c>
      <c r="Q24" s="8">
        <v>150000</v>
      </c>
      <c r="R24" s="8"/>
      <c r="S24" s="8"/>
      <c r="T24" s="8">
        <v>1</v>
      </c>
      <c r="U24" s="16">
        <v>40010001</v>
      </c>
      <c r="V24" s="8"/>
      <c r="X24" s="8">
        <v>11000244</v>
      </c>
      <c r="Z24" s="8"/>
      <c r="AA24" s="8" t="s">
        <v>130</v>
      </c>
      <c r="AB24" s="11">
        <v>20014</v>
      </c>
      <c r="AC24" s="8">
        <v>0.77</v>
      </c>
      <c r="AD24" s="8">
        <v>80</v>
      </c>
      <c r="AE24" s="8">
        <v>80</v>
      </c>
      <c r="AF24" s="8">
        <v>40</v>
      </c>
      <c r="AG24" s="8">
        <v>40</v>
      </c>
      <c r="AH24" s="8" t="s">
        <v>160</v>
      </c>
      <c r="AI24">
        <v>30064</v>
      </c>
      <c r="AJ24" s="17"/>
      <c r="AL24" s="18">
        <v>255</v>
      </c>
      <c r="AM24" s="8" t="s">
        <v>132</v>
      </c>
      <c r="AN24" s="19">
        <v>1500</v>
      </c>
      <c r="AO24" s="8" t="s">
        <v>133</v>
      </c>
      <c r="AP24" s="8">
        <v>8</v>
      </c>
      <c r="AQ24" s="8" t="s">
        <v>134</v>
      </c>
      <c r="AR24" s="8">
        <v>12</v>
      </c>
      <c r="AS24" s="8" t="s">
        <v>135</v>
      </c>
      <c r="AT24" s="8">
        <v>8</v>
      </c>
      <c r="AU24" s="8" t="s">
        <v>136</v>
      </c>
      <c r="AV24" s="8">
        <v>11</v>
      </c>
      <c r="AW24" s="8" t="s">
        <v>137</v>
      </c>
      <c r="AX24" s="8">
        <v>21</v>
      </c>
      <c r="AY24" s="8" t="s">
        <v>138</v>
      </c>
      <c r="AZ24" s="8">
        <v>29</v>
      </c>
      <c r="BA24" s="8" t="s">
        <v>139</v>
      </c>
      <c r="BB24" s="8">
        <v>21</v>
      </c>
      <c r="BC24" s="8" t="s">
        <v>140</v>
      </c>
      <c r="BD24" s="8">
        <v>29</v>
      </c>
      <c r="BE24" s="8" t="s">
        <v>139</v>
      </c>
      <c r="BF24" s="8">
        <v>0</v>
      </c>
      <c r="BG24" s="8" t="s">
        <v>140</v>
      </c>
      <c r="BH24" s="8">
        <v>0</v>
      </c>
      <c r="BI24" s="8" t="s">
        <v>141</v>
      </c>
      <c r="BJ24" s="8">
        <v>100</v>
      </c>
      <c r="BK24" s="8" t="s">
        <v>142</v>
      </c>
      <c r="BL24" s="8">
        <v>600</v>
      </c>
      <c r="BM24" s="8" t="s">
        <v>143</v>
      </c>
      <c r="BN24" s="8">
        <v>800</v>
      </c>
      <c r="BQ24" s="8">
        <v>1</v>
      </c>
      <c r="BR24" s="8">
        <v>2500</v>
      </c>
      <c r="BS24" s="8">
        <v>2</v>
      </c>
      <c r="BT24" s="8">
        <v>2500</v>
      </c>
      <c r="BU24" s="8" t="s">
        <v>144</v>
      </c>
      <c r="BV24">
        <v>2</v>
      </c>
      <c r="BW24">
        <v>10</v>
      </c>
    </row>
    <row r="25" ht="16.5" customHeight="1" spans="2:75">
      <c r="B25" s="8">
        <f>60000000+INDEX(编号表!$B:$B,MATCH(J25,编号表!$A:$A,0))*10000+INDEX(编号表!$B:$B,MATCH(K25,编号表!$C:$C,0))*1000+L25</f>
        <v>60031021</v>
      </c>
      <c r="C25" s="8" t="s">
        <v>204</v>
      </c>
      <c r="D25" s="5" t="s">
        <v>205</v>
      </c>
      <c r="E25" s="5" t="s">
        <v>206</v>
      </c>
      <c r="F25" s="8">
        <v>21</v>
      </c>
      <c r="G25" s="8" t="str">
        <f>INDEX(编号表!$E:$E,MATCH(K25,编号表!$C:$C,0))</f>
        <v>白色</v>
      </c>
      <c r="H25" s="8">
        <v>3</v>
      </c>
      <c r="I25" s="8" t="s">
        <v>200</v>
      </c>
      <c r="J25" s="8" t="s">
        <v>200</v>
      </c>
      <c r="K25" s="8" t="s">
        <v>129</v>
      </c>
      <c r="L25" s="8">
        <v>21</v>
      </c>
      <c r="M25" s="8">
        <v>21</v>
      </c>
      <c r="N25" s="8"/>
      <c r="O25" s="8"/>
      <c r="P25" s="8">
        <v>10</v>
      </c>
      <c r="Q25" s="8">
        <v>150000</v>
      </c>
      <c r="R25" s="8"/>
      <c r="S25" s="8"/>
      <c r="T25" s="8">
        <v>1</v>
      </c>
      <c r="U25" s="16">
        <v>40010001</v>
      </c>
      <c r="V25" s="8"/>
      <c r="X25" s="8">
        <v>11000001</v>
      </c>
      <c r="Z25" s="8"/>
      <c r="AA25" s="8" t="s">
        <v>130</v>
      </c>
      <c r="AB25" s="11">
        <v>20016</v>
      </c>
      <c r="AC25" s="8">
        <v>0.78</v>
      </c>
      <c r="AD25" s="8">
        <v>80</v>
      </c>
      <c r="AE25" s="8">
        <v>80</v>
      </c>
      <c r="AF25" s="8">
        <v>40</v>
      </c>
      <c r="AG25" s="8">
        <v>40</v>
      </c>
      <c r="AH25" s="8" t="s">
        <v>131</v>
      </c>
      <c r="AJ25" s="17"/>
      <c r="AL25" s="18">
        <v>255</v>
      </c>
      <c r="AM25" s="8" t="s">
        <v>132</v>
      </c>
      <c r="AN25" s="19">
        <v>1500</v>
      </c>
      <c r="AO25" s="8" t="s">
        <v>133</v>
      </c>
      <c r="AP25" s="8">
        <v>8</v>
      </c>
      <c r="AQ25" s="8" t="s">
        <v>134</v>
      </c>
      <c r="AR25" s="8">
        <v>12</v>
      </c>
      <c r="AS25" s="8" t="s">
        <v>135</v>
      </c>
      <c r="AT25" s="8">
        <v>8</v>
      </c>
      <c r="AU25" s="8" t="s">
        <v>136</v>
      </c>
      <c r="AV25" s="8">
        <v>11</v>
      </c>
      <c r="AW25" s="8" t="s">
        <v>137</v>
      </c>
      <c r="AX25" s="8">
        <v>21</v>
      </c>
      <c r="AY25" s="8" t="s">
        <v>138</v>
      </c>
      <c r="AZ25" s="8">
        <v>29</v>
      </c>
      <c r="BA25" s="8" t="s">
        <v>139</v>
      </c>
      <c r="BB25" s="8">
        <v>21</v>
      </c>
      <c r="BC25" s="8" t="s">
        <v>140</v>
      </c>
      <c r="BD25" s="8">
        <v>29</v>
      </c>
      <c r="BE25" s="8" t="s">
        <v>139</v>
      </c>
      <c r="BF25" s="8">
        <v>0</v>
      </c>
      <c r="BG25" s="8" t="s">
        <v>140</v>
      </c>
      <c r="BH25" s="8">
        <v>0</v>
      </c>
      <c r="BI25" s="8" t="s">
        <v>141</v>
      </c>
      <c r="BJ25" s="8">
        <v>100</v>
      </c>
      <c r="BK25" s="8" t="s">
        <v>142</v>
      </c>
      <c r="BL25" s="8">
        <v>120</v>
      </c>
      <c r="BM25" s="8" t="s">
        <v>143</v>
      </c>
      <c r="BN25" s="8">
        <v>600</v>
      </c>
      <c r="BQ25" s="8">
        <v>1</v>
      </c>
      <c r="BR25" s="8">
        <v>2500</v>
      </c>
      <c r="BS25" s="8">
        <v>2</v>
      </c>
      <c r="BT25" s="8">
        <v>2500</v>
      </c>
      <c r="BU25" s="8" t="s">
        <v>144</v>
      </c>
      <c r="BV25">
        <v>3</v>
      </c>
      <c r="BW25">
        <v>1</v>
      </c>
    </row>
    <row r="26" ht="16.5" customHeight="1" spans="2:75">
      <c r="B26" s="8">
        <f>60000000+INDEX(编号表!$B:$B,MATCH(J26,编号表!$A:$A,0))*10000+INDEX(编号表!$B:$B,MATCH(K26,编号表!$C:$C,0))*1000+L26</f>
        <v>60031022</v>
      </c>
      <c r="C26" s="8" t="s">
        <v>207</v>
      </c>
      <c r="D26" s="5" t="s">
        <v>208</v>
      </c>
      <c r="E26" s="5" t="s">
        <v>209</v>
      </c>
      <c r="F26" s="8">
        <v>22</v>
      </c>
      <c r="G26" s="8" t="str">
        <f>INDEX(编号表!$E:$E,MATCH(K26,编号表!$C:$C,0))</f>
        <v>白色</v>
      </c>
      <c r="H26" s="8">
        <v>3</v>
      </c>
      <c r="I26" s="8" t="s">
        <v>200</v>
      </c>
      <c r="J26" s="8" t="s">
        <v>200</v>
      </c>
      <c r="K26" s="8" t="s">
        <v>129</v>
      </c>
      <c r="L26" s="8">
        <v>22</v>
      </c>
      <c r="M26" s="8">
        <v>22</v>
      </c>
      <c r="N26" s="8"/>
      <c r="O26" s="8"/>
      <c r="P26" s="8">
        <v>10</v>
      </c>
      <c r="Q26" s="8">
        <v>150000</v>
      </c>
      <c r="R26" s="8"/>
      <c r="S26" s="8"/>
      <c r="T26" s="8">
        <v>1</v>
      </c>
      <c r="U26" s="16">
        <v>40010001</v>
      </c>
      <c r="V26" s="8"/>
      <c r="X26" s="8">
        <v>11000001</v>
      </c>
      <c r="Z26" s="8"/>
      <c r="AA26" s="8" t="s">
        <v>130</v>
      </c>
      <c r="AB26" s="11">
        <v>20017</v>
      </c>
      <c r="AC26" s="8">
        <v>0.78</v>
      </c>
      <c r="AD26" s="8">
        <v>80</v>
      </c>
      <c r="AE26" s="8">
        <v>80</v>
      </c>
      <c r="AF26" s="8">
        <v>40</v>
      </c>
      <c r="AG26" s="8">
        <v>40</v>
      </c>
      <c r="AH26" s="8" t="s">
        <v>131</v>
      </c>
      <c r="AJ26" s="17"/>
      <c r="AL26" s="18">
        <v>255</v>
      </c>
      <c r="AM26" s="8" t="s">
        <v>132</v>
      </c>
      <c r="AN26" s="19">
        <v>1500</v>
      </c>
      <c r="AO26" s="8" t="s">
        <v>133</v>
      </c>
      <c r="AP26" s="8">
        <v>8</v>
      </c>
      <c r="AQ26" s="8" t="s">
        <v>134</v>
      </c>
      <c r="AR26" s="8">
        <v>12</v>
      </c>
      <c r="AS26" s="8" t="s">
        <v>135</v>
      </c>
      <c r="AT26" s="8">
        <v>8</v>
      </c>
      <c r="AU26" s="8" t="s">
        <v>136</v>
      </c>
      <c r="AV26" s="8">
        <v>11</v>
      </c>
      <c r="AW26" s="8" t="s">
        <v>137</v>
      </c>
      <c r="AX26" s="8">
        <v>21</v>
      </c>
      <c r="AY26" s="8" t="s">
        <v>138</v>
      </c>
      <c r="AZ26" s="8">
        <v>29</v>
      </c>
      <c r="BA26" s="8" t="s">
        <v>139</v>
      </c>
      <c r="BB26" s="8">
        <v>21</v>
      </c>
      <c r="BC26" s="8" t="s">
        <v>140</v>
      </c>
      <c r="BD26" s="8">
        <v>29</v>
      </c>
      <c r="BE26" s="8" t="s">
        <v>139</v>
      </c>
      <c r="BF26" s="8">
        <v>0</v>
      </c>
      <c r="BG26" s="8" t="s">
        <v>140</v>
      </c>
      <c r="BH26" s="8">
        <v>0</v>
      </c>
      <c r="BI26" s="8" t="s">
        <v>141</v>
      </c>
      <c r="BJ26" s="8">
        <v>100</v>
      </c>
      <c r="BK26" s="8" t="s">
        <v>142</v>
      </c>
      <c r="BL26" s="8">
        <v>120</v>
      </c>
      <c r="BM26" s="8" t="s">
        <v>143</v>
      </c>
      <c r="BN26" s="8">
        <v>600</v>
      </c>
      <c r="BQ26" s="8">
        <v>1</v>
      </c>
      <c r="BR26" s="8">
        <v>2500</v>
      </c>
      <c r="BS26" s="8">
        <v>2</v>
      </c>
      <c r="BT26" s="8">
        <v>2500</v>
      </c>
      <c r="BU26" s="8" t="s">
        <v>144</v>
      </c>
      <c r="BV26">
        <v>3</v>
      </c>
      <c r="BW26">
        <v>2</v>
      </c>
    </row>
    <row r="27" ht="16.5" customHeight="1" spans="2:75">
      <c r="B27" s="8">
        <f>60000000+INDEX(编号表!$B:$B,MATCH(J27,编号表!$A:$A,0))*10000+INDEX(编号表!$B:$B,MATCH(K27,编号表!$C:$C,0))*1000+L27</f>
        <v>60031023</v>
      </c>
      <c r="C27" s="8" t="s">
        <v>210</v>
      </c>
      <c r="D27" s="5" t="s">
        <v>211</v>
      </c>
      <c r="E27" s="5" t="s">
        <v>212</v>
      </c>
      <c r="F27" s="8">
        <v>23</v>
      </c>
      <c r="G27" s="8" t="str">
        <f>INDEX(编号表!$E:$E,MATCH(K27,编号表!$C:$C,0))</f>
        <v>白色</v>
      </c>
      <c r="H27" s="8">
        <v>3</v>
      </c>
      <c r="I27" s="8" t="s">
        <v>200</v>
      </c>
      <c r="J27" s="8" t="s">
        <v>200</v>
      </c>
      <c r="K27" s="8" t="s">
        <v>129</v>
      </c>
      <c r="L27" s="8">
        <v>23</v>
      </c>
      <c r="M27" s="8">
        <v>23</v>
      </c>
      <c r="N27" s="8"/>
      <c r="O27" s="8"/>
      <c r="P27" s="8">
        <v>10</v>
      </c>
      <c r="Q27" s="8">
        <v>150000</v>
      </c>
      <c r="R27" s="8"/>
      <c r="S27" s="8"/>
      <c r="T27" s="8">
        <v>1</v>
      </c>
      <c r="U27" s="16">
        <v>40010001</v>
      </c>
      <c r="V27" s="8"/>
      <c r="X27" s="8">
        <v>11000001</v>
      </c>
      <c r="Z27" s="8"/>
      <c r="AA27" s="8" t="s">
        <v>130</v>
      </c>
      <c r="AB27" s="11">
        <v>20036</v>
      </c>
      <c r="AC27" s="8">
        <v>0.63</v>
      </c>
      <c r="AD27" s="8">
        <v>80</v>
      </c>
      <c r="AE27" s="8">
        <v>80</v>
      </c>
      <c r="AF27" s="8">
        <v>40</v>
      </c>
      <c r="AG27" s="8">
        <v>40</v>
      </c>
      <c r="AH27" s="8" t="s">
        <v>131</v>
      </c>
      <c r="AJ27" s="17"/>
      <c r="AL27" s="18">
        <v>255</v>
      </c>
      <c r="AM27" s="8" t="s">
        <v>132</v>
      </c>
      <c r="AN27" s="19">
        <v>1500</v>
      </c>
      <c r="AO27" s="8" t="s">
        <v>133</v>
      </c>
      <c r="AP27" s="8">
        <v>8</v>
      </c>
      <c r="AQ27" s="8" t="s">
        <v>134</v>
      </c>
      <c r="AR27" s="8">
        <v>12</v>
      </c>
      <c r="AS27" s="8" t="s">
        <v>135</v>
      </c>
      <c r="AT27" s="8">
        <v>8</v>
      </c>
      <c r="AU27" s="8" t="s">
        <v>136</v>
      </c>
      <c r="AV27" s="8">
        <v>11</v>
      </c>
      <c r="AW27" s="8" t="s">
        <v>137</v>
      </c>
      <c r="AX27" s="8">
        <v>21</v>
      </c>
      <c r="AY27" s="8" t="s">
        <v>138</v>
      </c>
      <c r="AZ27" s="8">
        <v>29</v>
      </c>
      <c r="BA27" s="8" t="s">
        <v>139</v>
      </c>
      <c r="BB27" s="8">
        <v>21</v>
      </c>
      <c r="BC27" s="8" t="s">
        <v>140</v>
      </c>
      <c r="BD27" s="8">
        <v>29</v>
      </c>
      <c r="BE27" s="8" t="s">
        <v>139</v>
      </c>
      <c r="BF27" s="8">
        <v>0</v>
      </c>
      <c r="BG27" s="8" t="s">
        <v>140</v>
      </c>
      <c r="BH27" s="8">
        <v>0</v>
      </c>
      <c r="BI27" s="8" t="s">
        <v>141</v>
      </c>
      <c r="BJ27" s="8">
        <v>100</v>
      </c>
      <c r="BK27" s="8" t="s">
        <v>142</v>
      </c>
      <c r="BL27" s="8">
        <v>120</v>
      </c>
      <c r="BM27" s="8" t="s">
        <v>143</v>
      </c>
      <c r="BN27" s="8">
        <v>600</v>
      </c>
      <c r="BQ27" s="8">
        <v>1</v>
      </c>
      <c r="BR27" s="8">
        <v>2500</v>
      </c>
      <c r="BS27" s="8">
        <v>2</v>
      </c>
      <c r="BT27" s="8">
        <v>2500</v>
      </c>
      <c r="BU27" s="8" t="s">
        <v>144</v>
      </c>
      <c r="BV27">
        <v>3</v>
      </c>
      <c r="BW27">
        <v>3</v>
      </c>
    </row>
    <row r="28" ht="16.5" customHeight="1" spans="2:75">
      <c r="B28" s="8">
        <f>60000000+INDEX(编号表!$B:$B,MATCH(J28,编号表!$A:$A,0))*10000+INDEX(编号表!$B:$B,MATCH(K28,编号表!$C:$C,0))*1000+L28</f>
        <v>60032024</v>
      </c>
      <c r="C28" s="8" t="s">
        <v>213</v>
      </c>
      <c r="D28" s="5" t="s">
        <v>211</v>
      </c>
      <c r="E28" s="5" t="s">
        <v>212</v>
      </c>
      <c r="F28" s="8">
        <v>24</v>
      </c>
      <c r="G28" s="8" t="str">
        <f>INDEX(编号表!$E:$E,MATCH(K28,编号表!$C:$C,0))</f>
        <v>绿色</v>
      </c>
      <c r="H28" s="8">
        <v>3</v>
      </c>
      <c r="I28" s="8" t="s">
        <v>200</v>
      </c>
      <c r="J28" s="8" t="s">
        <v>200</v>
      </c>
      <c r="K28" s="8" t="s">
        <v>196</v>
      </c>
      <c r="L28" s="8">
        <v>24</v>
      </c>
      <c r="M28" s="8">
        <v>24</v>
      </c>
      <c r="N28" s="8"/>
      <c r="O28" s="8"/>
      <c r="P28" s="8">
        <v>10</v>
      </c>
      <c r="Q28" s="8">
        <v>150000</v>
      </c>
      <c r="R28" s="8"/>
      <c r="S28" s="8"/>
      <c r="T28" s="8">
        <v>1</v>
      </c>
      <c r="U28" s="16">
        <v>40010001</v>
      </c>
      <c r="V28" s="8"/>
      <c r="X28" s="8">
        <v>11000001</v>
      </c>
      <c r="Z28" s="8"/>
      <c r="AA28" s="8" t="s">
        <v>130</v>
      </c>
      <c r="AB28" s="11">
        <v>20036</v>
      </c>
      <c r="AC28" s="8">
        <v>0.91</v>
      </c>
      <c r="AD28" s="8">
        <v>80</v>
      </c>
      <c r="AE28" s="8">
        <v>80</v>
      </c>
      <c r="AF28" s="8">
        <v>40</v>
      </c>
      <c r="AG28" s="8">
        <v>40</v>
      </c>
      <c r="AH28" s="8" t="s">
        <v>131</v>
      </c>
      <c r="AJ28" s="17">
        <v>30010</v>
      </c>
      <c r="AL28" s="18">
        <v>255</v>
      </c>
      <c r="AM28" s="8" t="s">
        <v>132</v>
      </c>
      <c r="AN28" s="19">
        <v>1500</v>
      </c>
      <c r="AO28" s="8" t="s">
        <v>133</v>
      </c>
      <c r="AP28" s="8">
        <v>8</v>
      </c>
      <c r="AQ28" s="8" t="s">
        <v>134</v>
      </c>
      <c r="AR28" s="8">
        <v>12</v>
      </c>
      <c r="AS28" s="8" t="s">
        <v>135</v>
      </c>
      <c r="AT28" s="8">
        <v>8</v>
      </c>
      <c r="AU28" s="8" t="s">
        <v>136</v>
      </c>
      <c r="AV28" s="8">
        <v>11</v>
      </c>
      <c r="AW28" s="8" t="s">
        <v>137</v>
      </c>
      <c r="AX28" s="8">
        <v>21</v>
      </c>
      <c r="AY28" s="8" t="s">
        <v>138</v>
      </c>
      <c r="AZ28" s="8">
        <v>29</v>
      </c>
      <c r="BA28" s="8" t="s">
        <v>139</v>
      </c>
      <c r="BB28" s="8">
        <v>21</v>
      </c>
      <c r="BC28" s="8" t="s">
        <v>140</v>
      </c>
      <c r="BD28" s="8">
        <v>29</v>
      </c>
      <c r="BE28" s="8" t="s">
        <v>139</v>
      </c>
      <c r="BF28" s="8">
        <v>0</v>
      </c>
      <c r="BG28" s="8" t="s">
        <v>140</v>
      </c>
      <c r="BH28" s="8">
        <v>0</v>
      </c>
      <c r="BI28" s="8" t="s">
        <v>141</v>
      </c>
      <c r="BJ28" s="8">
        <v>100</v>
      </c>
      <c r="BK28" s="8" t="s">
        <v>142</v>
      </c>
      <c r="BL28" s="8">
        <v>120</v>
      </c>
      <c r="BM28" s="8" t="s">
        <v>143</v>
      </c>
      <c r="BN28" s="8">
        <v>600</v>
      </c>
      <c r="BQ28" s="8">
        <v>1</v>
      </c>
      <c r="BR28" s="8">
        <v>2500</v>
      </c>
      <c r="BS28" s="8">
        <v>2</v>
      </c>
      <c r="BT28" s="8">
        <v>2500</v>
      </c>
      <c r="BU28" s="8" t="s">
        <v>144</v>
      </c>
      <c r="BV28">
        <v>3</v>
      </c>
      <c r="BW28">
        <v>4</v>
      </c>
    </row>
    <row r="29" ht="16.5" customHeight="1" spans="2:75">
      <c r="B29" s="8">
        <f>60000000+INDEX(编号表!$B:$B,MATCH(J29,编号表!$A:$A,0))*10000+INDEX(编号表!$B:$B,MATCH(K29,编号表!$C:$C,0))*1000+L29</f>
        <v>60041025</v>
      </c>
      <c r="C29" s="8" t="s">
        <v>214</v>
      </c>
      <c r="D29" s="5" t="s">
        <v>215</v>
      </c>
      <c r="E29" s="5" t="s">
        <v>216</v>
      </c>
      <c r="F29" s="8">
        <v>25</v>
      </c>
      <c r="G29" s="8" t="str">
        <f>INDEX(编号表!$E:$E,MATCH(K29,编号表!$C:$C,0))</f>
        <v>白色</v>
      </c>
      <c r="H29" s="8">
        <v>4</v>
      </c>
      <c r="I29" s="8" t="s">
        <v>217</v>
      </c>
      <c r="J29" s="8" t="s">
        <v>217</v>
      </c>
      <c r="K29" s="8" t="s">
        <v>129</v>
      </c>
      <c r="L29" s="8">
        <v>25</v>
      </c>
      <c r="M29" s="8">
        <v>25</v>
      </c>
      <c r="N29" s="8"/>
      <c r="O29" s="8"/>
      <c r="P29" s="8">
        <v>10</v>
      </c>
      <c r="Q29" s="8">
        <v>150000</v>
      </c>
      <c r="R29" s="8"/>
      <c r="S29" s="8"/>
      <c r="T29" s="8">
        <v>1</v>
      </c>
      <c r="U29" s="16">
        <v>40010001</v>
      </c>
      <c r="V29" s="8"/>
      <c r="X29" s="8">
        <v>11000001</v>
      </c>
      <c r="Z29" s="8"/>
      <c r="AA29" s="8" t="s">
        <v>130</v>
      </c>
      <c r="AB29" s="11">
        <v>20011</v>
      </c>
      <c r="AC29" s="8">
        <v>0.74</v>
      </c>
      <c r="AD29" s="8">
        <v>80</v>
      </c>
      <c r="AE29" s="8">
        <v>80</v>
      </c>
      <c r="AF29" s="8">
        <v>40</v>
      </c>
      <c r="AG29" s="8">
        <v>40</v>
      </c>
      <c r="AH29" s="8" t="s">
        <v>131</v>
      </c>
      <c r="AJ29" s="17"/>
      <c r="AL29" s="18">
        <v>255</v>
      </c>
      <c r="AM29" s="8" t="s">
        <v>132</v>
      </c>
      <c r="AN29" s="19">
        <v>1500</v>
      </c>
      <c r="AO29" s="8" t="s">
        <v>133</v>
      </c>
      <c r="AP29" s="8">
        <v>8</v>
      </c>
      <c r="AQ29" s="8" t="s">
        <v>134</v>
      </c>
      <c r="AR29" s="8">
        <v>12</v>
      </c>
      <c r="AS29" s="8" t="s">
        <v>135</v>
      </c>
      <c r="AT29" s="8">
        <v>8</v>
      </c>
      <c r="AU29" s="8" t="s">
        <v>136</v>
      </c>
      <c r="AV29" s="8">
        <v>11</v>
      </c>
      <c r="AW29" s="8" t="s">
        <v>137</v>
      </c>
      <c r="AX29" s="8">
        <v>21</v>
      </c>
      <c r="AY29" s="8" t="s">
        <v>138</v>
      </c>
      <c r="AZ29" s="8">
        <v>29</v>
      </c>
      <c r="BA29" s="8" t="s">
        <v>139</v>
      </c>
      <c r="BB29" s="8">
        <v>21</v>
      </c>
      <c r="BC29" s="8" t="s">
        <v>140</v>
      </c>
      <c r="BD29" s="8">
        <v>29</v>
      </c>
      <c r="BE29" s="8" t="s">
        <v>139</v>
      </c>
      <c r="BF29" s="8">
        <v>0</v>
      </c>
      <c r="BG29" s="8" t="s">
        <v>140</v>
      </c>
      <c r="BH29" s="8">
        <v>0</v>
      </c>
      <c r="BI29" s="8" t="s">
        <v>141</v>
      </c>
      <c r="BJ29" s="8">
        <v>100</v>
      </c>
      <c r="BK29" s="8" t="s">
        <v>142</v>
      </c>
      <c r="BL29" s="8">
        <v>120</v>
      </c>
      <c r="BM29" s="8" t="s">
        <v>143</v>
      </c>
      <c r="BN29" s="8">
        <v>600</v>
      </c>
      <c r="BQ29" s="8">
        <v>1</v>
      </c>
      <c r="BR29" s="8">
        <v>2500</v>
      </c>
      <c r="BS29" s="8">
        <v>2</v>
      </c>
      <c r="BT29" s="8">
        <v>2500</v>
      </c>
      <c r="BU29" s="8" t="s">
        <v>144</v>
      </c>
      <c r="BV29">
        <v>3</v>
      </c>
      <c r="BW29">
        <v>5</v>
      </c>
    </row>
    <row r="30" ht="16.5" customHeight="1" spans="2:75">
      <c r="B30" s="8">
        <f>60000000+INDEX(编号表!$B:$B,MATCH(J30,编号表!$A:$A,0))*10000+INDEX(编号表!$B:$B,MATCH(K30,编号表!$C:$C,0))*1000+L30</f>
        <v>60041026</v>
      </c>
      <c r="C30" s="8" t="s">
        <v>218</v>
      </c>
      <c r="D30" s="5" t="s">
        <v>219</v>
      </c>
      <c r="E30" s="5" t="s">
        <v>220</v>
      </c>
      <c r="F30" s="8">
        <v>26</v>
      </c>
      <c r="G30" s="8" t="str">
        <f>INDEX(编号表!$E:$E,MATCH(K30,编号表!$C:$C,0))</f>
        <v>白色</v>
      </c>
      <c r="H30" s="8">
        <v>4</v>
      </c>
      <c r="I30" s="8" t="s">
        <v>217</v>
      </c>
      <c r="J30" s="8" t="s">
        <v>217</v>
      </c>
      <c r="K30" s="8" t="s">
        <v>129</v>
      </c>
      <c r="L30" s="8">
        <v>26</v>
      </c>
      <c r="M30" s="8">
        <v>26</v>
      </c>
      <c r="N30" s="8"/>
      <c r="O30" s="8"/>
      <c r="P30" s="8">
        <v>10</v>
      </c>
      <c r="Q30" s="8">
        <v>150000</v>
      </c>
      <c r="R30" s="8"/>
      <c r="S30" s="8"/>
      <c r="T30" s="8">
        <v>1</v>
      </c>
      <c r="U30" s="16">
        <v>40010001</v>
      </c>
      <c r="V30" s="8"/>
      <c r="X30" s="8">
        <v>11000243</v>
      </c>
      <c r="Z30" s="8"/>
      <c r="AA30" s="8" t="s">
        <v>130</v>
      </c>
      <c r="AB30" s="11">
        <v>20012</v>
      </c>
      <c r="AC30" s="8">
        <v>0.71</v>
      </c>
      <c r="AD30" s="8">
        <v>80</v>
      </c>
      <c r="AE30" s="8">
        <v>80</v>
      </c>
      <c r="AF30" s="8">
        <v>40</v>
      </c>
      <c r="AG30" s="8">
        <v>40</v>
      </c>
      <c r="AH30" s="8" t="s">
        <v>160</v>
      </c>
      <c r="AI30">
        <v>30063</v>
      </c>
      <c r="AJ30" s="17"/>
      <c r="AL30" s="18">
        <v>255</v>
      </c>
      <c r="AM30" s="8" t="s">
        <v>132</v>
      </c>
      <c r="AN30" s="19">
        <v>1500</v>
      </c>
      <c r="AO30" s="8" t="s">
        <v>133</v>
      </c>
      <c r="AP30" s="8">
        <v>8</v>
      </c>
      <c r="AQ30" s="8" t="s">
        <v>134</v>
      </c>
      <c r="AR30" s="8">
        <v>12</v>
      </c>
      <c r="AS30" s="8" t="s">
        <v>135</v>
      </c>
      <c r="AT30" s="8">
        <v>8</v>
      </c>
      <c r="AU30" s="8" t="s">
        <v>136</v>
      </c>
      <c r="AV30" s="8">
        <v>11</v>
      </c>
      <c r="AW30" s="8" t="s">
        <v>137</v>
      </c>
      <c r="AX30" s="8">
        <v>21</v>
      </c>
      <c r="AY30" s="8" t="s">
        <v>138</v>
      </c>
      <c r="AZ30" s="8">
        <v>29</v>
      </c>
      <c r="BA30" s="8" t="s">
        <v>139</v>
      </c>
      <c r="BB30" s="8">
        <v>21</v>
      </c>
      <c r="BC30" s="8" t="s">
        <v>140</v>
      </c>
      <c r="BD30" s="8">
        <v>29</v>
      </c>
      <c r="BE30" s="8" t="s">
        <v>139</v>
      </c>
      <c r="BF30" s="8">
        <v>0</v>
      </c>
      <c r="BG30" s="8" t="s">
        <v>140</v>
      </c>
      <c r="BH30" s="8">
        <v>0</v>
      </c>
      <c r="BI30" s="8" t="s">
        <v>141</v>
      </c>
      <c r="BJ30" s="8">
        <v>100</v>
      </c>
      <c r="BK30" s="8" t="s">
        <v>142</v>
      </c>
      <c r="BL30" s="8">
        <v>600</v>
      </c>
      <c r="BM30" s="8" t="s">
        <v>143</v>
      </c>
      <c r="BN30" s="8">
        <v>800</v>
      </c>
      <c r="BQ30" s="8">
        <v>1</v>
      </c>
      <c r="BR30" s="8">
        <v>2500</v>
      </c>
      <c r="BS30" s="8">
        <v>2</v>
      </c>
      <c r="BT30" s="8">
        <v>2500</v>
      </c>
      <c r="BU30" s="8" t="s">
        <v>144</v>
      </c>
      <c r="BV30">
        <v>3</v>
      </c>
      <c r="BW30">
        <v>6</v>
      </c>
    </row>
    <row r="31" ht="16.5" customHeight="1" spans="2:75">
      <c r="B31" s="8">
        <f>60000000+INDEX(编号表!$B:$B,MATCH(J31,编号表!$A:$A,0))*10000+INDEX(编号表!$B:$B,MATCH(K31,编号表!$C:$C,0))*1000+L31</f>
        <v>60041027</v>
      </c>
      <c r="C31" s="8" t="s">
        <v>221</v>
      </c>
      <c r="D31" s="5" t="s">
        <v>222</v>
      </c>
      <c r="E31" s="5" t="s">
        <v>223</v>
      </c>
      <c r="F31" s="8">
        <v>27</v>
      </c>
      <c r="G31" s="8" t="str">
        <f>INDEX(编号表!$E:$E,MATCH(K31,编号表!$C:$C,0))</f>
        <v>白色</v>
      </c>
      <c r="H31" s="8">
        <v>4</v>
      </c>
      <c r="I31" s="8" t="s">
        <v>217</v>
      </c>
      <c r="J31" s="8" t="s">
        <v>217</v>
      </c>
      <c r="K31" s="8" t="s">
        <v>129</v>
      </c>
      <c r="L31" s="8">
        <v>27</v>
      </c>
      <c r="M31" s="8">
        <v>27</v>
      </c>
      <c r="N31" s="8"/>
      <c r="O31" s="8"/>
      <c r="P31" s="8">
        <v>10</v>
      </c>
      <c r="Q31" s="8">
        <v>150000</v>
      </c>
      <c r="R31" s="8"/>
      <c r="S31" s="8"/>
      <c r="T31" s="8">
        <v>1</v>
      </c>
      <c r="U31" s="16">
        <v>40010001</v>
      </c>
      <c r="V31" s="8"/>
      <c r="X31" s="8">
        <v>11000001</v>
      </c>
      <c r="Z31" s="8"/>
      <c r="AA31" s="8" t="s">
        <v>130</v>
      </c>
      <c r="AB31" s="11">
        <v>20015</v>
      </c>
      <c r="AC31" s="8">
        <v>0.52</v>
      </c>
      <c r="AD31" s="8">
        <v>80</v>
      </c>
      <c r="AE31" s="8">
        <v>80</v>
      </c>
      <c r="AF31" s="8">
        <v>40</v>
      </c>
      <c r="AG31" s="8">
        <v>40</v>
      </c>
      <c r="AH31" s="8" t="s">
        <v>131</v>
      </c>
      <c r="AJ31" s="17"/>
      <c r="AL31" s="18">
        <v>255</v>
      </c>
      <c r="AM31" s="8" t="s">
        <v>132</v>
      </c>
      <c r="AN31" s="19">
        <v>1500</v>
      </c>
      <c r="AO31" s="8" t="s">
        <v>133</v>
      </c>
      <c r="AP31" s="8">
        <v>8</v>
      </c>
      <c r="AQ31" s="8" t="s">
        <v>134</v>
      </c>
      <c r="AR31" s="8">
        <v>12</v>
      </c>
      <c r="AS31" s="8" t="s">
        <v>135</v>
      </c>
      <c r="AT31" s="8">
        <v>8</v>
      </c>
      <c r="AU31" s="8" t="s">
        <v>136</v>
      </c>
      <c r="AV31" s="8">
        <v>11</v>
      </c>
      <c r="AW31" s="8" t="s">
        <v>137</v>
      </c>
      <c r="AX31" s="8">
        <v>21</v>
      </c>
      <c r="AY31" s="8" t="s">
        <v>138</v>
      </c>
      <c r="AZ31" s="8">
        <v>29</v>
      </c>
      <c r="BA31" s="8" t="s">
        <v>139</v>
      </c>
      <c r="BB31" s="8">
        <v>21</v>
      </c>
      <c r="BC31" s="8" t="s">
        <v>140</v>
      </c>
      <c r="BD31" s="8">
        <v>29</v>
      </c>
      <c r="BE31" s="8" t="s">
        <v>139</v>
      </c>
      <c r="BF31" s="8">
        <v>0</v>
      </c>
      <c r="BG31" s="8" t="s">
        <v>140</v>
      </c>
      <c r="BH31" s="8">
        <v>0</v>
      </c>
      <c r="BI31" s="8" t="s">
        <v>141</v>
      </c>
      <c r="BJ31" s="8">
        <v>100</v>
      </c>
      <c r="BK31" s="8" t="s">
        <v>142</v>
      </c>
      <c r="BL31" s="8">
        <v>120</v>
      </c>
      <c r="BM31" s="8" t="s">
        <v>143</v>
      </c>
      <c r="BN31" s="8">
        <v>600</v>
      </c>
      <c r="BQ31" s="8">
        <v>1</v>
      </c>
      <c r="BR31" s="8">
        <v>2500</v>
      </c>
      <c r="BS31" s="8">
        <v>2</v>
      </c>
      <c r="BT31" s="8">
        <v>2500</v>
      </c>
      <c r="BU31" s="8" t="s">
        <v>144</v>
      </c>
      <c r="BV31">
        <v>3</v>
      </c>
      <c r="BW31">
        <v>7</v>
      </c>
    </row>
    <row r="32" ht="16.5" customHeight="1" spans="2:75">
      <c r="B32" s="8">
        <f>60000000+INDEX(编号表!$B:$B,MATCH(J32,编号表!$A:$A,0))*10000+INDEX(编号表!$B:$B,MATCH(K32,编号表!$C:$C,0))*1000+L32</f>
        <v>60041028</v>
      </c>
      <c r="C32" s="8" t="s">
        <v>224</v>
      </c>
      <c r="D32" s="5" t="s">
        <v>225</v>
      </c>
      <c r="E32" s="5" t="s">
        <v>226</v>
      </c>
      <c r="F32" s="8">
        <v>28</v>
      </c>
      <c r="G32" s="8" t="str">
        <f>INDEX(编号表!$E:$E,MATCH(K32,编号表!$C:$C,0))</f>
        <v>白色</v>
      </c>
      <c r="H32" s="8">
        <v>4</v>
      </c>
      <c r="I32" s="8" t="s">
        <v>217</v>
      </c>
      <c r="J32" s="8" t="s">
        <v>217</v>
      </c>
      <c r="K32" s="8" t="s">
        <v>129</v>
      </c>
      <c r="L32" s="8">
        <v>28</v>
      </c>
      <c r="M32" s="8">
        <v>28</v>
      </c>
      <c r="N32" s="8"/>
      <c r="O32" s="8"/>
      <c r="P32" s="8">
        <v>10</v>
      </c>
      <c r="Q32" s="8">
        <v>150000</v>
      </c>
      <c r="R32" s="8"/>
      <c r="S32" s="8"/>
      <c r="T32" s="8">
        <v>1</v>
      </c>
      <c r="U32" s="16">
        <v>40010001</v>
      </c>
      <c r="V32" s="8"/>
      <c r="X32" s="8">
        <v>11000001</v>
      </c>
      <c r="Z32" s="8"/>
      <c r="AA32" s="8" t="s">
        <v>130</v>
      </c>
      <c r="AB32" s="11">
        <v>20022</v>
      </c>
      <c r="AC32" s="8">
        <v>0.73</v>
      </c>
      <c r="AD32" s="8">
        <v>80</v>
      </c>
      <c r="AE32" s="8">
        <v>80</v>
      </c>
      <c r="AF32" s="8">
        <v>40</v>
      </c>
      <c r="AG32" s="8">
        <v>40</v>
      </c>
      <c r="AH32" s="8" t="s">
        <v>131</v>
      </c>
      <c r="AJ32" s="17"/>
      <c r="AL32" s="18">
        <v>255</v>
      </c>
      <c r="AM32" s="8" t="s">
        <v>132</v>
      </c>
      <c r="AN32" s="19">
        <v>1500</v>
      </c>
      <c r="AO32" s="8" t="s">
        <v>133</v>
      </c>
      <c r="AP32" s="8">
        <v>8</v>
      </c>
      <c r="AQ32" s="8" t="s">
        <v>134</v>
      </c>
      <c r="AR32" s="8">
        <v>12</v>
      </c>
      <c r="AS32" s="8" t="s">
        <v>135</v>
      </c>
      <c r="AT32" s="8">
        <v>8</v>
      </c>
      <c r="AU32" s="8" t="s">
        <v>136</v>
      </c>
      <c r="AV32" s="8">
        <v>11</v>
      </c>
      <c r="AW32" s="8" t="s">
        <v>137</v>
      </c>
      <c r="AX32" s="8">
        <v>21</v>
      </c>
      <c r="AY32" s="8" t="s">
        <v>138</v>
      </c>
      <c r="AZ32" s="8">
        <v>29</v>
      </c>
      <c r="BA32" s="8" t="s">
        <v>139</v>
      </c>
      <c r="BB32" s="8">
        <v>21</v>
      </c>
      <c r="BC32" s="8" t="s">
        <v>140</v>
      </c>
      <c r="BD32" s="8">
        <v>29</v>
      </c>
      <c r="BE32" s="8" t="s">
        <v>139</v>
      </c>
      <c r="BF32" s="8">
        <v>0</v>
      </c>
      <c r="BG32" s="8" t="s">
        <v>140</v>
      </c>
      <c r="BH32" s="8">
        <v>0</v>
      </c>
      <c r="BI32" s="8" t="s">
        <v>141</v>
      </c>
      <c r="BJ32" s="8">
        <v>100</v>
      </c>
      <c r="BK32" s="8" t="s">
        <v>142</v>
      </c>
      <c r="BL32" s="8">
        <v>120</v>
      </c>
      <c r="BM32" s="8" t="s">
        <v>143</v>
      </c>
      <c r="BN32" s="8">
        <v>600</v>
      </c>
      <c r="BQ32" s="8">
        <v>1</v>
      </c>
      <c r="BR32" s="8">
        <v>2500</v>
      </c>
      <c r="BS32" s="8">
        <v>2</v>
      </c>
      <c r="BT32" s="8">
        <v>2500</v>
      </c>
      <c r="BU32" s="8" t="s">
        <v>144</v>
      </c>
      <c r="BV32">
        <v>3</v>
      </c>
      <c r="BW32">
        <v>8</v>
      </c>
    </row>
    <row r="33" ht="16.5" customHeight="1" spans="2:75">
      <c r="B33" s="8">
        <f>60000000+INDEX(编号表!$B:$B,MATCH(J33,编号表!$A:$A,0))*10000+INDEX(编号表!$B:$B,MATCH(K33,编号表!$C:$C,0))*1000+L33</f>
        <v>60041029</v>
      </c>
      <c r="C33" s="8" t="s">
        <v>227</v>
      </c>
      <c r="D33" s="5" t="s">
        <v>225</v>
      </c>
      <c r="E33" s="5" t="s">
        <v>226</v>
      </c>
      <c r="F33" s="8">
        <v>29</v>
      </c>
      <c r="G33" s="8" t="str">
        <f>INDEX(编号表!$E:$E,MATCH(K33,编号表!$C:$C,0))</f>
        <v>白色</v>
      </c>
      <c r="H33" s="8">
        <v>4</v>
      </c>
      <c r="I33" s="8" t="s">
        <v>217</v>
      </c>
      <c r="J33" s="8" t="s">
        <v>217</v>
      </c>
      <c r="K33" s="8" t="s">
        <v>129</v>
      </c>
      <c r="L33" s="8">
        <v>29</v>
      </c>
      <c r="M33" s="8">
        <v>29</v>
      </c>
      <c r="N33" s="8"/>
      <c r="O33" s="8"/>
      <c r="P33" s="8">
        <v>10</v>
      </c>
      <c r="Q33" s="8">
        <v>150000</v>
      </c>
      <c r="R33" s="8"/>
      <c r="S33" s="8"/>
      <c r="T33" s="8">
        <v>1</v>
      </c>
      <c r="U33" s="16">
        <v>40010001</v>
      </c>
      <c r="V33" s="8"/>
      <c r="X33" s="8">
        <v>11000001</v>
      </c>
      <c r="Z33" s="8"/>
      <c r="AA33" s="8" t="s">
        <v>130</v>
      </c>
      <c r="AB33" s="11">
        <v>20022</v>
      </c>
      <c r="AC33" s="8">
        <v>0.46</v>
      </c>
      <c r="AD33" s="8">
        <v>80</v>
      </c>
      <c r="AE33" s="8">
        <v>80</v>
      </c>
      <c r="AF33" s="8">
        <v>40</v>
      </c>
      <c r="AG33" s="8">
        <v>40</v>
      </c>
      <c r="AH33" s="8" t="s">
        <v>131</v>
      </c>
      <c r="AJ33" s="17"/>
      <c r="AL33" s="18">
        <v>255</v>
      </c>
      <c r="AM33" s="8" t="s">
        <v>132</v>
      </c>
      <c r="AN33" s="19">
        <v>1500</v>
      </c>
      <c r="AO33" s="8" t="s">
        <v>133</v>
      </c>
      <c r="AP33" s="8">
        <v>8</v>
      </c>
      <c r="AQ33" s="8" t="s">
        <v>134</v>
      </c>
      <c r="AR33" s="8">
        <v>12</v>
      </c>
      <c r="AS33" s="8" t="s">
        <v>135</v>
      </c>
      <c r="AT33" s="8">
        <v>8</v>
      </c>
      <c r="AU33" s="8" t="s">
        <v>136</v>
      </c>
      <c r="AV33" s="8">
        <v>11</v>
      </c>
      <c r="AW33" s="8" t="s">
        <v>137</v>
      </c>
      <c r="AX33" s="8">
        <v>21</v>
      </c>
      <c r="AY33" s="8" t="s">
        <v>138</v>
      </c>
      <c r="AZ33" s="8">
        <v>29</v>
      </c>
      <c r="BA33" s="8" t="s">
        <v>139</v>
      </c>
      <c r="BB33" s="8">
        <v>21</v>
      </c>
      <c r="BC33" s="8" t="s">
        <v>140</v>
      </c>
      <c r="BD33" s="8">
        <v>29</v>
      </c>
      <c r="BE33" s="8" t="s">
        <v>139</v>
      </c>
      <c r="BF33" s="8">
        <v>0</v>
      </c>
      <c r="BG33" s="8" t="s">
        <v>140</v>
      </c>
      <c r="BH33" s="8">
        <v>0</v>
      </c>
      <c r="BI33" s="8" t="s">
        <v>141</v>
      </c>
      <c r="BJ33" s="8">
        <v>100</v>
      </c>
      <c r="BK33" s="8" t="s">
        <v>142</v>
      </c>
      <c r="BL33" s="8">
        <v>120</v>
      </c>
      <c r="BM33" s="8" t="s">
        <v>143</v>
      </c>
      <c r="BN33" s="8">
        <v>600</v>
      </c>
      <c r="BQ33" s="8">
        <v>1</v>
      </c>
      <c r="BR33" s="8">
        <v>2500</v>
      </c>
      <c r="BS33" s="8">
        <v>2</v>
      </c>
      <c r="BT33" s="8">
        <v>2500</v>
      </c>
      <c r="BU33" s="8" t="s">
        <v>144</v>
      </c>
      <c r="BV33">
        <v>3</v>
      </c>
      <c r="BW33">
        <v>9</v>
      </c>
    </row>
    <row r="34" ht="16.5" customHeight="1" spans="2:75">
      <c r="B34" s="8">
        <f>60000000+INDEX(编号表!$B:$B,MATCH(J34,编号表!$A:$A,0))*10000+INDEX(编号表!$B:$B,MATCH(K34,编号表!$C:$C,0))*1000+L34</f>
        <v>60042030</v>
      </c>
      <c r="C34" s="8" t="s">
        <v>228</v>
      </c>
      <c r="D34" s="5" t="s">
        <v>225</v>
      </c>
      <c r="E34" s="5" t="s">
        <v>226</v>
      </c>
      <c r="F34" s="8">
        <v>30</v>
      </c>
      <c r="G34" s="8" t="str">
        <f>INDEX(编号表!$E:$E,MATCH(K34,编号表!$C:$C,0))</f>
        <v>绿色</v>
      </c>
      <c r="H34" s="8">
        <v>4</v>
      </c>
      <c r="I34" s="8" t="s">
        <v>217</v>
      </c>
      <c r="J34" s="8" t="s">
        <v>217</v>
      </c>
      <c r="K34" s="8" t="s">
        <v>196</v>
      </c>
      <c r="L34" s="8">
        <v>30</v>
      </c>
      <c r="M34" s="8">
        <v>30</v>
      </c>
      <c r="N34" s="8"/>
      <c r="O34" s="8"/>
      <c r="P34" s="8">
        <v>10</v>
      </c>
      <c r="Q34" s="8">
        <v>150000</v>
      </c>
      <c r="R34" s="8"/>
      <c r="S34" s="8"/>
      <c r="T34" s="8">
        <v>1</v>
      </c>
      <c r="U34" s="16">
        <v>40010001</v>
      </c>
      <c r="V34" s="8"/>
      <c r="X34" s="8">
        <v>11000001</v>
      </c>
      <c r="Z34" s="8"/>
      <c r="AA34" s="8" t="s">
        <v>130</v>
      </c>
      <c r="AB34" s="11">
        <v>20022</v>
      </c>
      <c r="AC34" s="8">
        <v>0.67</v>
      </c>
      <c r="AD34" s="8">
        <v>80</v>
      </c>
      <c r="AE34" s="8">
        <v>80</v>
      </c>
      <c r="AF34" s="8">
        <v>40</v>
      </c>
      <c r="AG34" s="8">
        <v>40</v>
      </c>
      <c r="AH34" s="8" t="s">
        <v>131</v>
      </c>
      <c r="AJ34" s="17">
        <v>30010</v>
      </c>
      <c r="AL34" s="18">
        <v>255</v>
      </c>
      <c r="AM34" s="8" t="s">
        <v>132</v>
      </c>
      <c r="AN34" s="19">
        <v>1500</v>
      </c>
      <c r="AO34" s="8" t="s">
        <v>133</v>
      </c>
      <c r="AP34" s="8">
        <v>8</v>
      </c>
      <c r="AQ34" s="8" t="s">
        <v>134</v>
      </c>
      <c r="AR34" s="8">
        <v>12</v>
      </c>
      <c r="AS34" s="8" t="s">
        <v>135</v>
      </c>
      <c r="AT34" s="8">
        <v>8</v>
      </c>
      <c r="AU34" s="8" t="s">
        <v>136</v>
      </c>
      <c r="AV34" s="8">
        <v>11</v>
      </c>
      <c r="AW34" s="8" t="s">
        <v>137</v>
      </c>
      <c r="AX34" s="8">
        <v>21</v>
      </c>
      <c r="AY34" s="8" t="s">
        <v>138</v>
      </c>
      <c r="AZ34" s="8">
        <v>29</v>
      </c>
      <c r="BA34" s="8" t="s">
        <v>139</v>
      </c>
      <c r="BB34" s="8">
        <v>21</v>
      </c>
      <c r="BC34" s="8" t="s">
        <v>140</v>
      </c>
      <c r="BD34" s="8">
        <v>29</v>
      </c>
      <c r="BE34" s="8" t="s">
        <v>139</v>
      </c>
      <c r="BF34" s="8">
        <v>0</v>
      </c>
      <c r="BG34" s="8" t="s">
        <v>140</v>
      </c>
      <c r="BH34" s="8">
        <v>0</v>
      </c>
      <c r="BI34" s="8" t="s">
        <v>141</v>
      </c>
      <c r="BJ34" s="8">
        <v>100</v>
      </c>
      <c r="BK34" s="8" t="s">
        <v>142</v>
      </c>
      <c r="BL34" s="8">
        <v>120</v>
      </c>
      <c r="BM34" s="8" t="s">
        <v>143</v>
      </c>
      <c r="BN34" s="8">
        <v>600</v>
      </c>
      <c r="BQ34" s="8">
        <v>1</v>
      </c>
      <c r="BR34" s="8">
        <v>2500</v>
      </c>
      <c r="BS34" s="8">
        <v>2</v>
      </c>
      <c r="BT34" s="8">
        <v>2500</v>
      </c>
      <c r="BU34" s="8" t="s">
        <v>144</v>
      </c>
      <c r="BV34">
        <v>3</v>
      </c>
      <c r="BW34">
        <v>10</v>
      </c>
    </row>
    <row r="35" ht="16.5" customHeight="1" spans="2:75">
      <c r="B35" s="8">
        <f>60000000+INDEX(编号表!$B:$B,MATCH(J35,编号表!$A:$A,0))*10000+INDEX(编号表!$B:$B,MATCH(K35,编号表!$C:$C,0))*1000+L35</f>
        <v>60051031</v>
      </c>
      <c r="C35" s="8" t="s">
        <v>229</v>
      </c>
      <c r="D35" s="5" t="s">
        <v>230</v>
      </c>
      <c r="E35" s="5" t="s">
        <v>231</v>
      </c>
      <c r="F35" s="8">
        <v>31</v>
      </c>
      <c r="G35" s="8" t="str">
        <f>INDEX(编号表!$E:$E,MATCH(K35,编号表!$C:$C,0))</f>
        <v>白色</v>
      </c>
      <c r="H35" s="8">
        <v>5</v>
      </c>
      <c r="I35" s="8" t="s">
        <v>232</v>
      </c>
      <c r="J35" s="8" t="s">
        <v>232</v>
      </c>
      <c r="K35" s="8" t="s">
        <v>129</v>
      </c>
      <c r="L35" s="8">
        <v>31</v>
      </c>
      <c r="M35" s="8">
        <v>31</v>
      </c>
      <c r="N35" s="8"/>
      <c r="O35" s="8"/>
      <c r="P35" s="8">
        <v>10</v>
      </c>
      <c r="Q35" s="8">
        <v>150000</v>
      </c>
      <c r="R35" s="8"/>
      <c r="S35" s="8"/>
      <c r="T35" s="8">
        <v>1</v>
      </c>
      <c r="U35" s="16">
        <v>40010001</v>
      </c>
      <c r="V35" s="8"/>
      <c r="X35" s="8">
        <v>11000001</v>
      </c>
      <c r="Z35" s="8"/>
      <c r="AA35" s="8" t="s">
        <v>130</v>
      </c>
      <c r="AB35" s="11">
        <v>20010</v>
      </c>
      <c r="AC35" s="8">
        <v>0.6</v>
      </c>
      <c r="AD35" s="8">
        <v>80</v>
      </c>
      <c r="AE35" s="8">
        <v>80</v>
      </c>
      <c r="AF35" s="8">
        <v>40</v>
      </c>
      <c r="AG35" s="8">
        <v>40</v>
      </c>
      <c r="AH35" s="8" t="s">
        <v>131</v>
      </c>
      <c r="AJ35" s="17"/>
      <c r="AL35" s="18">
        <v>255</v>
      </c>
      <c r="AM35" s="8" t="s">
        <v>132</v>
      </c>
      <c r="AN35" s="19">
        <v>1500</v>
      </c>
      <c r="AO35" s="8" t="s">
        <v>133</v>
      </c>
      <c r="AP35" s="8">
        <v>8</v>
      </c>
      <c r="AQ35" s="8" t="s">
        <v>134</v>
      </c>
      <c r="AR35" s="8">
        <v>12</v>
      </c>
      <c r="AS35" s="8" t="s">
        <v>135</v>
      </c>
      <c r="AT35" s="8">
        <v>8</v>
      </c>
      <c r="AU35" s="8" t="s">
        <v>136</v>
      </c>
      <c r="AV35" s="8">
        <v>11</v>
      </c>
      <c r="AW35" s="8" t="s">
        <v>137</v>
      </c>
      <c r="AX35" s="8">
        <v>21</v>
      </c>
      <c r="AY35" s="8" t="s">
        <v>138</v>
      </c>
      <c r="AZ35" s="8">
        <v>29</v>
      </c>
      <c r="BA35" s="8" t="s">
        <v>139</v>
      </c>
      <c r="BB35" s="8">
        <v>21</v>
      </c>
      <c r="BC35" s="8" t="s">
        <v>140</v>
      </c>
      <c r="BD35" s="8">
        <v>29</v>
      </c>
      <c r="BE35" s="8" t="s">
        <v>139</v>
      </c>
      <c r="BF35" s="8">
        <v>0</v>
      </c>
      <c r="BG35" s="8" t="s">
        <v>140</v>
      </c>
      <c r="BH35" s="8">
        <v>0</v>
      </c>
      <c r="BI35" s="8" t="s">
        <v>141</v>
      </c>
      <c r="BJ35" s="8">
        <v>100</v>
      </c>
      <c r="BK35" s="8" t="s">
        <v>142</v>
      </c>
      <c r="BL35" s="8">
        <v>120</v>
      </c>
      <c r="BM35" s="8" t="s">
        <v>143</v>
      </c>
      <c r="BN35" s="8">
        <v>600</v>
      </c>
      <c r="BQ35" s="8">
        <v>1</v>
      </c>
      <c r="BR35" s="8">
        <v>2500</v>
      </c>
      <c r="BS35" s="8">
        <v>2</v>
      </c>
      <c r="BT35" s="8">
        <v>2500</v>
      </c>
      <c r="BU35" s="8" t="s">
        <v>144</v>
      </c>
      <c r="BV35">
        <v>4</v>
      </c>
      <c r="BW35">
        <v>1</v>
      </c>
    </row>
    <row r="36" ht="16.5" customHeight="1" spans="2:75">
      <c r="B36" s="8">
        <f>60000000+INDEX(编号表!$B:$B,MATCH(J36,编号表!$A:$A,0))*10000+INDEX(编号表!$B:$B,MATCH(K36,编号表!$C:$C,0))*1000+L36</f>
        <v>60051032</v>
      </c>
      <c r="C36" s="8" t="s">
        <v>233</v>
      </c>
      <c r="D36" s="5" t="s">
        <v>234</v>
      </c>
      <c r="E36" s="5" t="s">
        <v>235</v>
      </c>
      <c r="F36" s="8">
        <v>32</v>
      </c>
      <c r="G36" s="8" t="str">
        <f>INDEX(编号表!$E:$E,MATCH(K36,编号表!$C:$C,0))</f>
        <v>白色</v>
      </c>
      <c r="H36" s="8">
        <v>5</v>
      </c>
      <c r="I36" s="8" t="s">
        <v>232</v>
      </c>
      <c r="J36" s="8" t="s">
        <v>232</v>
      </c>
      <c r="K36" s="8" t="s">
        <v>129</v>
      </c>
      <c r="L36" s="8">
        <v>32</v>
      </c>
      <c r="M36" s="8">
        <v>32</v>
      </c>
      <c r="N36" s="8"/>
      <c r="O36" s="8"/>
      <c r="P36" s="8">
        <v>10</v>
      </c>
      <c r="Q36" s="8">
        <v>150000</v>
      </c>
      <c r="R36" s="8"/>
      <c r="S36" s="8"/>
      <c r="T36" s="8">
        <v>1</v>
      </c>
      <c r="U36" s="16">
        <v>40010001</v>
      </c>
      <c r="V36" s="8"/>
      <c r="X36" s="8">
        <v>11000001</v>
      </c>
      <c r="Z36" s="8"/>
      <c r="AA36" s="8" t="s">
        <v>130</v>
      </c>
      <c r="AB36" s="11">
        <v>20023</v>
      </c>
      <c r="AC36" s="8">
        <v>0.66</v>
      </c>
      <c r="AD36" s="8">
        <v>80</v>
      </c>
      <c r="AE36" s="8">
        <v>80</v>
      </c>
      <c r="AF36" s="8">
        <v>40</v>
      </c>
      <c r="AG36" s="8">
        <v>40</v>
      </c>
      <c r="AH36" s="8" t="s">
        <v>131</v>
      </c>
      <c r="AJ36" s="17"/>
      <c r="AL36" s="18">
        <v>255</v>
      </c>
      <c r="AM36" s="8" t="s">
        <v>132</v>
      </c>
      <c r="AN36" s="19">
        <v>1500</v>
      </c>
      <c r="AO36" s="8" t="s">
        <v>133</v>
      </c>
      <c r="AP36" s="8">
        <v>8</v>
      </c>
      <c r="AQ36" s="8" t="s">
        <v>134</v>
      </c>
      <c r="AR36" s="8">
        <v>12</v>
      </c>
      <c r="AS36" s="8" t="s">
        <v>135</v>
      </c>
      <c r="AT36" s="8">
        <v>8</v>
      </c>
      <c r="AU36" s="8" t="s">
        <v>136</v>
      </c>
      <c r="AV36" s="8">
        <v>11</v>
      </c>
      <c r="AW36" s="8" t="s">
        <v>137</v>
      </c>
      <c r="AX36" s="8">
        <v>21</v>
      </c>
      <c r="AY36" s="8" t="s">
        <v>138</v>
      </c>
      <c r="AZ36" s="8">
        <v>29</v>
      </c>
      <c r="BA36" s="8" t="s">
        <v>139</v>
      </c>
      <c r="BB36" s="8">
        <v>21</v>
      </c>
      <c r="BC36" s="8" t="s">
        <v>140</v>
      </c>
      <c r="BD36" s="8">
        <v>29</v>
      </c>
      <c r="BE36" s="8" t="s">
        <v>139</v>
      </c>
      <c r="BF36" s="8">
        <v>0</v>
      </c>
      <c r="BG36" s="8" t="s">
        <v>140</v>
      </c>
      <c r="BH36" s="8">
        <v>0</v>
      </c>
      <c r="BI36" s="8" t="s">
        <v>141</v>
      </c>
      <c r="BJ36" s="8">
        <v>100</v>
      </c>
      <c r="BK36" s="8" t="s">
        <v>142</v>
      </c>
      <c r="BL36" s="8">
        <v>120</v>
      </c>
      <c r="BM36" s="8" t="s">
        <v>143</v>
      </c>
      <c r="BN36" s="8">
        <v>600</v>
      </c>
      <c r="BQ36" s="8">
        <v>1</v>
      </c>
      <c r="BR36" s="8">
        <v>2500</v>
      </c>
      <c r="BS36" s="8">
        <v>2</v>
      </c>
      <c r="BT36" s="8">
        <v>2500</v>
      </c>
      <c r="BU36" s="8" t="s">
        <v>144</v>
      </c>
      <c r="BV36">
        <v>4</v>
      </c>
      <c r="BW36">
        <v>2</v>
      </c>
    </row>
    <row r="37" ht="16.5" customHeight="1" spans="2:75">
      <c r="B37" s="8">
        <f>60000000+INDEX(编号表!$B:$B,MATCH(J37,编号表!$A:$A,0))*10000+INDEX(编号表!$B:$B,MATCH(K37,编号表!$C:$C,0))*1000+L37</f>
        <v>60051033</v>
      </c>
      <c r="C37" s="8" t="s">
        <v>236</v>
      </c>
      <c r="D37" s="5" t="s">
        <v>237</v>
      </c>
      <c r="E37" s="5" t="s">
        <v>238</v>
      </c>
      <c r="F37" s="8">
        <v>33</v>
      </c>
      <c r="G37" s="8" t="str">
        <f>INDEX(编号表!$E:$E,MATCH(K37,编号表!$C:$C,0))</f>
        <v>白色</v>
      </c>
      <c r="H37" s="8">
        <v>5</v>
      </c>
      <c r="I37" s="8" t="s">
        <v>232</v>
      </c>
      <c r="J37" s="8" t="s">
        <v>232</v>
      </c>
      <c r="K37" s="8" t="s">
        <v>129</v>
      </c>
      <c r="L37" s="8">
        <v>33</v>
      </c>
      <c r="M37" s="8">
        <v>33</v>
      </c>
      <c r="N37" s="8"/>
      <c r="O37" s="8"/>
      <c r="P37" s="8">
        <v>10</v>
      </c>
      <c r="Q37" s="8">
        <v>150000</v>
      </c>
      <c r="R37" s="8"/>
      <c r="S37" s="8"/>
      <c r="T37" s="8">
        <v>1</v>
      </c>
      <c r="U37" s="16">
        <v>40010001</v>
      </c>
      <c r="V37" s="8"/>
      <c r="X37" s="8">
        <v>11000001</v>
      </c>
      <c r="Z37" s="8"/>
      <c r="AA37" s="8" t="s">
        <v>130</v>
      </c>
      <c r="AB37" s="11">
        <v>20037</v>
      </c>
      <c r="AC37" s="8">
        <v>0.7</v>
      </c>
      <c r="AD37" s="8">
        <v>80</v>
      </c>
      <c r="AE37" s="8">
        <v>80</v>
      </c>
      <c r="AF37" s="8">
        <v>40</v>
      </c>
      <c r="AG37" s="8">
        <v>40</v>
      </c>
      <c r="AH37" s="8" t="s">
        <v>131</v>
      </c>
      <c r="AJ37" s="17"/>
      <c r="AL37" s="18">
        <v>255</v>
      </c>
      <c r="AM37" s="8" t="s">
        <v>132</v>
      </c>
      <c r="AN37" s="19">
        <v>1500</v>
      </c>
      <c r="AO37" s="8" t="s">
        <v>133</v>
      </c>
      <c r="AP37" s="8">
        <v>8</v>
      </c>
      <c r="AQ37" s="8" t="s">
        <v>134</v>
      </c>
      <c r="AR37" s="8">
        <v>12</v>
      </c>
      <c r="AS37" s="8" t="s">
        <v>135</v>
      </c>
      <c r="AT37" s="8">
        <v>8</v>
      </c>
      <c r="AU37" s="8" t="s">
        <v>136</v>
      </c>
      <c r="AV37" s="8">
        <v>11</v>
      </c>
      <c r="AW37" s="8" t="s">
        <v>137</v>
      </c>
      <c r="AX37" s="8">
        <v>21</v>
      </c>
      <c r="AY37" s="8" t="s">
        <v>138</v>
      </c>
      <c r="AZ37" s="8">
        <v>29</v>
      </c>
      <c r="BA37" s="8" t="s">
        <v>139</v>
      </c>
      <c r="BB37" s="8">
        <v>21</v>
      </c>
      <c r="BC37" s="8" t="s">
        <v>140</v>
      </c>
      <c r="BD37" s="8">
        <v>29</v>
      </c>
      <c r="BE37" s="8" t="s">
        <v>139</v>
      </c>
      <c r="BF37" s="8">
        <v>0</v>
      </c>
      <c r="BG37" s="8" t="s">
        <v>140</v>
      </c>
      <c r="BH37" s="8">
        <v>0</v>
      </c>
      <c r="BI37" s="8" t="s">
        <v>141</v>
      </c>
      <c r="BJ37" s="8">
        <v>100</v>
      </c>
      <c r="BK37" s="8" t="s">
        <v>142</v>
      </c>
      <c r="BL37" s="8">
        <v>120</v>
      </c>
      <c r="BM37" s="8" t="s">
        <v>143</v>
      </c>
      <c r="BN37" s="8">
        <v>600</v>
      </c>
      <c r="BQ37" s="8">
        <v>1</v>
      </c>
      <c r="BR37" s="8">
        <v>2500</v>
      </c>
      <c r="BS37" s="8">
        <v>2</v>
      </c>
      <c r="BT37" s="8">
        <v>2500</v>
      </c>
      <c r="BU37" s="8" t="s">
        <v>144</v>
      </c>
      <c r="BV37">
        <v>4</v>
      </c>
      <c r="BW37">
        <v>3</v>
      </c>
    </row>
    <row r="38" ht="16.5" customHeight="1" spans="2:75">
      <c r="B38" s="8">
        <f>60000000+INDEX(编号表!$B:$B,MATCH(J38,编号表!$A:$A,0))*10000+INDEX(编号表!$B:$B,MATCH(K38,编号表!$C:$C,0))*1000+L38</f>
        <v>60051034</v>
      </c>
      <c r="C38" s="8" t="s">
        <v>239</v>
      </c>
      <c r="D38" s="5" t="s">
        <v>240</v>
      </c>
      <c r="E38" s="5" t="s">
        <v>241</v>
      </c>
      <c r="F38" s="8">
        <v>34</v>
      </c>
      <c r="G38" s="8" t="str">
        <f>INDEX(编号表!$E:$E,MATCH(K38,编号表!$C:$C,0))</f>
        <v>白色</v>
      </c>
      <c r="H38" s="8">
        <v>5</v>
      </c>
      <c r="I38" s="8" t="s">
        <v>232</v>
      </c>
      <c r="J38" s="8" t="s">
        <v>232</v>
      </c>
      <c r="K38" s="8" t="s">
        <v>129</v>
      </c>
      <c r="L38" s="8">
        <v>34</v>
      </c>
      <c r="M38" s="8">
        <v>34</v>
      </c>
      <c r="N38" s="8"/>
      <c r="O38" s="8"/>
      <c r="P38" s="8">
        <v>10</v>
      </c>
      <c r="Q38" s="8">
        <v>150000</v>
      </c>
      <c r="R38" s="8"/>
      <c r="S38" s="8"/>
      <c r="T38" s="8">
        <v>1</v>
      </c>
      <c r="U38" s="16">
        <v>40010001</v>
      </c>
      <c r="V38" s="8"/>
      <c r="X38" s="8">
        <v>11000254</v>
      </c>
      <c r="Z38" s="8"/>
      <c r="AA38" s="8" t="s">
        <v>130</v>
      </c>
      <c r="AB38" s="11">
        <v>20025</v>
      </c>
      <c r="AC38" s="8">
        <v>0.89</v>
      </c>
      <c r="AD38" s="8">
        <v>80</v>
      </c>
      <c r="AE38" s="8">
        <v>80</v>
      </c>
      <c r="AF38" s="8">
        <v>40</v>
      </c>
      <c r="AG38" s="8">
        <v>40</v>
      </c>
      <c r="AH38" s="8" t="s">
        <v>160</v>
      </c>
      <c r="AI38">
        <v>30074</v>
      </c>
      <c r="AJ38" s="17"/>
      <c r="AL38" s="18">
        <v>255</v>
      </c>
      <c r="AM38" s="8" t="s">
        <v>132</v>
      </c>
      <c r="AN38" s="19">
        <v>1500</v>
      </c>
      <c r="AO38" s="8" t="s">
        <v>133</v>
      </c>
      <c r="AP38" s="8">
        <v>8</v>
      </c>
      <c r="AQ38" s="8" t="s">
        <v>134</v>
      </c>
      <c r="AR38" s="8">
        <v>12</v>
      </c>
      <c r="AS38" s="8" t="s">
        <v>135</v>
      </c>
      <c r="AT38" s="8">
        <v>8</v>
      </c>
      <c r="AU38" s="8" t="s">
        <v>136</v>
      </c>
      <c r="AV38" s="8">
        <v>11</v>
      </c>
      <c r="AW38" s="8" t="s">
        <v>137</v>
      </c>
      <c r="AX38" s="8">
        <v>21</v>
      </c>
      <c r="AY38" s="8" t="s">
        <v>138</v>
      </c>
      <c r="AZ38" s="8">
        <v>29</v>
      </c>
      <c r="BA38" s="8" t="s">
        <v>139</v>
      </c>
      <c r="BB38" s="8">
        <v>21</v>
      </c>
      <c r="BC38" s="8" t="s">
        <v>140</v>
      </c>
      <c r="BD38" s="8">
        <v>29</v>
      </c>
      <c r="BE38" s="8" t="s">
        <v>139</v>
      </c>
      <c r="BF38" s="8">
        <v>0</v>
      </c>
      <c r="BG38" s="8" t="s">
        <v>140</v>
      </c>
      <c r="BH38" s="8">
        <v>0</v>
      </c>
      <c r="BI38" s="8" t="s">
        <v>141</v>
      </c>
      <c r="BJ38" s="8">
        <v>100</v>
      </c>
      <c r="BK38" s="8" t="s">
        <v>142</v>
      </c>
      <c r="BL38" s="8">
        <v>600</v>
      </c>
      <c r="BM38" s="8" t="s">
        <v>143</v>
      </c>
      <c r="BN38" s="8">
        <v>800</v>
      </c>
      <c r="BQ38" s="8">
        <v>1</v>
      </c>
      <c r="BR38" s="8">
        <v>2500</v>
      </c>
      <c r="BS38" s="8">
        <v>2</v>
      </c>
      <c r="BT38" s="8">
        <v>2500</v>
      </c>
      <c r="BU38" s="8" t="s">
        <v>144</v>
      </c>
      <c r="BV38">
        <v>4</v>
      </c>
      <c r="BW38">
        <v>4</v>
      </c>
    </row>
    <row r="39" ht="16.5" customHeight="1" spans="2:75">
      <c r="B39" s="8">
        <f>60000000+INDEX(编号表!$B:$B,MATCH(J39,编号表!$A:$A,0))*10000+INDEX(编号表!$B:$B,MATCH(K39,编号表!$C:$C,0))*1000+L39</f>
        <v>60052035</v>
      </c>
      <c r="C39" s="8" t="s">
        <v>242</v>
      </c>
      <c r="D39" s="5" t="s">
        <v>240</v>
      </c>
      <c r="E39" s="5" t="s">
        <v>241</v>
      </c>
      <c r="F39" s="8">
        <v>35</v>
      </c>
      <c r="G39" s="8" t="str">
        <f>INDEX(编号表!$E:$E,MATCH(K39,编号表!$C:$C,0))</f>
        <v>绿色</v>
      </c>
      <c r="H39" s="8">
        <v>5</v>
      </c>
      <c r="I39" s="8" t="s">
        <v>232</v>
      </c>
      <c r="J39" s="8" t="s">
        <v>232</v>
      </c>
      <c r="K39" s="8" t="s">
        <v>196</v>
      </c>
      <c r="L39" s="8">
        <v>35</v>
      </c>
      <c r="M39" s="8">
        <v>35</v>
      </c>
      <c r="N39" s="8"/>
      <c r="O39" s="8"/>
      <c r="P39" s="8">
        <v>10</v>
      </c>
      <c r="Q39" s="8">
        <v>150000</v>
      </c>
      <c r="R39" s="8"/>
      <c r="S39" s="8"/>
      <c r="T39" s="8">
        <v>1</v>
      </c>
      <c r="U39" s="16">
        <v>40010001</v>
      </c>
      <c r="V39" s="8"/>
      <c r="X39" s="8">
        <v>11000254</v>
      </c>
      <c r="Z39" s="8"/>
      <c r="AA39" s="8" t="s">
        <v>130</v>
      </c>
      <c r="AB39" s="11">
        <v>20025</v>
      </c>
      <c r="AC39" s="8">
        <v>1.03</v>
      </c>
      <c r="AD39" s="8">
        <v>80</v>
      </c>
      <c r="AE39" s="8">
        <v>80</v>
      </c>
      <c r="AF39" s="8">
        <v>40</v>
      </c>
      <c r="AG39" s="8">
        <v>40</v>
      </c>
      <c r="AH39" s="8" t="s">
        <v>160</v>
      </c>
      <c r="AI39">
        <v>30074</v>
      </c>
      <c r="AJ39" s="17">
        <v>30010</v>
      </c>
      <c r="AL39" s="18">
        <v>255</v>
      </c>
      <c r="AM39" s="8" t="s">
        <v>132</v>
      </c>
      <c r="AN39" s="19">
        <v>1500</v>
      </c>
      <c r="AO39" s="8" t="s">
        <v>133</v>
      </c>
      <c r="AP39" s="8">
        <v>8</v>
      </c>
      <c r="AQ39" s="8" t="s">
        <v>134</v>
      </c>
      <c r="AR39" s="8">
        <v>12</v>
      </c>
      <c r="AS39" s="8" t="s">
        <v>135</v>
      </c>
      <c r="AT39" s="8">
        <v>8</v>
      </c>
      <c r="AU39" s="8" t="s">
        <v>136</v>
      </c>
      <c r="AV39" s="8">
        <v>11</v>
      </c>
      <c r="AW39" s="8" t="s">
        <v>137</v>
      </c>
      <c r="AX39" s="8">
        <v>21</v>
      </c>
      <c r="AY39" s="8" t="s">
        <v>138</v>
      </c>
      <c r="AZ39" s="8">
        <v>29</v>
      </c>
      <c r="BA39" s="8" t="s">
        <v>139</v>
      </c>
      <c r="BB39" s="8">
        <v>21</v>
      </c>
      <c r="BC39" s="8" t="s">
        <v>140</v>
      </c>
      <c r="BD39" s="8">
        <v>29</v>
      </c>
      <c r="BE39" s="8" t="s">
        <v>139</v>
      </c>
      <c r="BF39" s="8">
        <v>0</v>
      </c>
      <c r="BG39" s="8" t="s">
        <v>140</v>
      </c>
      <c r="BH39" s="8">
        <v>0</v>
      </c>
      <c r="BI39" s="8" t="s">
        <v>141</v>
      </c>
      <c r="BJ39" s="8">
        <v>100</v>
      </c>
      <c r="BK39" s="8" t="s">
        <v>142</v>
      </c>
      <c r="BL39" s="8">
        <v>600</v>
      </c>
      <c r="BM39" s="8" t="s">
        <v>143</v>
      </c>
      <c r="BN39" s="8">
        <v>800</v>
      </c>
      <c r="BQ39" s="8">
        <v>1</v>
      </c>
      <c r="BR39" s="8">
        <v>2500</v>
      </c>
      <c r="BS39" s="8">
        <v>2</v>
      </c>
      <c r="BT39" s="8">
        <v>2500</v>
      </c>
      <c r="BU39" s="8" t="s">
        <v>144</v>
      </c>
      <c r="BV39">
        <v>4</v>
      </c>
      <c r="BW39">
        <v>5</v>
      </c>
    </row>
    <row r="40" ht="16.5" customHeight="1" spans="2:75">
      <c r="B40" s="8">
        <f>60000000+INDEX(编号表!$B:$B,MATCH(J40,编号表!$A:$A,0))*10000+INDEX(编号表!$B:$B,MATCH(K40,编号表!$C:$C,0))*1000+L40</f>
        <v>60054036</v>
      </c>
      <c r="C40" s="8" t="s">
        <v>243</v>
      </c>
      <c r="D40" s="5" t="s">
        <v>244</v>
      </c>
      <c r="E40" s="5" t="s">
        <v>245</v>
      </c>
      <c r="F40" s="8">
        <v>36</v>
      </c>
      <c r="G40" s="8" t="str">
        <f>INDEX(编号表!$E:$E,MATCH(K40,编号表!$C:$C,0))</f>
        <v>橙色</v>
      </c>
      <c r="H40" s="8">
        <v>5</v>
      </c>
      <c r="I40" s="8" t="s">
        <v>232</v>
      </c>
      <c r="J40" s="8" t="s">
        <v>232</v>
      </c>
      <c r="K40" s="8" t="s">
        <v>246</v>
      </c>
      <c r="L40" s="8">
        <v>36</v>
      </c>
      <c r="M40" s="8">
        <v>36</v>
      </c>
      <c r="N40" s="8"/>
      <c r="O40" s="8"/>
      <c r="P40" s="8">
        <v>10</v>
      </c>
      <c r="Q40" s="8">
        <v>150000</v>
      </c>
      <c r="R40" s="8"/>
      <c r="S40" s="8"/>
      <c r="T40" s="8">
        <v>1</v>
      </c>
      <c r="U40" s="16">
        <v>40010001</v>
      </c>
      <c r="V40" s="8"/>
      <c r="X40" s="8">
        <v>11000001</v>
      </c>
      <c r="Z40" s="8"/>
      <c r="AA40" s="8" t="s">
        <v>130</v>
      </c>
      <c r="AB40" s="11">
        <v>20021</v>
      </c>
      <c r="AC40" s="8">
        <v>0.7</v>
      </c>
      <c r="AD40" s="8">
        <v>80</v>
      </c>
      <c r="AE40" s="8">
        <v>80</v>
      </c>
      <c r="AF40" s="8">
        <v>40</v>
      </c>
      <c r="AG40" s="8">
        <v>40</v>
      </c>
      <c r="AH40" s="8" t="s">
        <v>131</v>
      </c>
      <c r="AJ40" s="17">
        <v>30011</v>
      </c>
      <c r="AL40" s="18">
        <v>255</v>
      </c>
      <c r="AM40" s="8" t="s">
        <v>132</v>
      </c>
      <c r="AN40" s="19">
        <v>1500</v>
      </c>
      <c r="AO40" s="8" t="s">
        <v>133</v>
      </c>
      <c r="AP40" s="8">
        <v>8</v>
      </c>
      <c r="AQ40" s="8" t="s">
        <v>134</v>
      </c>
      <c r="AR40" s="8">
        <v>12</v>
      </c>
      <c r="AS40" s="8" t="s">
        <v>135</v>
      </c>
      <c r="AT40" s="8">
        <v>8</v>
      </c>
      <c r="AU40" s="8" t="s">
        <v>136</v>
      </c>
      <c r="AV40" s="8">
        <v>11</v>
      </c>
      <c r="AW40" s="8" t="s">
        <v>137</v>
      </c>
      <c r="AX40" s="8">
        <v>21</v>
      </c>
      <c r="AY40" s="8" t="s">
        <v>138</v>
      </c>
      <c r="AZ40" s="8">
        <v>29</v>
      </c>
      <c r="BA40" s="8" t="s">
        <v>139</v>
      </c>
      <c r="BB40" s="8">
        <v>21</v>
      </c>
      <c r="BC40" s="8" t="s">
        <v>140</v>
      </c>
      <c r="BD40" s="8">
        <v>29</v>
      </c>
      <c r="BE40" s="8" t="s">
        <v>139</v>
      </c>
      <c r="BF40" s="8">
        <v>0</v>
      </c>
      <c r="BG40" s="8" t="s">
        <v>140</v>
      </c>
      <c r="BH40" s="8">
        <v>0</v>
      </c>
      <c r="BI40" s="8" t="s">
        <v>141</v>
      </c>
      <c r="BJ40" s="8">
        <v>100</v>
      </c>
      <c r="BK40" s="8" t="s">
        <v>142</v>
      </c>
      <c r="BL40" s="8">
        <v>120</v>
      </c>
      <c r="BM40" s="8" t="s">
        <v>143</v>
      </c>
      <c r="BN40" s="8">
        <v>600</v>
      </c>
      <c r="BQ40" s="8">
        <v>1</v>
      </c>
      <c r="BR40" s="8">
        <v>2500</v>
      </c>
      <c r="BS40" s="8">
        <v>2</v>
      </c>
      <c r="BT40" s="8">
        <v>2500</v>
      </c>
      <c r="BU40" s="8" t="s">
        <v>144</v>
      </c>
      <c r="BV40">
        <v>4</v>
      </c>
      <c r="BW40">
        <v>6</v>
      </c>
    </row>
    <row r="41" ht="16.5" customHeight="1" spans="2:75">
      <c r="B41" s="8">
        <f>60000000+INDEX(编号表!$B:$B,MATCH(J41,编号表!$A:$A,0))*10000+INDEX(编号表!$B:$B,MATCH(K41,编号表!$C:$C,0))*1000+L41</f>
        <v>60061037</v>
      </c>
      <c r="C41" s="8" t="s">
        <v>247</v>
      </c>
      <c r="D41" s="5" t="s">
        <v>248</v>
      </c>
      <c r="E41" s="5" t="s">
        <v>126</v>
      </c>
      <c r="F41" s="8">
        <v>37</v>
      </c>
      <c r="G41" s="8" t="str">
        <f>INDEX(编号表!$E:$E,MATCH(K41,编号表!$C:$C,0))</f>
        <v>白色</v>
      </c>
      <c r="H41" s="8">
        <v>5</v>
      </c>
      <c r="I41" s="8" t="s">
        <v>249</v>
      </c>
      <c r="J41" s="8" t="s">
        <v>249</v>
      </c>
      <c r="K41" s="8" t="s">
        <v>129</v>
      </c>
      <c r="L41" s="8">
        <v>37</v>
      </c>
      <c r="M41" s="8">
        <v>37</v>
      </c>
      <c r="N41" s="8"/>
      <c r="O41" s="8"/>
      <c r="P41" s="8">
        <v>10</v>
      </c>
      <c r="Q41" s="8">
        <v>150000</v>
      </c>
      <c r="R41" s="8"/>
      <c r="S41" s="8"/>
      <c r="T41" s="8">
        <v>1</v>
      </c>
      <c r="U41" s="16">
        <v>40010001</v>
      </c>
      <c r="V41" s="8"/>
      <c r="X41" s="8">
        <v>11000001</v>
      </c>
      <c r="Z41" s="8"/>
      <c r="AA41" s="8" t="s">
        <v>130</v>
      </c>
      <c r="AB41" s="11">
        <v>20001</v>
      </c>
      <c r="AC41" s="8">
        <v>2</v>
      </c>
      <c r="AD41" s="8">
        <v>80</v>
      </c>
      <c r="AE41" s="8">
        <v>80</v>
      </c>
      <c r="AF41" s="8">
        <v>40</v>
      </c>
      <c r="AG41" s="8">
        <v>40</v>
      </c>
      <c r="AH41" s="8" t="s">
        <v>131</v>
      </c>
      <c r="AJ41" s="17"/>
      <c r="AL41" s="18">
        <v>255</v>
      </c>
      <c r="AM41" s="8" t="s">
        <v>132</v>
      </c>
      <c r="AN41" s="19">
        <v>1500</v>
      </c>
      <c r="AO41" s="8" t="s">
        <v>133</v>
      </c>
      <c r="AP41" s="8">
        <v>8</v>
      </c>
      <c r="AQ41" s="8" t="s">
        <v>134</v>
      </c>
      <c r="AR41" s="8">
        <v>12</v>
      </c>
      <c r="AS41" s="8" t="s">
        <v>135</v>
      </c>
      <c r="AT41" s="8">
        <v>8</v>
      </c>
      <c r="AU41" s="8" t="s">
        <v>136</v>
      </c>
      <c r="AV41" s="8">
        <v>11</v>
      </c>
      <c r="AW41" s="8" t="s">
        <v>137</v>
      </c>
      <c r="AX41" s="8">
        <v>21</v>
      </c>
      <c r="AY41" s="8" t="s">
        <v>138</v>
      </c>
      <c r="AZ41" s="8">
        <v>29</v>
      </c>
      <c r="BA41" s="8" t="s">
        <v>139</v>
      </c>
      <c r="BB41" s="8">
        <v>21</v>
      </c>
      <c r="BC41" s="8" t="s">
        <v>140</v>
      </c>
      <c r="BD41" s="8">
        <v>29</v>
      </c>
      <c r="BE41" s="8" t="s">
        <v>139</v>
      </c>
      <c r="BF41" s="8">
        <v>0</v>
      </c>
      <c r="BG41" s="8" t="s">
        <v>140</v>
      </c>
      <c r="BH41" s="8">
        <v>0</v>
      </c>
      <c r="BI41" s="8" t="s">
        <v>141</v>
      </c>
      <c r="BJ41" s="8">
        <v>100</v>
      </c>
      <c r="BK41" s="8" t="s">
        <v>142</v>
      </c>
      <c r="BL41" s="8">
        <v>120</v>
      </c>
      <c r="BM41" s="8" t="s">
        <v>143</v>
      </c>
      <c r="BN41" s="8">
        <v>600</v>
      </c>
      <c r="BQ41" s="8">
        <v>1</v>
      </c>
      <c r="BR41" s="8">
        <v>2500</v>
      </c>
      <c r="BS41" s="8">
        <v>2</v>
      </c>
      <c r="BT41" s="8">
        <v>2500</v>
      </c>
      <c r="BU41" s="8" t="s">
        <v>144</v>
      </c>
      <c r="BV41">
        <v>4</v>
      </c>
      <c r="BW41">
        <v>7</v>
      </c>
    </row>
    <row r="42" ht="16.5" customHeight="1" spans="2:75">
      <c r="B42" s="8">
        <f>60000000+INDEX(编号表!$B:$B,MATCH(J42,编号表!$A:$A,0))*10000+INDEX(编号表!$B:$B,MATCH(K42,编号表!$C:$C,0))*1000+L42</f>
        <v>60061038</v>
      </c>
      <c r="C42" s="8" t="s">
        <v>250</v>
      </c>
      <c r="D42" s="5" t="s">
        <v>251</v>
      </c>
      <c r="E42" s="5" t="s">
        <v>147</v>
      </c>
      <c r="F42" s="8">
        <v>38</v>
      </c>
      <c r="G42" s="8" t="str">
        <f>INDEX(编号表!$E:$E,MATCH(K42,编号表!$C:$C,0))</f>
        <v>白色</v>
      </c>
      <c r="H42" s="8">
        <v>5</v>
      </c>
      <c r="I42" s="8" t="s">
        <v>249</v>
      </c>
      <c r="J42" s="8" t="s">
        <v>249</v>
      </c>
      <c r="K42" s="8" t="s">
        <v>129</v>
      </c>
      <c r="L42" s="8">
        <v>38</v>
      </c>
      <c r="M42" s="8">
        <v>38</v>
      </c>
      <c r="N42" s="8"/>
      <c r="O42" s="8"/>
      <c r="P42" s="8">
        <v>10</v>
      </c>
      <c r="Q42" s="8">
        <v>150000</v>
      </c>
      <c r="R42" s="8"/>
      <c r="S42" s="8"/>
      <c r="T42" s="8">
        <v>1</v>
      </c>
      <c r="U42" s="16">
        <v>40010001</v>
      </c>
      <c r="V42" s="8"/>
      <c r="X42" s="8">
        <v>11000001</v>
      </c>
      <c r="Z42" s="8"/>
      <c r="AA42" s="8" t="s">
        <v>130</v>
      </c>
      <c r="AB42" s="11">
        <v>20002</v>
      </c>
      <c r="AC42" s="8">
        <v>1.27</v>
      </c>
      <c r="AD42" s="8">
        <v>80</v>
      </c>
      <c r="AE42" s="8">
        <v>80</v>
      </c>
      <c r="AF42" s="8">
        <v>40</v>
      </c>
      <c r="AG42" s="8">
        <v>40</v>
      </c>
      <c r="AH42" s="8" t="s">
        <v>131</v>
      </c>
      <c r="AJ42" s="17"/>
      <c r="AL42" s="18">
        <v>255</v>
      </c>
      <c r="AM42" s="8" t="s">
        <v>132</v>
      </c>
      <c r="AN42" s="19">
        <v>1500</v>
      </c>
      <c r="AO42" s="8" t="s">
        <v>133</v>
      </c>
      <c r="AP42" s="8">
        <v>8</v>
      </c>
      <c r="AQ42" s="8" t="s">
        <v>134</v>
      </c>
      <c r="AR42" s="8">
        <v>12</v>
      </c>
      <c r="AS42" s="8" t="s">
        <v>135</v>
      </c>
      <c r="AT42" s="8">
        <v>8</v>
      </c>
      <c r="AU42" s="8" t="s">
        <v>136</v>
      </c>
      <c r="AV42" s="8">
        <v>11</v>
      </c>
      <c r="AW42" s="8" t="s">
        <v>137</v>
      </c>
      <c r="AX42" s="8">
        <v>21</v>
      </c>
      <c r="AY42" s="8" t="s">
        <v>138</v>
      </c>
      <c r="AZ42" s="8">
        <v>29</v>
      </c>
      <c r="BA42" s="8" t="s">
        <v>139</v>
      </c>
      <c r="BB42" s="8">
        <v>21</v>
      </c>
      <c r="BC42" s="8" t="s">
        <v>140</v>
      </c>
      <c r="BD42" s="8">
        <v>29</v>
      </c>
      <c r="BE42" s="8" t="s">
        <v>139</v>
      </c>
      <c r="BF42" s="8">
        <v>0</v>
      </c>
      <c r="BG42" s="8" t="s">
        <v>140</v>
      </c>
      <c r="BH42" s="8">
        <v>0</v>
      </c>
      <c r="BI42" s="8" t="s">
        <v>141</v>
      </c>
      <c r="BJ42" s="8">
        <v>100</v>
      </c>
      <c r="BK42" s="8" t="s">
        <v>142</v>
      </c>
      <c r="BL42" s="8">
        <v>120</v>
      </c>
      <c r="BM42" s="8" t="s">
        <v>143</v>
      </c>
      <c r="BN42" s="8">
        <v>600</v>
      </c>
      <c r="BQ42" s="8">
        <v>1</v>
      </c>
      <c r="BR42" s="8">
        <v>2500</v>
      </c>
      <c r="BS42" s="8">
        <v>2</v>
      </c>
      <c r="BT42" s="8">
        <v>2500</v>
      </c>
      <c r="BU42" s="8" t="s">
        <v>144</v>
      </c>
      <c r="BV42">
        <v>4</v>
      </c>
      <c r="BW42">
        <v>8</v>
      </c>
    </row>
    <row r="43" ht="16.5" customHeight="1" spans="2:75">
      <c r="B43" s="8">
        <f>60000000+INDEX(编号表!$B:$B,MATCH(J43,编号表!$A:$A,0))*10000+INDEX(编号表!$B:$B,MATCH(K43,编号表!$C:$C,0))*1000+L43</f>
        <v>60061039</v>
      </c>
      <c r="C43" s="8" t="s">
        <v>252</v>
      </c>
      <c r="D43" s="5" t="s">
        <v>253</v>
      </c>
      <c r="E43" s="5" t="s">
        <v>150</v>
      </c>
      <c r="F43" s="8">
        <v>39</v>
      </c>
      <c r="G43" s="8" t="str">
        <f>INDEX(编号表!$E:$E,MATCH(K43,编号表!$C:$C,0))</f>
        <v>白色</v>
      </c>
      <c r="H43" s="8">
        <v>5</v>
      </c>
      <c r="I43" s="8" t="s">
        <v>249</v>
      </c>
      <c r="J43" s="8" t="s">
        <v>249</v>
      </c>
      <c r="K43" s="8" t="s">
        <v>129</v>
      </c>
      <c r="L43" s="8">
        <v>39</v>
      </c>
      <c r="M43" s="8">
        <v>39</v>
      </c>
      <c r="N43" s="8"/>
      <c r="O43" s="8"/>
      <c r="P43" s="8">
        <v>10</v>
      </c>
      <c r="Q43" s="8">
        <v>150000</v>
      </c>
      <c r="R43" s="8"/>
      <c r="S43" s="8"/>
      <c r="T43" s="8">
        <v>1</v>
      </c>
      <c r="U43" s="16">
        <v>40010001</v>
      </c>
      <c r="V43" s="8"/>
      <c r="X43" s="8">
        <v>11000001</v>
      </c>
      <c r="Z43" s="8"/>
      <c r="AA43" s="8" t="s">
        <v>130</v>
      </c>
      <c r="AB43" s="11">
        <v>20003</v>
      </c>
      <c r="AC43" s="8">
        <v>1.45</v>
      </c>
      <c r="AD43" s="8">
        <v>80</v>
      </c>
      <c r="AE43" s="8">
        <v>80</v>
      </c>
      <c r="AF43" s="8">
        <v>40</v>
      </c>
      <c r="AG43" s="8">
        <v>40</v>
      </c>
      <c r="AH43" s="8" t="s">
        <v>131</v>
      </c>
      <c r="AJ43" s="17"/>
      <c r="AL43" s="18">
        <v>255</v>
      </c>
      <c r="AM43" s="8" t="s">
        <v>132</v>
      </c>
      <c r="AN43" s="19">
        <v>1500</v>
      </c>
      <c r="AO43" s="8" t="s">
        <v>133</v>
      </c>
      <c r="AP43" s="8">
        <v>8</v>
      </c>
      <c r="AQ43" s="8" t="s">
        <v>134</v>
      </c>
      <c r="AR43" s="8">
        <v>12</v>
      </c>
      <c r="AS43" s="8" t="s">
        <v>135</v>
      </c>
      <c r="AT43" s="8">
        <v>8</v>
      </c>
      <c r="AU43" s="8" t="s">
        <v>136</v>
      </c>
      <c r="AV43" s="8">
        <v>11</v>
      </c>
      <c r="AW43" s="8" t="s">
        <v>137</v>
      </c>
      <c r="AX43" s="8">
        <v>21</v>
      </c>
      <c r="AY43" s="8" t="s">
        <v>138</v>
      </c>
      <c r="AZ43" s="8">
        <v>29</v>
      </c>
      <c r="BA43" s="8" t="s">
        <v>139</v>
      </c>
      <c r="BB43" s="8">
        <v>21</v>
      </c>
      <c r="BC43" s="8" t="s">
        <v>140</v>
      </c>
      <c r="BD43" s="8">
        <v>29</v>
      </c>
      <c r="BE43" s="8" t="s">
        <v>139</v>
      </c>
      <c r="BF43" s="8">
        <v>0</v>
      </c>
      <c r="BG43" s="8" t="s">
        <v>140</v>
      </c>
      <c r="BH43" s="8">
        <v>0</v>
      </c>
      <c r="BI43" s="8" t="s">
        <v>141</v>
      </c>
      <c r="BJ43" s="8">
        <v>100</v>
      </c>
      <c r="BK43" s="8" t="s">
        <v>142</v>
      </c>
      <c r="BL43" s="8">
        <v>120</v>
      </c>
      <c r="BM43" s="8" t="s">
        <v>143</v>
      </c>
      <c r="BN43" s="8">
        <v>600</v>
      </c>
      <c r="BQ43" s="8">
        <v>1</v>
      </c>
      <c r="BR43" s="8">
        <v>2500</v>
      </c>
      <c r="BS43" s="8">
        <v>2</v>
      </c>
      <c r="BT43" s="8">
        <v>2500</v>
      </c>
      <c r="BU43" s="8" t="s">
        <v>144</v>
      </c>
      <c r="BV43">
        <v>4</v>
      </c>
      <c r="BW43">
        <v>9</v>
      </c>
    </row>
    <row r="44" ht="16.5" customHeight="1" spans="2:75">
      <c r="B44" s="8">
        <f>60000000+INDEX(编号表!$B:$B,MATCH(J44,编号表!$A:$A,0))*10000+INDEX(编号表!$B:$B,MATCH(K44,编号表!$C:$C,0))*1000+L44</f>
        <v>60071040</v>
      </c>
      <c r="C44" s="8" t="s">
        <v>254</v>
      </c>
      <c r="D44" s="5" t="s">
        <v>255</v>
      </c>
      <c r="E44" s="5" t="s">
        <v>156</v>
      </c>
      <c r="F44" s="8">
        <v>40</v>
      </c>
      <c r="G44" s="8" t="str">
        <f>INDEX(编号表!$E:$E,MATCH(K44,编号表!$C:$C,0))</f>
        <v>白色</v>
      </c>
      <c r="H44" s="8">
        <v>5</v>
      </c>
      <c r="I44" s="8" t="s">
        <v>256</v>
      </c>
      <c r="J44" s="8" t="s">
        <v>256</v>
      </c>
      <c r="K44" s="8" t="s">
        <v>129</v>
      </c>
      <c r="L44" s="8">
        <v>40</v>
      </c>
      <c r="M44" s="8">
        <v>40</v>
      </c>
      <c r="N44" s="8"/>
      <c r="O44" s="8"/>
      <c r="P44" s="8">
        <v>10</v>
      </c>
      <c r="Q44" s="8">
        <v>150000</v>
      </c>
      <c r="R44" s="8"/>
      <c r="S44" s="8"/>
      <c r="T44" s="8">
        <v>1</v>
      </c>
      <c r="U44" s="16">
        <v>40010001</v>
      </c>
      <c r="V44" s="8"/>
      <c r="X44" s="8">
        <v>11000001</v>
      </c>
      <c r="Z44" s="8"/>
      <c r="AA44" s="8" t="s">
        <v>130</v>
      </c>
      <c r="AB44" s="11">
        <v>20005</v>
      </c>
      <c r="AC44" s="8">
        <v>1.57</v>
      </c>
      <c r="AD44" s="8">
        <v>80</v>
      </c>
      <c r="AE44" s="8">
        <v>80</v>
      </c>
      <c r="AF44" s="8">
        <v>40</v>
      </c>
      <c r="AG44" s="8">
        <v>40</v>
      </c>
      <c r="AH44" s="8" t="s">
        <v>131</v>
      </c>
      <c r="AJ44" s="17"/>
      <c r="AL44" s="18">
        <v>255</v>
      </c>
      <c r="AM44" s="8" t="s">
        <v>132</v>
      </c>
      <c r="AN44" s="19">
        <v>1500</v>
      </c>
      <c r="AO44" s="8" t="s">
        <v>133</v>
      </c>
      <c r="AP44" s="8">
        <v>8</v>
      </c>
      <c r="AQ44" s="8" t="s">
        <v>134</v>
      </c>
      <c r="AR44" s="8">
        <v>12</v>
      </c>
      <c r="AS44" s="8" t="s">
        <v>135</v>
      </c>
      <c r="AT44" s="8">
        <v>8</v>
      </c>
      <c r="AU44" s="8" t="s">
        <v>136</v>
      </c>
      <c r="AV44" s="8">
        <v>11</v>
      </c>
      <c r="AW44" s="8" t="s">
        <v>137</v>
      </c>
      <c r="AX44" s="8">
        <v>21</v>
      </c>
      <c r="AY44" s="8" t="s">
        <v>138</v>
      </c>
      <c r="AZ44" s="8">
        <v>29</v>
      </c>
      <c r="BA44" s="8" t="s">
        <v>139</v>
      </c>
      <c r="BB44" s="8">
        <v>21</v>
      </c>
      <c r="BC44" s="8" t="s">
        <v>140</v>
      </c>
      <c r="BD44" s="8">
        <v>29</v>
      </c>
      <c r="BE44" s="8" t="s">
        <v>139</v>
      </c>
      <c r="BF44" s="8">
        <v>0</v>
      </c>
      <c r="BG44" s="8" t="s">
        <v>140</v>
      </c>
      <c r="BH44" s="8">
        <v>0</v>
      </c>
      <c r="BI44" s="8" t="s">
        <v>141</v>
      </c>
      <c r="BJ44" s="8">
        <v>100</v>
      </c>
      <c r="BK44" s="8" t="s">
        <v>142</v>
      </c>
      <c r="BL44" s="8">
        <v>120</v>
      </c>
      <c r="BM44" s="8" t="s">
        <v>143</v>
      </c>
      <c r="BN44" s="8">
        <v>600</v>
      </c>
      <c r="BQ44" s="8">
        <v>1</v>
      </c>
      <c r="BR44" s="8">
        <v>2500</v>
      </c>
      <c r="BS44" s="8">
        <v>2</v>
      </c>
      <c r="BT44" s="8">
        <v>2500</v>
      </c>
      <c r="BU44" s="8" t="s">
        <v>144</v>
      </c>
      <c r="BV44">
        <v>4</v>
      </c>
      <c r="BW44">
        <v>10</v>
      </c>
    </row>
    <row r="45" ht="16.5" customHeight="1" spans="2:75">
      <c r="B45" s="8">
        <f>60000000+INDEX(编号表!$B:$B,MATCH(J45,编号表!$A:$A,0))*10000+INDEX(编号表!$B:$B,MATCH(K45,编号表!$C:$C,0))*1000+L45</f>
        <v>60071041</v>
      </c>
      <c r="C45" s="8" t="s">
        <v>257</v>
      </c>
      <c r="D45" s="5" t="s">
        <v>258</v>
      </c>
      <c r="E45" s="5" t="s">
        <v>172</v>
      </c>
      <c r="F45" s="8">
        <v>41</v>
      </c>
      <c r="G45" s="8" t="str">
        <f>INDEX(编号表!$E:$E,MATCH(K45,编号表!$C:$C,0))</f>
        <v>白色</v>
      </c>
      <c r="H45" s="8">
        <v>5</v>
      </c>
      <c r="I45" s="8" t="s">
        <v>256</v>
      </c>
      <c r="J45" s="8" t="s">
        <v>256</v>
      </c>
      <c r="K45" s="8" t="s">
        <v>129</v>
      </c>
      <c r="L45" s="8">
        <v>41</v>
      </c>
      <c r="M45" s="8">
        <v>41</v>
      </c>
      <c r="N45" s="8"/>
      <c r="O45" s="8"/>
      <c r="P45" s="8">
        <v>10</v>
      </c>
      <c r="Q45" s="8">
        <v>150000</v>
      </c>
      <c r="R45" s="8"/>
      <c r="S45" s="8"/>
      <c r="T45" s="8">
        <v>1</v>
      </c>
      <c r="U45" s="16">
        <v>40010001</v>
      </c>
      <c r="V45" s="8"/>
      <c r="X45" s="8">
        <v>11000001</v>
      </c>
      <c r="Z45" s="8"/>
      <c r="AA45" s="8" t="s">
        <v>130</v>
      </c>
      <c r="AB45" s="11">
        <v>20008</v>
      </c>
      <c r="AC45" s="8">
        <v>0.95</v>
      </c>
      <c r="AD45" s="8">
        <v>80</v>
      </c>
      <c r="AE45" s="8">
        <v>80</v>
      </c>
      <c r="AF45" s="8">
        <v>40</v>
      </c>
      <c r="AG45" s="8">
        <v>40</v>
      </c>
      <c r="AH45" s="8" t="s">
        <v>131</v>
      </c>
      <c r="AJ45" s="17"/>
      <c r="AL45" s="18">
        <v>255</v>
      </c>
      <c r="AM45" s="8" t="s">
        <v>132</v>
      </c>
      <c r="AN45" s="19">
        <v>1500</v>
      </c>
      <c r="AO45" s="8" t="s">
        <v>133</v>
      </c>
      <c r="AP45" s="8">
        <v>8</v>
      </c>
      <c r="AQ45" s="8" t="s">
        <v>134</v>
      </c>
      <c r="AR45" s="8">
        <v>12</v>
      </c>
      <c r="AS45" s="8" t="s">
        <v>135</v>
      </c>
      <c r="AT45" s="8">
        <v>8</v>
      </c>
      <c r="AU45" s="8" t="s">
        <v>136</v>
      </c>
      <c r="AV45" s="8">
        <v>11</v>
      </c>
      <c r="AW45" s="8" t="s">
        <v>137</v>
      </c>
      <c r="AX45" s="8">
        <v>21</v>
      </c>
      <c r="AY45" s="8" t="s">
        <v>138</v>
      </c>
      <c r="AZ45" s="8">
        <v>29</v>
      </c>
      <c r="BA45" s="8" t="s">
        <v>139</v>
      </c>
      <c r="BB45" s="8">
        <v>21</v>
      </c>
      <c r="BC45" s="8" t="s">
        <v>140</v>
      </c>
      <c r="BD45" s="8">
        <v>29</v>
      </c>
      <c r="BE45" s="8" t="s">
        <v>139</v>
      </c>
      <c r="BF45" s="8">
        <v>0</v>
      </c>
      <c r="BG45" s="8" t="s">
        <v>140</v>
      </c>
      <c r="BH45" s="8">
        <v>0</v>
      </c>
      <c r="BI45" s="8" t="s">
        <v>141</v>
      </c>
      <c r="BJ45" s="8">
        <v>100</v>
      </c>
      <c r="BK45" s="8" t="s">
        <v>142</v>
      </c>
      <c r="BL45" s="8">
        <v>120</v>
      </c>
      <c r="BM45" s="8" t="s">
        <v>143</v>
      </c>
      <c r="BN45" s="8">
        <v>600</v>
      </c>
      <c r="BQ45" s="8">
        <v>1</v>
      </c>
      <c r="BR45" s="8">
        <v>2500</v>
      </c>
      <c r="BS45" s="8">
        <v>2</v>
      </c>
      <c r="BT45" s="8">
        <v>2500</v>
      </c>
      <c r="BU45" s="8" t="s">
        <v>144</v>
      </c>
      <c r="BV45">
        <v>5</v>
      </c>
      <c r="BW45">
        <v>1</v>
      </c>
    </row>
    <row r="46" ht="16.5" customHeight="1" spans="2:75">
      <c r="B46" s="8">
        <f>60000000+INDEX(编号表!$B:$B,MATCH(J46,编号表!$A:$A,0))*10000+INDEX(编号表!$B:$B,MATCH(K46,编号表!$C:$C,0))*1000+L46</f>
        <v>60071042</v>
      </c>
      <c r="C46" s="8" t="s">
        <v>259</v>
      </c>
      <c r="D46" s="5" t="s">
        <v>260</v>
      </c>
      <c r="E46" s="5" t="s">
        <v>166</v>
      </c>
      <c r="F46" s="8">
        <v>42</v>
      </c>
      <c r="G46" s="8" t="str">
        <f>INDEX(编号表!$E:$E,MATCH(K46,编号表!$C:$C,0))</f>
        <v>白色</v>
      </c>
      <c r="H46" s="8">
        <v>5</v>
      </c>
      <c r="I46" s="8" t="s">
        <v>256</v>
      </c>
      <c r="J46" s="8" t="s">
        <v>256</v>
      </c>
      <c r="K46" s="8" t="s">
        <v>129</v>
      </c>
      <c r="L46" s="8">
        <v>42</v>
      </c>
      <c r="M46" s="8">
        <v>42</v>
      </c>
      <c r="N46" s="8"/>
      <c r="O46" s="8"/>
      <c r="P46" s="8">
        <v>10</v>
      </c>
      <c r="Q46" s="8">
        <v>150000</v>
      </c>
      <c r="R46" s="8"/>
      <c r="S46" s="8"/>
      <c r="T46" s="8">
        <v>1</v>
      </c>
      <c r="U46" s="16">
        <v>40010001</v>
      </c>
      <c r="V46" s="8"/>
      <c r="X46" s="8">
        <v>11000001</v>
      </c>
      <c r="Z46" s="8"/>
      <c r="AA46" s="8" t="s">
        <v>130</v>
      </c>
      <c r="AB46" s="11">
        <v>20009</v>
      </c>
      <c r="AC46" s="8">
        <v>0.44</v>
      </c>
      <c r="AD46" s="8">
        <v>80</v>
      </c>
      <c r="AE46" s="8">
        <v>80</v>
      </c>
      <c r="AF46" s="8">
        <v>40</v>
      </c>
      <c r="AG46" s="8">
        <v>40</v>
      </c>
      <c r="AH46" s="8" t="s">
        <v>131</v>
      </c>
      <c r="AJ46" s="17"/>
      <c r="AL46" s="18">
        <v>255</v>
      </c>
      <c r="AM46" s="8" t="s">
        <v>132</v>
      </c>
      <c r="AN46" s="19">
        <v>1500</v>
      </c>
      <c r="AO46" s="8" t="s">
        <v>133</v>
      </c>
      <c r="AP46" s="8">
        <v>8</v>
      </c>
      <c r="AQ46" s="8" t="s">
        <v>134</v>
      </c>
      <c r="AR46" s="8">
        <v>12</v>
      </c>
      <c r="AS46" s="8" t="s">
        <v>135</v>
      </c>
      <c r="AT46" s="8">
        <v>8</v>
      </c>
      <c r="AU46" s="8" t="s">
        <v>136</v>
      </c>
      <c r="AV46" s="8">
        <v>11</v>
      </c>
      <c r="AW46" s="8" t="s">
        <v>137</v>
      </c>
      <c r="AX46" s="8">
        <v>21</v>
      </c>
      <c r="AY46" s="8" t="s">
        <v>138</v>
      </c>
      <c r="AZ46" s="8">
        <v>29</v>
      </c>
      <c r="BA46" s="8" t="s">
        <v>139</v>
      </c>
      <c r="BB46" s="8">
        <v>21</v>
      </c>
      <c r="BC46" s="8" t="s">
        <v>140</v>
      </c>
      <c r="BD46" s="8">
        <v>29</v>
      </c>
      <c r="BE46" s="8" t="s">
        <v>139</v>
      </c>
      <c r="BF46" s="8">
        <v>0</v>
      </c>
      <c r="BG46" s="8" t="s">
        <v>140</v>
      </c>
      <c r="BH46" s="8">
        <v>0</v>
      </c>
      <c r="BI46" s="8" t="s">
        <v>141</v>
      </c>
      <c r="BJ46" s="8">
        <v>100</v>
      </c>
      <c r="BK46" s="8" t="s">
        <v>142</v>
      </c>
      <c r="BL46" s="8">
        <v>120</v>
      </c>
      <c r="BM46" s="8" t="s">
        <v>143</v>
      </c>
      <c r="BN46" s="8">
        <v>600</v>
      </c>
      <c r="BQ46" s="8">
        <v>1</v>
      </c>
      <c r="BR46" s="8">
        <v>2500</v>
      </c>
      <c r="BS46" s="8">
        <v>2</v>
      </c>
      <c r="BT46" s="8">
        <v>2500</v>
      </c>
      <c r="BU46" s="8" t="s">
        <v>144</v>
      </c>
      <c r="BV46">
        <v>5</v>
      </c>
      <c r="BW46">
        <v>2</v>
      </c>
    </row>
    <row r="47" ht="16.5" customHeight="1" spans="2:75">
      <c r="B47" s="8">
        <f>60000000+INDEX(编号表!$B:$B,MATCH(J47,编号表!$A:$A,0))*10000+INDEX(编号表!$B:$B,MATCH(K47,编号表!$C:$C,0))*1000+L47</f>
        <v>60081043</v>
      </c>
      <c r="C47" s="8" t="s">
        <v>261</v>
      </c>
      <c r="D47" s="5" t="s">
        <v>262</v>
      </c>
      <c r="E47" s="5" t="s">
        <v>263</v>
      </c>
      <c r="F47" s="8">
        <v>43</v>
      </c>
      <c r="G47" s="8" t="str">
        <f>INDEX(编号表!$E:$E,MATCH(K47,编号表!$C:$C,0))</f>
        <v>白色</v>
      </c>
      <c r="H47" s="8">
        <v>5</v>
      </c>
      <c r="I47" s="8" t="s">
        <v>264</v>
      </c>
      <c r="J47" s="8" t="s">
        <v>264</v>
      </c>
      <c r="K47" s="8" t="s">
        <v>129</v>
      </c>
      <c r="L47" s="8">
        <v>43</v>
      </c>
      <c r="M47" s="8">
        <v>43</v>
      </c>
      <c r="N47" s="8"/>
      <c r="O47" s="8"/>
      <c r="P47" s="8">
        <v>10</v>
      </c>
      <c r="Q47" s="8">
        <v>150000</v>
      </c>
      <c r="R47" s="8"/>
      <c r="S47" s="8"/>
      <c r="T47" s="8">
        <v>1</v>
      </c>
      <c r="U47" s="16">
        <v>40010001</v>
      </c>
      <c r="V47" s="8"/>
      <c r="X47" s="8">
        <v>11000001</v>
      </c>
      <c r="Z47" s="8"/>
      <c r="AA47" s="8" t="s">
        <v>130</v>
      </c>
      <c r="AB47" s="11">
        <v>20018</v>
      </c>
      <c r="AC47" s="8">
        <v>0.67</v>
      </c>
      <c r="AD47" s="8">
        <v>80</v>
      </c>
      <c r="AE47" s="8">
        <v>80</v>
      </c>
      <c r="AF47" s="8">
        <v>40</v>
      </c>
      <c r="AG47" s="8">
        <v>40</v>
      </c>
      <c r="AH47" s="8" t="s">
        <v>131</v>
      </c>
      <c r="AJ47" s="17"/>
      <c r="AL47" s="18">
        <v>255</v>
      </c>
      <c r="AM47" s="8" t="s">
        <v>132</v>
      </c>
      <c r="AN47" s="19">
        <v>1500</v>
      </c>
      <c r="AO47" s="8" t="s">
        <v>133</v>
      </c>
      <c r="AP47" s="8">
        <v>8</v>
      </c>
      <c r="AQ47" s="8" t="s">
        <v>134</v>
      </c>
      <c r="AR47" s="8">
        <v>12</v>
      </c>
      <c r="AS47" s="8" t="s">
        <v>135</v>
      </c>
      <c r="AT47" s="8">
        <v>8</v>
      </c>
      <c r="AU47" s="8" t="s">
        <v>136</v>
      </c>
      <c r="AV47" s="8">
        <v>11</v>
      </c>
      <c r="AW47" s="8" t="s">
        <v>137</v>
      </c>
      <c r="AX47" s="8">
        <v>21</v>
      </c>
      <c r="AY47" s="8" t="s">
        <v>138</v>
      </c>
      <c r="AZ47" s="8">
        <v>29</v>
      </c>
      <c r="BA47" s="8" t="s">
        <v>139</v>
      </c>
      <c r="BB47" s="8">
        <v>21</v>
      </c>
      <c r="BC47" s="8" t="s">
        <v>140</v>
      </c>
      <c r="BD47" s="8">
        <v>29</v>
      </c>
      <c r="BE47" s="8" t="s">
        <v>139</v>
      </c>
      <c r="BF47" s="8">
        <v>0</v>
      </c>
      <c r="BG47" s="8" t="s">
        <v>140</v>
      </c>
      <c r="BH47" s="8">
        <v>0</v>
      </c>
      <c r="BI47" s="8" t="s">
        <v>141</v>
      </c>
      <c r="BJ47" s="8">
        <v>100</v>
      </c>
      <c r="BK47" s="8" t="s">
        <v>142</v>
      </c>
      <c r="BL47" s="8">
        <v>120</v>
      </c>
      <c r="BM47" s="8" t="s">
        <v>143</v>
      </c>
      <c r="BN47" s="8">
        <v>600</v>
      </c>
      <c r="BQ47" s="8">
        <v>1</v>
      </c>
      <c r="BR47" s="8">
        <v>2500</v>
      </c>
      <c r="BS47" s="8">
        <v>2</v>
      </c>
      <c r="BT47" s="8">
        <v>2500</v>
      </c>
      <c r="BU47" s="8" t="s">
        <v>144</v>
      </c>
      <c r="BV47">
        <v>5</v>
      </c>
      <c r="BW47">
        <v>3</v>
      </c>
    </row>
    <row r="48" ht="16.5" customHeight="1" spans="2:75">
      <c r="B48" s="8">
        <f>60000000+INDEX(编号表!$B:$B,MATCH(J48,编号表!$A:$A,0))*10000+INDEX(编号表!$B:$B,MATCH(K48,编号表!$C:$C,0))*1000+L48</f>
        <v>60081044</v>
      </c>
      <c r="C48" s="8" t="s">
        <v>265</v>
      </c>
      <c r="D48" s="5" t="s">
        <v>266</v>
      </c>
      <c r="E48" s="5" t="s">
        <v>267</v>
      </c>
      <c r="F48" s="8">
        <v>44</v>
      </c>
      <c r="G48" s="8" t="str">
        <f>INDEX(编号表!$E:$E,MATCH(K48,编号表!$C:$C,0))</f>
        <v>白色</v>
      </c>
      <c r="H48" s="8">
        <v>5</v>
      </c>
      <c r="I48" s="8" t="s">
        <v>264</v>
      </c>
      <c r="J48" s="8" t="s">
        <v>264</v>
      </c>
      <c r="K48" s="8" t="s">
        <v>129</v>
      </c>
      <c r="L48" s="8">
        <v>44</v>
      </c>
      <c r="M48" s="8">
        <v>44</v>
      </c>
      <c r="N48" s="8"/>
      <c r="O48" s="8"/>
      <c r="P48" s="8">
        <v>10</v>
      </c>
      <c r="Q48" s="8">
        <v>150000</v>
      </c>
      <c r="R48" s="8"/>
      <c r="S48" s="8"/>
      <c r="T48" s="8">
        <v>1</v>
      </c>
      <c r="U48" s="16">
        <v>40010001</v>
      </c>
      <c r="V48" s="8"/>
      <c r="X48" s="8">
        <v>11000001</v>
      </c>
      <c r="Z48" s="8"/>
      <c r="AA48" s="8" t="s">
        <v>130</v>
      </c>
      <c r="AB48" s="11">
        <v>20020</v>
      </c>
      <c r="AC48" s="8">
        <v>0.56</v>
      </c>
      <c r="AD48" s="8">
        <v>80</v>
      </c>
      <c r="AE48" s="8">
        <v>80</v>
      </c>
      <c r="AF48" s="8">
        <v>40</v>
      </c>
      <c r="AG48" s="8">
        <v>40</v>
      </c>
      <c r="AH48" s="8" t="s">
        <v>131</v>
      </c>
      <c r="AJ48" s="17"/>
      <c r="AL48" s="18">
        <v>255</v>
      </c>
      <c r="AM48" s="8" t="s">
        <v>132</v>
      </c>
      <c r="AN48" s="19">
        <v>1500</v>
      </c>
      <c r="AO48" s="8" t="s">
        <v>133</v>
      </c>
      <c r="AP48" s="8">
        <v>8</v>
      </c>
      <c r="AQ48" s="8" t="s">
        <v>134</v>
      </c>
      <c r="AR48" s="8">
        <v>12</v>
      </c>
      <c r="AS48" s="8" t="s">
        <v>135</v>
      </c>
      <c r="AT48" s="8">
        <v>8</v>
      </c>
      <c r="AU48" s="8" t="s">
        <v>136</v>
      </c>
      <c r="AV48" s="8">
        <v>11</v>
      </c>
      <c r="AW48" s="8" t="s">
        <v>137</v>
      </c>
      <c r="AX48" s="8">
        <v>21</v>
      </c>
      <c r="AY48" s="8" t="s">
        <v>138</v>
      </c>
      <c r="AZ48" s="8">
        <v>29</v>
      </c>
      <c r="BA48" s="8" t="s">
        <v>139</v>
      </c>
      <c r="BB48" s="8">
        <v>21</v>
      </c>
      <c r="BC48" s="8" t="s">
        <v>140</v>
      </c>
      <c r="BD48" s="8">
        <v>29</v>
      </c>
      <c r="BE48" s="8" t="s">
        <v>139</v>
      </c>
      <c r="BF48" s="8">
        <v>0</v>
      </c>
      <c r="BG48" s="8" t="s">
        <v>140</v>
      </c>
      <c r="BH48" s="8">
        <v>0</v>
      </c>
      <c r="BI48" s="8" t="s">
        <v>141</v>
      </c>
      <c r="BJ48" s="8">
        <v>100</v>
      </c>
      <c r="BK48" s="8" t="s">
        <v>142</v>
      </c>
      <c r="BL48" s="8">
        <v>120</v>
      </c>
      <c r="BM48" s="8" t="s">
        <v>143</v>
      </c>
      <c r="BN48" s="8">
        <v>600</v>
      </c>
      <c r="BQ48" s="8">
        <v>1</v>
      </c>
      <c r="BR48" s="8">
        <v>2500</v>
      </c>
      <c r="BS48" s="8">
        <v>2</v>
      </c>
      <c r="BT48" s="8">
        <v>2500</v>
      </c>
      <c r="BU48" s="8" t="s">
        <v>144</v>
      </c>
      <c r="BV48">
        <v>5</v>
      </c>
      <c r="BW48">
        <v>4</v>
      </c>
    </row>
    <row r="49" ht="16.5" customHeight="1" spans="2:75">
      <c r="B49" s="8">
        <f>60000000+INDEX(编号表!$B:$B,MATCH(J49,编号表!$A:$A,0))*10000+INDEX(编号表!$B:$B,MATCH(K49,编号表!$C:$C,0))*1000+L49</f>
        <v>60081045</v>
      </c>
      <c r="C49" s="8" t="s">
        <v>268</v>
      </c>
      <c r="D49" s="5" t="s">
        <v>269</v>
      </c>
      <c r="E49" s="5" t="s">
        <v>270</v>
      </c>
      <c r="F49" s="8">
        <v>45</v>
      </c>
      <c r="G49" s="8" t="str">
        <f>INDEX(编号表!$E:$E,MATCH(K49,编号表!$C:$C,0))</f>
        <v>白色</v>
      </c>
      <c r="H49" s="8">
        <v>5</v>
      </c>
      <c r="I49" s="8" t="s">
        <v>264</v>
      </c>
      <c r="J49" s="8" t="s">
        <v>264</v>
      </c>
      <c r="K49" s="8" t="s">
        <v>129</v>
      </c>
      <c r="L49" s="8">
        <v>45</v>
      </c>
      <c r="M49" s="8">
        <v>45</v>
      </c>
      <c r="N49" s="8"/>
      <c r="O49" s="8"/>
      <c r="P49" s="8">
        <v>10</v>
      </c>
      <c r="Q49" s="8">
        <v>150000</v>
      </c>
      <c r="R49" s="8"/>
      <c r="S49" s="8"/>
      <c r="T49" s="8">
        <v>1</v>
      </c>
      <c r="U49" s="16">
        <v>40010001</v>
      </c>
      <c r="V49" s="8"/>
      <c r="X49" s="8">
        <v>11000253</v>
      </c>
      <c r="Z49" s="8"/>
      <c r="AA49" s="8" t="s">
        <v>130</v>
      </c>
      <c r="AB49" s="11">
        <v>20027</v>
      </c>
      <c r="AC49" s="8">
        <v>0.8</v>
      </c>
      <c r="AD49" s="8">
        <v>80</v>
      </c>
      <c r="AE49" s="8">
        <v>80</v>
      </c>
      <c r="AF49" s="8">
        <v>40</v>
      </c>
      <c r="AG49" s="8">
        <v>40</v>
      </c>
      <c r="AH49" s="8" t="s">
        <v>160</v>
      </c>
      <c r="AI49">
        <v>30073</v>
      </c>
      <c r="AJ49" s="17"/>
      <c r="AL49" s="18">
        <v>255</v>
      </c>
      <c r="AM49" s="8" t="s">
        <v>132</v>
      </c>
      <c r="AN49" s="19">
        <v>1500</v>
      </c>
      <c r="AO49" s="8" t="s">
        <v>133</v>
      </c>
      <c r="AP49" s="8">
        <v>8</v>
      </c>
      <c r="AQ49" s="8" t="s">
        <v>134</v>
      </c>
      <c r="AR49" s="8">
        <v>12</v>
      </c>
      <c r="AS49" s="8" t="s">
        <v>135</v>
      </c>
      <c r="AT49" s="8">
        <v>8</v>
      </c>
      <c r="AU49" s="8" t="s">
        <v>136</v>
      </c>
      <c r="AV49" s="8">
        <v>11</v>
      </c>
      <c r="AW49" s="8" t="s">
        <v>137</v>
      </c>
      <c r="AX49" s="8">
        <v>21</v>
      </c>
      <c r="AY49" s="8" t="s">
        <v>138</v>
      </c>
      <c r="AZ49" s="8">
        <v>29</v>
      </c>
      <c r="BA49" s="8" t="s">
        <v>139</v>
      </c>
      <c r="BB49" s="8">
        <v>21</v>
      </c>
      <c r="BC49" s="8" t="s">
        <v>140</v>
      </c>
      <c r="BD49" s="8">
        <v>29</v>
      </c>
      <c r="BE49" s="8" t="s">
        <v>139</v>
      </c>
      <c r="BF49" s="8">
        <v>0</v>
      </c>
      <c r="BG49" s="8" t="s">
        <v>140</v>
      </c>
      <c r="BH49" s="8">
        <v>0</v>
      </c>
      <c r="BI49" s="8" t="s">
        <v>141</v>
      </c>
      <c r="BJ49" s="8">
        <v>100</v>
      </c>
      <c r="BK49" s="8" t="s">
        <v>142</v>
      </c>
      <c r="BL49" s="8">
        <v>600</v>
      </c>
      <c r="BM49" s="8" t="s">
        <v>143</v>
      </c>
      <c r="BN49" s="8">
        <v>800</v>
      </c>
      <c r="BQ49" s="8">
        <v>1</v>
      </c>
      <c r="BR49" s="8">
        <v>2500</v>
      </c>
      <c r="BS49" s="8">
        <v>2</v>
      </c>
      <c r="BT49" s="8">
        <v>2500</v>
      </c>
      <c r="BU49" s="8" t="s">
        <v>144</v>
      </c>
      <c r="BV49">
        <v>5</v>
      </c>
      <c r="BW49">
        <v>5</v>
      </c>
    </row>
    <row r="50" ht="16.5" customHeight="1" spans="2:75">
      <c r="B50" s="8">
        <f>60000000+INDEX(编号表!$B:$B,MATCH(J50,编号表!$A:$A,0))*10000+INDEX(编号表!$B:$B,MATCH(K50,编号表!$C:$C,0))*1000+L50</f>
        <v>60082046</v>
      </c>
      <c r="C50" s="8" t="s">
        <v>271</v>
      </c>
      <c r="D50" s="5" t="s">
        <v>269</v>
      </c>
      <c r="E50" s="5" t="s">
        <v>270</v>
      </c>
      <c r="F50" s="8">
        <v>46</v>
      </c>
      <c r="G50" s="8" t="str">
        <f>INDEX(编号表!$E:$E,MATCH(K50,编号表!$C:$C,0))</f>
        <v>绿色</v>
      </c>
      <c r="H50" s="8">
        <v>5</v>
      </c>
      <c r="I50" s="8" t="s">
        <v>264</v>
      </c>
      <c r="J50" s="8" t="s">
        <v>264</v>
      </c>
      <c r="K50" s="8" t="s">
        <v>196</v>
      </c>
      <c r="L50" s="8">
        <v>46</v>
      </c>
      <c r="M50" s="8">
        <v>46</v>
      </c>
      <c r="N50" s="8"/>
      <c r="O50" s="8"/>
      <c r="P50" s="8">
        <v>10</v>
      </c>
      <c r="Q50" s="8">
        <v>150000</v>
      </c>
      <c r="R50" s="8"/>
      <c r="S50" s="8"/>
      <c r="T50" s="8">
        <v>1</v>
      </c>
      <c r="U50" s="16">
        <v>40010001</v>
      </c>
      <c r="V50" s="8"/>
      <c r="X50" s="8">
        <v>11000253</v>
      </c>
      <c r="Z50" s="8"/>
      <c r="AA50" s="8" t="s">
        <v>130</v>
      </c>
      <c r="AB50" s="11">
        <v>20027</v>
      </c>
      <c r="AC50" s="8">
        <v>2</v>
      </c>
      <c r="AD50" s="8">
        <v>80</v>
      </c>
      <c r="AE50" s="8">
        <v>80</v>
      </c>
      <c r="AF50" s="8">
        <v>40</v>
      </c>
      <c r="AG50" s="8">
        <v>40</v>
      </c>
      <c r="AH50" s="8" t="s">
        <v>160</v>
      </c>
      <c r="AI50">
        <v>30073</v>
      </c>
      <c r="AJ50" s="17">
        <v>30010</v>
      </c>
      <c r="AL50" s="18">
        <v>255</v>
      </c>
      <c r="AM50" s="8" t="s">
        <v>132</v>
      </c>
      <c r="AN50" s="19">
        <v>1500</v>
      </c>
      <c r="AO50" s="8" t="s">
        <v>133</v>
      </c>
      <c r="AP50" s="8">
        <v>8</v>
      </c>
      <c r="AQ50" s="8" t="s">
        <v>134</v>
      </c>
      <c r="AR50" s="8">
        <v>12</v>
      </c>
      <c r="AS50" s="8" t="s">
        <v>135</v>
      </c>
      <c r="AT50" s="8">
        <v>8</v>
      </c>
      <c r="AU50" s="8" t="s">
        <v>136</v>
      </c>
      <c r="AV50" s="8">
        <v>11</v>
      </c>
      <c r="AW50" s="8" t="s">
        <v>137</v>
      </c>
      <c r="AX50" s="8">
        <v>21</v>
      </c>
      <c r="AY50" s="8" t="s">
        <v>138</v>
      </c>
      <c r="AZ50" s="8">
        <v>29</v>
      </c>
      <c r="BA50" s="8" t="s">
        <v>139</v>
      </c>
      <c r="BB50" s="8">
        <v>21</v>
      </c>
      <c r="BC50" s="8" t="s">
        <v>140</v>
      </c>
      <c r="BD50" s="8">
        <v>29</v>
      </c>
      <c r="BE50" s="8" t="s">
        <v>139</v>
      </c>
      <c r="BF50" s="8">
        <v>0</v>
      </c>
      <c r="BG50" s="8" t="s">
        <v>140</v>
      </c>
      <c r="BH50" s="8">
        <v>0</v>
      </c>
      <c r="BI50" s="8" t="s">
        <v>141</v>
      </c>
      <c r="BJ50" s="8">
        <v>100</v>
      </c>
      <c r="BK50" s="8" t="s">
        <v>142</v>
      </c>
      <c r="BL50" s="8">
        <v>600</v>
      </c>
      <c r="BM50" s="8" t="s">
        <v>143</v>
      </c>
      <c r="BN50" s="8">
        <v>800</v>
      </c>
      <c r="BQ50" s="8">
        <v>1</v>
      </c>
      <c r="BR50" s="8">
        <v>2500</v>
      </c>
      <c r="BS50" s="8">
        <v>2</v>
      </c>
      <c r="BT50" s="8">
        <v>2500</v>
      </c>
      <c r="BU50" s="8" t="s">
        <v>144</v>
      </c>
      <c r="BV50">
        <v>5</v>
      </c>
      <c r="BW50">
        <v>6</v>
      </c>
    </row>
    <row r="51" ht="16.5" customHeight="1" spans="2:75">
      <c r="B51" s="8">
        <f>60000000+INDEX(编号表!$B:$B,MATCH(J51,编号表!$A:$A,0))*10000+INDEX(编号表!$B:$B,MATCH(K51,编号表!$C:$C,0))*1000+L51</f>
        <v>60084047</v>
      </c>
      <c r="C51" s="8" t="s">
        <v>272</v>
      </c>
      <c r="D51" s="5" t="s">
        <v>273</v>
      </c>
      <c r="E51" s="5" t="s">
        <v>274</v>
      </c>
      <c r="F51" s="8">
        <v>47</v>
      </c>
      <c r="G51" s="8" t="str">
        <f>INDEX(编号表!$E:$E,MATCH(K51,编号表!$C:$C,0))</f>
        <v>橙色</v>
      </c>
      <c r="H51" s="8">
        <v>5</v>
      </c>
      <c r="I51" s="8" t="s">
        <v>264</v>
      </c>
      <c r="J51" s="8" t="s">
        <v>264</v>
      </c>
      <c r="K51" s="8" t="s">
        <v>246</v>
      </c>
      <c r="L51" s="8">
        <v>47</v>
      </c>
      <c r="M51" s="8">
        <v>47</v>
      </c>
      <c r="N51" s="8"/>
      <c r="O51" s="8"/>
      <c r="P51" s="8">
        <v>10</v>
      </c>
      <c r="Q51" s="8">
        <v>150000</v>
      </c>
      <c r="R51" s="8"/>
      <c r="S51" s="8"/>
      <c r="T51" s="8">
        <v>1</v>
      </c>
      <c r="U51" s="16">
        <v>40010001</v>
      </c>
      <c r="V51" s="8"/>
      <c r="X51" s="8">
        <v>11000001</v>
      </c>
      <c r="Z51" s="8"/>
      <c r="AA51" s="8" t="s">
        <v>130</v>
      </c>
      <c r="AB51" s="11">
        <v>20019</v>
      </c>
      <c r="AC51" s="8">
        <v>1.06</v>
      </c>
      <c r="AD51" s="8">
        <v>80</v>
      </c>
      <c r="AE51" s="8">
        <v>80</v>
      </c>
      <c r="AF51" s="8">
        <v>40</v>
      </c>
      <c r="AG51" s="8">
        <v>40</v>
      </c>
      <c r="AH51" s="8" t="s">
        <v>131</v>
      </c>
      <c r="AJ51" s="17">
        <v>30011</v>
      </c>
      <c r="AL51" s="18">
        <v>255</v>
      </c>
      <c r="AM51" s="8" t="s">
        <v>132</v>
      </c>
      <c r="AN51" s="19">
        <v>1500</v>
      </c>
      <c r="AO51" s="8" t="s">
        <v>133</v>
      </c>
      <c r="AP51" s="8">
        <v>8</v>
      </c>
      <c r="AQ51" s="8" t="s">
        <v>134</v>
      </c>
      <c r="AR51" s="8">
        <v>12</v>
      </c>
      <c r="AS51" s="8" t="s">
        <v>135</v>
      </c>
      <c r="AT51" s="8">
        <v>8</v>
      </c>
      <c r="AU51" s="8" t="s">
        <v>136</v>
      </c>
      <c r="AV51" s="8">
        <v>11</v>
      </c>
      <c r="AW51" s="8" t="s">
        <v>137</v>
      </c>
      <c r="AX51" s="8">
        <v>21</v>
      </c>
      <c r="AY51" s="8" t="s">
        <v>138</v>
      </c>
      <c r="AZ51" s="8">
        <v>29</v>
      </c>
      <c r="BA51" s="8" t="s">
        <v>139</v>
      </c>
      <c r="BB51" s="8">
        <v>21</v>
      </c>
      <c r="BC51" s="8" t="s">
        <v>140</v>
      </c>
      <c r="BD51" s="8">
        <v>29</v>
      </c>
      <c r="BE51" s="8" t="s">
        <v>139</v>
      </c>
      <c r="BF51" s="8">
        <v>0</v>
      </c>
      <c r="BG51" s="8" t="s">
        <v>140</v>
      </c>
      <c r="BH51" s="8">
        <v>0</v>
      </c>
      <c r="BI51" s="8" t="s">
        <v>141</v>
      </c>
      <c r="BJ51" s="8">
        <v>100</v>
      </c>
      <c r="BK51" s="8" t="s">
        <v>142</v>
      </c>
      <c r="BL51" s="8">
        <v>120</v>
      </c>
      <c r="BM51" s="8" t="s">
        <v>143</v>
      </c>
      <c r="BN51" s="8">
        <v>600</v>
      </c>
      <c r="BQ51" s="8">
        <v>1</v>
      </c>
      <c r="BR51" s="8">
        <v>2500</v>
      </c>
      <c r="BS51" s="8">
        <v>2</v>
      </c>
      <c r="BT51" s="8">
        <v>2500</v>
      </c>
      <c r="BU51" s="8" t="s">
        <v>144</v>
      </c>
      <c r="BV51">
        <v>5</v>
      </c>
      <c r="BW51">
        <v>7</v>
      </c>
    </row>
    <row r="52" ht="16.5" customHeight="1" spans="2:75">
      <c r="B52" s="8">
        <f>60000000+INDEX(编号表!$B:$B,MATCH(J52,编号表!$A:$A,0))*10000+INDEX(编号表!$B:$B,MATCH(K52,编号表!$C:$C,0))*1000+L52</f>
        <v>60091048</v>
      </c>
      <c r="C52" s="8" t="s">
        <v>275</v>
      </c>
      <c r="D52" s="5" t="s">
        <v>276</v>
      </c>
      <c r="E52" s="5" t="s">
        <v>277</v>
      </c>
      <c r="F52" s="8">
        <v>48</v>
      </c>
      <c r="G52" s="8" t="str">
        <f>INDEX(编号表!$E:$E,MATCH(K52,编号表!$C:$C,0))</f>
        <v>白色</v>
      </c>
      <c r="H52" s="8">
        <v>5</v>
      </c>
      <c r="I52" s="8" t="s">
        <v>278</v>
      </c>
      <c r="J52" s="8" t="s">
        <v>278</v>
      </c>
      <c r="K52" s="8" t="s">
        <v>129</v>
      </c>
      <c r="L52" s="8">
        <v>48</v>
      </c>
      <c r="M52" s="8">
        <v>48</v>
      </c>
      <c r="N52" s="8"/>
      <c r="O52" s="8"/>
      <c r="P52" s="8">
        <v>10</v>
      </c>
      <c r="Q52" s="8">
        <v>150000</v>
      </c>
      <c r="R52" s="8"/>
      <c r="S52" s="8"/>
      <c r="T52" s="8">
        <v>1</v>
      </c>
      <c r="U52" s="16">
        <v>40010001</v>
      </c>
      <c r="V52" s="8"/>
      <c r="X52" s="8">
        <v>11000243</v>
      </c>
      <c r="Z52" s="8"/>
      <c r="AA52" s="8" t="s">
        <v>130</v>
      </c>
      <c r="AB52" s="11">
        <v>20029</v>
      </c>
      <c r="AC52" s="8">
        <v>0.32</v>
      </c>
      <c r="AD52" s="8">
        <v>80</v>
      </c>
      <c r="AE52" s="8">
        <v>80</v>
      </c>
      <c r="AF52" s="8">
        <v>40</v>
      </c>
      <c r="AG52" s="8">
        <v>40</v>
      </c>
      <c r="AH52" s="8" t="s">
        <v>160</v>
      </c>
      <c r="AI52">
        <v>30063</v>
      </c>
      <c r="AJ52" s="17"/>
      <c r="AL52" s="18">
        <v>255</v>
      </c>
      <c r="AM52" s="8" t="s">
        <v>132</v>
      </c>
      <c r="AN52" s="19">
        <v>1500</v>
      </c>
      <c r="AO52" s="8" t="s">
        <v>133</v>
      </c>
      <c r="AP52" s="8">
        <v>8</v>
      </c>
      <c r="AQ52" s="8" t="s">
        <v>134</v>
      </c>
      <c r="AR52" s="8">
        <v>12</v>
      </c>
      <c r="AS52" s="8" t="s">
        <v>135</v>
      </c>
      <c r="AT52" s="8">
        <v>8</v>
      </c>
      <c r="AU52" s="8" t="s">
        <v>136</v>
      </c>
      <c r="AV52" s="8">
        <v>11</v>
      </c>
      <c r="AW52" s="8" t="s">
        <v>137</v>
      </c>
      <c r="AX52" s="8">
        <v>21</v>
      </c>
      <c r="AY52" s="8" t="s">
        <v>138</v>
      </c>
      <c r="AZ52" s="8">
        <v>29</v>
      </c>
      <c r="BA52" s="8" t="s">
        <v>139</v>
      </c>
      <c r="BB52" s="8">
        <v>21</v>
      </c>
      <c r="BC52" s="8" t="s">
        <v>140</v>
      </c>
      <c r="BD52" s="8">
        <v>29</v>
      </c>
      <c r="BE52" s="8" t="s">
        <v>139</v>
      </c>
      <c r="BF52" s="8">
        <v>0</v>
      </c>
      <c r="BG52" s="8" t="s">
        <v>140</v>
      </c>
      <c r="BH52" s="8">
        <v>0</v>
      </c>
      <c r="BI52" s="8" t="s">
        <v>141</v>
      </c>
      <c r="BJ52" s="8">
        <v>100</v>
      </c>
      <c r="BK52" s="8" t="s">
        <v>142</v>
      </c>
      <c r="BL52" s="8">
        <v>600</v>
      </c>
      <c r="BM52" s="8" t="s">
        <v>143</v>
      </c>
      <c r="BN52" s="8">
        <v>800</v>
      </c>
      <c r="BQ52" s="8">
        <v>1</v>
      </c>
      <c r="BR52" s="8">
        <v>2500</v>
      </c>
      <c r="BS52" s="8">
        <v>2</v>
      </c>
      <c r="BT52" s="8">
        <v>2500</v>
      </c>
      <c r="BU52" s="8" t="s">
        <v>144</v>
      </c>
      <c r="BV52">
        <v>5</v>
      </c>
      <c r="BW52">
        <v>8</v>
      </c>
    </row>
    <row r="53" ht="16.5" customHeight="1" spans="2:75">
      <c r="B53" s="8">
        <f>60000000+INDEX(编号表!$B:$B,MATCH(J53,编号表!$A:$A,0))*10000+INDEX(编号表!$B:$B,MATCH(K53,编号表!$C:$C,0))*1000+L53</f>
        <v>60091049</v>
      </c>
      <c r="C53" s="8" t="s">
        <v>279</v>
      </c>
      <c r="D53" s="5" t="s">
        <v>280</v>
      </c>
      <c r="E53" s="5" t="s">
        <v>281</v>
      </c>
      <c r="F53" s="8">
        <v>49</v>
      </c>
      <c r="G53" s="8" t="str">
        <f>INDEX(编号表!$E:$E,MATCH(K53,编号表!$C:$C,0))</f>
        <v>白色</v>
      </c>
      <c r="H53" s="8">
        <v>5</v>
      </c>
      <c r="I53" s="8" t="s">
        <v>278</v>
      </c>
      <c r="J53" s="8" t="s">
        <v>278</v>
      </c>
      <c r="K53" s="8" t="s">
        <v>129</v>
      </c>
      <c r="L53" s="8">
        <v>49</v>
      </c>
      <c r="M53" s="8">
        <v>49</v>
      </c>
      <c r="N53" s="8"/>
      <c r="O53" s="8"/>
      <c r="P53" s="8">
        <v>10</v>
      </c>
      <c r="Q53" s="8">
        <v>150000</v>
      </c>
      <c r="R53" s="8"/>
      <c r="S53" s="8"/>
      <c r="T53" s="8">
        <v>1</v>
      </c>
      <c r="U53" s="16">
        <v>40010001</v>
      </c>
      <c r="V53" s="8"/>
      <c r="X53" s="8">
        <v>11000001</v>
      </c>
      <c r="Z53" s="8"/>
      <c r="AA53" s="8" t="s">
        <v>130</v>
      </c>
      <c r="AB53" s="11">
        <v>20028</v>
      </c>
      <c r="AC53" s="8">
        <v>0.68</v>
      </c>
      <c r="AD53" s="8">
        <v>80</v>
      </c>
      <c r="AE53" s="8">
        <v>80</v>
      </c>
      <c r="AF53" s="8">
        <v>40</v>
      </c>
      <c r="AG53" s="8">
        <v>40</v>
      </c>
      <c r="AH53" s="8" t="s">
        <v>131</v>
      </c>
      <c r="AJ53" s="17"/>
      <c r="AL53" s="18">
        <v>255</v>
      </c>
      <c r="AM53" s="8" t="s">
        <v>132</v>
      </c>
      <c r="AN53" s="19">
        <v>1500</v>
      </c>
      <c r="AO53" s="8" t="s">
        <v>133</v>
      </c>
      <c r="AP53" s="8">
        <v>8</v>
      </c>
      <c r="AQ53" s="8" t="s">
        <v>134</v>
      </c>
      <c r="AR53" s="8">
        <v>12</v>
      </c>
      <c r="AS53" s="8" t="s">
        <v>135</v>
      </c>
      <c r="AT53" s="8">
        <v>8</v>
      </c>
      <c r="AU53" s="8" t="s">
        <v>136</v>
      </c>
      <c r="AV53" s="8">
        <v>11</v>
      </c>
      <c r="AW53" s="8" t="s">
        <v>137</v>
      </c>
      <c r="AX53" s="8">
        <v>21</v>
      </c>
      <c r="AY53" s="8" t="s">
        <v>138</v>
      </c>
      <c r="AZ53" s="8">
        <v>29</v>
      </c>
      <c r="BA53" s="8" t="s">
        <v>139</v>
      </c>
      <c r="BB53" s="8">
        <v>21</v>
      </c>
      <c r="BC53" s="8" t="s">
        <v>140</v>
      </c>
      <c r="BD53" s="8">
        <v>29</v>
      </c>
      <c r="BE53" s="8" t="s">
        <v>139</v>
      </c>
      <c r="BF53" s="8">
        <v>0</v>
      </c>
      <c r="BG53" s="8" t="s">
        <v>140</v>
      </c>
      <c r="BH53" s="8">
        <v>0</v>
      </c>
      <c r="BI53" s="8" t="s">
        <v>141</v>
      </c>
      <c r="BJ53" s="8">
        <v>100</v>
      </c>
      <c r="BK53" s="8" t="s">
        <v>142</v>
      </c>
      <c r="BL53" s="8">
        <v>120</v>
      </c>
      <c r="BM53" s="8" t="s">
        <v>143</v>
      </c>
      <c r="BN53" s="8">
        <v>600</v>
      </c>
      <c r="BQ53" s="8">
        <v>1</v>
      </c>
      <c r="BR53" s="8">
        <v>2500</v>
      </c>
      <c r="BS53" s="8">
        <v>2</v>
      </c>
      <c r="BT53" s="8">
        <v>2500</v>
      </c>
      <c r="BU53" s="8" t="s">
        <v>144</v>
      </c>
      <c r="BV53">
        <v>5</v>
      </c>
      <c r="BW53">
        <v>9</v>
      </c>
    </row>
    <row r="54" ht="16.5" customHeight="1" spans="2:75">
      <c r="B54" s="8">
        <f>60000000+INDEX(编号表!$B:$B,MATCH(J54,编号表!$A:$A,0))*10000+INDEX(编号表!$B:$B,MATCH(K54,编号表!$C:$C,0))*1000+L54</f>
        <v>60091050</v>
      </c>
      <c r="C54" s="8" t="s">
        <v>282</v>
      </c>
      <c r="D54" s="5" t="s">
        <v>283</v>
      </c>
      <c r="E54" s="5" t="s">
        <v>284</v>
      </c>
      <c r="F54" s="8">
        <v>50</v>
      </c>
      <c r="G54" s="8" t="str">
        <f>INDEX(编号表!$E:$E,MATCH(K54,编号表!$C:$C,0))</f>
        <v>白色</v>
      </c>
      <c r="H54" s="8">
        <v>5</v>
      </c>
      <c r="I54" s="8" t="s">
        <v>278</v>
      </c>
      <c r="J54" s="8" t="s">
        <v>278</v>
      </c>
      <c r="K54" s="8" t="s">
        <v>129</v>
      </c>
      <c r="L54" s="8">
        <v>50</v>
      </c>
      <c r="M54" s="8">
        <v>50</v>
      </c>
      <c r="N54" s="8"/>
      <c r="O54" s="8"/>
      <c r="P54" s="8">
        <v>10</v>
      </c>
      <c r="Q54" s="8">
        <v>150000</v>
      </c>
      <c r="R54" s="8"/>
      <c r="S54" s="8"/>
      <c r="T54" s="8">
        <v>1</v>
      </c>
      <c r="U54" s="16">
        <v>40010001</v>
      </c>
      <c r="V54" s="8"/>
      <c r="X54" s="8">
        <v>11000001</v>
      </c>
      <c r="Z54" s="8"/>
      <c r="AA54" s="8" t="s">
        <v>130</v>
      </c>
      <c r="AB54" s="11">
        <v>20034</v>
      </c>
      <c r="AC54" s="8">
        <v>0.34</v>
      </c>
      <c r="AD54" s="8">
        <v>80</v>
      </c>
      <c r="AE54" s="8">
        <v>80</v>
      </c>
      <c r="AF54" s="8">
        <v>40</v>
      </c>
      <c r="AG54" s="8">
        <v>40</v>
      </c>
      <c r="AH54" s="8" t="s">
        <v>131</v>
      </c>
      <c r="AJ54" s="17"/>
      <c r="AL54" s="18">
        <v>255</v>
      </c>
      <c r="AM54" s="8" t="s">
        <v>132</v>
      </c>
      <c r="AN54" s="19">
        <v>1500</v>
      </c>
      <c r="AO54" s="8" t="s">
        <v>133</v>
      </c>
      <c r="AP54" s="8">
        <v>8</v>
      </c>
      <c r="AQ54" s="8" t="s">
        <v>134</v>
      </c>
      <c r="AR54" s="8">
        <v>12</v>
      </c>
      <c r="AS54" s="8" t="s">
        <v>135</v>
      </c>
      <c r="AT54" s="8">
        <v>8</v>
      </c>
      <c r="AU54" s="8" t="s">
        <v>136</v>
      </c>
      <c r="AV54" s="8">
        <v>11</v>
      </c>
      <c r="AW54" s="8" t="s">
        <v>137</v>
      </c>
      <c r="AX54" s="8">
        <v>21</v>
      </c>
      <c r="AY54" s="8" t="s">
        <v>138</v>
      </c>
      <c r="AZ54" s="8">
        <v>29</v>
      </c>
      <c r="BA54" s="8" t="s">
        <v>139</v>
      </c>
      <c r="BB54" s="8">
        <v>21</v>
      </c>
      <c r="BC54" s="8" t="s">
        <v>140</v>
      </c>
      <c r="BD54" s="8">
        <v>29</v>
      </c>
      <c r="BE54" s="8" t="s">
        <v>139</v>
      </c>
      <c r="BF54" s="8">
        <v>0</v>
      </c>
      <c r="BG54" s="8" t="s">
        <v>140</v>
      </c>
      <c r="BH54" s="8">
        <v>0</v>
      </c>
      <c r="BI54" s="8" t="s">
        <v>141</v>
      </c>
      <c r="BJ54" s="8">
        <v>100</v>
      </c>
      <c r="BK54" s="8" t="s">
        <v>142</v>
      </c>
      <c r="BL54" s="8">
        <v>120</v>
      </c>
      <c r="BM54" s="8" t="s">
        <v>143</v>
      </c>
      <c r="BN54" s="8">
        <v>600</v>
      </c>
      <c r="BQ54" s="8">
        <v>1</v>
      </c>
      <c r="BR54" s="8">
        <v>2500</v>
      </c>
      <c r="BS54" s="8">
        <v>2</v>
      </c>
      <c r="BT54" s="8">
        <v>2500</v>
      </c>
      <c r="BU54" s="8" t="s">
        <v>144</v>
      </c>
      <c r="BV54">
        <v>5</v>
      </c>
      <c r="BW54">
        <v>10</v>
      </c>
    </row>
    <row r="55" ht="16.5" customHeight="1" spans="2:75">
      <c r="B55" s="8">
        <f>60000000+INDEX(编号表!$B:$B,MATCH(J55,编号表!$A:$A,0))*10000+INDEX(编号表!$B:$B,MATCH(K55,编号表!$C:$C,0))*1000+L55</f>
        <v>60091051</v>
      </c>
      <c r="C55" s="8" t="s">
        <v>285</v>
      </c>
      <c r="D55" s="5" t="s">
        <v>286</v>
      </c>
      <c r="E55" s="5" t="s">
        <v>287</v>
      </c>
      <c r="F55" s="8">
        <v>51</v>
      </c>
      <c r="G55" s="8" t="str">
        <f>INDEX(编号表!$E:$E,MATCH(K55,编号表!$C:$C,0))</f>
        <v>白色</v>
      </c>
      <c r="H55" s="8">
        <v>5</v>
      </c>
      <c r="I55" s="8" t="s">
        <v>278</v>
      </c>
      <c r="J55" s="8" t="s">
        <v>278</v>
      </c>
      <c r="K55" s="8" t="s">
        <v>129</v>
      </c>
      <c r="L55" s="8">
        <v>51</v>
      </c>
      <c r="M55" s="8">
        <v>51</v>
      </c>
      <c r="N55" s="8"/>
      <c r="O55" s="8"/>
      <c r="P55" s="8">
        <v>10</v>
      </c>
      <c r="Q55" s="8">
        <v>150000</v>
      </c>
      <c r="R55" s="8"/>
      <c r="S55" s="8"/>
      <c r="T55" s="8">
        <v>1</v>
      </c>
      <c r="U55" s="16">
        <v>40010001</v>
      </c>
      <c r="V55" s="8"/>
      <c r="X55" s="8">
        <v>11000001</v>
      </c>
      <c r="Z55" s="8"/>
      <c r="AA55" s="8" t="s">
        <v>130</v>
      </c>
      <c r="AB55" s="11">
        <v>20035</v>
      </c>
      <c r="AC55" s="8">
        <v>0.32</v>
      </c>
      <c r="AD55" s="8">
        <v>80</v>
      </c>
      <c r="AE55" s="8">
        <v>80</v>
      </c>
      <c r="AF55" s="8">
        <v>40</v>
      </c>
      <c r="AG55" s="8">
        <v>40</v>
      </c>
      <c r="AH55" s="8" t="s">
        <v>131</v>
      </c>
      <c r="AJ55" s="17"/>
      <c r="AL55" s="18">
        <v>255</v>
      </c>
      <c r="AM55" s="8" t="s">
        <v>132</v>
      </c>
      <c r="AN55" s="19">
        <v>1500</v>
      </c>
      <c r="AO55" s="8" t="s">
        <v>133</v>
      </c>
      <c r="AP55" s="8">
        <v>8</v>
      </c>
      <c r="AQ55" s="8" t="s">
        <v>134</v>
      </c>
      <c r="AR55" s="8">
        <v>12</v>
      </c>
      <c r="AS55" s="8" t="s">
        <v>135</v>
      </c>
      <c r="AT55" s="8">
        <v>8</v>
      </c>
      <c r="AU55" s="8" t="s">
        <v>136</v>
      </c>
      <c r="AV55" s="8">
        <v>11</v>
      </c>
      <c r="AW55" s="8" t="s">
        <v>137</v>
      </c>
      <c r="AX55" s="8">
        <v>21</v>
      </c>
      <c r="AY55" s="8" t="s">
        <v>138</v>
      </c>
      <c r="AZ55" s="8">
        <v>29</v>
      </c>
      <c r="BA55" s="8" t="s">
        <v>139</v>
      </c>
      <c r="BB55" s="8">
        <v>21</v>
      </c>
      <c r="BC55" s="8" t="s">
        <v>140</v>
      </c>
      <c r="BD55" s="8">
        <v>29</v>
      </c>
      <c r="BE55" s="8" t="s">
        <v>139</v>
      </c>
      <c r="BF55" s="8">
        <v>0</v>
      </c>
      <c r="BG55" s="8" t="s">
        <v>140</v>
      </c>
      <c r="BH55" s="8">
        <v>0</v>
      </c>
      <c r="BI55" s="8" t="s">
        <v>141</v>
      </c>
      <c r="BJ55" s="8">
        <v>100</v>
      </c>
      <c r="BK55" s="8" t="s">
        <v>142</v>
      </c>
      <c r="BL55" s="8">
        <v>120</v>
      </c>
      <c r="BM55" s="8" t="s">
        <v>143</v>
      </c>
      <c r="BN55" s="8">
        <v>600</v>
      </c>
      <c r="BQ55" s="8">
        <v>1</v>
      </c>
      <c r="BR55" s="8">
        <v>2500</v>
      </c>
      <c r="BS55" s="8">
        <v>2</v>
      </c>
      <c r="BT55" s="8">
        <v>2500</v>
      </c>
      <c r="BU55" s="8" t="s">
        <v>144</v>
      </c>
      <c r="BV55">
        <v>6</v>
      </c>
      <c r="BW55">
        <v>1</v>
      </c>
    </row>
    <row r="56" ht="16.5" customHeight="1" spans="2:75">
      <c r="B56" s="8">
        <f>60000000+INDEX(编号表!$B:$B,MATCH(J56,编号表!$A:$A,0))*10000+INDEX(编号表!$B:$B,MATCH(K56,编号表!$C:$C,0))*1000+L56</f>
        <v>60092052</v>
      </c>
      <c r="C56" s="8" t="s">
        <v>288</v>
      </c>
      <c r="D56" s="5" t="s">
        <v>286</v>
      </c>
      <c r="E56" s="5" t="s">
        <v>287</v>
      </c>
      <c r="F56" s="8">
        <v>52</v>
      </c>
      <c r="G56" s="8" t="str">
        <f>INDEX(编号表!$E:$E,MATCH(K56,编号表!$C:$C,0))</f>
        <v>绿色</v>
      </c>
      <c r="H56" s="8">
        <v>5</v>
      </c>
      <c r="I56" s="8" t="s">
        <v>278</v>
      </c>
      <c r="J56" s="8" t="s">
        <v>278</v>
      </c>
      <c r="K56" s="8" t="s">
        <v>196</v>
      </c>
      <c r="L56" s="8">
        <v>52</v>
      </c>
      <c r="M56" s="8">
        <v>52</v>
      </c>
      <c r="N56" s="8"/>
      <c r="O56" s="8"/>
      <c r="P56" s="8">
        <v>10</v>
      </c>
      <c r="Q56" s="8">
        <v>150000</v>
      </c>
      <c r="R56" s="8"/>
      <c r="S56" s="8"/>
      <c r="T56" s="8">
        <v>1</v>
      </c>
      <c r="U56" s="16">
        <v>40010001</v>
      </c>
      <c r="V56" s="8"/>
      <c r="X56" s="8">
        <v>11000001</v>
      </c>
      <c r="Z56" s="8"/>
      <c r="AA56" s="8" t="s">
        <v>130</v>
      </c>
      <c r="AB56" s="11">
        <v>20035</v>
      </c>
      <c r="AC56" s="8">
        <v>0.47</v>
      </c>
      <c r="AD56" s="8">
        <v>80</v>
      </c>
      <c r="AE56" s="8">
        <v>80</v>
      </c>
      <c r="AF56" s="8">
        <v>40</v>
      </c>
      <c r="AG56" s="8">
        <v>40</v>
      </c>
      <c r="AH56" s="8" t="s">
        <v>131</v>
      </c>
      <c r="AJ56" s="17">
        <v>30010</v>
      </c>
      <c r="AL56" s="18">
        <v>255</v>
      </c>
      <c r="AM56" s="8" t="s">
        <v>132</v>
      </c>
      <c r="AN56" s="19">
        <v>1500</v>
      </c>
      <c r="AO56" s="8" t="s">
        <v>133</v>
      </c>
      <c r="AP56" s="8">
        <v>8</v>
      </c>
      <c r="AQ56" s="8" t="s">
        <v>134</v>
      </c>
      <c r="AR56" s="8">
        <v>12</v>
      </c>
      <c r="AS56" s="8" t="s">
        <v>135</v>
      </c>
      <c r="AT56" s="8">
        <v>8</v>
      </c>
      <c r="AU56" s="8" t="s">
        <v>136</v>
      </c>
      <c r="AV56" s="8">
        <v>11</v>
      </c>
      <c r="AW56" s="8" t="s">
        <v>137</v>
      </c>
      <c r="AX56" s="8">
        <v>21</v>
      </c>
      <c r="AY56" s="8" t="s">
        <v>138</v>
      </c>
      <c r="AZ56" s="8">
        <v>29</v>
      </c>
      <c r="BA56" s="8" t="s">
        <v>139</v>
      </c>
      <c r="BB56" s="8">
        <v>21</v>
      </c>
      <c r="BC56" s="8" t="s">
        <v>140</v>
      </c>
      <c r="BD56" s="8">
        <v>29</v>
      </c>
      <c r="BE56" s="8" t="s">
        <v>139</v>
      </c>
      <c r="BF56" s="8">
        <v>0</v>
      </c>
      <c r="BG56" s="8" t="s">
        <v>140</v>
      </c>
      <c r="BH56" s="8">
        <v>0</v>
      </c>
      <c r="BI56" s="8" t="s">
        <v>141</v>
      </c>
      <c r="BJ56" s="8">
        <v>100</v>
      </c>
      <c r="BK56" s="8" t="s">
        <v>142</v>
      </c>
      <c r="BL56" s="8">
        <v>120</v>
      </c>
      <c r="BM56" s="8" t="s">
        <v>143</v>
      </c>
      <c r="BN56" s="8">
        <v>600</v>
      </c>
      <c r="BQ56" s="8">
        <v>1</v>
      </c>
      <c r="BR56" s="8">
        <v>2500</v>
      </c>
      <c r="BS56" s="8">
        <v>2</v>
      </c>
      <c r="BT56" s="8">
        <v>2500</v>
      </c>
      <c r="BU56" s="8" t="s">
        <v>144</v>
      </c>
      <c r="BV56">
        <v>6</v>
      </c>
      <c r="BW56">
        <v>2</v>
      </c>
    </row>
    <row r="57" ht="16.5" customHeight="1" spans="2:75">
      <c r="B57" s="8">
        <f>60000000+INDEX(编号表!$B:$B,MATCH(J57,编号表!$A:$A,0))*10000+INDEX(编号表!$B:$B,MATCH(K57,编号表!$C:$C,0))*1000+L57</f>
        <v>60181053</v>
      </c>
      <c r="C57" s="8" t="s">
        <v>289</v>
      </c>
      <c r="D57" s="5" t="s">
        <v>290</v>
      </c>
      <c r="E57" s="5" t="s">
        <v>291</v>
      </c>
      <c r="F57" s="8">
        <v>53</v>
      </c>
      <c r="G57" s="8" t="str">
        <f>INDEX(编号表!$E:$E,MATCH(K57,编号表!$C:$C,0))</f>
        <v>白色</v>
      </c>
      <c r="H57" s="8">
        <v>5</v>
      </c>
      <c r="I57" s="8" t="s">
        <v>292</v>
      </c>
      <c r="J57" s="8" t="s">
        <v>292</v>
      </c>
      <c r="K57" s="8" t="s">
        <v>129</v>
      </c>
      <c r="L57" s="8">
        <v>53</v>
      </c>
      <c r="M57" s="8">
        <v>53</v>
      </c>
      <c r="N57" s="8"/>
      <c r="O57" s="8"/>
      <c r="P57" s="8">
        <v>10</v>
      </c>
      <c r="Q57" s="8">
        <v>150000</v>
      </c>
      <c r="R57" s="8"/>
      <c r="S57" s="8"/>
      <c r="T57" s="8">
        <v>1</v>
      </c>
      <c r="U57" s="16">
        <v>40010001</v>
      </c>
      <c r="V57" s="8"/>
      <c r="X57" s="8">
        <v>11000001</v>
      </c>
      <c r="Z57" s="8"/>
      <c r="AA57" s="8" t="s">
        <v>130</v>
      </c>
      <c r="AB57" s="21">
        <v>20039</v>
      </c>
      <c r="AC57" s="8">
        <v>0.69</v>
      </c>
      <c r="AD57" s="8">
        <v>80</v>
      </c>
      <c r="AE57" s="8">
        <v>80</v>
      </c>
      <c r="AF57" s="8">
        <v>40</v>
      </c>
      <c r="AG57" s="8">
        <v>40</v>
      </c>
      <c r="AH57" s="8" t="s">
        <v>131</v>
      </c>
      <c r="AJ57" s="17"/>
      <c r="AL57" s="18">
        <v>255</v>
      </c>
      <c r="AM57" s="8" t="s">
        <v>132</v>
      </c>
      <c r="AN57" s="19">
        <v>1500</v>
      </c>
      <c r="AO57" s="8" t="s">
        <v>133</v>
      </c>
      <c r="AP57" s="8">
        <v>8</v>
      </c>
      <c r="AQ57" s="8" t="s">
        <v>134</v>
      </c>
      <c r="AR57" s="8">
        <v>12</v>
      </c>
      <c r="AS57" s="8" t="s">
        <v>135</v>
      </c>
      <c r="AT57" s="8">
        <v>8</v>
      </c>
      <c r="AU57" s="8" t="s">
        <v>136</v>
      </c>
      <c r="AV57" s="8">
        <v>11</v>
      </c>
      <c r="AW57" s="8" t="s">
        <v>137</v>
      </c>
      <c r="AX57" s="8">
        <v>21</v>
      </c>
      <c r="AY57" s="8" t="s">
        <v>138</v>
      </c>
      <c r="AZ57" s="8">
        <v>29</v>
      </c>
      <c r="BA57" s="8" t="s">
        <v>139</v>
      </c>
      <c r="BB57" s="8">
        <v>21</v>
      </c>
      <c r="BC57" s="8" t="s">
        <v>140</v>
      </c>
      <c r="BD57" s="8">
        <v>29</v>
      </c>
      <c r="BE57" s="8" t="s">
        <v>139</v>
      </c>
      <c r="BF57" s="8">
        <v>0</v>
      </c>
      <c r="BG57" s="8" t="s">
        <v>140</v>
      </c>
      <c r="BH57" s="8">
        <v>0</v>
      </c>
      <c r="BI57" s="8" t="s">
        <v>141</v>
      </c>
      <c r="BJ57" s="8">
        <v>100</v>
      </c>
      <c r="BK57" s="8" t="s">
        <v>142</v>
      </c>
      <c r="BL57" s="8">
        <v>120</v>
      </c>
      <c r="BM57" s="8" t="s">
        <v>143</v>
      </c>
      <c r="BN57" s="8">
        <v>600</v>
      </c>
      <c r="BQ57" s="8">
        <v>1</v>
      </c>
      <c r="BR57" s="8">
        <v>2500</v>
      </c>
      <c r="BS57" s="8">
        <v>2</v>
      </c>
      <c r="BT57" s="8">
        <v>2500</v>
      </c>
      <c r="BU57" s="8" t="s">
        <v>144</v>
      </c>
      <c r="BV57">
        <v>6</v>
      </c>
      <c r="BW57">
        <v>3</v>
      </c>
    </row>
    <row r="58" ht="16.5" customHeight="1" spans="2:75">
      <c r="B58" s="8">
        <f>60000000+INDEX(编号表!$B:$B,MATCH(J58,编号表!$A:$A,0))*10000+INDEX(编号表!$B:$B,MATCH(K58,编号表!$C:$C,0))*1000+L58</f>
        <v>60181054</v>
      </c>
      <c r="C58" s="8" t="s">
        <v>293</v>
      </c>
      <c r="D58" s="5" t="s">
        <v>294</v>
      </c>
      <c r="E58" s="5" t="s">
        <v>295</v>
      </c>
      <c r="F58" s="8">
        <v>54</v>
      </c>
      <c r="G58" s="8" t="str">
        <f>INDEX(编号表!$E:$E,MATCH(K58,编号表!$C:$C,0))</f>
        <v>白色</v>
      </c>
      <c r="H58" s="8">
        <v>5</v>
      </c>
      <c r="I58" s="8" t="s">
        <v>292</v>
      </c>
      <c r="J58" s="8" t="s">
        <v>292</v>
      </c>
      <c r="K58" s="8" t="s">
        <v>129</v>
      </c>
      <c r="L58" s="8">
        <v>54</v>
      </c>
      <c r="M58" s="8">
        <v>54</v>
      </c>
      <c r="N58" s="8"/>
      <c r="O58" s="8"/>
      <c r="P58" s="8">
        <v>10</v>
      </c>
      <c r="Q58" s="8">
        <v>150000</v>
      </c>
      <c r="R58" s="8"/>
      <c r="S58" s="8"/>
      <c r="T58" s="8">
        <v>1</v>
      </c>
      <c r="U58" s="16">
        <v>40010001</v>
      </c>
      <c r="V58" s="8"/>
      <c r="X58" s="8">
        <v>11000245</v>
      </c>
      <c r="Z58" s="8"/>
      <c r="AA58" s="8" t="s">
        <v>130</v>
      </c>
      <c r="AB58" s="21">
        <v>20040</v>
      </c>
      <c r="AC58" s="8">
        <v>0.1</v>
      </c>
      <c r="AD58" s="8">
        <v>80</v>
      </c>
      <c r="AE58" s="8">
        <v>80</v>
      </c>
      <c r="AF58" s="8">
        <v>40</v>
      </c>
      <c r="AG58" s="8">
        <v>40</v>
      </c>
      <c r="AH58" s="8" t="s">
        <v>160</v>
      </c>
      <c r="AI58">
        <v>30065</v>
      </c>
      <c r="AJ58" s="17"/>
      <c r="AL58" s="18">
        <v>255</v>
      </c>
      <c r="AM58" s="8" t="s">
        <v>132</v>
      </c>
      <c r="AN58" s="19">
        <v>1500</v>
      </c>
      <c r="AO58" s="8" t="s">
        <v>133</v>
      </c>
      <c r="AP58" s="8">
        <v>8</v>
      </c>
      <c r="AQ58" s="8" t="s">
        <v>134</v>
      </c>
      <c r="AR58" s="8">
        <v>12</v>
      </c>
      <c r="AS58" s="8" t="s">
        <v>135</v>
      </c>
      <c r="AT58" s="8">
        <v>8</v>
      </c>
      <c r="AU58" s="8" t="s">
        <v>136</v>
      </c>
      <c r="AV58" s="8">
        <v>11</v>
      </c>
      <c r="AW58" s="8" t="s">
        <v>137</v>
      </c>
      <c r="AX58" s="8">
        <v>21</v>
      </c>
      <c r="AY58" s="8" t="s">
        <v>138</v>
      </c>
      <c r="AZ58" s="8">
        <v>29</v>
      </c>
      <c r="BA58" s="8" t="s">
        <v>139</v>
      </c>
      <c r="BB58" s="8">
        <v>21</v>
      </c>
      <c r="BC58" s="8" t="s">
        <v>140</v>
      </c>
      <c r="BD58" s="8">
        <v>29</v>
      </c>
      <c r="BE58" s="8" t="s">
        <v>139</v>
      </c>
      <c r="BF58" s="8">
        <v>0</v>
      </c>
      <c r="BG58" s="8" t="s">
        <v>140</v>
      </c>
      <c r="BH58" s="8">
        <v>0</v>
      </c>
      <c r="BI58" s="8" t="s">
        <v>141</v>
      </c>
      <c r="BJ58" s="8">
        <v>100</v>
      </c>
      <c r="BK58" s="8" t="s">
        <v>142</v>
      </c>
      <c r="BL58" s="8">
        <v>600</v>
      </c>
      <c r="BM58" s="8" t="s">
        <v>143</v>
      </c>
      <c r="BN58" s="8">
        <v>800</v>
      </c>
      <c r="BQ58" s="8">
        <v>1</v>
      </c>
      <c r="BR58" s="8">
        <v>2500</v>
      </c>
      <c r="BS58" s="8">
        <v>2</v>
      </c>
      <c r="BT58" s="8">
        <v>2500</v>
      </c>
      <c r="BU58" s="8" t="s">
        <v>144</v>
      </c>
      <c r="BV58">
        <v>6</v>
      </c>
      <c r="BW58">
        <v>4</v>
      </c>
    </row>
    <row r="59" ht="16.5" customHeight="1" spans="2:75">
      <c r="B59" s="8">
        <f>60000000+INDEX(编号表!$B:$B,MATCH(J59,编号表!$A:$A,0))*10000+INDEX(编号表!$B:$B,MATCH(K59,编号表!$C:$C,0))*1000+L59</f>
        <v>60182055</v>
      </c>
      <c r="C59" s="8" t="s">
        <v>296</v>
      </c>
      <c r="D59" s="5" t="s">
        <v>297</v>
      </c>
      <c r="E59" s="5" t="s">
        <v>298</v>
      </c>
      <c r="F59" s="8">
        <v>55</v>
      </c>
      <c r="G59" s="8" t="str">
        <f>INDEX(编号表!$E:$E,MATCH(K59,编号表!$C:$C,0))</f>
        <v>绿色</v>
      </c>
      <c r="H59" s="8">
        <v>5</v>
      </c>
      <c r="I59" s="8" t="s">
        <v>292</v>
      </c>
      <c r="J59" s="8" t="s">
        <v>292</v>
      </c>
      <c r="K59" s="8" t="s">
        <v>196</v>
      </c>
      <c r="L59" s="8">
        <v>55</v>
      </c>
      <c r="M59" s="8">
        <v>55</v>
      </c>
      <c r="N59" s="8"/>
      <c r="O59" s="8"/>
      <c r="P59" s="8">
        <v>10</v>
      </c>
      <c r="Q59" s="8">
        <v>150000</v>
      </c>
      <c r="R59" s="8"/>
      <c r="S59" s="8"/>
      <c r="T59" s="8">
        <v>1</v>
      </c>
      <c r="U59" s="16">
        <v>40010001</v>
      </c>
      <c r="V59" s="8"/>
      <c r="X59" s="8">
        <v>11000001</v>
      </c>
      <c r="Z59" s="8"/>
      <c r="AA59" s="8" t="s">
        <v>130</v>
      </c>
      <c r="AB59" s="21">
        <v>20041</v>
      </c>
      <c r="AC59" s="8">
        <v>0.49</v>
      </c>
      <c r="AD59" s="8">
        <v>80</v>
      </c>
      <c r="AE59" s="8">
        <v>80</v>
      </c>
      <c r="AF59" s="8">
        <v>40</v>
      </c>
      <c r="AG59" s="8">
        <v>40</v>
      </c>
      <c r="AH59" s="8" t="s">
        <v>131</v>
      </c>
      <c r="AJ59" s="17">
        <v>30010</v>
      </c>
      <c r="AL59" s="18">
        <v>255</v>
      </c>
      <c r="AM59" s="8" t="s">
        <v>132</v>
      </c>
      <c r="AN59" s="19">
        <v>1500</v>
      </c>
      <c r="AO59" s="8" t="s">
        <v>133</v>
      </c>
      <c r="AP59" s="8">
        <v>8</v>
      </c>
      <c r="AQ59" s="8" t="s">
        <v>134</v>
      </c>
      <c r="AR59" s="8">
        <v>12</v>
      </c>
      <c r="AS59" s="8" t="s">
        <v>135</v>
      </c>
      <c r="AT59" s="8">
        <v>8</v>
      </c>
      <c r="AU59" s="8" t="s">
        <v>136</v>
      </c>
      <c r="AV59" s="8">
        <v>11</v>
      </c>
      <c r="AW59" s="8" t="s">
        <v>137</v>
      </c>
      <c r="AX59" s="8">
        <v>21</v>
      </c>
      <c r="AY59" s="8" t="s">
        <v>138</v>
      </c>
      <c r="AZ59" s="8">
        <v>29</v>
      </c>
      <c r="BA59" s="8" t="s">
        <v>139</v>
      </c>
      <c r="BB59" s="8">
        <v>21</v>
      </c>
      <c r="BC59" s="8" t="s">
        <v>140</v>
      </c>
      <c r="BD59" s="8">
        <v>29</v>
      </c>
      <c r="BE59" s="8" t="s">
        <v>139</v>
      </c>
      <c r="BF59" s="8">
        <v>0</v>
      </c>
      <c r="BG59" s="8" t="s">
        <v>140</v>
      </c>
      <c r="BH59" s="8">
        <v>0</v>
      </c>
      <c r="BI59" s="8" t="s">
        <v>141</v>
      </c>
      <c r="BJ59" s="8">
        <v>100</v>
      </c>
      <c r="BK59" s="8" t="s">
        <v>142</v>
      </c>
      <c r="BL59" s="8">
        <v>120</v>
      </c>
      <c r="BM59" s="8" t="s">
        <v>143</v>
      </c>
      <c r="BN59" s="8">
        <v>600</v>
      </c>
      <c r="BQ59" s="8">
        <v>1</v>
      </c>
      <c r="BR59" s="8">
        <v>2500</v>
      </c>
      <c r="BS59" s="8">
        <v>2</v>
      </c>
      <c r="BT59" s="8">
        <v>2500</v>
      </c>
      <c r="BU59" s="8" t="s">
        <v>144</v>
      </c>
      <c r="BV59">
        <v>6</v>
      </c>
      <c r="BW59">
        <v>5</v>
      </c>
    </row>
    <row r="60" ht="16.5" customHeight="1" spans="2:75">
      <c r="B60" s="8">
        <f>60000000+INDEX(编号表!$B:$B,MATCH(J60,编号表!$A:$A,0))*10000+INDEX(编号表!$B:$B,MATCH(K60,编号表!$C:$C,0))*1000+L60</f>
        <v>60111056</v>
      </c>
      <c r="C60" s="8" t="s">
        <v>299</v>
      </c>
      <c r="D60" s="5" t="s">
        <v>300</v>
      </c>
      <c r="E60" s="5" t="s">
        <v>301</v>
      </c>
      <c r="F60" s="8">
        <v>56</v>
      </c>
      <c r="G60" s="8" t="str">
        <f>INDEX(编号表!$E:$E,MATCH(K60,编号表!$C:$C,0))</f>
        <v>白色</v>
      </c>
      <c r="H60" s="8">
        <v>5</v>
      </c>
      <c r="I60" s="8" t="s">
        <v>302</v>
      </c>
      <c r="J60" s="8" t="s">
        <v>302</v>
      </c>
      <c r="K60" s="8" t="s">
        <v>129</v>
      </c>
      <c r="L60" s="8">
        <v>56</v>
      </c>
      <c r="M60" s="8">
        <v>56</v>
      </c>
      <c r="N60" s="8"/>
      <c r="O60" s="8"/>
      <c r="P60" s="8">
        <v>10</v>
      </c>
      <c r="Q60" s="8">
        <v>150000</v>
      </c>
      <c r="R60" s="8"/>
      <c r="S60" s="8"/>
      <c r="T60" s="8">
        <v>1</v>
      </c>
      <c r="U60" s="16">
        <v>40010001</v>
      </c>
      <c r="V60" s="8"/>
      <c r="X60" s="8">
        <v>11000001</v>
      </c>
      <c r="Z60" s="8"/>
      <c r="AA60" s="8" t="s">
        <v>130</v>
      </c>
      <c r="AB60" s="21">
        <v>20042</v>
      </c>
      <c r="AC60" s="8">
        <v>1.65</v>
      </c>
      <c r="AD60" s="8">
        <v>80</v>
      </c>
      <c r="AE60" s="8">
        <v>80</v>
      </c>
      <c r="AF60" s="8">
        <v>40</v>
      </c>
      <c r="AG60" s="8">
        <v>40</v>
      </c>
      <c r="AH60" s="8" t="s">
        <v>131</v>
      </c>
      <c r="AJ60" s="17"/>
      <c r="AL60" s="18">
        <v>255</v>
      </c>
      <c r="AM60" s="8" t="s">
        <v>132</v>
      </c>
      <c r="AN60" s="19">
        <v>1500</v>
      </c>
      <c r="AO60" s="8" t="s">
        <v>133</v>
      </c>
      <c r="AP60" s="8">
        <v>8</v>
      </c>
      <c r="AQ60" s="8" t="s">
        <v>134</v>
      </c>
      <c r="AR60" s="8">
        <v>12</v>
      </c>
      <c r="AS60" s="8" t="s">
        <v>135</v>
      </c>
      <c r="AT60" s="8">
        <v>8</v>
      </c>
      <c r="AU60" s="8" t="s">
        <v>136</v>
      </c>
      <c r="AV60" s="8">
        <v>11</v>
      </c>
      <c r="AW60" s="8" t="s">
        <v>137</v>
      </c>
      <c r="AX60" s="8">
        <v>21</v>
      </c>
      <c r="AY60" s="8" t="s">
        <v>138</v>
      </c>
      <c r="AZ60" s="8">
        <v>29</v>
      </c>
      <c r="BA60" s="8" t="s">
        <v>139</v>
      </c>
      <c r="BB60" s="8">
        <v>21</v>
      </c>
      <c r="BC60" s="8" t="s">
        <v>140</v>
      </c>
      <c r="BD60" s="8">
        <v>29</v>
      </c>
      <c r="BE60" s="8" t="s">
        <v>139</v>
      </c>
      <c r="BF60" s="8">
        <v>0</v>
      </c>
      <c r="BG60" s="8" t="s">
        <v>140</v>
      </c>
      <c r="BH60" s="8">
        <v>0</v>
      </c>
      <c r="BI60" s="8" t="s">
        <v>141</v>
      </c>
      <c r="BJ60" s="8">
        <v>100</v>
      </c>
      <c r="BK60" s="8" t="s">
        <v>142</v>
      </c>
      <c r="BL60" s="8">
        <v>120</v>
      </c>
      <c r="BM60" s="8" t="s">
        <v>143</v>
      </c>
      <c r="BN60" s="8">
        <v>600</v>
      </c>
      <c r="BQ60" s="8">
        <v>1</v>
      </c>
      <c r="BR60" s="8">
        <v>2500</v>
      </c>
      <c r="BS60" s="8">
        <v>2</v>
      </c>
      <c r="BT60" s="8">
        <v>2500</v>
      </c>
      <c r="BU60" s="8" t="s">
        <v>144</v>
      </c>
      <c r="BV60">
        <v>6</v>
      </c>
      <c r="BW60">
        <v>6</v>
      </c>
    </row>
    <row r="61" ht="16.5" customHeight="1" spans="2:75">
      <c r="B61" s="8">
        <f>60000000+INDEX(编号表!$B:$B,MATCH(J61,编号表!$A:$A,0))*10000+INDEX(编号表!$B:$B,MATCH(K61,编号表!$C:$C,0))*1000+L61</f>
        <v>60111057</v>
      </c>
      <c r="C61" s="8" t="s">
        <v>303</v>
      </c>
      <c r="D61" s="5" t="s">
        <v>304</v>
      </c>
      <c r="E61" s="5" t="s">
        <v>305</v>
      </c>
      <c r="F61" s="8">
        <v>57</v>
      </c>
      <c r="G61" s="8" t="str">
        <f>INDEX(编号表!$E:$E,MATCH(K61,编号表!$C:$C,0))</f>
        <v>白色</v>
      </c>
      <c r="H61" s="8">
        <v>5</v>
      </c>
      <c r="I61" s="8" t="s">
        <v>302</v>
      </c>
      <c r="J61" s="8" t="s">
        <v>302</v>
      </c>
      <c r="K61" s="8" t="s">
        <v>129</v>
      </c>
      <c r="L61" s="8">
        <v>57</v>
      </c>
      <c r="M61" s="8">
        <v>57</v>
      </c>
      <c r="N61" s="8"/>
      <c r="O61" s="8"/>
      <c r="P61" s="8">
        <v>10</v>
      </c>
      <c r="Q61" s="8">
        <v>150000</v>
      </c>
      <c r="R61" s="8"/>
      <c r="S61" s="8"/>
      <c r="T61" s="8">
        <v>1</v>
      </c>
      <c r="U61" s="16">
        <v>40010001</v>
      </c>
      <c r="V61" s="8"/>
      <c r="X61" s="8">
        <v>11000001</v>
      </c>
      <c r="Z61" s="8"/>
      <c r="AA61" s="8" t="s">
        <v>130</v>
      </c>
      <c r="AB61" s="21">
        <v>20043</v>
      </c>
      <c r="AC61" s="8">
        <v>1.06</v>
      </c>
      <c r="AD61" s="8">
        <v>80</v>
      </c>
      <c r="AE61" s="8">
        <v>80</v>
      </c>
      <c r="AF61" s="8">
        <v>40</v>
      </c>
      <c r="AG61" s="8">
        <v>40</v>
      </c>
      <c r="AH61" s="8" t="s">
        <v>131</v>
      </c>
      <c r="AJ61" s="17"/>
      <c r="AL61" s="18">
        <v>255</v>
      </c>
      <c r="AM61" s="8" t="s">
        <v>132</v>
      </c>
      <c r="AN61" s="19">
        <v>1500</v>
      </c>
      <c r="AO61" s="8" t="s">
        <v>133</v>
      </c>
      <c r="AP61" s="8">
        <v>8</v>
      </c>
      <c r="AQ61" s="8" t="s">
        <v>134</v>
      </c>
      <c r="AR61" s="8">
        <v>12</v>
      </c>
      <c r="AS61" s="8" t="s">
        <v>135</v>
      </c>
      <c r="AT61" s="8">
        <v>8</v>
      </c>
      <c r="AU61" s="8" t="s">
        <v>136</v>
      </c>
      <c r="AV61" s="8">
        <v>11</v>
      </c>
      <c r="AW61" s="8" t="s">
        <v>137</v>
      </c>
      <c r="AX61" s="8">
        <v>21</v>
      </c>
      <c r="AY61" s="8" t="s">
        <v>138</v>
      </c>
      <c r="AZ61" s="8">
        <v>29</v>
      </c>
      <c r="BA61" s="8" t="s">
        <v>139</v>
      </c>
      <c r="BB61" s="8">
        <v>21</v>
      </c>
      <c r="BC61" s="8" t="s">
        <v>140</v>
      </c>
      <c r="BD61" s="8">
        <v>29</v>
      </c>
      <c r="BE61" s="8" t="s">
        <v>139</v>
      </c>
      <c r="BF61" s="8">
        <v>0</v>
      </c>
      <c r="BG61" s="8" t="s">
        <v>140</v>
      </c>
      <c r="BH61" s="8">
        <v>0</v>
      </c>
      <c r="BI61" s="8" t="s">
        <v>141</v>
      </c>
      <c r="BJ61" s="8">
        <v>100</v>
      </c>
      <c r="BK61" s="8" t="s">
        <v>142</v>
      </c>
      <c r="BL61" s="8">
        <v>120</v>
      </c>
      <c r="BM61" s="8" t="s">
        <v>143</v>
      </c>
      <c r="BN61" s="8">
        <v>600</v>
      </c>
      <c r="BQ61" s="8">
        <v>1</v>
      </c>
      <c r="BR61" s="8">
        <v>2500</v>
      </c>
      <c r="BS61" s="8">
        <v>2</v>
      </c>
      <c r="BT61" s="8">
        <v>2500</v>
      </c>
      <c r="BU61" s="8" t="s">
        <v>144</v>
      </c>
      <c r="BV61">
        <v>6</v>
      </c>
      <c r="BW61">
        <v>7</v>
      </c>
    </row>
    <row r="62" ht="16.5" customHeight="1" spans="2:75">
      <c r="B62" s="8">
        <f>60000000+INDEX(编号表!$B:$B,MATCH(J62,编号表!$A:$A,0))*10000+INDEX(编号表!$B:$B,MATCH(K62,编号表!$C:$C,0))*1000+L62</f>
        <v>60111058</v>
      </c>
      <c r="C62" s="8" t="s">
        <v>306</v>
      </c>
      <c r="D62" s="5" t="s">
        <v>307</v>
      </c>
      <c r="E62" s="5" t="s">
        <v>308</v>
      </c>
      <c r="F62" s="8">
        <v>58</v>
      </c>
      <c r="G62" s="8" t="str">
        <f>INDEX(编号表!$E:$E,MATCH(K62,编号表!$C:$C,0))</f>
        <v>白色</v>
      </c>
      <c r="H62" s="8">
        <v>5</v>
      </c>
      <c r="I62" s="8" t="s">
        <v>302</v>
      </c>
      <c r="J62" s="8" t="s">
        <v>302</v>
      </c>
      <c r="K62" s="8" t="s">
        <v>129</v>
      </c>
      <c r="L62" s="8">
        <v>58</v>
      </c>
      <c r="M62" s="8">
        <v>58</v>
      </c>
      <c r="N62" s="8"/>
      <c r="O62" s="8"/>
      <c r="P62" s="8">
        <v>10</v>
      </c>
      <c r="Q62" s="8">
        <v>150000</v>
      </c>
      <c r="R62" s="8"/>
      <c r="S62" s="8"/>
      <c r="T62" s="8">
        <v>1</v>
      </c>
      <c r="U62" s="16">
        <v>40010001</v>
      </c>
      <c r="V62" s="8"/>
      <c r="X62" s="8">
        <v>11000131</v>
      </c>
      <c r="Z62" s="8"/>
      <c r="AA62" s="8" t="s">
        <v>130</v>
      </c>
      <c r="AB62" s="21">
        <v>20044</v>
      </c>
      <c r="AC62" s="8">
        <v>0.95</v>
      </c>
      <c r="AD62" s="8">
        <v>80</v>
      </c>
      <c r="AE62" s="8">
        <v>80</v>
      </c>
      <c r="AF62" s="8">
        <v>40</v>
      </c>
      <c r="AG62" s="8">
        <v>40</v>
      </c>
      <c r="AH62" s="8" t="s">
        <v>160</v>
      </c>
      <c r="AI62">
        <v>30005</v>
      </c>
      <c r="AJ62" s="17"/>
      <c r="AL62" s="18">
        <v>255</v>
      </c>
      <c r="AM62" s="8" t="s">
        <v>132</v>
      </c>
      <c r="AN62" s="19">
        <v>1500</v>
      </c>
      <c r="AO62" s="8" t="s">
        <v>133</v>
      </c>
      <c r="AP62" s="8">
        <v>8</v>
      </c>
      <c r="AQ62" s="8" t="s">
        <v>134</v>
      </c>
      <c r="AR62" s="8">
        <v>12</v>
      </c>
      <c r="AS62" s="8" t="s">
        <v>135</v>
      </c>
      <c r="AT62" s="8">
        <v>8</v>
      </c>
      <c r="AU62" s="8" t="s">
        <v>136</v>
      </c>
      <c r="AV62" s="8">
        <v>11</v>
      </c>
      <c r="AW62" s="8" t="s">
        <v>137</v>
      </c>
      <c r="AX62" s="8">
        <v>21</v>
      </c>
      <c r="AY62" s="8" t="s">
        <v>138</v>
      </c>
      <c r="AZ62" s="8">
        <v>29</v>
      </c>
      <c r="BA62" s="8" t="s">
        <v>139</v>
      </c>
      <c r="BB62" s="8">
        <v>21</v>
      </c>
      <c r="BC62" s="8" t="s">
        <v>140</v>
      </c>
      <c r="BD62" s="8">
        <v>29</v>
      </c>
      <c r="BE62" s="8" t="s">
        <v>139</v>
      </c>
      <c r="BF62" s="8">
        <v>0</v>
      </c>
      <c r="BG62" s="8" t="s">
        <v>140</v>
      </c>
      <c r="BH62" s="8">
        <v>0</v>
      </c>
      <c r="BI62" s="8" t="s">
        <v>141</v>
      </c>
      <c r="BJ62" s="8">
        <v>100</v>
      </c>
      <c r="BK62" s="8" t="s">
        <v>142</v>
      </c>
      <c r="BL62" s="8">
        <v>600</v>
      </c>
      <c r="BM62" s="8" t="s">
        <v>143</v>
      </c>
      <c r="BN62" s="8">
        <v>800</v>
      </c>
      <c r="BQ62" s="8">
        <v>1</v>
      </c>
      <c r="BR62" s="8">
        <v>2500</v>
      </c>
      <c r="BS62" s="8">
        <v>2</v>
      </c>
      <c r="BT62" s="8">
        <v>2500</v>
      </c>
      <c r="BU62" s="8" t="s">
        <v>144</v>
      </c>
      <c r="BV62">
        <v>6</v>
      </c>
      <c r="BW62">
        <v>8</v>
      </c>
    </row>
    <row r="63" ht="16.5" customHeight="1" spans="2:75">
      <c r="B63" s="8">
        <f>60000000+INDEX(编号表!$B:$B,MATCH(J63,编号表!$A:$A,0))*10000+INDEX(编号表!$B:$B,MATCH(K63,编号表!$C:$C,0))*1000+L63</f>
        <v>60111059</v>
      </c>
      <c r="C63" s="8" t="s">
        <v>309</v>
      </c>
      <c r="D63" s="5" t="s">
        <v>310</v>
      </c>
      <c r="E63" s="5" t="s">
        <v>311</v>
      </c>
      <c r="F63" s="8">
        <v>59</v>
      </c>
      <c r="G63" s="8" t="str">
        <f>INDEX(编号表!$E:$E,MATCH(K63,编号表!$C:$C,0))</f>
        <v>白色</v>
      </c>
      <c r="H63" s="8">
        <v>5</v>
      </c>
      <c r="I63" s="8" t="s">
        <v>302</v>
      </c>
      <c r="J63" s="8" t="s">
        <v>302</v>
      </c>
      <c r="K63" s="8" t="s">
        <v>129</v>
      </c>
      <c r="L63" s="8">
        <v>59</v>
      </c>
      <c r="M63" s="8">
        <v>59</v>
      </c>
      <c r="N63" s="8"/>
      <c r="O63" s="8"/>
      <c r="P63" s="8">
        <v>10</v>
      </c>
      <c r="Q63" s="8">
        <v>150000</v>
      </c>
      <c r="R63" s="8"/>
      <c r="S63" s="8"/>
      <c r="T63" s="8">
        <v>1</v>
      </c>
      <c r="U63" s="16">
        <v>40010001</v>
      </c>
      <c r="V63" s="8"/>
      <c r="X63" s="8">
        <v>11000001</v>
      </c>
      <c r="Z63" s="8"/>
      <c r="AA63" s="8" t="s">
        <v>130</v>
      </c>
      <c r="AB63" s="21">
        <v>20045</v>
      </c>
      <c r="AC63" s="8">
        <v>1.09</v>
      </c>
      <c r="AD63" s="8">
        <v>80</v>
      </c>
      <c r="AE63" s="8">
        <v>80</v>
      </c>
      <c r="AF63" s="8">
        <v>40</v>
      </c>
      <c r="AG63" s="8">
        <v>40</v>
      </c>
      <c r="AH63" s="8" t="s">
        <v>131</v>
      </c>
      <c r="AJ63" s="17"/>
      <c r="AL63" s="18">
        <v>255</v>
      </c>
      <c r="AM63" s="8" t="s">
        <v>132</v>
      </c>
      <c r="AN63" s="19">
        <v>1500</v>
      </c>
      <c r="AO63" s="8" t="s">
        <v>133</v>
      </c>
      <c r="AP63" s="8">
        <v>8</v>
      </c>
      <c r="AQ63" s="8" t="s">
        <v>134</v>
      </c>
      <c r="AR63" s="8">
        <v>12</v>
      </c>
      <c r="AS63" s="8" t="s">
        <v>135</v>
      </c>
      <c r="AT63" s="8">
        <v>8</v>
      </c>
      <c r="AU63" s="8" t="s">
        <v>136</v>
      </c>
      <c r="AV63" s="8">
        <v>11</v>
      </c>
      <c r="AW63" s="8" t="s">
        <v>137</v>
      </c>
      <c r="AX63" s="8">
        <v>21</v>
      </c>
      <c r="AY63" s="8" t="s">
        <v>138</v>
      </c>
      <c r="AZ63" s="8">
        <v>29</v>
      </c>
      <c r="BA63" s="8" t="s">
        <v>139</v>
      </c>
      <c r="BB63" s="8">
        <v>21</v>
      </c>
      <c r="BC63" s="8" t="s">
        <v>140</v>
      </c>
      <c r="BD63" s="8">
        <v>29</v>
      </c>
      <c r="BE63" s="8" t="s">
        <v>139</v>
      </c>
      <c r="BF63" s="8">
        <v>0</v>
      </c>
      <c r="BG63" s="8" t="s">
        <v>140</v>
      </c>
      <c r="BH63" s="8">
        <v>0</v>
      </c>
      <c r="BI63" s="8" t="s">
        <v>141</v>
      </c>
      <c r="BJ63" s="8">
        <v>100</v>
      </c>
      <c r="BK63" s="8" t="s">
        <v>142</v>
      </c>
      <c r="BL63" s="8">
        <v>120</v>
      </c>
      <c r="BM63" s="8" t="s">
        <v>143</v>
      </c>
      <c r="BN63" s="8">
        <v>600</v>
      </c>
      <c r="BQ63" s="8">
        <v>1</v>
      </c>
      <c r="BR63" s="8">
        <v>2500</v>
      </c>
      <c r="BS63" s="8">
        <v>2</v>
      </c>
      <c r="BT63" s="8">
        <v>2500</v>
      </c>
      <c r="BU63" s="8" t="s">
        <v>144</v>
      </c>
      <c r="BV63">
        <v>6</v>
      </c>
      <c r="BW63">
        <v>9</v>
      </c>
    </row>
    <row r="64" ht="16.5" customHeight="1" spans="2:75">
      <c r="B64" s="8">
        <f>60000000+INDEX(编号表!$B:$B,MATCH(J64,编号表!$A:$A,0))*10000+INDEX(编号表!$B:$B,MATCH(K64,编号表!$C:$C,0))*1000+L64</f>
        <v>60111060</v>
      </c>
      <c r="C64" s="8" t="s">
        <v>312</v>
      </c>
      <c r="D64" s="5" t="s">
        <v>313</v>
      </c>
      <c r="E64" s="5" t="s">
        <v>314</v>
      </c>
      <c r="F64" s="8">
        <v>60</v>
      </c>
      <c r="G64" s="8" t="str">
        <f>INDEX(编号表!$E:$E,MATCH(K64,编号表!$C:$C,0))</f>
        <v>白色</v>
      </c>
      <c r="H64" s="8">
        <v>5</v>
      </c>
      <c r="I64" s="8" t="s">
        <v>302</v>
      </c>
      <c r="J64" s="8" t="s">
        <v>302</v>
      </c>
      <c r="K64" s="8" t="s">
        <v>129</v>
      </c>
      <c r="L64" s="8">
        <v>60</v>
      </c>
      <c r="M64" s="8">
        <v>60</v>
      </c>
      <c r="N64" s="8"/>
      <c r="O64" s="8"/>
      <c r="P64" s="8">
        <v>10</v>
      </c>
      <c r="Q64" s="8">
        <v>150000</v>
      </c>
      <c r="R64" s="8"/>
      <c r="S64" s="8"/>
      <c r="T64" s="8">
        <v>1</v>
      </c>
      <c r="U64" s="16">
        <v>40010001</v>
      </c>
      <c r="V64" s="8"/>
      <c r="X64" s="8">
        <v>11000001</v>
      </c>
      <c r="Z64" s="8"/>
      <c r="AA64" s="8" t="s">
        <v>130</v>
      </c>
      <c r="AB64" s="21">
        <v>20046</v>
      </c>
      <c r="AC64" s="8">
        <v>2</v>
      </c>
      <c r="AD64" s="8">
        <v>80</v>
      </c>
      <c r="AE64" s="8">
        <v>80</v>
      </c>
      <c r="AF64" s="8">
        <v>40</v>
      </c>
      <c r="AG64" s="8">
        <v>40</v>
      </c>
      <c r="AH64" s="8" t="s">
        <v>131</v>
      </c>
      <c r="AJ64" s="17"/>
      <c r="AL64" s="18">
        <v>255</v>
      </c>
      <c r="AM64" s="8" t="s">
        <v>132</v>
      </c>
      <c r="AN64" s="19">
        <v>1500</v>
      </c>
      <c r="AO64" s="8" t="s">
        <v>133</v>
      </c>
      <c r="AP64" s="8">
        <v>8</v>
      </c>
      <c r="AQ64" s="8" t="s">
        <v>134</v>
      </c>
      <c r="AR64" s="8">
        <v>12</v>
      </c>
      <c r="AS64" s="8" t="s">
        <v>135</v>
      </c>
      <c r="AT64" s="8">
        <v>8</v>
      </c>
      <c r="AU64" s="8" t="s">
        <v>136</v>
      </c>
      <c r="AV64" s="8">
        <v>11</v>
      </c>
      <c r="AW64" s="8" t="s">
        <v>137</v>
      </c>
      <c r="AX64" s="8">
        <v>21</v>
      </c>
      <c r="AY64" s="8" t="s">
        <v>138</v>
      </c>
      <c r="AZ64" s="8">
        <v>29</v>
      </c>
      <c r="BA64" s="8" t="s">
        <v>139</v>
      </c>
      <c r="BB64" s="8">
        <v>21</v>
      </c>
      <c r="BC64" s="8" t="s">
        <v>140</v>
      </c>
      <c r="BD64" s="8">
        <v>29</v>
      </c>
      <c r="BE64" s="8" t="s">
        <v>139</v>
      </c>
      <c r="BF64" s="8">
        <v>0</v>
      </c>
      <c r="BG64" s="8" t="s">
        <v>140</v>
      </c>
      <c r="BH64" s="8">
        <v>0</v>
      </c>
      <c r="BI64" s="8" t="s">
        <v>141</v>
      </c>
      <c r="BJ64" s="8">
        <v>100</v>
      </c>
      <c r="BK64" s="8" t="s">
        <v>142</v>
      </c>
      <c r="BL64" s="8">
        <v>120</v>
      </c>
      <c r="BM64" s="8" t="s">
        <v>143</v>
      </c>
      <c r="BN64" s="8">
        <v>600</v>
      </c>
      <c r="BQ64" s="8">
        <v>1</v>
      </c>
      <c r="BR64" s="8">
        <v>2500</v>
      </c>
      <c r="BS64" s="8">
        <v>2</v>
      </c>
      <c r="BT64" s="8">
        <v>2500</v>
      </c>
      <c r="BU64" s="8" t="s">
        <v>144</v>
      </c>
      <c r="BV64">
        <v>6</v>
      </c>
      <c r="BW64">
        <v>10</v>
      </c>
    </row>
    <row r="65" ht="16.5" customHeight="1" spans="2:75">
      <c r="B65" s="8">
        <f>60000000+INDEX(编号表!$B:$B,MATCH(J65,编号表!$A:$A,0))*10000+INDEX(编号表!$B:$B,MATCH(K65,编号表!$C:$C,0))*1000+L65</f>
        <v>60112061</v>
      </c>
      <c r="C65" s="8" t="s">
        <v>315</v>
      </c>
      <c r="D65" s="5" t="s">
        <v>307</v>
      </c>
      <c r="E65" s="5" t="s">
        <v>308</v>
      </c>
      <c r="F65" s="8">
        <v>60</v>
      </c>
      <c r="G65" s="8" t="str">
        <f>INDEX(编号表!$E:$E,MATCH(K65,编号表!$C:$C,0))</f>
        <v>绿色</v>
      </c>
      <c r="H65" s="8">
        <v>5</v>
      </c>
      <c r="I65" s="8" t="s">
        <v>302</v>
      </c>
      <c r="J65" s="8" t="s">
        <v>302</v>
      </c>
      <c r="K65" s="8" t="s">
        <v>196</v>
      </c>
      <c r="L65" s="8">
        <v>61</v>
      </c>
      <c r="M65" s="8">
        <v>61</v>
      </c>
      <c r="N65" s="8"/>
      <c r="O65" s="8"/>
      <c r="P65" s="8">
        <v>10</v>
      </c>
      <c r="Q65" s="8">
        <v>150000</v>
      </c>
      <c r="R65" s="8"/>
      <c r="S65" s="8"/>
      <c r="T65" s="8">
        <v>1</v>
      </c>
      <c r="U65" s="16">
        <v>40010001</v>
      </c>
      <c r="V65" s="8"/>
      <c r="X65" s="8">
        <v>11000131</v>
      </c>
      <c r="Z65" s="8"/>
      <c r="AA65" s="8" t="s">
        <v>130</v>
      </c>
      <c r="AB65" s="21">
        <v>20044</v>
      </c>
      <c r="AC65" s="8">
        <v>1.78</v>
      </c>
      <c r="AD65" s="8">
        <v>80</v>
      </c>
      <c r="AE65" s="8">
        <v>80</v>
      </c>
      <c r="AF65" s="8">
        <v>40</v>
      </c>
      <c r="AG65" s="8">
        <v>40</v>
      </c>
      <c r="AH65" s="8" t="s">
        <v>160</v>
      </c>
      <c r="AI65">
        <v>30005</v>
      </c>
      <c r="AJ65" s="17">
        <v>30010</v>
      </c>
      <c r="AL65" s="18">
        <v>255</v>
      </c>
      <c r="AM65" s="8" t="s">
        <v>132</v>
      </c>
      <c r="AN65" s="19">
        <v>1500</v>
      </c>
      <c r="AO65" s="8" t="s">
        <v>133</v>
      </c>
      <c r="AP65" s="8">
        <v>8</v>
      </c>
      <c r="AQ65" s="8" t="s">
        <v>134</v>
      </c>
      <c r="AR65" s="8">
        <v>12</v>
      </c>
      <c r="AS65" s="8" t="s">
        <v>135</v>
      </c>
      <c r="AT65" s="8">
        <v>8</v>
      </c>
      <c r="AU65" s="8" t="s">
        <v>136</v>
      </c>
      <c r="AV65" s="8">
        <v>11</v>
      </c>
      <c r="AW65" s="8" t="s">
        <v>137</v>
      </c>
      <c r="AX65" s="8">
        <v>21</v>
      </c>
      <c r="AY65" s="8" t="s">
        <v>138</v>
      </c>
      <c r="AZ65" s="8">
        <v>29</v>
      </c>
      <c r="BA65" s="8" t="s">
        <v>139</v>
      </c>
      <c r="BB65" s="8">
        <v>21</v>
      </c>
      <c r="BC65" s="8" t="s">
        <v>140</v>
      </c>
      <c r="BD65" s="8">
        <v>29</v>
      </c>
      <c r="BE65" s="8" t="s">
        <v>139</v>
      </c>
      <c r="BF65" s="8">
        <v>0</v>
      </c>
      <c r="BG65" s="8" t="s">
        <v>140</v>
      </c>
      <c r="BH65" s="8">
        <v>0</v>
      </c>
      <c r="BI65" s="8" t="s">
        <v>141</v>
      </c>
      <c r="BJ65" s="8">
        <v>100</v>
      </c>
      <c r="BK65" s="8" t="s">
        <v>142</v>
      </c>
      <c r="BL65" s="8">
        <v>600</v>
      </c>
      <c r="BM65" s="8" t="s">
        <v>143</v>
      </c>
      <c r="BN65" s="8">
        <v>800</v>
      </c>
      <c r="BQ65" s="8">
        <v>1</v>
      </c>
      <c r="BR65" s="8">
        <v>2500</v>
      </c>
      <c r="BS65" s="8">
        <v>2</v>
      </c>
      <c r="BT65" s="8">
        <v>2500</v>
      </c>
      <c r="BU65" s="8" t="s">
        <v>144</v>
      </c>
      <c r="BV65">
        <v>6</v>
      </c>
      <c r="BW65">
        <v>10</v>
      </c>
    </row>
    <row r="66" ht="16.5" customHeight="1" spans="2:75">
      <c r="B66" s="8">
        <f>60000000+INDEX(编号表!$B:$B,MATCH(J66,编号表!$A:$A,0))*10000+INDEX(编号表!$B:$B,MATCH(K66,编号表!$C:$C,0))*1000+L66</f>
        <v>60121062</v>
      </c>
      <c r="C66" s="8" t="s">
        <v>316</v>
      </c>
      <c r="D66" s="5" t="s">
        <v>317</v>
      </c>
      <c r="E66" s="5" t="s">
        <v>318</v>
      </c>
      <c r="F66" s="8">
        <v>60</v>
      </c>
      <c r="G66" s="8" t="str">
        <f>INDEX(编号表!$E:$E,MATCH(K66,编号表!$C:$C,0))</f>
        <v>白色</v>
      </c>
      <c r="H66" s="8">
        <v>5</v>
      </c>
      <c r="I66" s="8" t="s">
        <v>319</v>
      </c>
      <c r="J66" s="8" t="s">
        <v>319</v>
      </c>
      <c r="K66" s="8" t="s">
        <v>129</v>
      </c>
      <c r="L66" s="8">
        <v>62</v>
      </c>
      <c r="M66" s="8">
        <v>62</v>
      </c>
      <c r="N66" s="8"/>
      <c r="O66" s="8"/>
      <c r="P66" s="8">
        <v>10</v>
      </c>
      <c r="Q66" s="8">
        <v>150000</v>
      </c>
      <c r="R66" s="8"/>
      <c r="S66" s="8"/>
      <c r="T66" s="8">
        <v>1</v>
      </c>
      <c r="U66" s="16">
        <v>40010001</v>
      </c>
      <c r="V66" s="8"/>
      <c r="X66" s="8">
        <v>11000001</v>
      </c>
      <c r="Z66" s="8"/>
      <c r="AA66" s="8" t="s">
        <v>130</v>
      </c>
      <c r="AB66" s="21">
        <v>20048</v>
      </c>
      <c r="AC66" s="8">
        <v>0.76</v>
      </c>
      <c r="AD66" s="8">
        <v>80</v>
      </c>
      <c r="AE66" s="8">
        <v>80</v>
      </c>
      <c r="AF66" s="8">
        <v>40</v>
      </c>
      <c r="AG66" s="8">
        <v>40</v>
      </c>
      <c r="AH66" s="8" t="s">
        <v>131</v>
      </c>
      <c r="AJ66" s="17"/>
      <c r="AL66" s="18">
        <v>255</v>
      </c>
      <c r="AM66" s="8" t="s">
        <v>132</v>
      </c>
      <c r="AN66" s="19">
        <v>1500</v>
      </c>
      <c r="AO66" s="8" t="s">
        <v>133</v>
      </c>
      <c r="AP66" s="8">
        <v>8</v>
      </c>
      <c r="AQ66" s="8" t="s">
        <v>134</v>
      </c>
      <c r="AR66" s="8">
        <v>12</v>
      </c>
      <c r="AS66" s="8" t="s">
        <v>135</v>
      </c>
      <c r="AT66" s="8">
        <v>8</v>
      </c>
      <c r="AU66" s="8" t="s">
        <v>136</v>
      </c>
      <c r="AV66" s="8">
        <v>11</v>
      </c>
      <c r="AW66" s="8" t="s">
        <v>137</v>
      </c>
      <c r="AX66" s="8">
        <v>21</v>
      </c>
      <c r="AY66" s="8" t="s">
        <v>138</v>
      </c>
      <c r="AZ66" s="8">
        <v>29</v>
      </c>
      <c r="BA66" s="8" t="s">
        <v>139</v>
      </c>
      <c r="BB66" s="8">
        <v>21</v>
      </c>
      <c r="BC66" s="8" t="s">
        <v>140</v>
      </c>
      <c r="BD66" s="8">
        <v>29</v>
      </c>
      <c r="BE66" s="8" t="s">
        <v>139</v>
      </c>
      <c r="BF66" s="8">
        <v>0</v>
      </c>
      <c r="BG66" s="8" t="s">
        <v>140</v>
      </c>
      <c r="BH66" s="8">
        <v>0</v>
      </c>
      <c r="BI66" s="8" t="s">
        <v>141</v>
      </c>
      <c r="BJ66" s="8">
        <v>100</v>
      </c>
      <c r="BK66" s="8" t="s">
        <v>142</v>
      </c>
      <c r="BL66" s="8">
        <v>120</v>
      </c>
      <c r="BM66" s="8" t="s">
        <v>143</v>
      </c>
      <c r="BN66" s="8">
        <v>600</v>
      </c>
      <c r="BQ66" s="8">
        <v>1</v>
      </c>
      <c r="BR66" s="8">
        <v>2500</v>
      </c>
      <c r="BS66" s="8">
        <v>2</v>
      </c>
      <c r="BT66" s="8">
        <v>2500</v>
      </c>
      <c r="BU66" s="8" t="s">
        <v>144</v>
      </c>
      <c r="BV66">
        <v>6</v>
      </c>
      <c r="BW66">
        <v>10</v>
      </c>
    </row>
    <row r="67" ht="16.5" customHeight="1" spans="2:75">
      <c r="B67" s="8">
        <f>60000000+INDEX(编号表!$B:$B,MATCH(J67,编号表!$A:$A,0))*10000+INDEX(编号表!$B:$B,MATCH(K67,编号表!$C:$C,0))*1000+L67</f>
        <v>60121063</v>
      </c>
      <c r="C67" s="8" t="s">
        <v>320</v>
      </c>
      <c r="D67" s="5" t="s">
        <v>321</v>
      </c>
      <c r="E67" s="5" t="s">
        <v>322</v>
      </c>
      <c r="F67" s="8">
        <v>60</v>
      </c>
      <c r="G67" s="8" t="str">
        <f>INDEX(编号表!$E:$E,MATCH(K67,编号表!$C:$C,0))</f>
        <v>白色</v>
      </c>
      <c r="H67" s="8">
        <v>5</v>
      </c>
      <c r="I67" s="8" t="s">
        <v>319</v>
      </c>
      <c r="J67" s="8" t="s">
        <v>319</v>
      </c>
      <c r="K67" s="8" t="s">
        <v>129</v>
      </c>
      <c r="L67" s="8">
        <v>63</v>
      </c>
      <c r="M67" s="8">
        <v>63</v>
      </c>
      <c r="N67" s="8"/>
      <c r="O67" s="8"/>
      <c r="P67" s="8">
        <v>10</v>
      </c>
      <c r="Q67" s="8">
        <v>150000</v>
      </c>
      <c r="R67" s="8"/>
      <c r="S67" s="8"/>
      <c r="T67" s="8">
        <v>1</v>
      </c>
      <c r="U67" s="16">
        <v>40010001</v>
      </c>
      <c r="V67" s="8"/>
      <c r="X67" s="8">
        <v>11000247</v>
      </c>
      <c r="Z67" s="8"/>
      <c r="AA67" s="8" t="s">
        <v>130</v>
      </c>
      <c r="AB67" s="21">
        <v>20049</v>
      </c>
      <c r="AC67" s="8">
        <v>0.53</v>
      </c>
      <c r="AD67" s="8">
        <v>80</v>
      </c>
      <c r="AE67" s="8">
        <v>80</v>
      </c>
      <c r="AF67" s="8">
        <v>40</v>
      </c>
      <c r="AG67" s="8">
        <v>40</v>
      </c>
      <c r="AH67" s="8" t="s">
        <v>160</v>
      </c>
      <c r="AI67">
        <v>30067</v>
      </c>
      <c r="AJ67" s="17"/>
      <c r="AL67" s="18">
        <v>255</v>
      </c>
      <c r="AM67" s="8" t="s">
        <v>132</v>
      </c>
      <c r="AN67" s="19">
        <v>1500</v>
      </c>
      <c r="AO67" s="8" t="s">
        <v>133</v>
      </c>
      <c r="AP67" s="8">
        <v>8</v>
      </c>
      <c r="AQ67" s="8" t="s">
        <v>134</v>
      </c>
      <c r="AR67" s="8">
        <v>12</v>
      </c>
      <c r="AS67" s="8" t="s">
        <v>135</v>
      </c>
      <c r="AT67" s="8">
        <v>8</v>
      </c>
      <c r="AU67" s="8" t="s">
        <v>136</v>
      </c>
      <c r="AV67" s="8">
        <v>11</v>
      </c>
      <c r="AW67" s="8" t="s">
        <v>137</v>
      </c>
      <c r="AX67" s="8">
        <v>21</v>
      </c>
      <c r="AY67" s="8" t="s">
        <v>138</v>
      </c>
      <c r="AZ67" s="8">
        <v>29</v>
      </c>
      <c r="BA67" s="8" t="s">
        <v>139</v>
      </c>
      <c r="BB67" s="8">
        <v>21</v>
      </c>
      <c r="BC67" s="8" t="s">
        <v>140</v>
      </c>
      <c r="BD67" s="8">
        <v>29</v>
      </c>
      <c r="BE67" s="8" t="s">
        <v>139</v>
      </c>
      <c r="BF67" s="8">
        <v>0</v>
      </c>
      <c r="BG67" s="8" t="s">
        <v>140</v>
      </c>
      <c r="BH67" s="8">
        <v>0</v>
      </c>
      <c r="BI67" s="8" t="s">
        <v>141</v>
      </c>
      <c r="BJ67" s="8">
        <v>100</v>
      </c>
      <c r="BK67" s="8" t="s">
        <v>142</v>
      </c>
      <c r="BL67" s="8">
        <v>600</v>
      </c>
      <c r="BM67" s="8" t="s">
        <v>143</v>
      </c>
      <c r="BN67" s="8">
        <v>800</v>
      </c>
      <c r="BQ67" s="8">
        <v>1</v>
      </c>
      <c r="BR67" s="8">
        <v>2500</v>
      </c>
      <c r="BS67" s="8">
        <v>2</v>
      </c>
      <c r="BT67" s="8">
        <v>2500</v>
      </c>
      <c r="BU67" s="8" t="s">
        <v>144</v>
      </c>
      <c r="BV67">
        <v>6</v>
      </c>
      <c r="BW67">
        <v>10</v>
      </c>
    </row>
    <row r="68" ht="16.5" customHeight="1" spans="2:75">
      <c r="B68" s="8">
        <f>60000000+INDEX(编号表!$B:$B,MATCH(J68,编号表!$A:$A,0))*10000+INDEX(编号表!$B:$B,MATCH(K68,编号表!$C:$C,0))*1000+L68</f>
        <v>60121064</v>
      </c>
      <c r="C68" s="8" t="s">
        <v>323</v>
      </c>
      <c r="D68" s="5" t="s">
        <v>324</v>
      </c>
      <c r="E68" s="5" t="s">
        <v>325</v>
      </c>
      <c r="F68" s="8">
        <v>60</v>
      </c>
      <c r="G68" s="8" t="str">
        <f>INDEX(编号表!$E:$E,MATCH(K68,编号表!$C:$C,0))</f>
        <v>白色</v>
      </c>
      <c r="H68" s="8">
        <v>5</v>
      </c>
      <c r="I68" s="8" t="s">
        <v>319</v>
      </c>
      <c r="J68" s="8" t="s">
        <v>319</v>
      </c>
      <c r="K68" s="8" t="s">
        <v>129</v>
      </c>
      <c r="L68" s="8">
        <v>64</v>
      </c>
      <c r="M68" s="8">
        <v>64</v>
      </c>
      <c r="N68" s="8"/>
      <c r="O68" s="8"/>
      <c r="P68" s="8">
        <v>10</v>
      </c>
      <c r="Q68" s="8">
        <v>150000</v>
      </c>
      <c r="R68" s="8"/>
      <c r="S68" s="8"/>
      <c r="T68" s="8">
        <v>1</v>
      </c>
      <c r="U68" s="16">
        <v>40010001</v>
      </c>
      <c r="V68" s="8"/>
      <c r="X68" s="8">
        <v>11000001</v>
      </c>
      <c r="Z68" s="8"/>
      <c r="AA68" s="8" t="s">
        <v>130</v>
      </c>
      <c r="AB68" s="21">
        <v>20050</v>
      </c>
      <c r="AC68" s="8">
        <v>0.79</v>
      </c>
      <c r="AD68" s="8">
        <v>80</v>
      </c>
      <c r="AE68" s="8">
        <v>80</v>
      </c>
      <c r="AF68" s="8">
        <v>40</v>
      </c>
      <c r="AG68" s="8">
        <v>40</v>
      </c>
      <c r="AH68" s="8" t="s">
        <v>131</v>
      </c>
      <c r="AJ68" s="17"/>
      <c r="AL68" s="18">
        <v>255</v>
      </c>
      <c r="AM68" s="8" t="s">
        <v>132</v>
      </c>
      <c r="AN68" s="19">
        <v>1500</v>
      </c>
      <c r="AO68" s="8" t="s">
        <v>133</v>
      </c>
      <c r="AP68" s="8">
        <v>8</v>
      </c>
      <c r="AQ68" s="8" t="s">
        <v>134</v>
      </c>
      <c r="AR68" s="8">
        <v>12</v>
      </c>
      <c r="AS68" s="8" t="s">
        <v>135</v>
      </c>
      <c r="AT68" s="8">
        <v>8</v>
      </c>
      <c r="AU68" s="8" t="s">
        <v>136</v>
      </c>
      <c r="AV68" s="8">
        <v>11</v>
      </c>
      <c r="AW68" s="8" t="s">
        <v>137</v>
      </c>
      <c r="AX68" s="8">
        <v>21</v>
      </c>
      <c r="AY68" s="8" t="s">
        <v>138</v>
      </c>
      <c r="AZ68" s="8">
        <v>29</v>
      </c>
      <c r="BA68" s="8" t="s">
        <v>139</v>
      </c>
      <c r="BB68" s="8">
        <v>21</v>
      </c>
      <c r="BC68" s="8" t="s">
        <v>140</v>
      </c>
      <c r="BD68" s="8">
        <v>29</v>
      </c>
      <c r="BE68" s="8" t="s">
        <v>139</v>
      </c>
      <c r="BF68" s="8">
        <v>0</v>
      </c>
      <c r="BG68" s="8" t="s">
        <v>140</v>
      </c>
      <c r="BH68" s="8">
        <v>0</v>
      </c>
      <c r="BI68" s="8" t="s">
        <v>141</v>
      </c>
      <c r="BJ68" s="8">
        <v>100</v>
      </c>
      <c r="BK68" s="8" t="s">
        <v>142</v>
      </c>
      <c r="BL68" s="8">
        <v>120</v>
      </c>
      <c r="BM68" s="8" t="s">
        <v>143</v>
      </c>
      <c r="BN68" s="8">
        <v>600</v>
      </c>
      <c r="BQ68" s="8">
        <v>1</v>
      </c>
      <c r="BR68" s="8">
        <v>2500</v>
      </c>
      <c r="BS68" s="8">
        <v>2</v>
      </c>
      <c r="BT68" s="8">
        <v>2500</v>
      </c>
      <c r="BU68" s="8" t="s">
        <v>144</v>
      </c>
      <c r="BV68">
        <v>6</v>
      </c>
      <c r="BW68">
        <v>10</v>
      </c>
    </row>
    <row r="69" ht="16.5" customHeight="1" spans="2:75">
      <c r="B69" s="8">
        <f>60000000+INDEX(编号表!$B:$B,MATCH(J69,编号表!$A:$A,0))*10000+INDEX(编号表!$B:$B,MATCH(K69,编号表!$C:$C,0))*1000+L69</f>
        <v>60121065</v>
      </c>
      <c r="C69" s="8" t="s">
        <v>326</v>
      </c>
      <c r="D69" s="5" t="s">
        <v>327</v>
      </c>
      <c r="E69" s="5" t="s">
        <v>328</v>
      </c>
      <c r="F69" s="8">
        <v>60</v>
      </c>
      <c r="G69" s="8" t="str">
        <f>INDEX(编号表!$E:$E,MATCH(K69,编号表!$C:$C,0))</f>
        <v>白色</v>
      </c>
      <c r="H69" s="8">
        <v>5</v>
      </c>
      <c r="I69" s="8" t="s">
        <v>319</v>
      </c>
      <c r="J69" s="8" t="s">
        <v>319</v>
      </c>
      <c r="K69" s="8" t="s">
        <v>129</v>
      </c>
      <c r="L69" s="8">
        <v>65</v>
      </c>
      <c r="M69" s="8">
        <v>65</v>
      </c>
      <c r="N69" s="8"/>
      <c r="O69" s="8"/>
      <c r="P69" s="8">
        <v>10</v>
      </c>
      <c r="Q69" s="8">
        <v>150000</v>
      </c>
      <c r="R69" s="8"/>
      <c r="S69" s="8"/>
      <c r="T69" s="8">
        <v>1</v>
      </c>
      <c r="U69" s="16">
        <v>40010001</v>
      </c>
      <c r="V69" s="8"/>
      <c r="X69" s="8">
        <v>11000242</v>
      </c>
      <c r="Z69" s="8"/>
      <c r="AA69" s="8" t="s">
        <v>130</v>
      </c>
      <c r="AB69" s="21">
        <v>20051</v>
      </c>
      <c r="AC69" s="8">
        <v>0.31</v>
      </c>
      <c r="AD69" s="8">
        <v>80</v>
      </c>
      <c r="AE69" s="8">
        <v>80</v>
      </c>
      <c r="AF69" s="8">
        <v>40</v>
      </c>
      <c r="AG69" s="8">
        <v>40</v>
      </c>
      <c r="AH69" s="8" t="s">
        <v>160</v>
      </c>
      <c r="AI69">
        <v>30062</v>
      </c>
      <c r="AJ69" s="17"/>
      <c r="AL69" s="18">
        <v>255</v>
      </c>
      <c r="AM69" s="8" t="s">
        <v>132</v>
      </c>
      <c r="AN69" s="19">
        <v>1500</v>
      </c>
      <c r="AO69" s="8" t="s">
        <v>133</v>
      </c>
      <c r="AP69" s="8">
        <v>8</v>
      </c>
      <c r="AQ69" s="8" t="s">
        <v>134</v>
      </c>
      <c r="AR69" s="8">
        <v>12</v>
      </c>
      <c r="AS69" s="8" t="s">
        <v>135</v>
      </c>
      <c r="AT69" s="8">
        <v>8</v>
      </c>
      <c r="AU69" s="8" t="s">
        <v>136</v>
      </c>
      <c r="AV69" s="8">
        <v>11</v>
      </c>
      <c r="AW69" s="8" t="s">
        <v>137</v>
      </c>
      <c r="AX69" s="8">
        <v>21</v>
      </c>
      <c r="AY69" s="8" t="s">
        <v>138</v>
      </c>
      <c r="AZ69" s="8">
        <v>29</v>
      </c>
      <c r="BA69" s="8" t="s">
        <v>139</v>
      </c>
      <c r="BB69" s="8">
        <v>21</v>
      </c>
      <c r="BC69" s="8" t="s">
        <v>140</v>
      </c>
      <c r="BD69" s="8">
        <v>29</v>
      </c>
      <c r="BE69" s="8" t="s">
        <v>139</v>
      </c>
      <c r="BF69" s="8">
        <v>0</v>
      </c>
      <c r="BG69" s="8" t="s">
        <v>140</v>
      </c>
      <c r="BH69" s="8">
        <v>0</v>
      </c>
      <c r="BI69" s="8" t="s">
        <v>141</v>
      </c>
      <c r="BJ69" s="8">
        <v>100</v>
      </c>
      <c r="BK69" s="8" t="s">
        <v>142</v>
      </c>
      <c r="BL69" s="8">
        <v>600</v>
      </c>
      <c r="BM69" s="8" t="s">
        <v>143</v>
      </c>
      <c r="BN69" s="8">
        <v>800</v>
      </c>
      <c r="BQ69" s="8">
        <v>1</v>
      </c>
      <c r="BR69" s="8">
        <v>2500</v>
      </c>
      <c r="BS69" s="8">
        <v>2</v>
      </c>
      <c r="BT69" s="8">
        <v>2500</v>
      </c>
      <c r="BU69" s="8" t="s">
        <v>144</v>
      </c>
      <c r="BV69">
        <v>6</v>
      </c>
      <c r="BW69">
        <v>10</v>
      </c>
    </row>
    <row r="70" ht="16.5" customHeight="1" spans="2:75">
      <c r="B70" s="8">
        <f>60000000+INDEX(编号表!$B:$B,MATCH(J70,编号表!$A:$A,0))*10000+INDEX(编号表!$B:$B,MATCH(K70,编号表!$C:$C,0))*1000+L70</f>
        <v>60122066</v>
      </c>
      <c r="C70" s="8" t="s">
        <v>329</v>
      </c>
      <c r="D70" s="5" t="s">
        <v>327</v>
      </c>
      <c r="E70" s="5" t="s">
        <v>328</v>
      </c>
      <c r="F70" s="8">
        <v>60</v>
      </c>
      <c r="G70" s="8" t="str">
        <f>INDEX(编号表!$E:$E,MATCH(K70,编号表!$C:$C,0))</f>
        <v>绿色</v>
      </c>
      <c r="H70" s="8">
        <v>5</v>
      </c>
      <c r="I70" s="8" t="s">
        <v>319</v>
      </c>
      <c r="J70" s="8" t="s">
        <v>319</v>
      </c>
      <c r="K70" s="8" t="s">
        <v>196</v>
      </c>
      <c r="L70" s="8">
        <v>66</v>
      </c>
      <c r="M70" s="8">
        <v>66</v>
      </c>
      <c r="N70" s="8"/>
      <c r="O70" s="8"/>
      <c r="P70" s="8">
        <v>10</v>
      </c>
      <c r="Q70" s="8">
        <v>150000</v>
      </c>
      <c r="R70" s="8"/>
      <c r="S70" s="8"/>
      <c r="T70" s="8">
        <v>1</v>
      </c>
      <c r="U70" s="16">
        <v>40010001</v>
      </c>
      <c r="V70" s="8"/>
      <c r="X70" s="8">
        <v>11000242</v>
      </c>
      <c r="Z70" s="8"/>
      <c r="AA70" s="8" t="s">
        <v>130</v>
      </c>
      <c r="AB70" s="21">
        <v>20051</v>
      </c>
      <c r="AC70" s="8">
        <v>0.46</v>
      </c>
      <c r="AD70" s="8">
        <v>80</v>
      </c>
      <c r="AE70" s="8">
        <v>80</v>
      </c>
      <c r="AF70" s="8">
        <v>40</v>
      </c>
      <c r="AG70" s="8">
        <v>40</v>
      </c>
      <c r="AH70" s="8" t="s">
        <v>160</v>
      </c>
      <c r="AI70">
        <v>30062</v>
      </c>
      <c r="AJ70" s="17">
        <v>30010</v>
      </c>
      <c r="AL70" s="18">
        <v>255</v>
      </c>
      <c r="AM70" s="8" t="s">
        <v>132</v>
      </c>
      <c r="AN70" s="19">
        <v>1500</v>
      </c>
      <c r="AO70" s="8" t="s">
        <v>133</v>
      </c>
      <c r="AP70" s="8">
        <v>8</v>
      </c>
      <c r="AQ70" s="8" t="s">
        <v>134</v>
      </c>
      <c r="AR70" s="8">
        <v>12</v>
      </c>
      <c r="AS70" s="8" t="s">
        <v>135</v>
      </c>
      <c r="AT70" s="8">
        <v>8</v>
      </c>
      <c r="AU70" s="8" t="s">
        <v>136</v>
      </c>
      <c r="AV70" s="8">
        <v>11</v>
      </c>
      <c r="AW70" s="8" t="s">
        <v>137</v>
      </c>
      <c r="AX70" s="8">
        <v>21</v>
      </c>
      <c r="AY70" s="8" t="s">
        <v>138</v>
      </c>
      <c r="AZ70" s="8">
        <v>29</v>
      </c>
      <c r="BA70" s="8" t="s">
        <v>139</v>
      </c>
      <c r="BB70" s="8">
        <v>21</v>
      </c>
      <c r="BC70" s="8" t="s">
        <v>140</v>
      </c>
      <c r="BD70" s="8">
        <v>29</v>
      </c>
      <c r="BE70" s="8" t="s">
        <v>139</v>
      </c>
      <c r="BF70" s="8">
        <v>0</v>
      </c>
      <c r="BG70" s="8" t="s">
        <v>140</v>
      </c>
      <c r="BH70" s="8">
        <v>0</v>
      </c>
      <c r="BI70" s="8" t="s">
        <v>141</v>
      </c>
      <c r="BJ70" s="8">
        <v>100</v>
      </c>
      <c r="BK70" s="8" t="s">
        <v>142</v>
      </c>
      <c r="BL70" s="8">
        <v>600</v>
      </c>
      <c r="BM70" s="8" t="s">
        <v>143</v>
      </c>
      <c r="BN70" s="8">
        <v>800</v>
      </c>
      <c r="BQ70" s="8">
        <v>1</v>
      </c>
      <c r="BR70" s="8">
        <v>2500</v>
      </c>
      <c r="BS70" s="8">
        <v>2</v>
      </c>
      <c r="BT70" s="8">
        <v>2500</v>
      </c>
      <c r="BU70" s="8" t="s">
        <v>144</v>
      </c>
      <c r="BV70">
        <v>6</v>
      </c>
      <c r="BW70">
        <v>10</v>
      </c>
    </row>
    <row r="71" ht="16.5" customHeight="1" spans="2:75">
      <c r="B71" s="8">
        <f>60000000+INDEX(编号表!$B:$B,MATCH(J71,编号表!$A:$A,0))*10000+INDEX(编号表!$B:$B,MATCH(K71,编号表!$C:$C,0))*1000+L71</f>
        <v>60131067</v>
      </c>
      <c r="C71" s="8" t="s">
        <v>330</v>
      </c>
      <c r="D71" s="5" t="s">
        <v>331</v>
      </c>
      <c r="E71" s="5" t="s">
        <v>332</v>
      </c>
      <c r="F71" s="8">
        <v>60</v>
      </c>
      <c r="G71" s="8" t="str">
        <f>INDEX(编号表!$E:$E,MATCH(K71,编号表!$C:$C,0))</f>
        <v>白色</v>
      </c>
      <c r="H71" s="8">
        <v>5</v>
      </c>
      <c r="I71" s="8" t="s">
        <v>333</v>
      </c>
      <c r="J71" s="8" t="s">
        <v>333</v>
      </c>
      <c r="K71" s="8" t="s">
        <v>129</v>
      </c>
      <c r="L71" s="8">
        <v>67</v>
      </c>
      <c r="M71" s="8">
        <v>67</v>
      </c>
      <c r="N71" s="8"/>
      <c r="O71" s="8"/>
      <c r="P71" s="8">
        <v>10</v>
      </c>
      <c r="Q71" s="8">
        <v>150000</v>
      </c>
      <c r="R71" s="8"/>
      <c r="S71" s="8"/>
      <c r="T71" s="8">
        <v>1</v>
      </c>
      <c r="U71" s="16">
        <v>40010001</v>
      </c>
      <c r="V71" s="8"/>
      <c r="X71" s="8">
        <v>11000001</v>
      </c>
      <c r="Z71" s="8"/>
      <c r="AA71" s="8" t="s">
        <v>130</v>
      </c>
      <c r="AB71" s="21">
        <v>20165</v>
      </c>
      <c r="AC71" s="8">
        <v>0.55</v>
      </c>
      <c r="AD71" s="8">
        <v>80</v>
      </c>
      <c r="AE71" s="8">
        <v>80</v>
      </c>
      <c r="AF71" s="8">
        <v>40</v>
      </c>
      <c r="AG71" s="8">
        <v>40</v>
      </c>
      <c r="AH71" s="8" t="s">
        <v>160</v>
      </c>
      <c r="AJ71" s="17"/>
      <c r="AL71" s="18">
        <v>255</v>
      </c>
      <c r="AM71" s="8" t="s">
        <v>132</v>
      </c>
      <c r="AN71" s="19">
        <v>1500</v>
      </c>
      <c r="AO71" s="8" t="s">
        <v>133</v>
      </c>
      <c r="AP71" s="8">
        <v>8</v>
      </c>
      <c r="AQ71" s="8" t="s">
        <v>134</v>
      </c>
      <c r="AR71" s="8">
        <v>12</v>
      </c>
      <c r="AS71" s="8" t="s">
        <v>135</v>
      </c>
      <c r="AT71" s="8">
        <v>8</v>
      </c>
      <c r="AU71" s="8" t="s">
        <v>136</v>
      </c>
      <c r="AV71" s="8">
        <v>11</v>
      </c>
      <c r="AW71" s="8" t="s">
        <v>137</v>
      </c>
      <c r="AX71" s="8">
        <v>21</v>
      </c>
      <c r="AY71" s="8" t="s">
        <v>138</v>
      </c>
      <c r="AZ71" s="8">
        <v>29</v>
      </c>
      <c r="BA71" s="8" t="s">
        <v>139</v>
      </c>
      <c r="BB71" s="8">
        <v>21</v>
      </c>
      <c r="BC71" s="8" t="s">
        <v>140</v>
      </c>
      <c r="BD71" s="8">
        <v>29</v>
      </c>
      <c r="BE71" s="8" t="s">
        <v>139</v>
      </c>
      <c r="BF71" s="8">
        <v>0</v>
      </c>
      <c r="BG71" s="8" t="s">
        <v>140</v>
      </c>
      <c r="BH71" s="8">
        <v>0</v>
      </c>
      <c r="BI71" s="8" t="s">
        <v>141</v>
      </c>
      <c r="BJ71" s="8">
        <v>100</v>
      </c>
      <c r="BK71" s="8" t="s">
        <v>142</v>
      </c>
      <c r="BL71" s="8">
        <v>120</v>
      </c>
      <c r="BM71" s="8" t="s">
        <v>143</v>
      </c>
      <c r="BN71" s="8">
        <v>600</v>
      </c>
      <c r="BQ71" s="8">
        <v>1</v>
      </c>
      <c r="BR71" s="8">
        <v>2500</v>
      </c>
      <c r="BS71" s="8">
        <v>2</v>
      </c>
      <c r="BT71" s="8">
        <v>2500</v>
      </c>
      <c r="BU71" s="8" t="s">
        <v>144</v>
      </c>
      <c r="BV71">
        <v>6</v>
      </c>
      <c r="BW71">
        <v>10</v>
      </c>
    </row>
    <row r="72" ht="16.5" customHeight="1" spans="2:75">
      <c r="B72" s="8">
        <f>60000000+INDEX(编号表!$B:$B,MATCH(J72,编号表!$A:$A,0))*10000+INDEX(编号表!$B:$B,MATCH(K72,编号表!$C:$C,0))*1000+L72</f>
        <v>60131068</v>
      </c>
      <c r="C72" s="8" t="s">
        <v>334</v>
      </c>
      <c r="D72" s="5" t="s">
        <v>335</v>
      </c>
      <c r="E72" s="5" t="s">
        <v>336</v>
      </c>
      <c r="F72" s="8">
        <v>60</v>
      </c>
      <c r="G72" s="8" t="str">
        <f>INDEX(编号表!$E:$E,MATCH(K72,编号表!$C:$C,0))</f>
        <v>白色</v>
      </c>
      <c r="H72" s="8">
        <v>5</v>
      </c>
      <c r="I72" s="8" t="s">
        <v>333</v>
      </c>
      <c r="J72" s="8" t="s">
        <v>333</v>
      </c>
      <c r="K72" s="8" t="s">
        <v>129</v>
      </c>
      <c r="L72" s="8">
        <v>68</v>
      </c>
      <c r="M72" s="8">
        <v>68</v>
      </c>
      <c r="N72" s="8"/>
      <c r="O72" s="8"/>
      <c r="P72" s="8">
        <v>10</v>
      </c>
      <c r="Q72" s="8">
        <v>150000</v>
      </c>
      <c r="R72" s="8"/>
      <c r="S72" s="8"/>
      <c r="T72" s="8">
        <v>1</v>
      </c>
      <c r="U72" s="16">
        <v>40010001</v>
      </c>
      <c r="V72" s="8"/>
      <c r="X72" s="8">
        <v>11000001</v>
      </c>
      <c r="Z72" s="8"/>
      <c r="AA72" s="8" t="s">
        <v>130</v>
      </c>
      <c r="AB72" s="21">
        <v>20053</v>
      </c>
      <c r="AC72" s="8">
        <v>0.71</v>
      </c>
      <c r="AD72" s="8">
        <v>80</v>
      </c>
      <c r="AE72" s="8">
        <v>80</v>
      </c>
      <c r="AF72" s="8">
        <v>40</v>
      </c>
      <c r="AG72" s="8">
        <v>40</v>
      </c>
      <c r="AH72" s="8" t="s">
        <v>131</v>
      </c>
      <c r="AJ72" s="17"/>
      <c r="AL72" s="18">
        <v>255</v>
      </c>
      <c r="AM72" s="8" t="s">
        <v>132</v>
      </c>
      <c r="AN72" s="19">
        <v>1500</v>
      </c>
      <c r="AO72" s="8" t="s">
        <v>133</v>
      </c>
      <c r="AP72" s="8">
        <v>8</v>
      </c>
      <c r="AQ72" s="8" t="s">
        <v>134</v>
      </c>
      <c r="AR72" s="8">
        <v>12</v>
      </c>
      <c r="AS72" s="8" t="s">
        <v>135</v>
      </c>
      <c r="AT72" s="8">
        <v>8</v>
      </c>
      <c r="AU72" s="8" t="s">
        <v>136</v>
      </c>
      <c r="AV72" s="8">
        <v>11</v>
      </c>
      <c r="AW72" s="8" t="s">
        <v>137</v>
      </c>
      <c r="AX72" s="8">
        <v>21</v>
      </c>
      <c r="AY72" s="8" t="s">
        <v>138</v>
      </c>
      <c r="AZ72" s="8">
        <v>29</v>
      </c>
      <c r="BA72" s="8" t="s">
        <v>139</v>
      </c>
      <c r="BB72" s="8">
        <v>21</v>
      </c>
      <c r="BC72" s="8" t="s">
        <v>140</v>
      </c>
      <c r="BD72" s="8">
        <v>29</v>
      </c>
      <c r="BE72" s="8" t="s">
        <v>139</v>
      </c>
      <c r="BF72" s="8">
        <v>0</v>
      </c>
      <c r="BG72" s="8" t="s">
        <v>140</v>
      </c>
      <c r="BH72" s="8">
        <v>0</v>
      </c>
      <c r="BI72" s="8" t="s">
        <v>141</v>
      </c>
      <c r="BJ72" s="8">
        <v>100</v>
      </c>
      <c r="BK72" s="8" t="s">
        <v>142</v>
      </c>
      <c r="BL72" s="8">
        <v>120</v>
      </c>
      <c r="BM72" s="8" t="s">
        <v>143</v>
      </c>
      <c r="BN72" s="8">
        <v>600</v>
      </c>
      <c r="BQ72" s="8">
        <v>1</v>
      </c>
      <c r="BR72" s="8">
        <v>2500</v>
      </c>
      <c r="BS72" s="8">
        <v>2</v>
      </c>
      <c r="BT72" s="8">
        <v>2500</v>
      </c>
      <c r="BU72" s="8" t="s">
        <v>144</v>
      </c>
      <c r="BV72">
        <v>6</v>
      </c>
      <c r="BW72">
        <v>10</v>
      </c>
    </row>
    <row r="73" ht="16.5" customHeight="1" spans="2:75">
      <c r="B73" s="8">
        <f>60000000+INDEX(编号表!$B:$B,MATCH(J73,编号表!$A:$A,0))*10000+INDEX(编号表!$B:$B,MATCH(K73,编号表!$C:$C,0))*1000+L73</f>
        <v>60131069</v>
      </c>
      <c r="C73" s="8" t="s">
        <v>337</v>
      </c>
      <c r="D73" s="5" t="s">
        <v>338</v>
      </c>
      <c r="E73" s="5" t="s">
        <v>339</v>
      </c>
      <c r="F73" s="8">
        <v>60</v>
      </c>
      <c r="G73" s="8" t="str">
        <f>INDEX(编号表!$E:$E,MATCH(K73,编号表!$C:$C,0))</f>
        <v>白色</v>
      </c>
      <c r="H73" s="8">
        <v>5</v>
      </c>
      <c r="I73" s="8" t="s">
        <v>333</v>
      </c>
      <c r="J73" s="8" t="s">
        <v>333</v>
      </c>
      <c r="K73" s="8" t="s">
        <v>129</v>
      </c>
      <c r="L73" s="8">
        <v>69</v>
      </c>
      <c r="M73" s="8">
        <v>69</v>
      </c>
      <c r="N73" s="8"/>
      <c r="O73" s="8"/>
      <c r="P73" s="8">
        <v>10</v>
      </c>
      <c r="Q73" s="8">
        <v>150000</v>
      </c>
      <c r="R73" s="8"/>
      <c r="S73" s="8"/>
      <c r="T73" s="8">
        <v>1</v>
      </c>
      <c r="U73" s="16">
        <v>40010001</v>
      </c>
      <c r="V73" s="8"/>
      <c r="X73" s="8">
        <v>11000001</v>
      </c>
      <c r="Z73" s="8"/>
      <c r="AA73" s="8" t="s">
        <v>130</v>
      </c>
      <c r="AB73" s="21">
        <v>20054</v>
      </c>
      <c r="AC73" s="8">
        <v>0.55</v>
      </c>
      <c r="AD73" s="8">
        <v>80</v>
      </c>
      <c r="AE73" s="8">
        <v>80</v>
      </c>
      <c r="AF73" s="8">
        <v>40</v>
      </c>
      <c r="AG73" s="8">
        <v>40</v>
      </c>
      <c r="AH73" s="8" t="s">
        <v>131</v>
      </c>
      <c r="AJ73" s="17"/>
      <c r="AL73" s="18">
        <v>255</v>
      </c>
      <c r="AM73" s="8" t="s">
        <v>132</v>
      </c>
      <c r="AN73" s="19">
        <v>1500</v>
      </c>
      <c r="AO73" s="8" t="s">
        <v>133</v>
      </c>
      <c r="AP73" s="8">
        <v>8</v>
      </c>
      <c r="AQ73" s="8" t="s">
        <v>134</v>
      </c>
      <c r="AR73" s="8">
        <v>12</v>
      </c>
      <c r="AS73" s="8" t="s">
        <v>135</v>
      </c>
      <c r="AT73" s="8">
        <v>8</v>
      </c>
      <c r="AU73" s="8" t="s">
        <v>136</v>
      </c>
      <c r="AV73" s="8">
        <v>11</v>
      </c>
      <c r="AW73" s="8" t="s">
        <v>137</v>
      </c>
      <c r="AX73" s="8">
        <v>21</v>
      </c>
      <c r="AY73" s="8" t="s">
        <v>138</v>
      </c>
      <c r="AZ73" s="8">
        <v>29</v>
      </c>
      <c r="BA73" s="8" t="s">
        <v>139</v>
      </c>
      <c r="BB73" s="8">
        <v>21</v>
      </c>
      <c r="BC73" s="8" t="s">
        <v>140</v>
      </c>
      <c r="BD73" s="8">
        <v>29</v>
      </c>
      <c r="BE73" s="8" t="s">
        <v>139</v>
      </c>
      <c r="BF73" s="8">
        <v>0</v>
      </c>
      <c r="BG73" s="8" t="s">
        <v>140</v>
      </c>
      <c r="BH73" s="8">
        <v>0</v>
      </c>
      <c r="BI73" s="8" t="s">
        <v>141</v>
      </c>
      <c r="BJ73" s="8">
        <v>100</v>
      </c>
      <c r="BK73" s="8" t="s">
        <v>142</v>
      </c>
      <c r="BL73" s="8">
        <v>120</v>
      </c>
      <c r="BM73" s="8" t="s">
        <v>143</v>
      </c>
      <c r="BN73" s="8">
        <v>600</v>
      </c>
      <c r="BQ73" s="8">
        <v>1</v>
      </c>
      <c r="BR73" s="8">
        <v>2500</v>
      </c>
      <c r="BS73" s="8">
        <v>2</v>
      </c>
      <c r="BT73" s="8">
        <v>2500</v>
      </c>
      <c r="BU73" s="8" t="s">
        <v>144</v>
      </c>
      <c r="BV73">
        <v>6</v>
      </c>
      <c r="BW73">
        <v>10</v>
      </c>
    </row>
    <row r="74" ht="16.5" customHeight="1" spans="2:75">
      <c r="B74" s="8">
        <f>60000000+INDEX(编号表!$B:$B,MATCH(J74,编号表!$A:$A,0))*10000+INDEX(编号表!$B:$B,MATCH(K74,编号表!$C:$C,0))*1000+L74</f>
        <v>60132070</v>
      </c>
      <c r="C74" s="8" t="s">
        <v>340</v>
      </c>
      <c r="D74" s="5" t="s">
        <v>338</v>
      </c>
      <c r="E74" s="5" t="s">
        <v>339</v>
      </c>
      <c r="F74" s="8">
        <v>60</v>
      </c>
      <c r="G74" s="8" t="str">
        <f>INDEX(编号表!$E:$E,MATCH(K74,编号表!$C:$C,0))</f>
        <v>绿色</v>
      </c>
      <c r="H74" s="8">
        <v>5</v>
      </c>
      <c r="I74" s="8" t="s">
        <v>333</v>
      </c>
      <c r="J74" s="8" t="s">
        <v>333</v>
      </c>
      <c r="K74" s="8" t="s">
        <v>196</v>
      </c>
      <c r="L74" s="8">
        <v>70</v>
      </c>
      <c r="M74" s="8">
        <v>70</v>
      </c>
      <c r="N74" s="8"/>
      <c r="O74" s="8"/>
      <c r="P74" s="8">
        <v>10</v>
      </c>
      <c r="Q74" s="8">
        <v>150000</v>
      </c>
      <c r="R74" s="8"/>
      <c r="S74" s="8"/>
      <c r="T74" s="8">
        <v>1</v>
      </c>
      <c r="U74" s="16">
        <v>40010001</v>
      </c>
      <c r="V74" s="8"/>
      <c r="X74" s="8">
        <v>11000001</v>
      </c>
      <c r="Z74" s="8"/>
      <c r="AA74" s="8" t="s">
        <v>130</v>
      </c>
      <c r="AB74" s="21">
        <v>20054</v>
      </c>
      <c r="AC74" s="8">
        <v>0.8</v>
      </c>
      <c r="AD74" s="8">
        <v>80</v>
      </c>
      <c r="AE74" s="8">
        <v>80</v>
      </c>
      <c r="AF74" s="8">
        <v>40</v>
      </c>
      <c r="AG74" s="8">
        <v>40</v>
      </c>
      <c r="AH74" s="8" t="s">
        <v>131</v>
      </c>
      <c r="AJ74" s="17">
        <v>30010</v>
      </c>
      <c r="AL74" s="18">
        <v>255</v>
      </c>
      <c r="AM74" s="8" t="s">
        <v>132</v>
      </c>
      <c r="AN74" s="19">
        <v>1500</v>
      </c>
      <c r="AO74" s="8" t="s">
        <v>133</v>
      </c>
      <c r="AP74" s="8">
        <v>8</v>
      </c>
      <c r="AQ74" s="8" t="s">
        <v>134</v>
      </c>
      <c r="AR74" s="8">
        <v>12</v>
      </c>
      <c r="AS74" s="8" t="s">
        <v>135</v>
      </c>
      <c r="AT74" s="8">
        <v>8</v>
      </c>
      <c r="AU74" s="8" t="s">
        <v>136</v>
      </c>
      <c r="AV74" s="8">
        <v>11</v>
      </c>
      <c r="AW74" s="8" t="s">
        <v>137</v>
      </c>
      <c r="AX74" s="8">
        <v>21</v>
      </c>
      <c r="AY74" s="8" t="s">
        <v>138</v>
      </c>
      <c r="AZ74" s="8">
        <v>29</v>
      </c>
      <c r="BA74" s="8" t="s">
        <v>139</v>
      </c>
      <c r="BB74" s="8">
        <v>21</v>
      </c>
      <c r="BC74" s="8" t="s">
        <v>140</v>
      </c>
      <c r="BD74" s="8">
        <v>29</v>
      </c>
      <c r="BE74" s="8" t="s">
        <v>139</v>
      </c>
      <c r="BF74" s="8">
        <v>0</v>
      </c>
      <c r="BG74" s="8" t="s">
        <v>140</v>
      </c>
      <c r="BH74" s="8">
        <v>0</v>
      </c>
      <c r="BI74" s="8" t="s">
        <v>141</v>
      </c>
      <c r="BJ74" s="8">
        <v>100</v>
      </c>
      <c r="BK74" s="8" t="s">
        <v>142</v>
      </c>
      <c r="BL74" s="8">
        <v>120</v>
      </c>
      <c r="BM74" s="8" t="s">
        <v>143</v>
      </c>
      <c r="BN74" s="8">
        <v>600</v>
      </c>
      <c r="BQ74" s="8">
        <v>1</v>
      </c>
      <c r="BR74" s="8">
        <v>2500</v>
      </c>
      <c r="BS74" s="8">
        <v>2</v>
      </c>
      <c r="BT74" s="8">
        <v>2500</v>
      </c>
      <c r="BU74" s="8" t="s">
        <v>144</v>
      </c>
      <c r="BV74">
        <v>6</v>
      </c>
      <c r="BW74">
        <v>10</v>
      </c>
    </row>
    <row r="75" ht="16.5" customHeight="1" spans="2:75">
      <c r="B75" s="8">
        <f>60000000+INDEX(编号表!$B:$B,MATCH(J75,编号表!$A:$A,0))*10000+INDEX(编号表!$B:$B,MATCH(K75,编号表!$C:$C,0))*1000+L75</f>
        <v>60134071</v>
      </c>
      <c r="C75" s="8" t="s">
        <v>341</v>
      </c>
      <c r="D75" s="5" t="s">
        <v>342</v>
      </c>
      <c r="E75" s="5" t="s">
        <v>343</v>
      </c>
      <c r="F75" s="8">
        <v>60</v>
      </c>
      <c r="G75" s="8" t="str">
        <f>INDEX(编号表!$E:$E,MATCH(K75,编号表!$C:$C,0))</f>
        <v>橙色</v>
      </c>
      <c r="H75" s="8">
        <v>5</v>
      </c>
      <c r="I75" s="8" t="s">
        <v>333</v>
      </c>
      <c r="J75" s="8" t="s">
        <v>333</v>
      </c>
      <c r="K75" s="8" t="s">
        <v>246</v>
      </c>
      <c r="L75" s="8">
        <v>71</v>
      </c>
      <c r="M75" s="8">
        <v>71</v>
      </c>
      <c r="N75" s="8"/>
      <c r="O75" s="8"/>
      <c r="P75" s="8">
        <v>10</v>
      </c>
      <c r="Q75" s="8">
        <v>150000</v>
      </c>
      <c r="R75" s="8"/>
      <c r="S75" s="8"/>
      <c r="T75" s="8">
        <v>1</v>
      </c>
      <c r="U75" s="16">
        <v>40010001</v>
      </c>
      <c r="V75" s="8"/>
      <c r="X75" s="8">
        <v>11000001</v>
      </c>
      <c r="Z75" s="8"/>
      <c r="AA75" s="8" t="s">
        <v>130</v>
      </c>
      <c r="AB75" s="21">
        <v>20055</v>
      </c>
      <c r="AC75" s="8">
        <v>1.66</v>
      </c>
      <c r="AD75" s="8">
        <v>80</v>
      </c>
      <c r="AE75" s="8">
        <v>80</v>
      </c>
      <c r="AF75" s="8">
        <v>40</v>
      </c>
      <c r="AG75" s="8">
        <v>40</v>
      </c>
      <c r="AH75" s="8" t="s">
        <v>131</v>
      </c>
      <c r="AJ75" s="17">
        <v>30011</v>
      </c>
      <c r="AL75" s="18">
        <v>255</v>
      </c>
      <c r="AM75" s="8" t="s">
        <v>132</v>
      </c>
      <c r="AN75" s="19">
        <v>1500</v>
      </c>
      <c r="AO75" s="8" t="s">
        <v>133</v>
      </c>
      <c r="AP75" s="8">
        <v>8</v>
      </c>
      <c r="AQ75" s="8" t="s">
        <v>134</v>
      </c>
      <c r="AR75" s="8">
        <v>12</v>
      </c>
      <c r="AS75" s="8" t="s">
        <v>135</v>
      </c>
      <c r="AT75" s="8">
        <v>8</v>
      </c>
      <c r="AU75" s="8" t="s">
        <v>136</v>
      </c>
      <c r="AV75" s="8">
        <v>11</v>
      </c>
      <c r="AW75" s="8" t="s">
        <v>137</v>
      </c>
      <c r="AX75" s="8">
        <v>21</v>
      </c>
      <c r="AY75" s="8" t="s">
        <v>138</v>
      </c>
      <c r="AZ75" s="8">
        <v>29</v>
      </c>
      <c r="BA75" s="8" t="s">
        <v>139</v>
      </c>
      <c r="BB75" s="8">
        <v>21</v>
      </c>
      <c r="BC75" s="8" t="s">
        <v>140</v>
      </c>
      <c r="BD75" s="8">
        <v>29</v>
      </c>
      <c r="BE75" s="8" t="s">
        <v>139</v>
      </c>
      <c r="BF75" s="8">
        <v>0</v>
      </c>
      <c r="BG75" s="8" t="s">
        <v>140</v>
      </c>
      <c r="BH75" s="8">
        <v>0</v>
      </c>
      <c r="BI75" s="8" t="s">
        <v>141</v>
      </c>
      <c r="BJ75" s="8">
        <v>100</v>
      </c>
      <c r="BK75" s="8" t="s">
        <v>142</v>
      </c>
      <c r="BL75" s="8">
        <v>120</v>
      </c>
      <c r="BM75" s="8" t="s">
        <v>143</v>
      </c>
      <c r="BN75" s="8">
        <v>600</v>
      </c>
      <c r="BQ75" s="8">
        <v>1</v>
      </c>
      <c r="BR75" s="8">
        <v>2500</v>
      </c>
      <c r="BS75" s="8">
        <v>2</v>
      </c>
      <c r="BT75" s="8">
        <v>2500</v>
      </c>
      <c r="BU75" s="8" t="s">
        <v>144</v>
      </c>
      <c r="BV75">
        <v>6</v>
      </c>
      <c r="BW75">
        <v>10</v>
      </c>
    </row>
    <row r="76" ht="16.5" customHeight="1" spans="2:75">
      <c r="B76" s="8">
        <f>60000000+INDEX(编号表!$B:$B,MATCH(J76,编号表!$A:$A,0))*10000+INDEX(编号表!$B:$B,MATCH(K76,编号表!$C:$C,0))*1000+L76</f>
        <v>60141072</v>
      </c>
      <c r="C76" s="8" t="s">
        <v>344</v>
      </c>
      <c r="D76" s="5" t="s">
        <v>345</v>
      </c>
      <c r="E76" s="5" t="s">
        <v>346</v>
      </c>
      <c r="F76" s="8">
        <v>60</v>
      </c>
      <c r="G76" s="8" t="str">
        <f>INDEX(编号表!$E:$E,MATCH(K76,编号表!$C:$C,0))</f>
        <v>白色</v>
      </c>
      <c r="H76" s="8">
        <v>5</v>
      </c>
      <c r="I76" s="8" t="s">
        <v>347</v>
      </c>
      <c r="J76" s="8" t="s">
        <v>347</v>
      </c>
      <c r="K76" s="8" t="s">
        <v>129</v>
      </c>
      <c r="L76" s="8">
        <v>72</v>
      </c>
      <c r="M76" s="8">
        <v>72</v>
      </c>
      <c r="N76" s="8"/>
      <c r="O76" s="8"/>
      <c r="P76" s="8">
        <v>10</v>
      </c>
      <c r="Q76" s="8">
        <v>150000</v>
      </c>
      <c r="R76" s="8"/>
      <c r="S76" s="8"/>
      <c r="T76" s="8">
        <v>1</v>
      </c>
      <c r="U76" s="16">
        <v>40010001</v>
      </c>
      <c r="V76" s="8"/>
      <c r="X76" s="8">
        <v>11000001</v>
      </c>
      <c r="Z76" s="8"/>
      <c r="AA76" s="8" t="s">
        <v>130</v>
      </c>
      <c r="AB76" s="21">
        <v>20056</v>
      </c>
      <c r="AC76" s="8">
        <v>0.96</v>
      </c>
      <c r="AD76" s="8">
        <v>80</v>
      </c>
      <c r="AE76" s="8">
        <v>80</v>
      </c>
      <c r="AF76" s="8">
        <v>40</v>
      </c>
      <c r="AG76" s="8">
        <v>40</v>
      </c>
      <c r="AH76" s="8" t="s">
        <v>131</v>
      </c>
      <c r="AJ76" s="17"/>
      <c r="AL76" s="18">
        <v>255</v>
      </c>
      <c r="AM76" s="8" t="s">
        <v>132</v>
      </c>
      <c r="AN76" s="19">
        <v>1500</v>
      </c>
      <c r="AO76" s="8" t="s">
        <v>133</v>
      </c>
      <c r="AP76" s="8">
        <v>8</v>
      </c>
      <c r="AQ76" s="8" t="s">
        <v>134</v>
      </c>
      <c r="AR76" s="8">
        <v>12</v>
      </c>
      <c r="AS76" s="8" t="s">
        <v>135</v>
      </c>
      <c r="AT76" s="8">
        <v>8</v>
      </c>
      <c r="AU76" s="8" t="s">
        <v>136</v>
      </c>
      <c r="AV76" s="8">
        <v>11</v>
      </c>
      <c r="AW76" s="8" t="s">
        <v>137</v>
      </c>
      <c r="AX76" s="8">
        <v>21</v>
      </c>
      <c r="AY76" s="8" t="s">
        <v>138</v>
      </c>
      <c r="AZ76" s="8">
        <v>29</v>
      </c>
      <c r="BA76" s="8" t="s">
        <v>139</v>
      </c>
      <c r="BB76" s="8">
        <v>21</v>
      </c>
      <c r="BC76" s="8" t="s">
        <v>140</v>
      </c>
      <c r="BD76" s="8">
        <v>29</v>
      </c>
      <c r="BE76" s="8" t="s">
        <v>139</v>
      </c>
      <c r="BF76" s="8">
        <v>0</v>
      </c>
      <c r="BG76" s="8" t="s">
        <v>140</v>
      </c>
      <c r="BH76" s="8">
        <v>0</v>
      </c>
      <c r="BI76" s="8" t="s">
        <v>141</v>
      </c>
      <c r="BJ76" s="8">
        <v>100</v>
      </c>
      <c r="BK76" s="8" t="s">
        <v>142</v>
      </c>
      <c r="BL76" s="8">
        <v>120</v>
      </c>
      <c r="BM76" s="8" t="s">
        <v>143</v>
      </c>
      <c r="BN76" s="8">
        <v>600</v>
      </c>
      <c r="BQ76" s="8">
        <v>1</v>
      </c>
      <c r="BR76" s="8">
        <v>2500</v>
      </c>
      <c r="BS76" s="8">
        <v>2</v>
      </c>
      <c r="BT76" s="8">
        <v>2500</v>
      </c>
      <c r="BU76" s="8" t="s">
        <v>144</v>
      </c>
      <c r="BV76">
        <v>6</v>
      </c>
      <c r="BW76">
        <v>10</v>
      </c>
    </row>
    <row r="77" ht="16.5" customHeight="1" spans="2:75">
      <c r="B77" s="8">
        <f>60000000+INDEX(编号表!$B:$B,MATCH(J77,编号表!$A:$A,0))*10000+INDEX(编号表!$B:$B,MATCH(K77,编号表!$C:$C,0))*1000+L77</f>
        <v>60141073</v>
      </c>
      <c r="C77" s="8" t="s">
        <v>348</v>
      </c>
      <c r="D77" s="5" t="s">
        <v>349</v>
      </c>
      <c r="E77" s="5" t="s">
        <v>159</v>
      </c>
      <c r="F77" s="8">
        <v>60</v>
      </c>
      <c r="G77" s="8" t="str">
        <f>INDEX(编号表!$E:$E,MATCH(K77,编号表!$C:$C,0))</f>
        <v>白色</v>
      </c>
      <c r="H77" s="8">
        <v>5</v>
      </c>
      <c r="I77" s="8" t="s">
        <v>347</v>
      </c>
      <c r="J77" s="8" t="s">
        <v>347</v>
      </c>
      <c r="K77" s="8" t="s">
        <v>129</v>
      </c>
      <c r="L77" s="8">
        <v>73</v>
      </c>
      <c r="M77" s="8">
        <v>73</v>
      </c>
      <c r="N77" s="8"/>
      <c r="O77" s="8"/>
      <c r="P77" s="8">
        <v>10</v>
      </c>
      <c r="Q77" s="8">
        <v>150000</v>
      </c>
      <c r="R77" s="8"/>
      <c r="S77" s="8"/>
      <c r="T77" s="8">
        <v>1</v>
      </c>
      <c r="U77" s="16">
        <v>40010001</v>
      </c>
      <c r="V77" s="8"/>
      <c r="X77" s="8">
        <v>11000242</v>
      </c>
      <c r="Z77" s="8"/>
      <c r="AA77" s="8" t="s">
        <v>130</v>
      </c>
      <c r="AB77" s="21">
        <v>20057</v>
      </c>
      <c r="AC77" s="8">
        <v>1.03</v>
      </c>
      <c r="AD77" s="8">
        <v>80</v>
      </c>
      <c r="AE77" s="8">
        <v>80</v>
      </c>
      <c r="AF77" s="8">
        <v>40</v>
      </c>
      <c r="AG77" s="8">
        <v>40</v>
      </c>
      <c r="AH77" s="8" t="s">
        <v>160</v>
      </c>
      <c r="AI77">
        <v>30062</v>
      </c>
      <c r="AJ77" s="17"/>
      <c r="AL77" s="18">
        <v>255</v>
      </c>
      <c r="AM77" s="8" t="s">
        <v>132</v>
      </c>
      <c r="AN77" s="19">
        <v>1500</v>
      </c>
      <c r="AO77" s="8" t="s">
        <v>133</v>
      </c>
      <c r="AP77" s="8">
        <v>8</v>
      </c>
      <c r="AQ77" s="8" t="s">
        <v>134</v>
      </c>
      <c r="AR77" s="8">
        <v>12</v>
      </c>
      <c r="AS77" s="8" t="s">
        <v>135</v>
      </c>
      <c r="AT77" s="8">
        <v>8</v>
      </c>
      <c r="AU77" s="8" t="s">
        <v>136</v>
      </c>
      <c r="AV77" s="8">
        <v>11</v>
      </c>
      <c r="AW77" s="8" t="s">
        <v>137</v>
      </c>
      <c r="AX77" s="8">
        <v>21</v>
      </c>
      <c r="AY77" s="8" t="s">
        <v>138</v>
      </c>
      <c r="AZ77" s="8">
        <v>29</v>
      </c>
      <c r="BA77" s="8" t="s">
        <v>139</v>
      </c>
      <c r="BB77" s="8">
        <v>21</v>
      </c>
      <c r="BC77" s="8" t="s">
        <v>140</v>
      </c>
      <c r="BD77" s="8">
        <v>29</v>
      </c>
      <c r="BE77" s="8" t="s">
        <v>139</v>
      </c>
      <c r="BF77" s="8">
        <v>0</v>
      </c>
      <c r="BG77" s="8" t="s">
        <v>140</v>
      </c>
      <c r="BH77" s="8">
        <v>0</v>
      </c>
      <c r="BI77" s="8" t="s">
        <v>141</v>
      </c>
      <c r="BJ77" s="8">
        <v>100</v>
      </c>
      <c r="BK77" s="8" t="s">
        <v>142</v>
      </c>
      <c r="BL77" s="8">
        <v>600</v>
      </c>
      <c r="BM77" s="8" t="s">
        <v>143</v>
      </c>
      <c r="BN77" s="8">
        <v>800</v>
      </c>
      <c r="BQ77" s="8">
        <v>1</v>
      </c>
      <c r="BR77" s="8">
        <v>2500</v>
      </c>
      <c r="BS77" s="8">
        <v>2</v>
      </c>
      <c r="BT77" s="8">
        <v>2500</v>
      </c>
      <c r="BU77" s="8" t="s">
        <v>144</v>
      </c>
      <c r="BV77">
        <v>6</v>
      </c>
      <c r="BW77">
        <v>10</v>
      </c>
    </row>
    <row r="78" ht="16.5" customHeight="1" spans="2:75">
      <c r="B78" s="8">
        <f>60000000+INDEX(编号表!$B:$B,MATCH(J78,编号表!$A:$A,0))*10000+INDEX(编号表!$B:$B,MATCH(K78,编号表!$C:$C,0))*1000+L78</f>
        <v>60141074</v>
      </c>
      <c r="C78" s="8" t="s">
        <v>350</v>
      </c>
      <c r="D78" s="5" t="s">
        <v>351</v>
      </c>
      <c r="E78" s="5" t="s">
        <v>153</v>
      </c>
      <c r="F78" s="8">
        <v>60</v>
      </c>
      <c r="G78" s="8" t="str">
        <f>INDEX(编号表!$E:$E,MATCH(K78,编号表!$C:$C,0))</f>
        <v>白色</v>
      </c>
      <c r="H78" s="8">
        <v>5</v>
      </c>
      <c r="I78" s="8" t="s">
        <v>347</v>
      </c>
      <c r="J78" s="8" t="s">
        <v>347</v>
      </c>
      <c r="K78" s="8" t="s">
        <v>129</v>
      </c>
      <c r="L78" s="8">
        <v>74</v>
      </c>
      <c r="M78" s="8">
        <v>74</v>
      </c>
      <c r="N78" s="8"/>
      <c r="O78" s="8"/>
      <c r="P78" s="8">
        <v>10</v>
      </c>
      <c r="Q78" s="8">
        <v>150000</v>
      </c>
      <c r="R78" s="8"/>
      <c r="S78" s="8"/>
      <c r="T78" s="8">
        <v>1</v>
      </c>
      <c r="U78" s="16">
        <v>40010001</v>
      </c>
      <c r="V78" s="8"/>
      <c r="X78" s="8">
        <v>11000001</v>
      </c>
      <c r="Z78" s="8"/>
      <c r="AA78" s="8" t="s">
        <v>130</v>
      </c>
      <c r="AB78" s="21">
        <v>20058</v>
      </c>
      <c r="AC78" s="8">
        <v>1.06</v>
      </c>
      <c r="AD78" s="8">
        <v>80</v>
      </c>
      <c r="AE78" s="8">
        <v>80</v>
      </c>
      <c r="AF78" s="8">
        <v>40</v>
      </c>
      <c r="AG78" s="8">
        <v>40</v>
      </c>
      <c r="AH78" s="8" t="s">
        <v>131</v>
      </c>
      <c r="AJ78" s="17"/>
      <c r="AL78" s="18">
        <v>255</v>
      </c>
      <c r="AM78" s="8" t="s">
        <v>132</v>
      </c>
      <c r="AN78" s="19">
        <v>1500</v>
      </c>
      <c r="AO78" s="8" t="s">
        <v>133</v>
      </c>
      <c r="AP78" s="8">
        <v>8</v>
      </c>
      <c r="AQ78" s="8" t="s">
        <v>134</v>
      </c>
      <c r="AR78" s="8">
        <v>12</v>
      </c>
      <c r="AS78" s="8" t="s">
        <v>135</v>
      </c>
      <c r="AT78" s="8">
        <v>8</v>
      </c>
      <c r="AU78" s="8" t="s">
        <v>136</v>
      </c>
      <c r="AV78" s="8">
        <v>11</v>
      </c>
      <c r="AW78" s="8" t="s">
        <v>137</v>
      </c>
      <c r="AX78" s="8">
        <v>21</v>
      </c>
      <c r="AY78" s="8" t="s">
        <v>138</v>
      </c>
      <c r="AZ78" s="8">
        <v>29</v>
      </c>
      <c r="BA78" s="8" t="s">
        <v>139</v>
      </c>
      <c r="BB78" s="8">
        <v>21</v>
      </c>
      <c r="BC78" s="8" t="s">
        <v>140</v>
      </c>
      <c r="BD78" s="8">
        <v>29</v>
      </c>
      <c r="BE78" s="8" t="s">
        <v>139</v>
      </c>
      <c r="BF78" s="8">
        <v>0</v>
      </c>
      <c r="BG78" s="8" t="s">
        <v>140</v>
      </c>
      <c r="BH78" s="8">
        <v>0</v>
      </c>
      <c r="BI78" s="8" t="s">
        <v>141</v>
      </c>
      <c r="BJ78" s="8">
        <v>100</v>
      </c>
      <c r="BK78" s="8" t="s">
        <v>142</v>
      </c>
      <c r="BL78" s="8">
        <v>120</v>
      </c>
      <c r="BM78" s="8" t="s">
        <v>143</v>
      </c>
      <c r="BN78" s="8">
        <v>600</v>
      </c>
      <c r="BQ78" s="8">
        <v>1</v>
      </c>
      <c r="BR78" s="8">
        <v>2500</v>
      </c>
      <c r="BS78" s="8">
        <v>2</v>
      </c>
      <c r="BT78" s="8">
        <v>2500</v>
      </c>
      <c r="BU78" s="8" t="s">
        <v>144</v>
      </c>
      <c r="BV78">
        <v>6</v>
      </c>
      <c r="BW78">
        <v>10</v>
      </c>
    </row>
    <row r="79" ht="16.5" customHeight="1" spans="2:75">
      <c r="B79" s="8">
        <f>60000000+INDEX(编号表!$B:$B,MATCH(J79,编号表!$A:$A,0))*10000+INDEX(编号表!$B:$B,MATCH(K79,编号表!$C:$C,0))*1000+L79</f>
        <v>60151075</v>
      </c>
      <c r="C79" s="8" t="s">
        <v>352</v>
      </c>
      <c r="D79" s="5" t="s">
        <v>353</v>
      </c>
      <c r="E79" s="5" t="s">
        <v>354</v>
      </c>
      <c r="F79" s="8">
        <v>60</v>
      </c>
      <c r="G79" s="8" t="str">
        <f>INDEX(编号表!$E:$E,MATCH(K79,编号表!$C:$C,0))</f>
        <v>白色</v>
      </c>
      <c r="H79" s="8">
        <v>5</v>
      </c>
      <c r="I79" s="8" t="s">
        <v>355</v>
      </c>
      <c r="J79" s="8" t="s">
        <v>355</v>
      </c>
      <c r="K79" s="8" t="s">
        <v>129</v>
      </c>
      <c r="L79" s="8">
        <v>75</v>
      </c>
      <c r="M79" s="8">
        <v>75</v>
      </c>
      <c r="N79" s="8"/>
      <c r="O79" s="8"/>
      <c r="P79" s="8">
        <v>10</v>
      </c>
      <c r="Q79" s="8">
        <v>150000</v>
      </c>
      <c r="R79" s="8"/>
      <c r="S79" s="8"/>
      <c r="T79" s="8">
        <v>1</v>
      </c>
      <c r="U79" s="16">
        <v>40010001</v>
      </c>
      <c r="V79" s="8"/>
      <c r="X79" s="8">
        <v>11000001</v>
      </c>
      <c r="Z79" s="8"/>
      <c r="AA79" s="8" t="s">
        <v>130</v>
      </c>
      <c r="AB79" s="21">
        <v>20059</v>
      </c>
      <c r="AC79" s="8">
        <v>0.98</v>
      </c>
      <c r="AD79" s="8">
        <v>80</v>
      </c>
      <c r="AE79" s="8">
        <v>80</v>
      </c>
      <c r="AF79" s="8">
        <v>40</v>
      </c>
      <c r="AG79" s="8">
        <v>40</v>
      </c>
      <c r="AH79" s="8" t="s">
        <v>131</v>
      </c>
      <c r="AJ79" s="17"/>
      <c r="AL79" s="18">
        <v>255</v>
      </c>
      <c r="AM79" s="8" t="s">
        <v>132</v>
      </c>
      <c r="AN79" s="19">
        <v>1500</v>
      </c>
      <c r="AO79" s="8" t="s">
        <v>133</v>
      </c>
      <c r="AP79" s="8">
        <v>8</v>
      </c>
      <c r="AQ79" s="8" t="s">
        <v>134</v>
      </c>
      <c r="AR79" s="8">
        <v>12</v>
      </c>
      <c r="AS79" s="8" t="s">
        <v>135</v>
      </c>
      <c r="AT79" s="8">
        <v>8</v>
      </c>
      <c r="AU79" s="8" t="s">
        <v>136</v>
      </c>
      <c r="AV79" s="8">
        <v>11</v>
      </c>
      <c r="AW79" s="8" t="s">
        <v>137</v>
      </c>
      <c r="AX79" s="8">
        <v>21</v>
      </c>
      <c r="AY79" s="8" t="s">
        <v>138</v>
      </c>
      <c r="AZ79" s="8">
        <v>29</v>
      </c>
      <c r="BA79" s="8" t="s">
        <v>139</v>
      </c>
      <c r="BB79" s="8">
        <v>21</v>
      </c>
      <c r="BC79" s="8" t="s">
        <v>140</v>
      </c>
      <c r="BD79" s="8">
        <v>29</v>
      </c>
      <c r="BE79" s="8" t="s">
        <v>139</v>
      </c>
      <c r="BF79" s="8">
        <v>0</v>
      </c>
      <c r="BG79" s="8" t="s">
        <v>140</v>
      </c>
      <c r="BH79" s="8">
        <v>0</v>
      </c>
      <c r="BI79" s="8" t="s">
        <v>141</v>
      </c>
      <c r="BJ79" s="8">
        <v>100</v>
      </c>
      <c r="BK79" s="8" t="s">
        <v>142</v>
      </c>
      <c r="BL79" s="8">
        <v>120</v>
      </c>
      <c r="BM79" s="8" t="s">
        <v>143</v>
      </c>
      <c r="BN79" s="8">
        <v>600</v>
      </c>
      <c r="BQ79" s="8">
        <v>1</v>
      </c>
      <c r="BR79" s="8">
        <v>2500</v>
      </c>
      <c r="BS79" s="8">
        <v>2</v>
      </c>
      <c r="BT79" s="8">
        <v>2500</v>
      </c>
      <c r="BU79" s="8" t="s">
        <v>144</v>
      </c>
      <c r="BV79">
        <v>6</v>
      </c>
      <c r="BW79">
        <v>10</v>
      </c>
    </row>
    <row r="80" ht="16.5" customHeight="1" spans="2:75">
      <c r="B80" s="8">
        <f>60000000+INDEX(编号表!$B:$B,MATCH(J80,编号表!$A:$A,0))*10000+INDEX(编号表!$B:$B,MATCH(K80,编号表!$C:$C,0))*1000+L80</f>
        <v>60151076</v>
      </c>
      <c r="C80" s="8" t="s">
        <v>356</v>
      </c>
      <c r="D80" s="5" t="s">
        <v>357</v>
      </c>
      <c r="E80" s="5" t="s">
        <v>358</v>
      </c>
      <c r="F80" s="8">
        <v>60</v>
      </c>
      <c r="G80" s="8" t="str">
        <f>INDEX(编号表!$E:$E,MATCH(K80,编号表!$C:$C,0))</f>
        <v>白色</v>
      </c>
      <c r="H80" s="8">
        <v>5</v>
      </c>
      <c r="I80" s="8" t="s">
        <v>355</v>
      </c>
      <c r="J80" s="8" t="s">
        <v>355</v>
      </c>
      <c r="K80" s="8" t="s">
        <v>129</v>
      </c>
      <c r="L80" s="8">
        <v>76</v>
      </c>
      <c r="M80" s="8">
        <v>76</v>
      </c>
      <c r="N80" s="8"/>
      <c r="O80" s="8"/>
      <c r="P80" s="8">
        <v>10</v>
      </c>
      <c r="Q80" s="8">
        <v>150000</v>
      </c>
      <c r="R80" s="8"/>
      <c r="S80" s="8"/>
      <c r="T80" s="8">
        <v>1</v>
      </c>
      <c r="U80" s="16">
        <v>40010001</v>
      </c>
      <c r="V80" s="8"/>
      <c r="X80" s="8">
        <v>11000001</v>
      </c>
      <c r="Z80" s="8"/>
      <c r="AA80" s="8" t="s">
        <v>130</v>
      </c>
      <c r="AB80" s="21">
        <v>20060</v>
      </c>
      <c r="AC80" s="8">
        <v>0.87</v>
      </c>
      <c r="AD80" s="8">
        <v>80</v>
      </c>
      <c r="AE80" s="8">
        <v>80</v>
      </c>
      <c r="AF80" s="8">
        <v>40</v>
      </c>
      <c r="AG80" s="8">
        <v>40</v>
      </c>
      <c r="AH80" s="8" t="s">
        <v>131</v>
      </c>
      <c r="AJ80" s="17"/>
      <c r="AL80" s="18">
        <v>255</v>
      </c>
      <c r="AM80" s="8" t="s">
        <v>132</v>
      </c>
      <c r="AN80" s="19">
        <v>1500</v>
      </c>
      <c r="AO80" s="8" t="s">
        <v>133</v>
      </c>
      <c r="AP80" s="8">
        <v>8</v>
      </c>
      <c r="AQ80" s="8" t="s">
        <v>134</v>
      </c>
      <c r="AR80" s="8">
        <v>12</v>
      </c>
      <c r="AS80" s="8" t="s">
        <v>135</v>
      </c>
      <c r="AT80" s="8">
        <v>8</v>
      </c>
      <c r="AU80" s="8" t="s">
        <v>136</v>
      </c>
      <c r="AV80" s="8">
        <v>11</v>
      </c>
      <c r="AW80" s="8" t="s">
        <v>137</v>
      </c>
      <c r="AX80" s="8">
        <v>21</v>
      </c>
      <c r="AY80" s="8" t="s">
        <v>138</v>
      </c>
      <c r="AZ80" s="8">
        <v>29</v>
      </c>
      <c r="BA80" s="8" t="s">
        <v>139</v>
      </c>
      <c r="BB80" s="8">
        <v>21</v>
      </c>
      <c r="BC80" s="8" t="s">
        <v>140</v>
      </c>
      <c r="BD80" s="8">
        <v>29</v>
      </c>
      <c r="BE80" s="8" t="s">
        <v>139</v>
      </c>
      <c r="BF80" s="8">
        <v>0</v>
      </c>
      <c r="BG80" s="8" t="s">
        <v>140</v>
      </c>
      <c r="BH80" s="8">
        <v>0</v>
      </c>
      <c r="BI80" s="8" t="s">
        <v>141</v>
      </c>
      <c r="BJ80" s="8">
        <v>100</v>
      </c>
      <c r="BK80" s="8" t="s">
        <v>142</v>
      </c>
      <c r="BL80" s="8">
        <v>120</v>
      </c>
      <c r="BM80" s="8" t="s">
        <v>143</v>
      </c>
      <c r="BN80" s="8">
        <v>600</v>
      </c>
      <c r="BQ80" s="8">
        <v>1</v>
      </c>
      <c r="BR80" s="8">
        <v>2500</v>
      </c>
      <c r="BS80" s="8">
        <v>2</v>
      </c>
      <c r="BT80" s="8">
        <v>2500</v>
      </c>
      <c r="BU80" s="8" t="s">
        <v>144</v>
      </c>
      <c r="BV80">
        <v>6</v>
      </c>
      <c r="BW80">
        <v>10</v>
      </c>
    </row>
    <row r="81" ht="16.5" customHeight="1" spans="2:75">
      <c r="B81" s="8">
        <f>60000000+INDEX(编号表!$B:$B,MATCH(J81,编号表!$A:$A,0))*10000+INDEX(编号表!$B:$B,MATCH(K81,编号表!$C:$C,0))*1000+L81</f>
        <v>60161077</v>
      </c>
      <c r="C81" s="8" t="s">
        <v>359</v>
      </c>
      <c r="D81" s="5" t="s">
        <v>360</v>
      </c>
      <c r="E81" s="5" t="s">
        <v>361</v>
      </c>
      <c r="F81" s="8">
        <v>60</v>
      </c>
      <c r="G81" s="8" t="str">
        <f>INDEX(编号表!$E:$E,MATCH(K81,编号表!$C:$C,0))</f>
        <v>白色</v>
      </c>
      <c r="H81" s="8">
        <v>5</v>
      </c>
      <c r="I81" s="8" t="s">
        <v>362</v>
      </c>
      <c r="J81" s="8" t="s">
        <v>362</v>
      </c>
      <c r="K81" s="8" t="s">
        <v>129</v>
      </c>
      <c r="L81" s="8">
        <v>77</v>
      </c>
      <c r="M81" s="8">
        <v>77</v>
      </c>
      <c r="N81" s="8"/>
      <c r="O81" s="8"/>
      <c r="P81" s="8">
        <v>10</v>
      </c>
      <c r="Q81" s="8">
        <v>150000</v>
      </c>
      <c r="R81" s="8"/>
      <c r="S81" s="8"/>
      <c r="T81" s="8">
        <v>1</v>
      </c>
      <c r="U81" s="16">
        <v>40010001</v>
      </c>
      <c r="V81" s="8"/>
      <c r="X81" s="8">
        <v>11000001</v>
      </c>
      <c r="Z81" s="8"/>
      <c r="AA81" s="8" t="s">
        <v>130</v>
      </c>
      <c r="AB81" s="21">
        <v>20061</v>
      </c>
      <c r="AC81" s="8">
        <v>0.99</v>
      </c>
      <c r="AD81" s="8">
        <v>80</v>
      </c>
      <c r="AE81" s="8">
        <v>80</v>
      </c>
      <c r="AF81" s="8">
        <v>40</v>
      </c>
      <c r="AG81" s="8">
        <v>40</v>
      </c>
      <c r="AH81" s="8" t="s">
        <v>131</v>
      </c>
      <c r="AJ81" s="17"/>
      <c r="AL81" s="18">
        <v>255</v>
      </c>
      <c r="AM81" s="8" t="s">
        <v>132</v>
      </c>
      <c r="AN81" s="19">
        <v>1500</v>
      </c>
      <c r="AO81" s="8" t="s">
        <v>133</v>
      </c>
      <c r="AP81" s="8">
        <v>8</v>
      </c>
      <c r="AQ81" s="8" t="s">
        <v>134</v>
      </c>
      <c r="AR81" s="8">
        <v>12</v>
      </c>
      <c r="AS81" s="8" t="s">
        <v>135</v>
      </c>
      <c r="AT81" s="8">
        <v>8</v>
      </c>
      <c r="AU81" s="8" t="s">
        <v>136</v>
      </c>
      <c r="AV81" s="8">
        <v>11</v>
      </c>
      <c r="AW81" s="8" t="s">
        <v>137</v>
      </c>
      <c r="AX81" s="8">
        <v>21</v>
      </c>
      <c r="AY81" s="8" t="s">
        <v>138</v>
      </c>
      <c r="AZ81" s="8">
        <v>29</v>
      </c>
      <c r="BA81" s="8" t="s">
        <v>139</v>
      </c>
      <c r="BB81" s="8">
        <v>21</v>
      </c>
      <c r="BC81" s="8" t="s">
        <v>140</v>
      </c>
      <c r="BD81" s="8">
        <v>29</v>
      </c>
      <c r="BE81" s="8" t="s">
        <v>139</v>
      </c>
      <c r="BF81" s="8">
        <v>0</v>
      </c>
      <c r="BG81" s="8" t="s">
        <v>140</v>
      </c>
      <c r="BH81" s="8">
        <v>0</v>
      </c>
      <c r="BI81" s="8" t="s">
        <v>141</v>
      </c>
      <c r="BJ81" s="8">
        <v>100</v>
      </c>
      <c r="BK81" s="8" t="s">
        <v>142</v>
      </c>
      <c r="BL81" s="8">
        <v>120</v>
      </c>
      <c r="BM81" s="8" t="s">
        <v>143</v>
      </c>
      <c r="BN81" s="8">
        <v>600</v>
      </c>
      <c r="BQ81" s="8">
        <v>1</v>
      </c>
      <c r="BR81" s="8">
        <v>2500</v>
      </c>
      <c r="BS81" s="8">
        <v>2</v>
      </c>
      <c r="BT81" s="8">
        <v>2500</v>
      </c>
      <c r="BU81" s="8" t="s">
        <v>144</v>
      </c>
      <c r="BV81">
        <v>6</v>
      </c>
      <c r="BW81">
        <v>10</v>
      </c>
    </row>
    <row r="82" ht="16.5" customHeight="1" spans="2:75">
      <c r="B82" s="8">
        <f>60000000+INDEX(编号表!$B:$B,MATCH(J82,编号表!$A:$A,0))*10000+INDEX(编号表!$B:$B,MATCH(K82,编号表!$C:$C,0))*1000+L82</f>
        <v>60161078</v>
      </c>
      <c r="C82" s="8" t="s">
        <v>363</v>
      </c>
      <c r="D82" s="5" t="s">
        <v>364</v>
      </c>
      <c r="E82" s="5" t="s">
        <v>365</v>
      </c>
      <c r="F82" s="8">
        <v>60</v>
      </c>
      <c r="G82" s="8" t="str">
        <f>INDEX(编号表!$E:$E,MATCH(K82,编号表!$C:$C,0))</f>
        <v>白色</v>
      </c>
      <c r="H82" s="8">
        <v>5</v>
      </c>
      <c r="I82" s="8" t="s">
        <v>362</v>
      </c>
      <c r="J82" s="8" t="s">
        <v>362</v>
      </c>
      <c r="K82" s="8" t="s">
        <v>129</v>
      </c>
      <c r="L82" s="8">
        <v>78</v>
      </c>
      <c r="M82" s="8">
        <v>78</v>
      </c>
      <c r="N82" s="8"/>
      <c r="O82" s="8"/>
      <c r="P82" s="8">
        <v>10</v>
      </c>
      <c r="Q82" s="8">
        <v>150000</v>
      </c>
      <c r="R82" s="8"/>
      <c r="S82" s="8"/>
      <c r="T82" s="8">
        <v>1</v>
      </c>
      <c r="U82" s="16">
        <v>40010001</v>
      </c>
      <c r="V82" s="8"/>
      <c r="X82" s="8">
        <v>11000001</v>
      </c>
      <c r="Z82" s="8"/>
      <c r="AA82" s="8" t="s">
        <v>130</v>
      </c>
      <c r="AB82" s="21">
        <v>20062</v>
      </c>
      <c r="AC82" s="8">
        <v>0.6</v>
      </c>
      <c r="AD82" s="8">
        <v>80</v>
      </c>
      <c r="AE82" s="8">
        <v>80</v>
      </c>
      <c r="AF82" s="8">
        <v>40</v>
      </c>
      <c r="AG82" s="8">
        <v>40</v>
      </c>
      <c r="AH82" s="8" t="s">
        <v>131</v>
      </c>
      <c r="AJ82" s="17"/>
      <c r="AL82" s="18">
        <v>255</v>
      </c>
      <c r="AM82" s="8" t="s">
        <v>132</v>
      </c>
      <c r="AN82" s="19">
        <v>1500</v>
      </c>
      <c r="AO82" s="8" t="s">
        <v>133</v>
      </c>
      <c r="AP82" s="8">
        <v>8</v>
      </c>
      <c r="AQ82" s="8" t="s">
        <v>134</v>
      </c>
      <c r="AR82" s="8">
        <v>12</v>
      </c>
      <c r="AS82" s="8" t="s">
        <v>135</v>
      </c>
      <c r="AT82" s="8">
        <v>8</v>
      </c>
      <c r="AU82" s="8" t="s">
        <v>136</v>
      </c>
      <c r="AV82" s="8">
        <v>11</v>
      </c>
      <c r="AW82" s="8" t="s">
        <v>137</v>
      </c>
      <c r="AX82" s="8">
        <v>21</v>
      </c>
      <c r="AY82" s="8" t="s">
        <v>138</v>
      </c>
      <c r="AZ82" s="8">
        <v>29</v>
      </c>
      <c r="BA82" s="8" t="s">
        <v>139</v>
      </c>
      <c r="BB82" s="8">
        <v>21</v>
      </c>
      <c r="BC82" s="8" t="s">
        <v>140</v>
      </c>
      <c r="BD82" s="8">
        <v>29</v>
      </c>
      <c r="BE82" s="8" t="s">
        <v>139</v>
      </c>
      <c r="BF82" s="8">
        <v>0</v>
      </c>
      <c r="BG82" s="8" t="s">
        <v>140</v>
      </c>
      <c r="BH82" s="8">
        <v>0</v>
      </c>
      <c r="BI82" s="8" t="s">
        <v>141</v>
      </c>
      <c r="BJ82" s="8">
        <v>100</v>
      </c>
      <c r="BK82" s="8" t="s">
        <v>142</v>
      </c>
      <c r="BL82" s="8">
        <v>120</v>
      </c>
      <c r="BM82" s="8" t="s">
        <v>143</v>
      </c>
      <c r="BN82" s="8">
        <v>600</v>
      </c>
      <c r="BQ82" s="8">
        <v>1</v>
      </c>
      <c r="BR82" s="8">
        <v>2500</v>
      </c>
      <c r="BS82" s="8">
        <v>2</v>
      </c>
      <c r="BT82" s="8">
        <v>2500</v>
      </c>
      <c r="BU82" s="8" t="s">
        <v>144</v>
      </c>
      <c r="BV82">
        <v>6</v>
      </c>
      <c r="BW82">
        <v>10</v>
      </c>
    </row>
    <row r="83" ht="16.5" customHeight="1" spans="2:75">
      <c r="B83" s="8">
        <f>60000000+INDEX(编号表!$B:$B,MATCH(J83,编号表!$A:$A,0))*10000+INDEX(编号表!$B:$B,MATCH(K83,编号表!$C:$C,0))*1000+L83</f>
        <v>60161079</v>
      </c>
      <c r="C83" s="8" t="s">
        <v>366</v>
      </c>
      <c r="D83" s="5" t="s">
        <v>367</v>
      </c>
      <c r="E83" s="5" t="s">
        <v>368</v>
      </c>
      <c r="F83" s="8">
        <v>60</v>
      </c>
      <c r="G83" s="8" t="str">
        <f>INDEX(编号表!$E:$E,MATCH(K83,编号表!$C:$C,0))</f>
        <v>白色</v>
      </c>
      <c r="H83" s="8">
        <v>5</v>
      </c>
      <c r="I83" s="8" t="s">
        <v>362</v>
      </c>
      <c r="J83" s="8" t="s">
        <v>362</v>
      </c>
      <c r="K83" s="8" t="s">
        <v>129</v>
      </c>
      <c r="L83" s="8">
        <v>79</v>
      </c>
      <c r="M83" s="8">
        <v>79</v>
      </c>
      <c r="N83" s="8"/>
      <c r="O83" s="8"/>
      <c r="P83" s="8">
        <v>10</v>
      </c>
      <c r="Q83" s="8">
        <v>150000</v>
      </c>
      <c r="R83" s="8"/>
      <c r="S83" s="8"/>
      <c r="T83" s="8">
        <v>1</v>
      </c>
      <c r="U83" s="16">
        <v>40010001</v>
      </c>
      <c r="V83" s="8"/>
      <c r="X83" s="8">
        <v>11000001</v>
      </c>
      <c r="Z83" s="8"/>
      <c r="AA83" s="8" t="s">
        <v>130</v>
      </c>
      <c r="AB83" s="21">
        <v>20063</v>
      </c>
      <c r="AC83" s="8">
        <v>0.61</v>
      </c>
      <c r="AD83" s="8">
        <v>80</v>
      </c>
      <c r="AE83" s="8">
        <v>80</v>
      </c>
      <c r="AF83" s="8">
        <v>40</v>
      </c>
      <c r="AG83" s="8">
        <v>40</v>
      </c>
      <c r="AH83" s="8" t="s">
        <v>131</v>
      </c>
      <c r="AJ83" s="17"/>
      <c r="AL83" s="18">
        <v>255</v>
      </c>
      <c r="AM83" s="8" t="s">
        <v>132</v>
      </c>
      <c r="AN83" s="19">
        <v>1500</v>
      </c>
      <c r="AO83" s="8" t="s">
        <v>133</v>
      </c>
      <c r="AP83" s="8">
        <v>8</v>
      </c>
      <c r="AQ83" s="8" t="s">
        <v>134</v>
      </c>
      <c r="AR83" s="8">
        <v>12</v>
      </c>
      <c r="AS83" s="8" t="s">
        <v>135</v>
      </c>
      <c r="AT83" s="8">
        <v>8</v>
      </c>
      <c r="AU83" s="8" t="s">
        <v>136</v>
      </c>
      <c r="AV83" s="8">
        <v>11</v>
      </c>
      <c r="AW83" s="8" t="s">
        <v>137</v>
      </c>
      <c r="AX83" s="8">
        <v>21</v>
      </c>
      <c r="AY83" s="8" t="s">
        <v>138</v>
      </c>
      <c r="AZ83" s="8">
        <v>29</v>
      </c>
      <c r="BA83" s="8" t="s">
        <v>139</v>
      </c>
      <c r="BB83" s="8">
        <v>21</v>
      </c>
      <c r="BC83" s="8" t="s">
        <v>140</v>
      </c>
      <c r="BD83" s="8">
        <v>29</v>
      </c>
      <c r="BE83" s="8" t="s">
        <v>139</v>
      </c>
      <c r="BF83" s="8">
        <v>0</v>
      </c>
      <c r="BG83" s="8" t="s">
        <v>140</v>
      </c>
      <c r="BH83" s="8">
        <v>0</v>
      </c>
      <c r="BI83" s="8" t="s">
        <v>141</v>
      </c>
      <c r="BJ83" s="8">
        <v>100</v>
      </c>
      <c r="BK83" s="8" t="s">
        <v>142</v>
      </c>
      <c r="BL83" s="8">
        <v>120</v>
      </c>
      <c r="BM83" s="8" t="s">
        <v>143</v>
      </c>
      <c r="BN83" s="8">
        <v>600</v>
      </c>
      <c r="BQ83" s="8">
        <v>1</v>
      </c>
      <c r="BR83" s="8">
        <v>2500</v>
      </c>
      <c r="BS83" s="8">
        <v>2</v>
      </c>
      <c r="BT83" s="8">
        <v>2500</v>
      </c>
      <c r="BU83" s="8" t="s">
        <v>144</v>
      </c>
      <c r="BV83">
        <v>6</v>
      </c>
      <c r="BW83">
        <v>10</v>
      </c>
    </row>
    <row r="84" ht="16.5" customHeight="1" spans="2:75">
      <c r="B84" s="8">
        <f>60000000+INDEX(编号表!$B:$B,MATCH(J84,编号表!$A:$A,0))*10000+INDEX(编号表!$B:$B,MATCH(K84,编号表!$C:$C,0))*1000+L84</f>
        <v>60162080</v>
      </c>
      <c r="C84" s="8" t="s">
        <v>369</v>
      </c>
      <c r="D84" s="5" t="s">
        <v>370</v>
      </c>
      <c r="E84" s="5" t="s">
        <v>371</v>
      </c>
      <c r="F84" s="8">
        <v>60</v>
      </c>
      <c r="G84" s="8" t="str">
        <f>INDEX(编号表!$E:$E,MATCH(K84,编号表!$C:$C,0))</f>
        <v>绿色</v>
      </c>
      <c r="H84" s="8">
        <v>5</v>
      </c>
      <c r="I84" s="8" t="s">
        <v>362</v>
      </c>
      <c r="J84" s="8" t="s">
        <v>362</v>
      </c>
      <c r="K84" s="8" t="s">
        <v>196</v>
      </c>
      <c r="L84" s="8">
        <v>80</v>
      </c>
      <c r="M84" s="8">
        <v>80</v>
      </c>
      <c r="N84" s="8"/>
      <c r="O84" s="8"/>
      <c r="P84" s="8">
        <v>10</v>
      </c>
      <c r="Q84" s="8">
        <v>150000</v>
      </c>
      <c r="R84" s="8"/>
      <c r="S84" s="8"/>
      <c r="T84" s="8">
        <v>1</v>
      </c>
      <c r="U84" s="16">
        <v>40010001</v>
      </c>
      <c r="V84" s="8"/>
      <c r="X84" s="8">
        <v>11000251</v>
      </c>
      <c r="Z84" s="8"/>
      <c r="AA84" s="8" t="s">
        <v>130</v>
      </c>
      <c r="AB84" s="21">
        <v>20064</v>
      </c>
      <c r="AC84" s="8">
        <v>0.75</v>
      </c>
      <c r="AD84" s="8">
        <v>80</v>
      </c>
      <c r="AE84" s="8">
        <v>80</v>
      </c>
      <c r="AF84" s="8">
        <v>40</v>
      </c>
      <c r="AG84" s="8">
        <v>40</v>
      </c>
      <c r="AH84" s="8" t="s">
        <v>160</v>
      </c>
      <c r="AI84">
        <v>30071</v>
      </c>
      <c r="AJ84" s="17">
        <v>30010</v>
      </c>
      <c r="AL84" s="18">
        <v>255</v>
      </c>
      <c r="AM84" s="8" t="s">
        <v>132</v>
      </c>
      <c r="AN84" s="19">
        <v>1500</v>
      </c>
      <c r="AO84" s="8" t="s">
        <v>133</v>
      </c>
      <c r="AP84" s="8">
        <v>8</v>
      </c>
      <c r="AQ84" s="8" t="s">
        <v>134</v>
      </c>
      <c r="AR84" s="8">
        <v>12</v>
      </c>
      <c r="AS84" s="8" t="s">
        <v>135</v>
      </c>
      <c r="AT84" s="8">
        <v>8</v>
      </c>
      <c r="AU84" s="8" t="s">
        <v>136</v>
      </c>
      <c r="AV84" s="8">
        <v>11</v>
      </c>
      <c r="AW84" s="8" t="s">
        <v>137</v>
      </c>
      <c r="AX84" s="8">
        <v>21</v>
      </c>
      <c r="AY84" s="8" t="s">
        <v>138</v>
      </c>
      <c r="AZ84" s="8">
        <v>29</v>
      </c>
      <c r="BA84" s="8" t="s">
        <v>139</v>
      </c>
      <c r="BB84" s="8">
        <v>21</v>
      </c>
      <c r="BC84" s="8" t="s">
        <v>140</v>
      </c>
      <c r="BD84" s="8">
        <v>29</v>
      </c>
      <c r="BE84" s="8" t="s">
        <v>139</v>
      </c>
      <c r="BF84" s="8">
        <v>0</v>
      </c>
      <c r="BG84" s="8" t="s">
        <v>140</v>
      </c>
      <c r="BH84" s="8">
        <v>0</v>
      </c>
      <c r="BI84" s="8" t="s">
        <v>141</v>
      </c>
      <c r="BJ84" s="8">
        <v>100</v>
      </c>
      <c r="BK84" s="8" t="s">
        <v>142</v>
      </c>
      <c r="BL84" s="8">
        <v>600</v>
      </c>
      <c r="BM84" s="8" t="s">
        <v>143</v>
      </c>
      <c r="BN84" s="8">
        <v>800</v>
      </c>
      <c r="BQ84" s="8">
        <v>1</v>
      </c>
      <c r="BR84" s="8">
        <v>2500</v>
      </c>
      <c r="BS84" s="8">
        <v>2</v>
      </c>
      <c r="BT84" s="8">
        <v>2500</v>
      </c>
      <c r="BU84" s="8" t="s">
        <v>144</v>
      </c>
      <c r="BV84">
        <v>6</v>
      </c>
      <c r="BW84">
        <v>10</v>
      </c>
    </row>
    <row r="85" ht="16.5" customHeight="1" spans="2:75">
      <c r="B85" s="8">
        <f>60000000+INDEX(编号表!$B:$B,MATCH(J85,编号表!$A:$A,0))*10000+INDEX(编号表!$B:$B,MATCH(K85,编号表!$C:$C,0))*1000+L85</f>
        <v>60164081</v>
      </c>
      <c r="C85" s="8" t="s">
        <v>372</v>
      </c>
      <c r="D85" s="5" t="s">
        <v>370</v>
      </c>
      <c r="E85" s="5" t="s">
        <v>371</v>
      </c>
      <c r="F85" s="8">
        <v>60</v>
      </c>
      <c r="G85" s="8" t="str">
        <f>INDEX(编号表!$E:$E,MATCH(K85,编号表!$C:$C,0))</f>
        <v>橙色</v>
      </c>
      <c r="H85" s="8">
        <v>5</v>
      </c>
      <c r="I85" s="8" t="s">
        <v>362</v>
      </c>
      <c r="J85" s="8" t="s">
        <v>362</v>
      </c>
      <c r="K85" s="8" t="s">
        <v>246</v>
      </c>
      <c r="L85" s="8">
        <v>81</v>
      </c>
      <c r="M85" s="8">
        <v>81</v>
      </c>
      <c r="N85" s="8"/>
      <c r="O85" s="8"/>
      <c r="P85" s="8">
        <v>10</v>
      </c>
      <c r="Q85" s="8">
        <v>150000</v>
      </c>
      <c r="R85" s="8"/>
      <c r="S85" s="8"/>
      <c r="T85" s="8">
        <v>1</v>
      </c>
      <c r="U85" s="16">
        <v>40010001</v>
      </c>
      <c r="V85" s="8"/>
      <c r="X85" s="8">
        <v>11000251</v>
      </c>
      <c r="Z85" s="8"/>
      <c r="AA85" s="8" t="s">
        <v>130</v>
      </c>
      <c r="AB85" s="21">
        <v>20064</v>
      </c>
      <c r="AC85" s="8">
        <v>1.37</v>
      </c>
      <c r="AD85" s="8">
        <v>80</v>
      </c>
      <c r="AE85" s="8">
        <v>80</v>
      </c>
      <c r="AF85" s="8">
        <v>40</v>
      </c>
      <c r="AG85" s="8">
        <v>40</v>
      </c>
      <c r="AH85" s="8" t="s">
        <v>160</v>
      </c>
      <c r="AI85">
        <v>30071</v>
      </c>
      <c r="AJ85" s="17">
        <v>30011</v>
      </c>
      <c r="AL85" s="18">
        <v>255</v>
      </c>
      <c r="AM85" s="8" t="s">
        <v>132</v>
      </c>
      <c r="AN85" s="19">
        <v>1500</v>
      </c>
      <c r="AO85" s="8" t="s">
        <v>133</v>
      </c>
      <c r="AP85" s="8">
        <v>8</v>
      </c>
      <c r="AQ85" s="8" t="s">
        <v>134</v>
      </c>
      <c r="AR85" s="8">
        <v>12</v>
      </c>
      <c r="AS85" s="8" t="s">
        <v>135</v>
      </c>
      <c r="AT85" s="8">
        <v>8</v>
      </c>
      <c r="AU85" s="8" t="s">
        <v>136</v>
      </c>
      <c r="AV85" s="8">
        <v>11</v>
      </c>
      <c r="AW85" s="8" t="s">
        <v>137</v>
      </c>
      <c r="AX85" s="8">
        <v>21</v>
      </c>
      <c r="AY85" s="8" t="s">
        <v>138</v>
      </c>
      <c r="AZ85" s="8">
        <v>29</v>
      </c>
      <c r="BA85" s="8" t="s">
        <v>139</v>
      </c>
      <c r="BB85" s="8">
        <v>21</v>
      </c>
      <c r="BC85" s="8" t="s">
        <v>140</v>
      </c>
      <c r="BD85" s="8">
        <v>29</v>
      </c>
      <c r="BE85" s="8" t="s">
        <v>139</v>
      </c>
      <c r="BF85" s="8">
        <v>0</v>
      </c>
      <c r="BG85" s="8" t="s">
        <v>140</v>
      </c>
      <c r="BH85" s="8">
        <v>0</v>
      </c>
      <c r="BI85" s="8" t="s">
        <v>141</v>
      </c>
      <c r="BJ85" s="8">
        <v>100</v>
      </c>
      <c r="BK85" s="8" t="s">
        <v>142</v>
      </c>
      <c r="BL85" s="8">
        <v>600</v>
      </c>
      <c r="BM85" s="8" t="s">
        <v>143</v>
      </c>
      <c r="BN85" s="8">
        <v>800</v>
      </c>
      <c r="BQ85" s="8">
        <v>1</v>
      </c>
      <c r="BR85" s="8">
        <v>2500</v>
      </c>
      <c r="BS85" s="8">
        <v>2</v>
      </c>
      <c r="BT85" s="8">
        <v>2500</v>
      </c>
      <c r="BU85" s="8" t="s">
        <v>144</v>
      </c>
      <c r="BV85">
        <v>6</v>
      </c>
      <c r="BW85">
        <v>10</v>
      </c>
    </row>
    <row r="86" ht="16.5" customHeight="1" spans="2:75">
      <c r="B86" s="8">
        <f>60000000+INDEX(编号表!$B:$B,MATCH(J86,编号表!$A:$A,0))*10000+INDEX(编号表!$B:$B,MATCH(K86,编号表!$C:$C,0))*1000+L86</f>
        <v>60171082</v>
      </c>
      <c r="C86" s="8" t="s">
        <v>373</v>
      </c>
      <c r="D86" s="5" t="s">
        <v>374</v>
      </c>
      <c r="E86" s="5" t="s">
        <v>375</v>
      </c>
      <c r="F86" s="8">
        <v>60</v>
      </c>
      <c r="G86" s="8" t="str">
        <f>INDEX(编号表!$E:$E,MATCH(K86,编号表!$C:$C,0))</f>
        <v>白色</v>
      </c>
      <c r="H86" s="8">
        <v>5</v>
      </c>
      <c r="I86" s="8" t="s">
        <v>376</v>
      </c>
      <c r="J86" s="8" t="s">
        <v>376</v>
      </c>
      <c r="K86" s="8" t="s">
        <v>129</v>
      </c>
      <c r="L86" s="8">
        <v>82</v>
      </c>
      <c r="M86" s="8">
        <v>82</v>
      </c>
      <c r="N86" s="8"/>
      <c r="O86" s="8"/>
      <c r="P86" s="8">
        <v>10</v>
      </c>
      <c r="Q86" s="8">
        <v>150000</v>
      </c>
      <c r="R86" s="8"/>
      <c r="S86" s="8"/>
      <c r="T86" s="8">
        <v>1</v>
      </c>
      <c r="U86" s="16">
        <v>40010001</v>
      </c>
      <c r="V86" s="8"/>
      <c r="X86" s="8">
        <v>11000001</v>
      </c>
      <c r="Z86" s="8"/>
      <c r="AA86" s="8" t="s">
        <v>130</v>
      </c>
      <c r="AB86" s="21">
        <v>20065</v>
      </c>
      <c r="AC86" s="8">
        <v>0.8</v>
      </c>
      <c r="AD86" s="8">
        <v>80</v>
      </c>
      <c r="AE86" s="8">
        <v>80</v>
      </c>
      <c r="AF86" s="8">
        <v>40</v>
      </c>
      <c r="AG86" s="8">
        <v>40</v>
      </c>
      <c r="AH86" s="8" t="s">
        <v>131</v>
      </c>
      <c r="AJ86" s="17"/>
      <c r="AL86" s="18">
        <v>255</v>
      </c>
      <c r="AM86" s="8" t="s">
        <v>132</v>
      </c>
      <c r="AN86" s="19">
        <v>1500</v>
      </c>
      <c r="AO86" s="8" t="s">
        <v>133</v>
      </c>
      <c r="AP86" s="8">
        <v>8</v>
      </c>
      <c r="AQ86" s="8" t="s">
        <v>134</v>
      </c>
      <c r="AR86" s="8">
        <v>12</v>
      </c>
      <c r="AS86" s="8" t="s">
        <v>135</v>
      </c>
      <c r="AT86" s="8">
        <v>8</v>
      </c>
      <c r="AU86" s="8" t="s">
        <v>136</v>
      </c>
      <c r="AV86" s="8">
        <v>11</v>
      </c>
      <c r="AW86" s="8" t="s">
        <v>137</v>
      </c>
      <c r="AX86" s="8">
        <v>21</v>
      </c>
      <c r="AY86" s="8" t="s">
        <v>138</v>
      </c>
      <c r="AZ86" s="8">
        <v>29</v>
      </c>
      <c r="BA86" s="8" t="s">
        <v>139</v>
      </c>
      <c r="BB86" s="8">
        <v>21</v>
      </c>
      <c r="BC86" s="8" t="s">
        <v>140</v>
      </c>
      <c r="BD86" s="8">
        <v>29</v>
      </c>
      <c r="BE86" s="8" t="s">
        <v>139</v>
      </c>
      <c r="BF86" s="8">
        <v>0</v>
      </c>
      <c r="BG86" s="8" t="s">
        <v>140</v>
      </c>
      <c r="BH86" s="8">
        <v>0</v>
      </c>
      <c r="BI86" s="8" t="s">
        <v>141</v>
      </c>
      <c r="BJ86" s="8">
        <v>100</v>
      </c>
      <c r="BK86" s="8" t="s">
        <v>142</v>
      </c>
      <c r="BL86" s="8">
        <v>120</v>
      </c>
      <c r="BM86" s="8" t="s">
        <v>143</v>
      </c>
      <c r="BN86" s="8">
        <v>600</v>
      </c>
      <c r="BQ86" s="8">
        <v>1</v>
      </c>
      <c r="BR86" s="8">
        <v>2500</v>
      </c>
      <c r="BS86" s="8">
        <v>2</v>
      </c>
      <c r="BT86" s="8">
        <v>2500</v>
      </c>
      <c r="BU86" s="8" t="s">
        <v>144</v>
      </c>
      <c r="BV86">
        <v>6</v>
      </c>
      <c r="BW86">
        <v>10</v>
      </c>
    </row>
    <row r="87" ht="16.5" customHeight="1" spans="2:75">
      <c r="B87" s="8">
        <f>60000000+INDEX(编号表!$B:$B,MATCH(J87,编号表!$A:$A,0))*10000+INDEX(编号表!$B:$B,MATCH(K87,编号表!$C:$C,0))*1000+L87</f>
        <v>60172083</v>
      </c>
      <c r="C87" s="8" t="s">
        <v>377</v>
      </c>
      <c r="D87" s="5" t="s">
        <v>378</v>
      </c>
      <c r="E87" s="5" t="s">
        <v>379</v>
      </c>
      <c r="F87" s="8">
        <v>60</v>
      </c>
      <c r="G87" s="8" t="str">
        <f>INDEX(编号表!$E:$E,MATCH(K87,编号表!$C:$C,0))</f>
        <v>绿色</v>
      </c>
      <c r="H87" s="8">
        <v>5</v>
      </c>
      <c r="I87" s="8" t="s">
        <v>376</v>
      </c>
      <c r="J87" s="8" t="s">
        <v>376</v>
      </c>
      <c r="K87" s="8" t="s">
        <v>196</v>
      </c>
      <c r="L87" s="8">
        <v>83</v>
      </c>
      <c r="M87" s="8">
        <v>83</v>
      </c>
      <c r="N87" s="8"/>
      <c r="O87" s="8"/>
      <c r="P87" s="8">
        <v>10</v>
      </c>
      <c r="Q87" s="8">
        <v>150000</v>
      </c>
      <c r="R87" s="8"/>
      <c r="S87" s="8"/>
      <c r="T87" s="8">
        <v>1</v>
      </c>
      <c r="U87" s="16">
        <v>40010001</v>
      </c>
      <c r="V87" s="8"/>
      <c r="X87" s="8">
        <v>11000001</v>
      </c>
      <c r="Z87" s="8"/>
      <c r="AA87" s="8" t="s">
        <v>130</v>
      </c>
      <c r="AB87" s="21">
        <v>20066</v>
      </c>
      <c r="AC87" s="8">
        <v>1.61</v>
      </c>
      <c r="AD87" s="8">
        <v>80</v>
      </c>
      <c r="AE87" s="8">
        <v>80</v>
      </c>
      <c r="AF87" s="8">
        <v>40</v>
      </c>
      <c r="AG87" s="8">
        <v>40</v>
      </c>
      <c r="AH87" s="8" t="s">
        <v>131</v>
      </c>
      <c r="AJ87" s="17">
        <v>30010</v>
      </c>
      <c r="AL87" s="18">
        <v>255</v>
      </c>
      <c r="AM87" s="8" t="s">
        <v>132</v>
      </c>
      <c r="AN87" s="19">
        <v>1500</v>
      </c>
      <c r="AO87" s="8" t="s">
        <v>133</v>
      </c>
      <c r="AP87" s="8">
        <v>8</v>
      </c>
      <c r="AQ87" s="8" t="s">
        <v>134</v>
      </c>
      <c r="AR87" s="8">
        <v>12</v>
      </c>
      <c r="AS87" s="8" t="s">
        <v>135</v>
      </c>
      <c r="AT87" s="8">
        <v>8</v>
      </c>
      <c r="AU87" s="8" t="s">
        <v>136</v>
      </c>
      <c r="AV87" s="8">
        <v>11</v>
      </c>
      <c r="AW87" s="8" t="s">
        <v>137</v>
      </c>
      <c r="AX87" s="8">
        <v>21</v>
      </c>
      <c r="AY87" s="8" t="s">
        <v>138</v>
      </c>
      <c r="AZ87" s="8">
        <v>29</v>
      </c>
      <c r="BA87" s="8" t="s">
        <v>139</v>
      </c>
      <c r="BB87" s="8">
        <v>21</v>
      </c>
      <c r="BC87" s="8" t="s">
        <v>140</v>
      </c>
      <c r="BD87" s="8">
        <v>29</v>
      </c>
      <c r="BE87" s="8" t="s">
        <v>139</v>
      </c>
      <c r="BF87" s="8">
        <v>0</v>
      </c>
      <c r="BG87" s="8" t="s">
        <v>140</v>
      </c>
      <c r="BH87" s="8">
        <v>0</v>
      </c>
      <c r="BI87" s="8" t="s">
        <v>141</v>
      </c>
      <c r="BJ87" s="8">
        <v>100</v>
      </c>
      <c r="BK87" s="8" t="s">
        <v>142</v>
      </c>
      <c r="BL87" s="8">
        <v>120</v>
      </c>
      <c r="BM87" s="8" t="s">
        <v>143</v>
      </c>
      <c r="BN87" s="8">
        <v>600</v>
      </c>
      <c r="BQ87" s="8">
        <v>1</v>
      </c>
      <c r="BR87" s="8">
        <v>2500</v>
      </c>
      <c r="BS87" s="8">
        <v>2</v>
      </c>
      <c r="BT87" s="8">
        <v>2500</v>
      </c>
      <c r="BU87" s="8" t="s">
        <v>144</v>
      </c>
      <c r="BV87">
        <v>6</v>
      </c>
      <c r="BW87">
        <v>10</v>
      </c>
    </row>
    <row r="88" ht="16.5" customHeight="1" spans="2:75">
      <c r="B88" s="8">
        <f>60000000+INDEX(编号表!$B:$B,MATCH(J88,编号表!$A:$A,0))*10000+INDEX(编号表!$B:$B,MATCH(K88,编号表!$C:$C,0))*1000+L88</f>
        <v>60171084</v>
      </c>
      <c r="C88" s="8" t="s">
        <v>380</v>
      </c>
      <c r="D88" s="5" t="s">
        <v>381</v>
      </c>
      <c r="E88" s="5" t="s">
        <v>382</v>
      </c>
      <c r="F88" s="8">
        <v>60</v>
      </c>
      <c r="G88" s="8" t="str">
        <f>INDEX(编号表!$E:$E,MATCH(K88,编号表!$C:$C,0))</f>
        <v>白色</v>
      </c>
      <c r="H88" s="8">
        <v>5</v>
      </c>
      <c r="I88" s="8" t="s">
        <v>376</v>
      </c>
      <c r="J88" s="8" t="s">
        <v>376</v>
      </c>
      <c r="K88" s="8" t="s">
        <v>129</v>
      </c>
      <c r="L88" s="8">
        <v>84</v>
      </c>
      <c r="M88" s="8">
        <v>84</v>
      </c>
      <c r="N88" s="8"/>
      <c r="O88" s="8"/>
      <c r="P88" s="8">
        <v>10</v>
      </c>
      <c r="Q88" s="8">
        <v>150000</v>
      </c>
      <c r="R88" s="8"/>
      <c r="S88" s="8"/>
      <c r="T88" s="8">
        <v>1</v>
      </c>
      <c r="U88" s="16">
        <v>40010001</v>
      </c>
      <c r="V88" s="8"/>
      <c r="X88" s="8">
        <v>11000249</v>
      </c>
      <c r="Z88" s="8"/>
      <c r="AA88" s="8" t="s">
        <v>130</v>
      </c>
      <c r="AB88" s="21">
        <v>20067</v>
      </c>
      <c r="AC88" s="8">
        <v>0.7</v>
      </c>
      <c r="AD88" s="8">
        <v>80</v>
      </c>
      <c r="AE88" s="8">
        <v>80</v>
      </c>
      <c r="AF88" s="8">
        <v>40</v>
      </c>
      <c r="AG88" s="8">
        <v>40</v>
      </c>
      <c r="AH88" s="8" t="s">
        <v>160</v>
      </c>
      <c r="AI88">
        <v>30069</v>
      </c>
      <c r="AJ88" s="17"/>
      <c r="AL88" s="18">
        <v>255</v>
      </c>
      <c r="AM88" s="8" t="s">
        <v>132</v>
      </c>
      <c r="AN88" s="19">
        <v>1500</v>
      </c>
      <c r="AO88" s="8" t="s">
        <v>133</v>
      </c>
      <c r="AP88" s="8">
        <v>8</v>
      </c>
      <c r="AQ88" s="8" t="s">
        <v>134</v>
      </c>
      <c r="AR88" s="8">
        <v>12</v>
      </c>
      <c r="AS88" s="8" t="s">
        <v>135</v>
      </c>
      <c r="AT88" s="8">
        <v>8</v>
      </c>
      <c r="AU88" s="8" t="s">
        <v>136</v>
      </c>
      <c r="AV88" s="8">
        <v>11</v>
      </c>
      <c r="AW88" s="8" t="s">
        <v>137</v>
      </c>
      <c r="AX88" s="8">
        <v>21</v>
      </c>
      <c r="AY88" s="8" t="s">
        <v>138</v>
      </c>
      <c r="AZ88" s="8">
        <v>29</v>
      </c>
      <c r="BA88" s="8" t="s">
        <v>139</v>
      </c>
      <c r="BB88" s="8">
        <v>21</v>
      </c>
      <c r="BC88" s="8" t="s">
        <v>140</v>
      </c>
      <c r="BD88" s="8">
        <v>29</v>
      </c>
      <c r="BE88" s="8" t="s">
        <v>139</v>
      </c>
      <c r="BF88" s="8">
        <v>0</v>
      </c>
      <c r="BG88" s="8" t="s">
        <v>140</v>
      </c>
      <c r="BH88" s="8">
        <v>0</v>
      </c>
      <c r="BI88" s="8" t="s">
        <v>141</v>
      </c>
      <c r="BJ88" s="8">
        <v>100</v>
      </c>
      <c r="BK88" s="8" t="s">
        <v>142</v>
      </c>
      <c r="BL88" s="8">
        <v>600</v>
      </c>
      <c r="BM88" s="8" t="s">
        <v>143</v>
      </c>
      <c r="BN88" s="8">
        <v>800</v>
      </c>
      <c r="BQ88" s="8">
        <v>1</v>
      </c>
      <c r="BR88" s="8">
        <v>2500</v>
      </c>
      <c r="BS88" s="8">
        <v>2</v>
      </c>
      <c r="BT88" s="8">
        <v>2500</v>
      </c>
      <c r="BU88" s="8" t="s">
        <v>144</v>
      </c>
      <c r="BV88">
        <v>6</v>
      </c>
      <c r="BW88">
        <v>10</v>
      </c>
    </row>
    <row r="89" ht="16.5" customHeight="1" spans="2:75">
      <c r="B89" s="8">
        <f>60000000+INDEX(编号表!$B:$B,MATCH(J89,编号表!$A:$A,0))*10000+INDEX(编号表!$B:$B,MATCH(K89,编号表!$C:$C,0))*1000+L89</f>
        <v>60174085</v>
      </c>
      <c r="C89" s="8" t="s">
        <v>383</v>
      </c>
      <c r="D89" s="5" t="s">
        <v>384</v>
      </c>
      <c r="E89" s="5" t="s">
        <v>385</v>
      </c>
      <c r="F89" s="8">
        <v>60</v>
      </c>
      <c r="G89" s="8" t="str">
        <f>INDEX(编号表!$E:$E,MATCH(K89,编号表!$C:$C,0))</f>
        <v>橙色</v>
      </c>
      <c r="H89" s="8">
        <v>5</v>
      </c>
      <c r="I89" s="8" t="s">
        <v>376</v>
      </c>
      <c r="J89" s="8" t="s">
        <v>376</v>
      </c>
      <c r="K89" s="8" t="s">
        <v>246</v>
      </c>
      <c r="L89" s="8">
        <v>85</v>
      </c>
      <c r="M89" s="8">
        <v>85</v>
      </c>
      <c r="N89" s="8"/>
      <c r="O89" s="8"/>
      <c r="P89" s="8">
        <v>10</v>
      </c>
      <c r="Q89" s="8">
        <v>150000</v>
      </c>
      <c r="R89" s="8"/>
      <c r="S89" s="8"/>
      <c r="T89" s="8">
        <v>1</v>
      </c>
      <c r="U89" s="16">
        <v>40010001</v>
      </c>
      <c r="V89" s="8"/>
      <c r="X89" s="8">
        <v>11000001</v>
      </c>
      <c r="Z89" s="8"/>
      <c r="AA89" s="8" t="s">
        <v>130</v>
      </c>
      <c r="AB89" s="21">
        <v>20068</v>
      </c>
      <c r="AC89" s="8">
        <v>0.9</v>
      </c>
      <c r="AD89" s="8">
        <v>80</v>
      </c>
      <c r="AE89" s="8">
        <v>80</v>
      </c>
      <c r="AF89" s="8">
        <v>40</v>
      </c>
      <c r="AG89" s="8">
        <v>40</v>
      </c>
      <c r="AH89" s="8" t="s">
        <v>160</v>
      </c>
      <c r="AJ89" s="17">
        <v>30011</v>
      </c>
      <c r="AL89" s="18">
        <v>255</v>
      </c>
      <c r="AM89" s="8" t="s">
        <v>132</v>
      </c>
      <c r="AN89" s="19">
        <v>1500</v>
      </c>
      <c r="AO89" s="8" t="s">
        <v>133</v>
      </c>
      <c r="AP89" s="8">
        <v>8</v>
      </c>
      <c r="AQ89" s="8" t="s">
        <v>134</v>
      </c>
      <c r="AR89" s="8">
        <v>12</v>
      </c>
      <c r="AS89" s="8" t="s">
        <v>135</v>
      </c>
      <c r="AT89" s="8">
        <v>8</v>
      </c>
      <c r="AU89" s="8" t="s">
        <v>136</v>
      </c>
      <c r="AV89" s="8">
        <v>11</v>
      </c>
      <c r="AW89" s="8" t="s">
        <v>137</v>
      </c>
      <c r="AX89" s="8">
        <v>21</v>
      </c>
      <c r="AY89" s="8" t="s">
        <v>138</v>
      </c>
      <c r="AZ89" s="8">
        <v>29</v>
      </c>
      <c r="BA89" s="8" t="s">
        <v>139</v>
      </c>
      <c r="BB89" s="8">
        <v>21</v>
      </c>
      <c r="BC89" s="8" t="s">
        <v>140</v>
      </c>
      <c r="BD89" s="8">
        <v>29</v>
      </c>
      <c r="BE89" s="8" t="s">
        <v>139</v>
      </c>
      <c r="BF89" s="8">
        <v>0</v>
      </c>
      <c r="BG89" s="8" t="s">
        <v>140</v>
      </c>
      <c r="BH89" s="8">
        <v>0</v>
      </c>
      <c r="BI89" s="8" t="s">
        <v>141</v>
      </c>
      <c r="BJ89" s="8">
        <v>100</v>
      </c>
      <c r="BK89" s="8" t="s">
        <v>142</v>
      </c>
      <c r="BL89" s="8">
        <v>120</v>
      </c>
      <c r="BM89" s="8" t="s">
        <v>143</v>
      </c>
      <c r="BN89" s="8">
        <v>600</v>
      </c>
      <c r="BQ89" s="8">
        <v>1</v>
      </c>
      <c r="BR89" s="8">
        <v>2500</v>
      </c>
      <c r="BS89" s="8">
        <v>2</v>
      </c>
      <c r="BT89" s="8">
        <v>2500</v>
      </c>
      <c r="BU89" s="8" t="s">
        <v>144</v>
      </c>
      <c r="BV89">
        <v>6</v>
      </c>
      <c r="BW89">
        <v>10</v>
      </c>
    </row>
    <row r="90" ht="16.5" customHeight="1" spans="2:75">
      <c r="B90" s="8">
        <f>60000000+INDEX(编号表!$B:$B,MATCH(J90,编号表!$A:$A,0))*10000+INDEX(编号表!$B:$B,MATCH(K90,编号表!$C:$C,0))*1000+L90</f>
        <v>60261086</v>
      </c>
      <c r="C90" s="8" t="s">
        <v>386</v>
      </c>
      <c r="D90" s="5" t="s">
        <v>387</v>
      </c>
      <c r="E90" s="5" t="s">
        <v>388</v>
      </c>
      <c r="F90" s="8">
        <v>60</v>
      </c>
      <c r="G90" s="8" t="str">
        <f>INDEX(编号表!$E:$E,MATCH(K90,编号表!$C:$C,0))</f>
        <v>白色</v>
      </c>
      <c r="H90" s="8">
        <v>5</v>
      </c>
      <c r="I90" s="8" t="s">
        <v>389</v>
      </c>
      <c r="J90" s="8" t="s">
        <v>389</v>
      </c>
      <c r="K90" s="8" t="s">
        <v>129</v>
      </c>
      <c r="L90" s="8">
        <v>86</v>
      </c>
      <c r="M90" s="8">
        <v>86</v>
      </c>
      <c r="N90" s="8"/>
      <c r="O90" s="8"/>
      <c r="P90" s="8">
        <v>10</v>
      </c>
      <c r="Q90" s="8">
        <v>150000</v>
      </c>
      <c r="R90" s="8"/>
      <c r="S90" s="8"/>
      <c r="T90" s="8">
        <v>1</v>
      </c>
      <c r="U90" s="16">
        <v>40010001</v>
      </c>
      <c r="V90" s="8"/>
      <c r="X90" s="8">
        <v>11000001</v>
      </c>
      <c r="Z90" s="8"/>
      <c r="AA90" s="8" t="s">
        <v>130</v>
      </c>
      <c r="AB90" s="21">
        <v>20091</v>
      </c>
      <c r="AC90" s="8">
        <v>0.7</v>
      </c>
      <c r="AD90" s="8">
        <v>80</v>
      </c>
      <c r="AE90" s="8">
        <v>80</v>
      </c>
      <c r="AF90" s="8">
        <v>40</v>
      </c>
      <c r="AG90" s="8">
        <v>40</v>
      </c>
      <c r="AH90" s="8" t="s">
        <v>131</v>
      </c>
      <c r="AJ90" s="17"/>
      <c r="AL90" s="18">
        <v>255</v>
      </c>
      <c r="AM90" s="8" t="s">
        <v>132</v>
      </c>
      <c r="AN90" s="19">
        <v>1500</v>
      </c>
      <c r="AO90" s="8" t="s">
        <v>133</v>
      </c>
      <c r="AP90" s="8">
        <v>8</v>
      </c>
      <c r="AQ90" s="8" t="s">
        <v>134</v>
      </c>
      <c r="AR90" s="8">
        <v>12</v>
      </c>
      <c r="AS90" s="8" t="s">
        <v>135</v>
      </c>
      <c r="AT90" s="8">
        <v>8</v>
      </c>
      <c r="AU90" s="8" t="s">
        <v>136</v>
      </c>
      <c r="AV90" s="8">
        <v>11</v>
      </c>
      <c r="AW90" s="8" t="s">
        <v>137</v>
      </c>
      <c r="AX90" s="8">
        <v>21</v>
      </c>
      <c r="AY90" s="8" t="s">
        <v>138</v>
      </c>
      <c r="AZ90" s="8">
        <v>29</v>
      </c>
      <c r="BA90" s="8" t="s">
        <v>139</v>
      </c>
      <c r="BB90" s="8">
        <v>21</v>
      </c>
      <c r="BC90" s="8" t="s">
        <v>140</v>
      </c>
      <c r="BD90" s="8">
        <v>29</v>
      </c>
      <c r="BE90" s="8" t="s">
        <v>139</v>
      </c>
      <c r="BF90" s="8">
        <v>0</v>
      </c>
      <c r="BG90" s="8" t="s">
        <v>140</v>
      </c>
      <c r="BH90" s="8">
        <v>0</v>
      </c>
      <c r="BI90" s="8" t="s">
        <v>141</v>
      </c>
      <c r="BJ90" s="8">
        <v>100</v>
      </c>
      <c r="BK90" s="8" t="s">
        <v>142</v>
      </c>
      <c r="BL90" s="8">
        <v>120</v>
      </c>
      <c r="BM90" s="8" t="s">
        <v>143</v>
      </c>
      <c r="BN90" s="8">
        <v>600</v>
      </c>
      <c r="BQ90" s="8">
        <v>1</v>
      </c>
      <c r="BR90" s="8">
        <v>2500</v>
      </c>
      <c r="BS90" s="8">
        <v>2</v>
      </c>
      <c r="BT90" s="8">
        <v>2500</v>
      </c>
      <c r="BU90" s="8" t="s">
        <v>144</v>
      </c>
      <c r="BV90">
        <v>6</v>
      </c>
      <c r="BW90">
        <v>10</v>
      </c>
    </row>
    <row r="91" ht="16.5" customHeight="1" spans="2:75">
      <c r="B91" s="8">
        <f>60000000+INDEX(编号表!$B:$B,MATCH(J91,编号表!$A:$A,0))*10000+INDEX(编号表!$B:$B,MATCH(K91,编号表!$C:$C,0))*1000+L91</f>
        <v>60261087</v>
      </c>
      <c r="C91" s="8" t="s">
        <v>390</v>
      </c>
      <c r="D91" s="5" t="s">
        <v>391</v>
      </c>
      <c r="E91" s="5" t="s">
        <v>392</v>
      </c>
      <c r="F91" s="8">
        <v>60</v>
      </c>
      <c r="G91" s="8" t="str">
        <f>INDEX(编号表!$E:$E,MATCH(K91,编号表!$C:$C,0))</f>
        <v>白色</v>
      </c>
      <c r="H91" s="8">
        <v>5</v>
      </c>
      <c r="I91" s="8" t="s">
        <v>389</v>
      </c>
      <c r="J91" s="8" t="s">
        <v>389</v>
      </c>
      <c r="K91" s="8" t="s">
        <v>129</v>
      </c>
      <c r="L91" s="8">
        <v>87</v>
      </c>
      <c r="M91" s="8">
        <v>87</v>
      </c>
      <c r="N91" s="8"/>
      <c r="O91" s="8"/>
      <c r="P91" s="8">
        <v>10</v>
      </c>
      <c r="Q91" s="8">
        <v>150000</v>
      </c>
      <c r="R91" s="8"/>
      <c r="S91" s="8"/>
      <c r="T91" s="8">
        <v>1</v>
      </c>
      <c r="U91" s="16">
        <v>40010001</v>
      </c>
      <c r="V91" s="8"/>
      <c r="X91" s="8">
        <v>11000260</v>
      </c>
      <c r="Z91" s="8"/>
      <c r="AA91" s="8" t="s">
        <v>130</v>
      </c>
      <c r="AB91" s="21">
        <v>20092</v>
      </c>
      <c r="AC91" s="8">
        <v>0.7</v>
      </c>
      <c r="AD91" s="8">
        <v>80</v>
      </c>
      <c r="AE91" s="8">
        <v>80</v>
      </c>
      <c r="AF91" s="8">
        <v>40</v>
      </c>
      <c r="AG91" s="8">
        <v>40</v>
      </c>
      <c r="AH91" s="8" t="s">
        <v>160</v>
      </c>
      <c r="AI91">
        <v>30080</v>
      </c>
      <c r="AJ91" s="17"/>
      <c r="AL91" s="18">
        <v>255</v>
      </c>
      <c r="AM91" s="8" t="s">
        <v>132</v>
      </c>
      <c r="AN91" s="19">
        <v>1500</v>
      </c>
      <c r="AO91" s="8" t="s">
        <v>133</v>
      </c>
      <c r="AP91" s="8">
        <v>8</v>
      </c>
      <c r="AQ91" s="8" t="s">
        <v>134</v>
      </c>
      <c r="AR91" s="8">
        <v>12</v>
      </c>
      <c r="AS91" s="8" t="s">
        <v>135</v>
      </c>
      <c r="AT91" s="8">
        <v>8</v>
      </c>
      <c r="AU91" s="8" t="s">
        <v>136</v>
      </c>
      <c r="AV91" s="8">
        <v>11</v>
      </c>
      <c r="AW91" s="8" t="s">
        <v>137</v>
      </c>
      <c r="AX91" s="8">
        <v>21</v>
      </c>
      <c r="AY91" s="8" t="s">
        <v>138</v>
      </c>
      <c r="AZ91" s="8">
        <v>29</v>
      </c>
      <c r="BA91" s="8" t="s">
        <v>139</v>
      </c>
      <c r="BB91" s="8">
        <v>21</v>
      </c>
      <c r="BC91" s="8" t="s">
        <v>140</v>
      </c>
      <c r="BD91" s="8">
        <v>29</v>
      </c>
      <c r="BE91" s="8" t="s">
        <v>139</v>
      </c>
      <c r="BF91" s="8">
        <v>0</v>
      </c>
      <c r="BG91" s="8" t="s">
        <v>140</v>
      </c>
      <c r="BH91" s="8">
        <v>0</v>
      </c>
      <c r="BI91" s="8" t="s">
        <v>141</v>
      </c>
      <c r="BJ91" s="8">
        <v>100</v>
      </c>
      <c r="BK91" s="8" t="s">
        <v>142</v>
      </c>
      <c r="BL91" s="8">
        <v>600</v>
      </c>
      <c r="BM91" s="8" t="s">
        <v>143</v>
      </c>
      <c r="BN91" s="8">
        <v>800</v>
      </c>
      <c r="BQ91" s="8">
        <v>1</v>
      </c>
      <c r="BR91" s="8">
        <v>2500</v>
      </c>
      <c r="BS91" s="8">
        <v>2</v>
      </c>
      <c r="BT91" s="8">
        <v>2500</v>
      </c>
      <c r="BU91" s="8" t="s">
        <v>144</v>
      </c>
      <c r="BV91">
        <v>6</v>
      </c>
      <c r="BW91">
        <v>10</v>
      </c>
    </row>
    <row r="92" ht="16.5" customHeight="1" spans="2:75">
      <c r="B92" s="8">
        <f>60000000+INDEX(编号表!$B:$B,MATCH(J92,编号表!$A:$A,0))*10000+INDEX(编号表!$B:$B,MATCH(K92,编号表!$C:$C,0))*1000+L92</f>
        <v>60261088</v>
      </c>
      <c r="C92" s="8" t="s">
        <v>393</v>
      </c>
      <c r="D92" s="5" t="s">
        <v>387</v>
      </c>
      <c r="E92" s="5" t="s">
        <v>388</v>
      </c>
      <c r="F92" s="8">
        <v>60</v>
      </c>
      <c r="G92" s="8" t="str">
        <f>INDEX(编号表!$E:$E,MATCH(K92,编号表!$C:$C,0))</f>
        <v>白色</v>
      </c>
      <c r="H92" s="8">
        <v>5</v>
      </c>
      <c r="I92" s="8" t="s">
        <v>389</v>
      </c>
      <c r="J92" s="8" t="s">
        <v>389</v>
      </c>
      <c r="K92" s="8" t="s">
        <v>129</v>
      </c>
      <c r="L92" s="8">
        <v>88</v>
      </c>
      <c r="M92" s="8">
        <v>88</v>
      </c>
      <c r="N92" s="8"/>
      <c r="O92" s="8"/>
      <c r="P92" s="8">
        <v>10</v>
      </c>
      <c r="Q92" s="8">
        <v>150000</v>
      </c>
      <c r="R92" s="8"/>
      <c r="S92" s="8"/>
      <c r="T92" s="8">
        <v>1</v>
      </c>
      <c r="U92" s="16">
        <v>40010001</v>
      </c>
      <c r="V92" s="8"/>
      <c r="X92" s="8">
        <v>11000001</v>
      </c>
      <c r="Z92" s="8"/>
      <c r="AA92" s="8" t="s">
        <v>130</v>
      </c>
      <c r="AB92" s="21">
        <v>20091</v>
      </c>
      <c r="AC92" s="8">
        <v>0.7</v>
      </c>
      <c r="AD92" s="8">
        <v>80</v>
      </c>
      <c r="AE92" s="8">
        <v>80</v>
      </c>
      <c r="AF92" s="8">
        <v>40</v>
      </c>
      <c r="AG92" s="8">
        <v>40</v>
      </c>
      <c r="AH92" s="8" t="s">
        <v>131</v>
      </c>
      <c r="AJ92" s="17"/>
      <c r="AL92" s="18">
        <v>255</v>
      </c>
      <c r="AM92" s="8" t="s">
        <v>132</v>
      </c>
      <c r="AN92" s="19">
        <v>1500</v>
      </c>
      <c r="AO92" s="8" t="s">
        <v>133</v>
      </c>
      <c r="AP92" s="8">
        <v>8</v>
      </c>
      <c r="AQ92" s="8" t="s">
        <v>134</v>
      </c>
      <c r="AR92" s="8">
        <v>12</v>
      </c>
      <c r="AS92" s="8" t="s">
        <v>135</v>
      </c>
      <c r="AT92" s="8">
        <v>8</v>
      </c>
      <c r="AU92" s="8" t="s">
        <v>136</v>
      </c>
      <c r="AV92" s="8">
        <v>11</v>
      </c>
      <c r="AW92" s="8" t="s">
        <v>137</v>
      </c>
      <c r="AX92" s="8">
        <v>21</v>
      </c>
      <c r="AY92" s="8" t="s">
        <v>138</v>
      </c>
      <c r="AZ92" s="8">
        <v>29</v>
      </c>
      <c r="BA92" s="8" t="s">
        <v>139</v>
      </c>
      <c r="BB92" s="8">
        <v>21</v>
      </c>
      <c r="BC92" s="8" t="s">
        <v>140</v>
      </c>
      <c r="BD92" s="8">
        <v>29</v>
      </c>
      <c r="BE92" s="8" t="s">
        <v>139</v>
      </c>
      <c r="BF92" s="8">
        <v>0</v>
      </c>
      <c r="BG92" s="8" t="s">
        <v>140</v>
      </c>
      <c r="BH92" s="8">
        <v>0</v>
      </c>
      <c r="BI92" s="8" t="s">
        <v>141</v>
      </c>
      <c r="BJ92" s="8">
        <v>100</v>
      </c>
      <c r="BK92" s="8" t="s">
        <v>142</v>
      </c>
      <c r="BL92" s="8">
        <v>120</v>
      </c>
      <c r="BM92" s="8" t="s">
        <v>143</v>
      </c>
      <c r="BN92" s="8">
        <v>600</v>
      </c>
      <c r="BQ92" s="8">
        <v>1</v>
      </c>
      <c r="BR92" s="8">
        <v>2500</v>
      </c>
      <c r="BS92" s="8">
        <v>2</v>
      </c>
      <c r="BT92" s="8">
        <v>2500</v>
      </c>
      <c r="BU92" s="8" t="s">
        <v>144</v>
      </c>
      <c r="BV92">
        <v>6</v>
      </c>
      <c r="BW92">
        <v>10</v>
      </c>
    </row>
    <row r="93" ht="16.5" customHeight="1" spans="2:75">
      <c r="B93" s="8">
        <f>60000000+INDEX(编号表!$B:$B,MATCH(J93,编号表!$A:$A,0))*10000+INDEX(编号表!$B:$B,MATCH(K93,编号表!$C:$C,0))*1000+L93</f>
        <v>60264089</v>
      </c>
      <c r="C93" s="8" t="s">
        <v>394</v>
      </c>
      <c r="D93" s="5" t="s">
        <v>395</v>
      </c>
      <c r="E93" s="5" t="s">
        <v>396</v>
      </c>
      <c r="F93" s="8">
        <v>60</v>
      </c>
      <c r="G93" s="8" t="str">
        <f>INDEX(编号表!$E:$E,MATCH(K93,编号表!$C:$C,0))</f>
        <v>橙色</v>
      </c>
      <c r="H93" s="8">
        <v>5</v>
      </c>
      <c r="I93" s="8" t="s">
        <v>389</v>
      </c>
      <c r="J93" s="8" t="s">
        <v>389</v>
      </c>
      <c r="K93" s="8" t="s">
        <v>246</v>
      </c>
      <c r="L93" s="8">
        <v>89</v>
      </c>
      <c r="M93" s="8">
        <v>89</v>
      </c>
      <c r="N93" s="8"/>
      <c r="O93" s="8"/>
      <c r="P93" s="8">
        <v>10</v>
      </c>
      <c r="Q93" s="8">
        <v>150000</v>
      </c>
      <c r="R93" s="8"/>
      <c r="S93" s="8"/>
      <c r="T93" s="8">
        <v>3</v>
      </c>
      <c r="U93" s="16">
        <v>40010001</v>
      </c>
      <c r="V93" s="8"/>
      <c r="X93" s="8">
        <v>11000001</v>
      </c>
      <c r="Z93" s="8"/>
      <c r="AA93" s="8" t="s">
        <v>130</v>
      </c>
      <c r="AB93" s="21">
        <v>20093</v>
      </c>
      <c r="AC93" s="8">
        <v>0.7</v>
      </c>
      <c r="AD93" s="8">
        <v>80</v>
      </c>
      <c r="AE93" s="8">
        <v>80</v>
      </c>
      <c r="AF93" s="8">
        <v>40</v>
      </c>
      <c r="AG93" s="8">
        <v>40</v>
      </c>
      <c r="AH93" s="8" t="s">
        <v>131</v>
      </c>
      <c r="AJ93" s="17"/>
      <c r="AL93" s="18">
        <v>255</v>
      </c>
      <c r="AM93" s="8" t="s">
        <v>132</v>
      </c>
      <c r="AN93" s="19">
        <v>1500</v>
      </c>
      <c r="AO93" s="8" t="s">
        <v>133</v>
      </c>
      <c r="AP93" s="8">
        <v>8</v>
      </c>
      <c r="AQ93" s="8" t="s">
        <v>134</v>
      </c>
      <c r="AR93" s="8">
        <v>12</v>
      </c>
      <c r="AS93" s="8" t="s">
        <v>135</v>
      </c>
      <c r="AT93" s="8">
        <v>8</v>
      </c>
      <c r="AU93" s="8" t="s">
        <v>136</v>
      </c>
      <c r="AV93" s="8">
        <v>11</v>
      </c>
      <c r="AW93" s="8" t="s">
        <v>137</v>
      </c>
      <c r="AX93" s="8">
        <v>21</v>
      </c>
      <c r="AY93" s="8" t="s">
        <v>138</v>
      </c>
      <c r="AZ93" s="8">
        <v>29</v>
      </c>
      <c r="BA93" s="8" t="s">
        <v>139</v>
      </c>
      <c r="BB93" s="8">
        <v>21</v>
      </c>
      <c r="BC93" s="8" t="s">
        <v>140</v>
      </c>
      <c r="BD93" s="8">
        <v>29</v>
      </c>
      <c r="BE93" s="8" t="s">
        <v>139</v>
      </c>
      <c r="BF93" s="8">
        <v>0</v>
      </c>
      <c r="BG93" s="8" t="s">
        <v>140</v>
      </c>
      <c r="BH93" s="8">
        <v>0</v>
      </c>
      <c r="BI93" s="8" t="s">
        <v>141</v>
      </c>
      <c r="BJ93" s="8">
        <v>0</v>
      </c>
      <c r="BK93" s="8" t="s">
        <v>142</v>
      </c>
      <c r="BL93" s="8">
        <v>120</v>
      </c>
      <c r="BM93" s="8" t="s">
        <v>143</v>
      </c>
      <c r="BN93" s="8">
        <v>600</v>
      </c>
      <c r="BQ93" s="8">
        <v>1</v>
      </c>
      <c r="BR93" s="8">
        <v>2500</v>
      </c>
      <c r="BS93" s="8">
        <v>2</v>
      </c>
      <c r="BT93" s="8">
        <v>2500</v>
      </c>
      <c r="BU93" s="8" t="s">
        <v>144</v>
      </c>
      <c r="BV93">
        <v>6</v>
      </c>
      <c r="BW93">
        <v>10</v>
      </c>
    </row>
    <row r="94" ht="16.5" customHeight="1" spans="2:75">
      <c r="B94" s="8">
        <f>60000000+INDEX(编号表!$B:$B,MATCH(J94,编号表!$A:$A,0))*10000+INDEX(编号表!$B:$B,MATCH(K94,编号表!$C:$C,0))*1000+L94</f>
        <v>60191090</v>
      </c>
      <c r="C94" s="8" t="s">
        <v>397</v>
      </c>
      <c r="D94" s="5" t="s">
        <v>398</v>
      </c>
      <c r="E94" s="5" t="s">
        <v>399</v>
      </c>
      <c r="F94" s="8">
        <v>60</v>
      </c>
      <c r="G94" s="8" t="str">
        <f>INDEX(编号表!$E:$E,MATCH(K94,编号表!$C:$C,0))</f>
        <v>白色</v>
      </c>
      <c r="H94" s="8">
        <v>5</v>
      </c>
      <c r="I94" s="8" t="s">
        <v>400</v>
      </c>
      <c r="J94" s="8" t="s">
        <v>400</v>
      </c>
      <c r="K94" s="8" t="s">
        <v>129</v>
      </c>
      <c r="L94" s="8">
        <v>90</v>
      </c>
      <c r="M94" s="8">
        <v>90</v>
      </c>
      <c r="N94" s="8"/>
      <c r="O94" s="8"/>
      <c r="P94" s="8">
        <v>10</v>
      </c>
      <c r="Q94" s="8">
        <v>150000</v>
      </c>
      <c r="R94" s="8"/>
      <c r="S94" s="8"/>
      <c r="T94" s="8">
        <v>1</v>
      </c>
      <c r="U94" s="16">
        <v>40010001</v>
      </c>
      <c r="V94" s="8"/>
      <c r="X94" s="8">
        <v>11000001</v>
      </c>
      <c r="Z94" s="8"/>
      <c r="AA94" s="8" t="s">
        <v>130</v>
      </c>
      <c r="AB94" s="21">
        <v>20069</v>
      </c>
      <c r="AC94" s="8">
        <v>0.7</v>
      </c>
      <c r="AD94" s="8">
        <v>80</v>
      </c>
      <c r="AE94" s="8">
        <v>80</v>
      </c>
      <c r="AF94" s="8">
        <v>40</v>
      </c>
      <c r="AG94" s="8">
        <v>40</v>
      </c>
      <c r="AH94" s="8" t="s">
        <v>131</v>
      </c>
      <c r="AJ94" s="17"/>
      <c r="AL94" s="18">
        <v>255</v>
      </c>
      <c r="AM94" s="8" t="s">
        <v>132</v>
      </c>
      <c r="AN94" s="19">
        <v>1500</v>
      </c>
      <c r="AO94" s="8" t="s">
        <v>133</v>
      </c>
      <c r="AP94" s="8">
        <v>8</v>
      </c>
      <c r="AQ94" s="8" t="s">
        <v>134</v>
      </c>
      <c r="AR94" s="8">
        <v>12</v>
      </c>
      <c r="AS94" s="8" t="s">
        <v>135</v>
      </c>
      <c r="AT94" s="8">
        <v>8</v>
      </c>
      <c r="AU94" s="8" t="s">
        <v>136</v>
      </c>
      <c r="AV94" s="8">
        <v>11</v>
      </c>
      <c r="AW94" s="8" t="s">
        <v>137</v>
      </c>
      <c r="AX94" s="8">
        <v>21</v>
      </c>
      <c r="AY94" s="8" t="s">
        <v>138</v>
      </c>
      <c r="AZ94" s="8">
        <v>29</v>
      </c>
      <c r="BA94" s="8" t="s">
        <v>139</v>
      </c>
      <c r="BB94" s="8">
        <v>21</v>
      </c>
      <c r="BC94" s="8" t="s">
        <v>140</v>
      </c>
      <c r="BD94" s="8">
        <v>29</v>
      </c>
      <c r="BE94" s="8" t="s">
        <v>139</v>
      </c>
      <c r="BF94" s="8">
        <v>0</v>
      </c>
      <c r="BG94" s="8" t="s">
        <v>140</v>
      </c>
      <c r="BH94" s="8">
        <v>0</v>
      </c>
      <c r="BI94" s="8" t="s">
        <v>141</v>
      </c>
      <c r="BJ94" s="8">
        <v>100</v>
      </c>
      <c r="BK94" s="8" t="s">
        <v>142</v>
      </c>
      <c r="BL94" s="8">
        <v>120</v>
      </c>
      <c r="BM94" s="8" t="s">
        <v>143</v>
      </c>
      <c r="BN94" s="8">
        <v>600</v>
      </c>
      <c r="BQ94" s="8">
        <v>1</v>
      </c>
      <c r="BR94" s="8">
        <v>2500</v>
      </c>
      <c r="BS94" s="8">
        <v>2</v>
      </c>
      <c r="BT94" s="8">
        <v>2500</v>
      </c>
      <c r="BU94" s="8" t="s">
        <v>144</v>
      </c>
      <c r="BV94">
        <v>6</v>
      </c>
      <c r="BW94">
        <v>10</v>
      </c>
    </row>
    <row r="95" ht="16.5" customHeight="1" spans="2:75">
      <c r="B95" s="8">
        <f>60000000+INDEX(编号表!$B:$B,MATCH(J95,编号表!$A:$A,0))*10000+INDEX(编号表!$B:$B,MATCH(K95,编号表!$C:$C,0))*1000+L95</f>
        <v>60191091</v>
      </c>
      <c r="C95" s="8" t="s">
        <v>401</v>
      </c>
      <c r="D95" s="5" t="s">
        <v>402</v>
      </c>
      <c r="E95" s="5" t="s">
        <v>403</v>
      </c>
      <c r="F95" s="8">
        <v>60</v>
      </c>
      <c r="G95" s="8" t="str">
        <f>INDEX(编号表!$E:$E,MATCH(K95,编号表!$C:$C,0))</f>
        <v>白色</v>
      </c>
      <c r="H95" s="8">
        <v>5</v>
      </c>
      <c r="I95" s="8" t="s">
        <v>400</v>
      </c>
      <c r="J95" s="8" t="s">
        <v>400</v>
      </c>
      <c r="K95" s="8" t="s">
        <v>129</v>
      </c>
      <c r="L95" s="8">
        <v>91</v>
      </c>
      <c r="M95" s="8">
        <v>91</v>
      </c>
      <c r="N95" s="8"/>
      <c r="O95" s="8"/>
      <c r="P95" s="8">
        <v>10</v>
      </c>
      <c r="Q95" s="8">
        <v>150000</v>
      </c>
      <c r="R95" s="8"/>
      <c r="S95" s="8"/>
      <c r="T95" s="8">
        <v>1</v>
      </c>
      <c r="U95" s="16">
        <v>40010001</v>
      </c>
      <c r="V95" s="8"/>
      <c r="X95" s="8">
        <v>11000001</v>
      </c>
      <c r="Z95" s="8"/>
      <c r="AA95" s="8" t="s">
        <v>130</v>
      </c>
      <c r="AB95" s="21">
        <v>20070</v>
      </c>
      <c r="AC95" s="8">
        <v>0.7</v>
      </c>
      <c r="AD95" s="8">
        <v>80</v>
      </c>
      <c r="AE95" s="8">
        <v>80</v>
      </c>
      <c r="AF95" s="8">
        <v>40</v>
      </c>
      <c r="AG95" s="8">
        <v>40</v>
      </c>
      <c r="AH95" s="8" t="s">
        <v>131</v>
      </c>
      <c r="AJ95" s="17"/>
      <c r="AL95" s="18">
        <v>255</v>
      </c>
      <c r="AM95" s="8" t="s">
        <v>132</v>
      </c>
      <c r="AN95" s="19">
        <v>1500</v>
      </c>
      <c r="AO95" s="8" t="s">
        <v>133</v>
      </c>
      <c r="AP95" s="8">
        <v>8</v>
      </c>
      <c r="AQ95" s="8" t="s">
        <v>134</v>
      </c>
      <c r="AR95" s="8">
        <v>12</v>
      </c>
      <c r="AS95" s="8" t="s">
        <v>135</v>
      </c>
      <c r="AT95" s="8">
        <v>8</v>
      </c>
      <c r="AU95" s="8" t="s">
        <v>136</v>
      </c>
      <c r="AV95" s="8">
        <v>11</v>
      </c>
      <c r="AW95" s="8" t="s">
        <v>137</v>
      </c>
      <c r="AX95" s="8">
        <v>21</v>
      </c>
      <c r="AY95" s="8" t="s">
        <v>138</v>
      </c>
      <c r="AZ95" s="8">
        <v>29</v>
      </c>
      <c r="BA95" s="8" t="s">
        <v>139</v>
      </c>
      <c r="BB95" s="8">
        <v>21</v>
      </c>
      <c r="BC95" s="8" t="s">
        <v>140</v>
      </c>
      <c r="BD95" s="8">
        <v>29</v>
      </c>
      <c r="BE95" s="8" t="s">
        <v>139</v>
      </c>
      <c r="BF95" s="8">
        <v>0</v>
      </c>
      <c r="BG95" s="8" t="s">
        <v>140</v>
      </c>
      <c r="BH95" s="8">
        <v>0</v>
      </c>
      <c r="BI95" s="8" t="s">
        <v>141</v>
      </c>
      <c r="BJ95" s="8">
        <v>100</v>
      </c>
      <c r="BK95" s="8" t="s">
        <v>142</v>
      </c>
      <c r="BL95" s="8">
        <v>120</v>
      </c>
      <c r="BM95" s="8" t="s">
        <v>143</v>
      </c>
      <c r="BN95" s="8">
        <v>600</v>
      </c>
      <c r="BQ95" s="8">
        <v>1</v>
      </c>
      <c r="BR95" s="8">
        <v>2500</v>
      </c>
      <c r="BS95" s="8">
        <v>2</v>
      </c>
      <c r="BT95" s="8">
        <v>2500</v>
      </c>
      <c r="BU95" s="8" t="s">
        <v>144</v>
      </c>
      <c r="BV95">
        <v>6</v>
      </c>
      <c r="BW95">
        <v>10</v>
      </c>
    </row>
    <row r="96" ht="16.5" customHeight="1" spans="2:75">
      <c r="B96" s="8">
        <f>60000000+INDEX(编号表!$B:$B,MATCH(J96,编号表!$A:$A,0))*10000+INDEX(编号表!$B:$B,MATCH(K96,编号表!$C:$C,0))*1000+L96</f>
        <v>60191092</v>
      </c>
      <c r="C96" s="8" t="s">
        <v>404</v>
      </c>
      <c r="D96" s="5" t="s">
        <v>405</v>
      </c>
      <c r="E96" s="5" t="s">
        <v>406</v>
      </c>
      <c r="F96" s="8">
        <v>60</v>
      </c>
      <c r="G96" s="8" t="str">
        <f>INDEX(编号表!$E:$E,MATCH(K96,编号表!$C:$C,0))</f>
        <v>白色</v>
      </c>
      <c r="H96" s="8">
        <v>5</v>
      </c>
      <c r="I96" s="8" t="s">
        <v>400</v>
      </c>
      <c r="J96" s="8" t="s">
        <v>400</v>
      </c>
      <c r="K96" s="8" t="s">
        <v>129</v>
      </c>
      <c r="L96" s="8">
        <v>92</v>
      </c>
      <c r="M96" s="8">
        <v>92</v>
      </c>
      <c r="N96" s="8"/>
      <c r="O96" s="8"/>
      <c r="P96" s="8">
        <v>10</v>
      </c>
      <c r="Q96" s="8">
        <v>150000</v>
      </c>
      <c r="R96" s="8"/>
      <c r="S96" s="8"/>
      <c r="T96" s="8">
        <v>1</v>
      </c>
      <c r="U96" s="16">
        <v>40010001</v>
      </c>
      <c r="V96" s="8"/>
      <c r="X96" s="8">
        <v>11000001</v>
      </c>
      <c r="Z96" s="8"/>
      <c r="AA96" s="8" t="s">
        <v>130</v>
      </c>
      <c r="AB96" s="21">
        <v>20071</v>
      </c>
      <c r="AC96" s="8">
        <v>0.7</v>
      </c>
      <c r="AD96" s="8">
        <v>80</v>
      </c>
      <c r="AE96" s="8">
        <v>80</v>
      </c>
      <c r="AF96" s="8">
        <v>40</v>
      </c>
      <c r="AG96" s="8">
        <v>40</v>
      </c>
      <c r="AH96" s="8" t="s">
        <v>131</v>
      </c>
      <c r="AJ96" s="17"/>
      <c r="AL96" s="18">
        <v>255</v>
      </c>
      <c r="AM96" s="8" t="s">
        <v>132</v>
      </c>
      <c r="AN96" s="19">
        <v>1500</v>
      </c>
      <c r="AO96" s="8" t="s">
        <v>133</v>
      </c>
      <c r="AP96" s="8">
        <v>8</v>
      </c>
      <c r="AQ96" s="8" t="s">
        <v>134</v>
      </c>
      <c r="AR96" s="8">
        <v>12</v>
      </c>
      <c r="AS96" s="8" t="s">
        <v>135</v>
      </c>
      <c r="AT96" s="8">
        <v>8</v>
      </c>
      <c r="AU96" s="8" t="s">
        <v>136</v>
      </c>
      <c r="AV96" s="8">
        <v>11</v>
      </c>
      <c r="AW96" s="8" t="s">
        <v>137</v>
      </c>
      <c r="AX96" s="8">
        <v>21</v>
      </c>
      <c r="AY96" s="8" t="s">
        <v>138</v>
      </c>
      <c r="AZ96" s="8">
        <v>29</v>
      </c>
      <c r="BA96" s="8" t="s">
        <v>139</v>
      </c>
      <c r="BB96" s="8">
        <v>21</v>
      </c>
      <c r="BC96" s="8" t="s">
        <v>140</v>
      </c>
      <c r="BD96" s="8">
        <v>29</v>
      </c>
      <c r="BE96" s="8" t="s">
        <v>139</v>
      </c>
      <c r="BF96" s="8">
        <v>0</v>
      </c>
      <c r="BG96" s="8" t="s">
        <v>140</v>
      </c>
      <c r="BH96" s="8">
        <v>0</v>
      </c>
      <c r="BI96" s="8" t="s">
        <v>141</v>
      </c>
      <c r="BJ96" s="8">
        <v>100</v>
      </c>
      <c r="BK96" s="8" t="s">
        <v>142</v>
      </c>
      <c r="BL96" s="8">
        <v>120</v>
      </c>
      <c r="BM96" s="8" t="s">
        <v>143</v>
      </c>
      <c r="BN96" s="8">
        <v>600</v>
      </c>
      <c r="BQ96" s="8">
        <v>1</v>
      </c>
      <c r="BR96" s="8">
        <v>2500</v>
      </c>
      <c r="BS96" s="8">
        <v>2</v>
      </c>
      <c r="BT96" s="8">
        <v>2500</v>
      </c>
      <c r="BU96" s="8" t="s">
        <v>144</v>
      </c>
      <c r="BV96">
        <v>6</v>
      </c>
      <c r="BW96">
        <v>10</v>
      </c>
    </row>
    <row r="97" ht="16.5" customHeight="1" spans="2:75">
      <c r="B97" s="8">
        <f>60000000+INDEX(编号表!$B:$B,MATCH(J97,编号表!$A:$A,0))*10000+INDEX(编号表!$B:$B,MATCH(K97,编号表!$C:$C,0))*1000+L97</f>
        <v>60191093</v>
      </c>
      <c r="C97" s="8" t="s">
        <v>407</v>
      </c>
      <c r="D97" s="5" t="s">
        <v>408</v>
      </c>
      <c r="E97" s="5" t="s">
        <v>409</v>
      </c>
      <c r="F97" s="8">
        <v>60</v>
      </c>
      <c r="G97" s="8" t="str">
        <f>INDEX(编号表!$E:$E,MATCH(K97,编号表!$C:$C,0))</f>
        <v>白色</v>
      </c>
      <c r="H97" s="8">
        <v>5</v>
      </c>
      <c r="I97" s="8" t="s">
        <v>400</v>
      </c>
      <c r="J97" s="8" t="s">
        <v>400</v>
      </c>
      <c r="K97" s="8" t="s">
        <v>129</v>
      </c>
      <c r="L97" s="8">
        <v>93</v>
      </c>
      <c r="M97" s="8">
        <v>93</v>
      </c>
      <c r="N97" s="8"/>
      <c r="O97" s="8"/>
      <c r="P97" s="8">
        <v>10</v>
      </c>
      <c r="Q97" s="8">
        <v>150000</v>
      </c>
      <c r="R97" s="8"/>
      <c r="S97" s="8"/>
      <c r="T97" s="8">
        <v>1</v>
      </c>
      <c r="U97" s="16">
        <v>40010001</v>
      </c>
      <c r="V97" s="8"/>
      <c r="X97" s="8">
        <v>11000001</v>
      </c>
      <c r="Z97" s="8"/>
      <c r="AA97" s="8" t="s">
        <v>130</v>
      </c>
      <c r="AB97" s="21">
        <v>20072</v>
      </c>
      <c r="AC97" s="8">
        <v>0.7</v>
      </c>
      <c r="AD97" s="8">
        <v>80</v>
      </c>
      <c r="AE97" s="8">
        <v>80</v>
      </c>
      <c r="AF97" s="8">
        <v>40</v>
      </c>
      <c r="AG97" s="8">
        <v>40</v>
      </c>
      <c r="AH97" s="8" t="s">
        <v>131</v>
      </c>
      <c r="AJ97" s="17"/>
      <c r="AL97" s="18">
        <v>255</v>
      </c>
      <c r="AM97" s="8" t="s">
        <v>132</v>
      </c>
      <c r="AN97" s="19">
        <v>1500</v>
      </c>
      <c r="AO97" s="8" t="s">
        <v>133</v>
      </c>
      <c r="AP97" s="8">
        <v>8</v>
      </c>
      <c r="AQ97" s="8" t="s">
        <v>134</v>
      </c>
      <c r="AR97" s="8">
        <v>12</v>
      </c>
      <c r="AS97" s="8" t="s">
        <v>135</v>
      </c>
      <c r="AT97" s="8">
        <v>8</v>
      </c>
      <c r="AU97" s="8" t="s">
        <v>136</v>
      </c>
      <c r="AV97" s="8">
        <v>11</v>
      </c>
      <c r="AW97" s="8" t="s">
        <v>137</v>
      </c>
      <c r="AX97" s="8">
        <v>21</v>
      </c>
      <c r="AY97" s="8" t="s">
        <v>138</v>
      </c>
      <c r="AZ97" s="8">
        <v>29</v>
      </c>
      <c r="BA97" s="8" t="s">
        <v>139</v>
      </c>
      <c r="BB97" s="8">
        <v>21</v>
      </c>
      <c r="BC97" s="8" t="s">
        <v>140</v>
      </c>
      <c r="BD97" s="8">
        <v>29</v>
      </c>
      <c r="BE97" s="8" t="s">
        <v>139</v>
      </c>
      <c r="BF97" s="8">
        <v>0</v>
      </c>
      <c r="BG97" s="8" t="s">
        <v>140</v>
      </c>
      <c r="BH97" s="8">
        <v>0</v>
      </c>
      <c r="BI97" s="8" t="s">
        <v>141</v>
      </c>
      <c r="BJ97" s="8">
        <v>100</v>
      </c>
      <c r="BK97" s="8" t="s">
        <v>142</v>
      </c>
      <c r="BL97" s="8">
        <v>120</v>
      </c>
      <c r="BM97" s="8" t="s">
        <v>143</v>
      </c>
      <c r="BN97" s="8">
        <v>600</v>
      </c>
      <c r="BQ97" s="8">
        <v>1</v>
      </c>
      <c r="BR97" s="8">
        <v>2500</v>
      </c>
      <c r="BS97" s="8">
        <v>2</v>
      </c>
      <c r="BT97" s="8">
        <v>2500</v>
      </c>
      <c r="BU97" s="8" t="s">
        <v>144</v>
      </c>
      <c r="BV97">
        <v>6</v>
      </c>
      <c r="BW97">
        <v>10</v>
      </c>
    </row>
    <row r="98" ht="16.5" customHeight="1" spans="2:75">
      <c r="B98" s="8">
        <f>60000000+INDEX(编号表!$B:$B,MATCH(J98,编号表!$A:$A,0))*10000+INDEX(编号表!$B:$B,MATCH(K98,编号表!$C:$C,0))*1000+L98</f>
        <v>60192094</v>
      </c>
      <c r="C98" s="8" t="s">
        <v>410</v>
      </c>
      <c r="D98" s="5" t="s">
        <v>408</v>
      </c>
      <c r="E98" s="5" t="s">
        <v>409</v>
      </c>
      <c r="F98" s="8">
        <v>60</v>
      </c>
      <c r="G98" s="8" t="str">
        <f>INDEX(编号表!$E:$E,MATCH(K98,编号表!$C:$C,0))</f>
        <v>绿色</v>
      </c>
      <c r="H98" s="8">
        <v>5</v>
      </c>
      <c r="I98" s="8" t="s">
        <v>400</v>
      </c>
      <c r="J98" s="8" t="s">
        <v>400</v>
      </c>
      <c r="K98" s="8" t="s">
        <v>196</v>
      </c>
      <c r="L98" s="8">
        <v>94</v>
      </c>
      <c r="M98" s="8">
        <v>94</v>
      </c>
      <c r="N98" s="8"/>
      <c r="O98" s="8"/>
      <c r="P98" s="8">
        <v>10</v>
      </c>
      <c r="Q98" s="8">
        <v>150000</v>
      </c>
      <c r="R98" s="8"/>
      <c r="S98" s="8"/>
      <c r="T98" s="8">
        <v>1</v>
      </c>
      <c r="U98" s="16">
        <v>40010001</v>
      </c>
      <c r="V98" s="8"/>
      <c r="X98" s="8">
        <v>11000001</v>
      </c>
      <c r="Z98" s="8"/>
      <c r="AA98" s="8" t="s">
        <v>130</v>
      </c>
      <c r="AB98" s="21">
        <v>20072</v>
      </c>
      <c r="AC98" s="8">
        <v>0.7</v>
      </c>
      <c r="AD98" s="8">
        <v>80</v>
      </c>
      <c r="AE98" s="8">
        <v>80</v>
      </c>
      <c r="AF98" s="8">
        <v>40</v>
      </c>
      <c r="AG98" s="8">
        <v>40</v>
      </c>
      <c r="AH98" s="8" t="s">
        <v>131</v>
      </c>
      <c r="AJ98" s="17"/>
      <c r="AL98" s="18">
        <v>255</v>
      </c>
      <c r="AM98" s="8" t="s">
        <v>132</v>
      </c>
      <c r="AN98" s="19">
        <v>1500</v>
      </c>
      <c r="AO98" s="8" t="s">
        <v>133</v>
      </c>
      <c r="AP98" s="8">
        <v>8</v>
      </c>
      <c r="AQ98" s="8" t="s">
        <v>134</v>
      </c>
      <c r="AR98" s="8">
        <v>12</v>
      </c>
      <c r="AS98" s="8" t="s">
        <v>135</v>
      </c>
      <c r="AT98" s="8">
        <v>8</v>
      </c>
      <c r="AU98" s="8" t="s">
        <v>136</v>
      </c>
      <c r="AV98" s="8">
        <v>11</v>
      </c>
      <c r="AW98" s="8" t="s">
        <v>137</v>
      </c>
      <c r="AX98" s="8">
        <v>21</v>
      </c>
      <c r="AY98" s="8" t="s">
        <v>138</v>
      </c>
      <c r="AZ98" s="8">
        <v>29</v>
      </c>
      <c r="BA98" s="8" t="s">
        <v>139</v>
      </c>
      <c r="BB98" s="8">
        <v>21</v>
      </c>
      <c r="BC98" s="8" t="s">
        <v>140</v>
      </c>
      <c r="BD98" s="8">
        <v>29</v>
      </c>
      <c r="BE98" s="8" t="s">
        <v>139</v>
      </c>
      <c r="BF98" s="8">
        <v>0</v>
      </c>
      <c r="BG98" s="8" t="s">
        <v>140</v>
      </c>
      <c r="BH98" s="8">
        <v>0</v>
      </c>
      <c r="BI98" s="8" t="s">
        <v>141</v>
      </c>
      <c r="BJ98" s="8">
        <v>100</v>
      </c>
      <c r="BK98" s="8" t="s">
        <v>142</v>
      </c>
      <c r="BL98" s="8">
        <v>120</v>
      </c>
      <c r="BM98" s="8" t="s">
        <v>143</v>
      </c>
      <c r="BN98" s="8">
        <v>600</v>
      </c>
      <c r="BQ98" s="8">
        <v>1</v>
      </c>
      <c r="BR98" s="8">
        <v>2500</v>
      </c>
      <c r="BS98" s="8">
        <v>2</v>
      </c>
      <c r="BT98" s="8">
        <v>2500</v>
      </c>
      <c r="BU98" s="8" t="s">
        <v>144</v>
      </c>
      <c r="BV98">
        <v>6</v>
      </c>
      <c r="BW98">
        <v>10</v>
      </c>
    </row>
    <row r="99" ht="16.5" customHeight="1" spans="2:75">
      <c r="B99" s="8">
        <f>60000000+INDEX(编号表!$B:$B,MATCH(J99,编号表!$A:$A,0))*10000+INDEX(编号表!$B:$B,MATCH(K99,编号表!$C:$C,0))*1000+L99</f>
        <v>60201095</v>
      </c>
      <c r="C99" s="8" t="s">
        <v>411</v>
      </c>
      <c r="D99" s="5" t="s">
        <v>412</v>
      </c>
      <c r="E99" s="5" t="s">
        <v>413</v>
      </c>
      <c r="F99" s="8">
        <v>60</v>
      </c>
      <c r="G99" s="8" t="str">
        <f>INDEX(编号表!$E:$E,MATCH(K99,编号表!$C:$C,0))</f>
        <v>白色</v>
      </c>
      <c r="H99" s="8">
        <v>5</v>
      </c>
      <c r="I99" s="8" t="s">
        <v>414</v>
      </c>
      <c r="J99" s="8" t="s">
        <v>414</v>
      </c>
      <c r="K99" s="8" t="s">
        <v>129</v>
      </c>
      <c r="L99" s="8">
        <v>95</v>
      </c>
      <c r="M99" s="8">
        <v>95</v>
      </c>
      <c r="N99" s="8"/>
      <c r="O99" s="8"/>
      <c r="P99" s="8">
        <v>10</v>
      </c>
      <c r="Q99" s="8">
        <v>150000</v>
      </c>
      <c r="R99" s="8"/>
      <c r="S99" s="8"/>
      <c r="T99" s="8">
        <v>1</v>
      </c>
      <c r="U99" s="16">
        <v>40010001</v>
      </c>
      <c r="V99" s="8"/>
      <c r="X99" s="8">
        <v>11000001</v>
      </c>
      <c r="Z99" s="8"/>
      <c r="AA99" s="8" t="s">
        <v>130</v>
      </c>
      <c r="AB99" s="21">
        <v>20073</v>
      </c>
      <c r="AC99" s="8">
        <v>0.7</v>
      </c>
      <c r="AD99" s="8">
        <v>80</v>
      </c>
      <c r="AE99" s="8">
        <v>80</v>
      </c>
      <c r="AF99" s="8">
        <v>40</v>
      </c>
      <c r="AG99" s="8">
        <v>40</v>
      </c>
      <c r="AH99" s="8" t="s">
        <v>131</v>
      </c>
      <c r="AJ99" s="17"/>
      <c r="AL99" s="18">
        <v>255</v>
      </c>
      <c r="AM99" s="8" t="s">
        <v>132</v>
      </c>
      <c r="AN99" s="19">
        <v>1500</v>
      </c>
      <c r="AO99" s="8" t="s">
        <v>133</v>
      </c>
      <c r="AP99" s="8">
        <v>8</v>
      </c>
      <c r="AQ99" s="8" t="s">
        <v>134</v>
      </c>
      <c r="AR99" s="8">
        <v>12</v>
      </c>
      <c r="AS99" s="8" t="s">
        <v>135</v>
      </c>
      <c r="AT99" s="8">
        <v>8</v>
      </c>
      <c r="AU99" s="8" t="s">
        <v>136</v>
      </c>
      <c r="AV99" s="8">
        <v>11</v>
      </c>
      <c r="AW99" s="8" t="s">
        <v>137</v>
      </c>
      <c r="AX99" s="8">
        <v>21</v>
      </c>
      <c r="AY99" s="8" t="s">
        <v>138</v>
      </c>
      <c r="AZ99" s="8">
        <v>29</v>
      </c>
      <c r="BA99" s="8" t="s">
        <v>139</v>
      </c>
      <c r="BB99" s="8">
        <v>21</v>
      </c>
      <c r="BC99" s="8" t="s">
        <v>140</v>
      </c>
      <c r="BD99" s="8">
        <v>29</v>
      </c>
      <c r="BE99" s="8" t="s">
        <v>139</v>
      </c>
      <c r="BF99" s="8">
        <v>0</v>
      </c>
      <c r="BG99" s="8" t="s">
        <v>140</v>
      </c>
      <c r="BH99" s="8">
        <v>0</v>
      </c>
      <c r="BI99" s="8" t="s">
        <v>141</v>
      </c>
      <c r="BJ99" s="8">
        <v>100</v>
      </c>
      <c r="BK99" s="8" t="s">
        <v>142</v>
      </c>
      <c r="BL99" s="8">
        <v>120</v>
      </c>
      <c r="BM99" s="8" t="s">
        <v>143</v>
      </c>
      <c r="BN99" s="8">
        <v>600</v>
      </c>
      <c r="BQ99" s="8">
        <v>1</v>
      </c>
      <c r="BR99" s="8">
        <v>2500</v>
      </c>
      <c r="BS99" s="8">
        <v>2</v>
      </c>
      <c r="BT99" s="8">
        <v>2500</v>
      </c>
      <c r="BU99" s="8" t="s">
        <v>144</v>
      </c>
      <c r="BV99">
        <v>6</v>
      </c>
      <c r="BW99">
        <v>10</v>
      </c>
    </row>
    <row r="100" ht="16.5" customHeight="1" spans="2:75">
      <c r="B100" s="8">
        <f>60000000+INDEX(编号表!$B:$B,MATCH(J100,编号表!$A:$A,0))*10000+INDEX(编号表!$B:$B,MATCH(K100,编号表!$C:$C,0))*1000+L100</f>
        <v>60201096</v>
      </c>
      <c r="C100" s="8" t="s">
        <v>415</v>
      </c>
      <c r="D100" s="5" t="s">
        <v>416</v>
      </c>
      <c r="E100" s="5" t="s">
        <v>417</v>
      </c>
      <c r="F100" s="8">
        <v>60</v>
      </c>
      <c r="G100" s="8" t="str">
        <f>INDEX(编号表!$E:$E,MATCH(K100,编号表!$C:$C,0))</f>
        <v>白色</v>
      </c>
      <c r="H100" s="8">
        <v>5</v>
      </c>
      <c r="I100" s="8" t="s">
        <v>414</v>
      </c>
      <c r="J100" s="8" t="s">
        <v>414</v>
      </c>
      <c r="K100" s="8" t="s">
        <v>129</v>
      </c>
      <c r="L100" s="8">
        <v>96</v>
      </c>
      <c r="M100" s="8">
        <v>96</v>
      </c>
      <c r="N100" s="8"/>
      <c r="O100" s="8"/>
      <c r="P100" s="8">
        <v>10</v>
      </c>
      <c r="Q100" s="8">
        <v>150000</v>
      </c>
      <c r="R100" s="8"/>
      <c r="S100" s="8"/>
      <c r="T100" s="8">
        <v>1</v>
      </c>
      <c r="U100" s="16">
        <v>40010001</v>
      </c>
      <c r="V100" s="8"/>
      <c r="X100" s="8">
        <v>11000249</v>
      </c>
      <c r="Z100" s="8"/>
      <c r="AA100" s="8" t="s">
        <v>130</v>
      </c>
      <c r="AB100" s="21">
        <v>20074</v>
      </c>
      <c r="AC100" s="8">
        <v>0.7</v>
      </c>
      <c r="AD100" s="8">
        <v>80</v>
      </c>
      <c r="AE100" s="8">
        <v>80</v>
      </c>
      <c r="AF100" s="8">
        <v>40</v>
      </c>
      <c r="AG100" s="8">
        <v>40</v>
      </c>
      <c r="AH100" s="8" t="s">
        <v>160</v>
      </c>
      <c r="AI100">
        <v>30069</v>
      </c>
      <c r="AJ100" s="17"/>
      <c r="AL100" s="18">
        <v>255</v>
      </c>
      <c r="AM100" s="8" t="s">
        <v>132</v>
      </c>
      <c r="AN100" s="19">
        <v>1500</v>
      </c>
      <c r="AO100" s="8" t="s">
        <v>133</v>
      </c>
      <c r="AP100" s="8">
        <v>8</v>
      </c>
      <c r="AQ100" s="8" t="s">
        <v>134</v>
      </c>
      <c r="AR100" s="8">
        <v>12</v>
      </c>
      <c r="AS100" s="8" t="s">
        <v>135</v>
      </c>
      <c r="AT100" s="8">
        <v>8</v>
      </c>
      <c r="AU100" s="8" t="s">
        <v>136</v>
      </c>
      <c r="AV100" s="8">
        <v>11</v>
      </c>
      <c r="AW100" s="8" t="s">
        <v>137</v>
      </c>
      <c r="AX100" s="8">
        <v>21</v>
      </c>
      <c r="AY100" s="8" t="s">
        <v>138</v>
      </c>
      <c r="AZ100" s="8">
        <v>29</v>
      </c>
      <c r="BA100" s="8" t="s">
        <v>139</v>
      </c>
      <c r="BB100" s="8">
        <v>21</v>
      </c>
      <c r="BC100" s="8" t="s">
        <v>140</v>
      </c>
      <c r="BD100" s="8">
        <v>29</v>
      </c>
      <c r="BE100" s="8" t="s">
        <v>139</v>
      </c>
      <c r="BF100" s="8">
        <v>0</v>
      </c>
      <c r="BG100" s="8" t="s">
        <v>140</v>
      </c>
      <c r="BH100" s="8">
        <v>0</v>
      </c>
      <c r="BI100" s="8" t="s">
        <v>141</v>
      </c>
      <c r="BJ100" s="8">
        <v>100</v>
      </c>
      <c r="BK100" s="8" t="s">
        <v>142</v>
      </c>
      <c r="BL100" s="8">
        <v>600</v>
      </c>
      <c r="BM100" s="8" t="s">
        <v>143</v>
      </c>
      <c r="BN100" s="8">
        <v>800</v>
      </c>
      <c r="BQ100" s="8">
        <v>1</v>
      </c>
      <c r="BR100" s="8">
        <v>2500</v>
      </c>
      <c r="BS100" s="8">
        <v>2</v>
      </c>
      <c r="BT100" s="8">
        <v>2500</v>
      </c>
      <c r="BU100" s="8" t="s">
        <v>144</v>
      </c>
      <c r="BV100">
        <v>6</v>
      </c>
      <c r="BW100">
        <v>10</v>
      </c>
    </row>
    <row r="101" ht="16.5" customHeight="1" spans="2:75">
      <c r="B101" s="8">
        <f>60000000+INDEX(编号表!$B:$B,MATCH(J101,编号表!$A:$A,0))*10000+INDEX(编号表!$B:$B,MATCH(K101,编号表!$C:$C,0))*1000+L101</f>
        <v>60201097</v>
      </c>
      <c r="C101" s="8" t="s">
        <v>418</v>
      </c>
      <c r="D101" s="5" t="s">
        <v>419</v>
      </c>
      <c r="E101" s="5" t="s">
        <v>420</v>
      </c>
      <c r="F101" s="8">
        <v>60</v>
      </c>
      <c r="G101" s="8" t="str">
        <f>INDEX(编号表!$E:$E,MATCH(K101,编号表!$C:$C,0))</f>
        <v>白色</v>
      </c>
      <c r="H101" s="8">
        <v>5</v>
      </c>
      <c r="I101" s="8" t="s">
        <v>414</v>
      </c>
      <c r="J101" s="8" t="s">
        <v>414</v>
      </c>
      <c r="K101" s="8" t="s">
        <v>129</v>
      </c>
      <c r="L101" s="8">
        <v>97</v>
      </c>
      <c r="M101" s="8">
        <v>97</v>
      </c>
      <c r="N101" s="8"/>
      <c r="O101" s="8"/>
      <c r="P101" s="8">
        <v>10</v>
      </c>
      <c r="Q101" s="8">
        <v>150000</v>
      </c>
      <c r="R101" s="8"/>
      <c r="S101" s="8"/>
      <c r="T101" s="8">
        <v>1</v>
      </c>
      <c r="U101" s="16">
        <v>40010001</v>
      </c>
      <c r="V101" s="8"/>
      <c r="X101" s="8">
        <v>11000001</v>
      </c>
      <c r="Z101" s="8"/>
      <c r="AA101" s="8" t="s">
        <v>130</v>
      </c>
      <c r="AB101" s="21">
        <v>20075</v>
      </c>
      <c r="AC101" s="8">
        <v>0.7</v>
      </c>
      <c r="AD101" s="8">
        <v>80</v>
      </c>
      <c r="AE101" s="8">
        <v>80</v>
      </c>
      <c r="AF101" s="8">
        <v>40</v>
      </c>
      <c r="AG101" s="8">
        <v>40</v>
      </c>
      <c r="AH101" s="8" t="s">
        <v>131</v>
      </c>
      <c r="AJ101" s="17"/>
      <c r="AL101" s="18">
        <v>255</v>
      </c>
      <c r="AM101" s="8" t="s">
        <v>132</v>
      </c>
      <c r="AN101" s="19">
        <v>1500</v>
      </c>
      <c r="AO101" s="8" t="s">
        <v>133</v>
      </c>
      <c r="AP101" s="8">
        <v>8</v>
      </c>
      <c r="AQ101" s="8" t="s">
        <v>134</v>
      </c>
      <c r="AR101" s="8">
        <v>12</v>
      </c>
      <c r="AS101" s="8" t="s">
        <v>135</v>
      </c>
      <c r="AT101" s="8">
        <v>8</v>
      </c>
      <c r="AU101" s="8" t="s">
        <v>136</v>
      </c>
      <c r="AV101" s="8">
        <v>11</v>
      </c>
      <c r="AW101" s="8" t="s">
        <v>137</v>
      </c>
      <c r="AX101" s="8">
        <v>21</v>
      </c>
      <c r="AY101" s="8" t="s">
        <v>138</v>
      </c>
      <c r="AZ101" s="8">
        <v>29</v>
      </c>
      <c r="BA101" s="8" t="s">
        <v>139</v>
      </c>
      <c r="BB101" s="8">
        <v>21</v>
      </c>
      <c r="BC101" s="8" t="s">
        <v>140</v>
      </c>
      <c r="BD101" s="8">
        <v>29</v>
      </c>
      <c r="BE101" s="8" t="s">
        <v>139</v>
      </c>
      <c r="BF101" s="8">
        <v>0</v>
      </c>
      <c r="BG101" s="8" t="s">
        <v>140</v>
      </c>
      <c r="BH101" s="8">
        <v>0</v>
      </c>
      <c r="BI101" s="8" t="s">
        <v>141</v>
      </c>
      <c r="BJ101" s="8">
        <v>100</v>
      </c>
      <c r="BK101" s="8" t="s">
        <v>142</v>
      </c>
      <c r="BL101" s="8">
        <v>120</v>
      </c>
      <c r="BM101" s="8" t="s">
        <v>143</v>
      </c>
      <c r="BN101" s="8">
        <v>600</v>
      </c>
      <c r="BQ101" s="8">
        <v>1</v>
      </c>
      <c r="BR101" s="8">
        <v>2500</v>
      </c>
      <c r="BS101" s="8">
        <v>2</v>
      </c>
      <c r="BT101" s="8">
        <v>2500</v>
      </c>
      <c r="BU101" s="8" t="s">
        <v>144</v>
      </c>
      <c r="BV101">
        <v>6</v>
      </c>
      <c r="BW101">
        <v>10</v>
      </c>
    </row>
    <row r="102" ht="16.5" customHeight="1" spans="2:75">
      <c r="B102" s="8">
        <f>60000000+INDEX(编号表!$B:$B,MATCH(J102,编号表!$A:$A,0))*10000+INDEX(编号表!$B:$B,MATCH(K102,编号表!$C:$C,0))*1000+L102</f>
        <v>60202098</v>
      </c>
      <c r="C102" s="8" t="s">
        <v>421</v>
      </c>
      <c r="D102" s="5" t="s">
        <v>419</v>
      </c>
      <c r="E102" s="5" t="s">
        <v>420</v>
      </c>
      <c r="F102" s="8">
        <v>60</v>
      </c>
      <c r="G102" s="8" t="str">
        <f>INDEX(编号表!$E:$E,MATCH(K102,编号表!$C:$C,0))</f>
        <v>绿色</v>
      </c>
      <c r="H102" s="8">
        <v>5</v>
      </c>
      <c r="I102" s="8" t="s">
        <v>414</v>
      </c>
      <c r="J102" s="8" t="s">
        <v>414</v>
      </c>
      <c r="K102" s="8" t="s">
        <v>196</v>
      </c>
      <c r="L102" s="8">
        <v>98</v>
      </c>
      <c r="M102" s="8">
        <v>98</v>
      </c>
      <c r="N102" s="8"/>
      <c r="O102" s="8"/>
      <c r="P102" s="8">
        <v>10</v>
      </c>
      <c r="Q102" s="8">
        <v>150000</v>
      </c>
      <c r="R102" s="8"/>
      <c r="S102" s="8"/>
      <c r="T102" s="8">
        <v>1</v>
      </c>
      <c r="U102" s="16">
        <v>40010001</v>
      </c>
      <c r="V102" s="8"/>
      <c r="X102" s="8">
        <v>11000001</v>
      </c>
      <c r="Z102" s="8"/>
      <c r="AA102" s="8" t="s">
        <v>130</v>
      </c>
      <c r="AB102" s="21">
        <v>20075</v>
      </c>
      <c r="AC102" s="8">
        <v>0.7</v>
      </c>
      <c r="AD102" s="8">
        <v>80</v>
      </c>
      <c r="AE102" s="8">
        <v>80</v>
      </c>
      <c r="AF102" s="8">
        <v>40</v>
      </c>
      <c r="AG102" s="8">
        <v>40</v>
      </c>
      <c r="AH102" s="8" t="s">
        <v>131</v>
      </c>
      <c r="AJ102" s="17"/>
      <c r="AL102" s="18">
        <v>255</v>
      </c>
      <c r="AM102" s="8" t="s">
        <v>132</v>
      </c>
      <c r="AN102" s="19">
        <v>1500</v>
      </c>
      <c r="AO102" s="8" t="s">
        <v>133</v>
      </c>
      <c r="AP102" s="8">
        <v>8</v>
      </c>
      <c r="AQ102" s="8" t="s">
        <v>134</v>
      </c>
      <c r="AR102" s="8">
        <v>12</v>
      </c>
      <c r="AS102" s="8" t="s">
        <v>135</v>
      </c>
      <c r="AT102" s="8">
        <v>8</v>
      </c>
      <c r="AU102" s="8" t="s">
        <v>136</v>
      </c>
      <c r="AV102" s="8">
        <v>11</v>
      </c>
      <c r="AW102" s="8" t="s">
        <v>137</v>
      </c>
      <c r="AX102" s="8">
        <v>21</v>
      </c>
      <c r="AY102" s="8" t="s">
        <v>138</v>
      </c>
      <c r="AZ102" s="8">
        <v>29</v>
      </c>
      <c r="BA102" s="8" t="s">
        <v>139</v>
      </c>
      <c r="BB102" s="8">
        <v>21</v>
      </c>
      <c r="BC102" s="8" t="s">
        <v>140</v>
      </c>
      <c r="BD102" s="8">
        <v>29</v>
      </c>
      <c r="BE102" s="8" t="s">
        <v>139</v>
      </c>
      <c r="BF102" s="8">
        <v>0</v>
      </c>
      <c r="BG102" s="8" t="s">
        <v>140</v>
      </c>
      <c r="BH102" s="8">
        <v>0</v>
      </c>
      <c r="BI102" s="8" t="s">
        <v>141</v>
      </c>
      <c r="BJ102" s="8">
        <v>100</v>
      </c>
      <c r="BK102" s="8" t="s">
        <v>142</v>
      </c>
      <c r="BL102" s="8">
        <v>120</v>
      </c>
      <c r="BM102" s="8" t="s">
        <v>143</v>
      </c>
      <c r="BN102" s="8">
        <v>600</v>
      </c>
      <c r="BQ102" s="8">
        <v>1</v>
      </c>
      <c r="BR102" s="8">
        <v>2500</v>
      </c>
      <c r="BS102" s="8">
        <v>2</v>
      </c>
      <c r="BT102" s="8">
        <v>2500</v>
      </c>
      <c r="BU102" s="8" t="s">
        <v>144</v>
      </c>
      <c r="BV102">
        <v>6</v>
      </c>
      <c r="BW102">
        <v>10</v>
      </c>
    </row>
    <row r="103" ht="16.5" customHeight="1" spans="2:75">
      <c r="B103" s="8">
        <f>60000000+INDEX(编号表!$B:$B,MATCH(J103,编号表!$A:$A,0))*10000+INDEX(编号表!$B:$B,MATCH(K103,编号表!$C:$C,0))*1000+L103</f>
        <v>60204099</v>
      </c>
      <c r="C103" s="8" t="s">
        <v>422</v>
      </c>
      <c r="D103" s="5" t="s">
        <v>423</v>
      </c>
      <c r="E103" s="5" t="s">
        <v>424</v>
      </c>
      <c r="F103" s="8">
        <v>60</v>
      </c>
      <c r="G103" s="8" t="str">
        <f>INDEX(编号表!$E:$E,MATCH(K103,编号表!$C:$C,0))</f>
        <v>橙色</v>
      </c>
      <c r="H103" s="8">
        <v>5</v>
      </c>
      <c r="I103" s="8" t="s">
        <v>414</v>
      </c>
      <c r="J103" s="8" t="s">
        <v>414</v>
      </c>
      <c r="K103" s="8" t="s">
        <v>246</v>
      </c>
      <c r="L103" s="8">
        <v>99</v>
      </c>
      <c r="M103" s="8">
        <v>99</v>
      </c>
      <c r="N103" s="8"/>
      <c r="O103" s="8"/>
      <c r="P103" s="8">
        <v>10</v>
      </c>
      <c r="Q103" s="8">
        <v>150000</v>
      </c>
      <c r="R103" s="8"/>
      <c r="S103" s="8"/>
      <c r="T103" s="8">
        <v>1</v>
      </c>
      <c r="U103" s="16">
        <v>40010001</v>
      </c>
      <c r="V103" s="8"/>
      <c r="X103" s="8">
        <v>11000001</v>
      </c>
      <c r="Z103" s="8"/>
      <c r="AA103" s="8" t="s">
        <v>130</v>
      </c>
      <c r="AB103" s="21">
        <v>20076</v>
      </c>
      <c r="AC103" s="8">
        <v>0.7</v>
      </c>
      <c r="AD103" s="8">
        <v>80</v>
      </c>
      <c r="AE103" s="8">
        <v>80</v>
      </c>
      <c r="AF103" s="8">
        <v>40</v>
      </c>
      <c r="AG103" s="8">
        <v>40</v>
      </c>
      <c r="AH103" s="8" t="s">
        <v>131</v>
      </c>
      <c r="AJ103" s="17"/>
      <c r="AL103" s="18">
        <v>255</v>
      </c>
      <c r="AM103" s="8" t="s">
        <v>132</v>
      </c>
      <c r="AN103" s="19">
        <v>1500</v>
      </c>
      <c r="AO103" s="8" t="s">
        <v>133</v>
      </c>
      <c r="AP103" s="8">
        <v>8</v>
      </c>
      <c r="AQ103" s="8" t="s">
        <v>134</v>
      </c>
      <c r="AR103" s="8">
        <v>12</v>
      </c>
      <c r="AS103" s="8" t="s">
        <v>135</v>
      </c>
      <c r="AT103" s="8">
        <v>8</v>
      </c>
      <c r="AU103" s="8" t="s">
        <v>136</v>
      </c>
      <c r="AV103" s="8">
        <v>11</v>
      </c>
      <c r="AW103" s="8" t="s">
        <v>137</v>
      </c>
      <c r="AX103" s="8">
        <v>21</v>
      </c>
      <c r="AY103" s="8" t="s">
        <v>138</v>
      </c>
      <c r="AZ103" s="8">
        <v>29</v>
      </c>
      <c r="BA103" s="8" t="s">
        <v>139</v>
      </c>
      <c r="BB103" s="8">
        <v>21</v>
      </c>
      <c r="BC103" s="8" t="s">
        <v>140</v>
      </c>
      <c r="BD103" s="8">
        <v>29</v>
      </c>
      <c r="BE103" s="8" t="s">
        <v>139</v>
      </c>
      <c r="BF103" s="8">
        <v>0</v>
      </c>
      <c r="BG103" s="8" t="s">
        <v>140</v>
      </c>
      <c r="BH103" s="8">
        <v>0</v>
      </c>
      <c r="BI103" s="8" t="s">
        <v>141</v>
      </c>
      <c r="BJ103" s="8">
        <v>100</v>
      </c>
      <c r="BK103" s="8" t="s">
        <v>142</v>
      </c>
      <c r="BL103" s="8">
        <v>120</v>
      </c>
      <c r="BM103" s="8" t="s">
        <v>143</v>
      </c>
      <c r="BN103" s="8">
        <v>600</v>
      </c>
      <c r="BQ103" s="8">
        <v>1</v>
      </c>
      <c r="BR103" s="8">
        <v>2500</v>
      </c>
      <c r="BS103" s="8">
        <v>2</v>
      </c>
      <c r="BT103" s="8">
        <v>2500</v>
      </c>
      <c r="BU103" s="8" t="s">
        <v>144</v>
      </c>
      <c r="BV103">
        <v>6</v>
      </c>
      <c r="BW103">
        <v>10</v>
      </c>
    </row>
    <row r="104" ht="16.5" customHeight="1" spans="2:75">
      <c r="B104" s="8">
        <f>60000000+INDEX(编号表!$B:$B,MATCH(J104,编号表!$A:$A,0))*10000+INDEX(编号表!$B:$B,MATCH(K104,编号表!$C:$C,0))*1000+L104</f>
        <v>60211100</v>
      </c>
      <c r="C104" s="8" t="s">
        <v>425</v>
      </c>
      <c r="D104" s="5" t="s">
        <v>426</v>
      </c>
      <c r="E104" s="5" t="s">
        <v>427</v>
      </c>
      <c r="F104" s="8">
        <v>60</v>
      </c>
      <c r="G104" s="8" t="str">
        <f>INDEX(编号表!$E:$E,MATCH(K104,编号表!$C:$C,0))</f>
        <v>白色</v>
      </c>
      <c r="H104" s="8">
        <v>5</v>
      </c>
      <c r="I104" s="8" t="s">
        <v>428</v>
      </c>
      <c r="J104" s="8" t="s">
        <v>428</v>
      </c>
      <c r="K104" s="8" t="s">
        <v>129</v>
      </c>
      <c r="L104" s="8">
        <v>100</v>
      </c>
      <c r="M104" s="8">
        <v>100</v>
      </c>
      <c r="N104" s="8"/>
      <c r="O104" s="8"/>
      <c r="P104" s="8">
        <v>10</v>
      </c>
      <c r="Q104" s="8">
        <v>150000</v>
      </c>
      <c r="R104" s="8"/>
      <c r="S104" s="8"/>
      <c r="T104" s="8">
        <v>1</v>
      </c>
      <c r="U104" s="16">
        <v>40010001</v>
      </c>
      <c r="V104" s="8"/>
      <c r="X104" s="8">
        <v>11000001</v>
      </c>
      <c r="Z104" s="8"/>
      <c r="AA104" s="8" t="s">
        <v>130</v>
      </c>
      <c r="AB104" s="21">
        <v>20077</v>
      </c>
      <c r="AC104" s="8">
        <v>0.7</v>
      </c>
      <c r="AD104" s="8">
        <v>80</v>
      </c>
      <c r="AE104" s="8">
        <v>80</v>
      </c>
      <c r="AF104" s="8">
        <v>40</v>
      </c>
      <c r="AG104" s="8">
        <v>40</v>
      </c>
      <c r="AH104" s="8" t="s">
        <v>131</v>
      </c>
      <c r="AJ104" s="17"/>
      <c r="AL104" s="18">
        <v>255</v>
      </c>
      <c r="AM104" s="8" t="s">
        <v>132</v>
      </c>
      <c r="AN104" s="19">
        <v>1500</v>
      </c>
      <c r="AO104" s="8" t="s">
        <v>133</v>
      </c>
      <c r="AP104" s="8">
        <v>8</v>
      </c>
      <c r="AQ104" s="8" t="s">
        <v>134</v>
      </c>
      <c r="AR104" s="8">
        <v>12</v>
      </c>
      <c r="AS104" s="8" t="s">
        <v>135</v>
      </c>
      <c r="AT104" s="8">
        <v>8</v>
      </c>
      <c r="AU104" s="8" t="s">
        <v>136</v>
      </c>
      <c r="AV104" s="8">
        <v>11</v>
      </c>
      <c r="AW104" s="8" t="s">
        <v>137</v>
      </c>
      <c r="AX104" s="8">
        <v>21</v>
      </c>
      <c r="AY104" s="8" t="s">
        <v>138</v>
      </c>
      <c r="AZ104" s="8">
        <v>29</v>
      </c>
      <c r="BA104" s="8" t="s">
        <v>139</v>
      </c>
      <c r="BB104" s="8">
        <v>21</v>
      </c>
      <c r="BC104" s="8" t="s">
        <v>140</v>
      </c>
      <c r="BD104" s="8">
        <v>29</v>
      </c>
      <c r="BE104" s="8" t="s">
        <v>139</v>
      </c>
      <c r="BF104" s="8">
        <v>0</v>
      </c>
      <c r="BG104" s="8" t="s">
        <v>140</v>
      </c>
      <c r="BH104" s="8">
        <v>0</v>
      </c>
      <c r="BI104" s="8" t="s">
        <v>141</v>
      </c>
      <c r="BJ104" s="8">
        <v>100</v>
      </c>
      <c r="BK104" s="8" t="s">
        <v>142</v>
      </c>
      <c r="BL104" s="8">
        <v>120</v>
      </c>
      <c r="BM104" s="8" t="s">
        <v>143</v>
      </c>
      <c r="BN104" s="8">
        <v>600</v>
      </c>
      <c r="BQ104" s="8">
        <v>1</v>
      </c>
      <c r="BR104" s="8">
        <v>2500</v>
      </c>
      <c r="BS104" s="8">
        <v>2</v>
      </c>
      <c r="BT104" s="8">
        <v>2500</v>
      </c>
      <c r="BU104" s="8" t="s">
        <v>144</v>
      </c>
      <c r="BV104">
        <v>6</v>
      </c>
      <c r="BW104">
        <v>10</v>
      </c>
    </row>
    <row r="105" ht="16.5" customHeight="1" spans="2:75">
      <c r="B105" s="8">
        <f>60000000+INDEX(编号表!$B:$B,MATCH(J105,编号表!$A:$A,0))*10000+INDEX(编号表!$B:$B,MATCH(K105,编号表!$C:$C,0))*1000+L105</f>
        <v>60211101</v>
      </c>
      <c r="C105" s="8" t="s">
        <v>429</v>
      </c>
      <c r="D105" s="5" t="s">
        <v>430</v>
      </c>
      <c r="E105" s="5" t="s">
        <v>431</v>
      </c>
      <c r="F105" s="8">
        <v>60</v>
      </c>
      <c r="G105" s="8" t="str">
        <f>INDEX(编号表!$E:$E,MATCH(K105,编号表!$C:$C,0))</f>
        <v>白色</v>
      </c>
      <c r="H105" s="8">
        <v>5</v>
      </c>
      <c r="I105" s="8" t="s">
        <v>428</v>
      </c>
      <c r="J105" s="8" t="s">
        <v>428</v>
      </c>
      <c r="K105" s="8" t="s">
        <v>129</v>
      </c>
      <c r="L105" s="8">
        <v>101</v>
      </c>
      <c r="M105" s="8">
        <v>101</v>
      </c>
      <c r="N105" s="8"/>
      <c r="O105" s="8"/>
      <c r="P105" s="8">
        <v>10</v>
      </c>
      <c r="Q105" s="8">
        <v>150000</v>
      </c>
      <c r="R105" s="8"/>
      <c r="S105" s="8"/>
      <c r="T105" s="8">
        <v>1</v>
      </c>
      <c r="U105" s="16">
        <v>40010001</v>
      </c>
      <c r="V105" s="8"/>
      <c r="X105" s="8">
        <v>11000001</v>
      </c>
      <c r="Z105" s="8"/>
      <c r="AA105" s="8" t="s">
        <v>130</v>
      </c>
      <c r="AB105" s="21">
        <v>20078</v>
      </c>
      <c r="AC105" s="8">
        <v>0.7</v>
      </c>
      <c r="AD105" s="8">
        <v>80</v>
      </c>
      <c r="AE105" s="8">
        <v>80</v>
      </c>
      <c r="AF105" s="8">
        <v>40</v>
      </c>
      <c r="AG105" s="8">
        <v>40</v>
      </c>
      <c r="AH105" s="8" t="s">
        <v>131</v>
      </c>
      <c r="AJ105" s="17"/>
      <c r="AL105" s="18">
        <v>255</v>
      </c>
      <c r="AM105" s="8" t="s">
        <v>132</v>
      </c>
      <c r="AN105" s="19">
        <v>1500</v>
      </c>
      <c r="AO105" s="8" t="s">
        <v>133</v>
      </c>
      <c r="AP105" s="8">
        <v>8</v>
      </c>
      <c r="AQ105" s="8" t="s">
        <v>134</v>
      </c>
      <c r="AR105" s="8">
        <v>12</v>
      </c>
      <c r="AS105" s="8" t="s">
        <v>135</v>
      </c>
      <c r="AT105" s="8">
        <v>8</v>
      </c>
      <c r="AU105" s="8" t="s">
        <v>136</v>
      </c>
      <c r="AV105" s="8">
        <v>11</v>
      </c>
      <c r="AW105" s="8" t="s">
        <v>137</v>
      </c>
      <c r="AX105" s="8">
        <v>21</v>
      </c>
      <c r="AY105" s="8" t="s">
        <v>138</v>
      </c>
      <c r="AZ105" s="8">
        <v>29</v>
      </c>
      <c r="BA105" s="8" t="s">
        <v>139</v>
      </c>
      <c r="BB105" s="8">
        <v>21</v>
      </c>
      <c r="BC105" s="8" t="s">
        <v>140</v>
      </c>
      <c r="BD105" s="8">
        <v>29</v>
      </c>
      <c r="BE105" s="8" t="s">
        <v>139</v>
      </c>
      <c r="BF105" s="8">
        <v>0</v>
      </c>
      <c r="BG105" s="8" t="s">
        <v>140</v>
      </c>
      <c r="BH105" s="8">
        <v>0</v>
      </c>
      <c r="BI105" s="8" t="s">
        <v>141</v>
      </c>
      <c r="BJ105" s="8">
        <v>100</v>
      </c>
      <c r="BK105" s="8" t="s">
        <v>142</v>
      </c>
      <c r="BL105" s="8">
        <v>120</v>
      </c>
      <c r="BM105" s="8" t="s">
        <v>143</v>
      </c>
      <c r="BN105" s="8">
        <v>600</v>
      </c>
      <c r="BQ105" s="8">
        <v>1</v>
      </c>
      <c r="BR105" s="8">
        <v>2500</v>
      </c>
      <c r="BS105" s="8">
        <v>2</v>
      </c>
      <c r="BT105" s="8">
        <v>2500</v>
      </c>
      <c r="BU105" s="8" t="s">
        <v>144</v>
      </c>
      <c r="BV105">
        <v>6</v>
      </c>
      <c r="BW105">
        <v>10</v>
      </c>
    </row>
    <row r="106" ht="16.5" customHeight="1" spans="2:75">
      <c r="B106" s="8">
        <f>60000000+INDEX(编号表!$B:$B,MATCH(J106,编号表!$A:$A,0))*10000+INDEX(编号表!$B:$B,MATCH(K106,编号表!$C:$C,0))*1000+L106</f>
        <v>60212102</v>
      </c>
      <c r="C106" s="8" t="s">
        <v>432</v>
      </c>
      <c r="D106" s="5" t="s">
        <v>430</v>
      </c>
      <c r="E106" s="5" t="s">
        <v>431</v>
      </c>
      <c r="F106" s="8">
        <v>60</v>
      </c>
      <c r="G106" s="8" t="str">
        <f>INDEX(编号表!$E:$E,MATCH(K106,编号表!$C:$C,0))</f>
        <v>绿色</v>
      </c>
      <c r="H106" s="8">
        <v>5</v>
      </c>
      <c r="I106" s="8" t="s">
        <v>428</v>
      </c>
      <c r="J106" s="8" t="s">
        <v>428</v>
      </c>
      <c r="K106" s="8" t="s">
        <v>196</v>
      </c>
      <c r="L106" s="8">
        <v>102</v>
      </c>
      <c r="M106" s="8">
        <v>102</v>
      </c>
      <c r="N106" s="8"/>
      <c r="O106" s="8"/>
      <c r="P106" s="8">
        <v>10</v>
      </c>
      <c r="Q106" s="8">
        <v>150000</v>
      </c>
      <c r="R106" s="8"/>
      <c r="S106" s="8"/>
      <c r="T106" s="8">
        <v>1</v>
      </c>
      <c r="U106" s="16">
        <v>40010001</v>
      </c>
      <c r="V106" s="8"/>
      <c r="X106" s="8">
        <v>11000001</v>
      </c>
      <c r="Z106" s="8"/>
      <c r="AA106" s="8" t="s">
        <v>130</v>
      </c>
      <c r="AB106" s="21">
        <v>20078</v>
      </c>
      <c r="AC106" s="8">
        <v>0.7</v>
      </c>
      <c r="AD106" s="8">
        <v>80</v>
      </c>
      <c r="AE106" s="8">
        <v>80</v>
      </c>
      <c r="AF106" s="8">
        <v>40</v>
      </c>
      <c r="AG106" s="8">
        <v>40</v>
      </c>
      <c r="AH106" s="8" t="s">
        <v>131</v>
      </c>
      <c r="AJ106" s="17"/>
      <c r="AL106" s="18">
        <v>255</v>
      </c>
      <c r="AM106" s="8" t="s">
        <v>132</v>
      </c>
      <c r="AN106" s="19">
        <v>1500</v>
      </c>
      <c r="AO106" s="8" t="s">
        <v>133</v>
      </c>
      <c r="AP106" s="8">
        <v>8</v>
      </c>
      <c r="AQ106" s="8" t="s">
        <v>134</v>
      </c>
      <c r="AR106" s="8">
        <v>12</v>
      </c>
      <c r="AS106" s="8" t="s">
        <v>135</v>
      </c>
      <c r="AT106" s="8">
        <v>8</v>
      </c>
      <c r="AU106" s="8" t="s">
        <v>136</v>
      </c>
      <c r="AV106" s="8">
        <v>11</v>
      </c>
      <c r="AW106" s="8" t="s">
        <v>137</v>
      </c>
      <c r="AX106" s="8">
        <v>21</v>
      </c>
      <c r="AY106" s="8" t="s">
        <v>138</v>
      </c>
      <c r="AZ106" s="8">
        <v>29</v>
      </c>
      <c r="BA106" s="8" t="s">
        <v>139</v>
      </c>
      <c r="BB106" s="8">
        <v>21</v>
      </c>
      <c r="BC106" s="8" t="s">
        <v>140</v>
      </c>
      <c r="BD106" s="8">
        <v>29</v>
      </c>
      <c r="BE106" s="8" t="s">
        <v>139</v>
      </c>
      <c r="BF106" s="8">
        <v>0</v>
      </c>
      <c r="BG106" s="8" t="s">
        <v>140</v>
      </c>
      <c r="BH106" s="8">
        <v>0</v>
      </c>
      <c r="BI106" s="8" t="s">
        <v>141</v>
      </c>
      <c r="BJ106" s="8">
        <v>100</v>
      </c>
      <c r="BK106" s="8" t="s">
        <v>142</v>
      </c>
      <c r="BL106" s="8">
        <v>120</v>
      </c>
      <c r="BM106" s="8" t="s">
        <v>143</v>
      </c>
      <c r="BN106" s="8">
        <v>600</v>
      </c>
      <c r="BQ106" s="8">
        <v>1</v>
      </c>
      <c r="BR106" s="8">
        <v>2500</v>
      </c>
      <c r="BS106" s="8">
        <v>2</v>
      </c>
      <c r="BT106" s="8">
        <v>2500</v>
      </c>
      <c r="BU106" s="8" t="s">
        <v>144</v>
      </c>
      <c r="BV106">
        <v>6</v>
      </c>
      <c r="BW106">
        <v>10</v>
      </c>
    </row>
    <row r="107" ht="16.5" customHeight="1" spans="2:75">
      <c r="B107" s="8">
        <f>60000000+INDEX(编号表!$B:$B,MATCH(J107,编号表!$A:$A,0))*10000+INDEX(编号表!$B:$B,MATCH(K107,编号表!$C:$C,0))*1000+L107</f>
        <v>60214103</v>
      </c>
      <c r="C107" s="8" t="s">
        <v>433</v>
      </c>
      <c r="D107" s="5" t="s">
        <v>434</v>
      </c>
      <c r="E107" s="5" t="s">
        <v>435</v>
      </c>
      <c r="F107" s="8">
        <v>60</v>
      </c>
      <c r="G107" s="8" t="str">
        <f>INDEX(编号表!$E:$E,MATCH(K107,编号表!$C:$C,0))</f>
        <v>橙色</v>
      </c>
      <c r="H107" s="8">
        <v>5</v>
      </c>
      <c r="I107" s="8" t="s">
        <v>428</v>
      </c>
      <c r="J107" s="8" t="s">
        <v>428</v>
      </c>
      <c r="K107" s="8" t="s">
        <v>246</v>
      </c>
      <c r="L107" s="8">
        <v>103</v>
      </c>
      <c r="M107" s="8">
        <v>103</v>
      </c>
      <c r="N107" s="8"/>
      <c r="O107" s="8"/>
      <c r="P107" s="8">
        <v>10</v>
      </c>
      <c r="Q107" s="8">
        <v>150000</v>
      </c>
      <c r="R107" s="8"/>
      <c r="S107" s="8"/>
      <c r="T107" s="8">
        <v>3</v>
      </c>
      <c r="U107" s="16">
        <v>40010001</v>
      </c>
      <c r="V107" s="8"/>
      <c r="X107" s="8">
        <v>11000001</v>
      </c>
      <c r="Z107" s="8"/>
      <c r="AA107" s="8" t="s">
        <v>130</v>
      </c>
      <c r="AB107" s="21">
        <v>20079</v>
      </c>
      <c r="AC107" s="8">
        <v>0.7</v>
      </c>
      <c r="AD107" s="8">
        <v>80</v>
      </c>
      <c r="AE107" s="8">
        <v>80</v>
      </c>
      <c r="AF107" s="8">
        <v>40</v>
      </c>
      <c r="AG107" s="8">
        <v>40</v>
      </c>
      <c r="AH107" s="8" t="s">
        <v>131</v>
      </c>
      <c r="AJ107" s="17"/>
      <c r="AL107" s="18">
        <v>255</v>
      </c>
      <c r="AM107" s="8" t="s">
        <v>132</v>
      </c>
      <c r="AN107" s="19">
        <v>1500</v>
      </c>
      <c r="AO107" s="8" t="s">
        <v>133</v>
      </c>
      <c r="AP107" s="8">
        <v>8</v>
      </c>
      <c r="AQ107" s="8" t="s">
        <v>134</v>
      </c>
      <c r="AR107" s="8">
        <v>12</v>
      </c>
      <c r="AS107" s="8" t="s">
        <v>135</v>
      </c>
      <c r="AT107" s="8">
        <v>8</v>
      </c>
      <c r="AU107" s="8" t="s">
        <v>136</v>
      </c>
      <c r="AV107" s="8">
        <v>11</v>
      </c>
      <c r="AW107" s="8" t="s">
        <v>137</v>
      </c>
      <c r="AX107" s="8">
        <v>21</v>
      </c>
      <c r="AY107" s="8" t="s">
        <v>138</v>
      </c>
      <c r="AZ107" s="8">
        <v>29</v>
      </c>
      <c r="BA107" s="8" t="s">
        <v>139</v>
      </c>
      <c r="BB107" s="8">
        <v>21</v>
      </c>
      <c r="BC107" s="8" t="s">
        <v>140</v>
      </c>
      <c r="BD107" s="8">
        <v>29</v>
      </c>
      <c r="BE107" s="8" t="s">
        <v>139</v>
      </c>
      <c r="BF107" s="8">
        <v>0</v>
      </c>
      <c r="BG107" s="8" t="s">
        <v>140</v>
      </c>
      <c r="BH107" s="8">
        <v>0</v>
      </c>
      <c r="BI107" s="8" t="s">
        <v>141</v>
      </c>
      <c r="BJ107" s="8">
        <v>0</v>
      </c>
      <c r="BK107" s="8" t="s">
        <v>142</v>
      </c>
      <c r="BL107" s="8">
        <v>120</v>
      </c>
      <c r="BM107" s="8" t="s">
        <v>143</v>
      </c>
      <c r="BN107" s="8">
        <v>600</v>
      </c>
      <c r="BQ107" s="8">
        <v>1</v>
      </c>
      <c r="BR107" s="8">
        <v>2500</v>
      </c>
      <c r="BS107" s="8">
        <v>2</v>
      </c>
      <c r="BT107" s="8">
        <v>2500</v>
      </c>
      <c r="BU107" s="8" t="s">
        <v>144</v>
      </c>
      <c r="BV107">
        <v>6</v>
      </c>
      <c r="BW107">
        <v>10</v>
      </c>
    </row>
    <row r="108" ht="16.5" customHeight="1" spans="2:75">
      <c r="B108" s="8">
        <f>60000000+INDEX(编号表!$B:$B,MATCH(J108,编号表!$A:$A,0))*10000+INDEX(编号表!$B:$B,MATCH(K108,编号表!$C:$C,0))*1000+L108</f>
        <v>60221104</v>
      </c>
      <c r="C108" s="8" t="s">
        <v>436</v>
      </c>
      <c r="D108" s="5" t="s">
        <v>437</v>
      </c>
      <c r="E108" s="5" t="s">
        <v>438</v>
      </c>
      <c r="F108" s="8">
        <v>60</v>
      </c>
      <c r="G108" s="8" t="str">
        <f>INDEX(编号表!$E:$E,MATCH(K108,编号表!$C:$C,0))</f>
        <v>白色</v>
      </c>
      <c r="H108" s="8">
        <v>5</v>
      </c>
      <c r="I108" s="8" t="s">
        <v>439</v>
      </c>
      <c r="J108" s="8" t="s">
        <v>439</v>
      </c>
      <c r="K108" s="8" t="s">
        <v>129</v>
      </c>
      <c r="L108" s="8">
        <v>104</v>
      </c>
      <c r="M108" s="8">
        <v>104</v>
      </c>
      <c r="N108" s="8"/>
      <c r="O108" s="8"/>
      <c r="P108" s="8">
        <v>10</v>
      </c>
      <c r="Q108" s="8">
        <v>150000</v>
      </c>
      <c r="R108" s="8"/>
      <c r="S108" s="8"/>
      <c r="T108" s="8">
        <v>1</v>
      </c>
      <c r="U108" s="16">
        <v>40010001</v>
      </c>
      <c r="V108" s="8"/>
      <c r="X108" s="8">
        <v>11000001</v>
      </c>
      <c r="Z108" s="8"/>
      <c r="AA108" s="8" t="s">
        <v>130</v>
      </c>
      <c r="AB108" s="21">
        <v>20080</v>
      </c>
      <c r="AC108" s="8">
        <v>0.7</v>
      </c>
      <c r="AD108" s="8">
        <v>80</v>
      </c>
      <c r="AE108" s="8">
        <v>80</v>
      </c>
      <c r="AF108" s="8">
        <v>40</v>
      </c>
      <c r="AG108" s="8">
        <v>40</v>
      </c>
      <c r="AH108" s="8" t="s">
        <v>131</v>
      </c>
      <c r="AJ108" s="17"/>
      <c r="AL108" s="18">
        <v>255</v>
      </c>
      <c r="AM108" s="8" t="s">
        <v>132</v>
      </c>
      <c r="AN108" s="19">
        <v>1500</v>
      </c>
      <c r="AO108" s="8" t="s">
        <v>133</v>
      </c>
      <c r="AP108" s="8">
        <v>8</v>
      </c>
      <c r="AQ108" s="8" t="s">
        <v>134</v>
      </c>
      <c r="AR108" s="8">
        <v>12</v>
      </c>
      <c r="AS108" s="8" t="s">
        <v>135</v>
      </c>
      <c r="AT108" s="8">
        <v>8</v>
      </c>
      <c r="AU108" s="8" t="s">
        <v>136</v>
      </c>
      <c r="AV108" s="8">
        <v>11</v>
      </c>
      <c r="AW108" s="8" t="s">
        <v>137</v>
      </c>
      <c r="AX108" s="8">
        <v>21</v>
      </c>
      <c r="AY108" s="8" t="s">
        <v>138</v>
      </c>
      <c r="AZ108" s="8">
        <v>29</v>
      </c>
      <c r="BA108" s="8" t="s">
        <v>139</v>
      </c>
      <c r="BB108" s="8">
        <v>21</v>
      </c>
      <c r="BC108" s="8" t="s">
        <v>140</v>
      </c>
      <c r="BD108" s="8">
        <v>29</v>
      </c>
      <c r="BE108" s="8" t="s">
        <v>139</v>
      </c>
      <c r="BF108" s="8">
        <v>0</v>
      </c>
      <c r="BG108" s="8" t="s">
        <v>140</v>
      </c>
      <c r="BH108" s="8">
        <v>0</v>
      </c>
      <c r="BI108" s="8" t="s">
        <v>141</v>
      </c>
      <c r="BJ108" s="8">
        <v>100</v>
      </c>
      <c r="BK108" s="8" t="s">
        <v>142</v>
      </c>
      <c r="BL108" s="8">
        <v>120</v>
      </c>
      <c r="BM108" s="8" t="s">
        <v>143</v>
      </c>
      <c r="BN108" s="8">
        <v>600</v>
      </c>
      <c r="BQ108" s="8">
        <v>1</v>
      </c>
      <c r="BR108" s="8">
        <v>2500</v>
      </c>
      <c r="BS108" s="8">
        <v>2</v>
      </c>
      <c r="BT108" s="8">
        <v>2500</v>
      </c>
      <c r="BU108" s="8" t="s">
        <v>144</v>
      </c>
      <c r="BV108">
        <v>6</v>
      </c>
      <c r="BW108">
        <v>10</v>
      </c>
    </row>
    <row r="109" ht="16.5" customHeight="1" spans="2:75">
      <c r="B109" s="8">
        <f>60000000+INDEX(编号表!$B:$B,MATCH(J109,编号表!$A:$A,0))*10000+INDEX(编号表!$B:$B,MATCH(K109,编号表!$C:$C,0))*1000+L109</f>
        <v>60221105</v>
      </c>
      <c r="C109" s="8" t="s">
        <v>440</v>
      </c>
      <c r="D109" s="5" t="s">
        <v>441</v>
      </c>
      <c r="E109" s="5" t="s">
        <v>442</v>
      </c>
      <c r="F109" s="8">
        <v>60</v>
      </c>
      <c r="G109" s="8" t="str">
        <f>INDEX(编号表!$E:$E,MATCH(K109,编号表!$C:$C,0))</f>
        <v>白色</v>
      </c>
      <c r="H109" s="8">
        <v>5</v>
      </c>
      <c r="I109" s="8" t="s">
        <v>439</v>
      </c>
      <c r="J109" s="8" t="s">
        <v>439</v>
      </c>
      <c r="K109" s="8" t="s">
        <v>129</v>
      </c>
      <c r="L109" s="8">
        <v>105</v>
      </c>
      <c r="M109" s="8">
        <v>105</v>
      </c>
      <c r="N109" s="8"/>
      <c r="O109" s="8"/>
      <c r="P109" s="8">
        <v>10</v>
      </c>
      <c r="Q109" s="8">
        <v>150000</v>
      </c>
      <c r="R109" s="8"/>
      <c r="S109" s="8"/>
      <c r="T109" s="8">
        <v>1</v>
      </c>
      <c r="U109" s="16">
        <v>40010001</v>
      </c>
      <c r="V109" s="8"/>
      <c r="X109" s="8">
        <v>11000245</v>
      </c>
      <c r="Z109" s="8"/>
      <c r="AA109" s="8" t="s">
        <v>130</v>
      </c>
      <c r="AB109" s="21">
        <v>20081</v>
      </c>
      <c r="AC109" s="8">
        <v>0.7</v>
      </c>
      <c r="AD109" s="8">
        <v>80</v>
      </c>
      <c r="AE109" s="8">
        <v>80</v>
      </c>
      <c r="AF109" s="8">
        <v>40</v>
      </c>
      <c r="AG109" s="8">
        <v>40</v>
      </c>
      <c r="AH109" s="8" t="s">
        <v>160</v>
      </c>
      <c r="AI109">
        <v>30065</v>
      </c>
      <c r="AJ109" s="17"/>
      <c r="AL109" s="18">
        <v>255</v>
      </c>
      <c r="AM109" s="8" t="s">
        <v>132</v>
      </c>
      <c r="AN109" s="19">
        <v>1500</v>
      </c>
      <c r="AO109" s="8" t="s">
        <v>133</v>
      </c>
      <c r="AP109" s="8">
        <v>8</v>
      </c>
      <c r="AQ109" s="8" t="s">
        <v>134</v>
      </c>
      <c r="AR109" s="8">
        <v>12</v>
      </c>
      <c r="AS109" s="8" t="s">
        <v>135</v>
      </c>
      <c r="AT109" s="8">
        <v>8</v>
      </c>
      <c r="AU109" s="8" t="s">
        <v>136</v>
      </c>
      <c r="AV109" s="8">
        <v>11</v>
      </c>
      <c r="AW109" s="8" t="s">
        <v>137</v>
      </c>
      <c r="AX109" s="8">
        <v>21</v>
      </c>
      <c r="AY109" s="8" t="s">
        <v>138</v>
      </c>
      <c r="AZ109" s="8">
        <v>29</v>
      </c>
      <c r="BA109" s="8" t="s">
        <v>139</v>
      </c>
      <c r="BB109" s="8">
        <v>21</v>
      </c>
      <c r="BC109" s="8" t="s">
        <v>140</v>
      </c>
      <c r="BD109" s="8">
        <v>29</v>
      </c>
      <c r="BE109" s="8" t="s">
        <v>139</v>
      </c>
      <c r="BF109" s="8">
        <v>0</v>
      </c>
      <c r="BG109" s="8" t="s">
        <v>140</v>
      </c>
      <c r="BH109" s="8">
        <v>0</v>
      </c>
      <c r="BI109" s="8" t="s">
        <v>141</v>
      </c>
      <c r="BJ109" s="8">
        <v>100</v>
      </c>
      <c r="BK109" s="8" t="s">
        <v>142</v>
      </c>
      <c r="BL109" s="8">
        <v>600</v>
      </c>
      <c r="BM109" s="8" t="s">
        <v>143</v>
      </c>
      <c r="BN109" s="8">
        <v>800</v>
      </c>
      <c r="BQ109" s="8">
        <v>1</v>
      </c>
      <c r="BR109" s="8">
        <v>2500</v>
      </c>
      <c r="BS109" s="8">
        <v>2</v>
      </c>
      <c r="BT109" s="8">
        <v>2500</v>
      </c>
      <c r="BU109" s="8" t="s">
        <v>144</v>
      </c>
      <c r="BV109">
        <v>6</v>
      </c>
      <c r="BW109">
        <v>10</v>
      </c>
    </row>
    <row r="110" ht="16.5" customHeight="1" spans="2:75">
      <c r="B110" s="8">
        <f>60000000+INDEX(编号表!$B:$B,MATCH(J110,编号表!$A:$A,0))*10000+INDEX(编号表!$B:$B,MATCH(K110,编号表!$C:$C,0))*1000+L110</f>
        <v>60231106</v>
      </c>
      <c r="C110" s="8" t="s">
        <v>443</v>
      </c>
      <c r="D110" s="5" t="s">
        <v>444</v>
      </c>
      <c r="E110" s="5" t="s">
        <v>445</v>
      </c>
      <c r="F110" s="8">
        <v>60</v>
      </c>
      <c r="G110" s="8" t="str">
        <f>INDEX(编号表!$E:$E,MATCH(K110,编号表!$C:$C,0))</f>
        <v>白色</v>
      </c>
      <c r="H110" s="8">
        <v>5</v>
      </c>
      <c r="I110" s="8" t="s">
        <v>446</v>
      </c>
      <c r="J110" s="8" t="s">
        <v>446</v>
      </c>
      <c r="K110" s="8" t="s">
        <v>129</v>
      </c>
      <c r="L110" s="8">
        <v>106</v>
      </c>
      <c r="M110" s="8">
        <v>106</v>
      </c>
      <c r="N110" s="8"/>
      <c r="O110" s="8"/>
      <c r="P110" s="8">
        <v>10</v>
      </c>
      <c r="Q110" s="8">
        <v>150000</v>
      </c>
      <c r="R110" s="8"/>
      <c r="S110" s="8"/>
      <c r="T110" s="8">
        <v>1</v>
      </c>
      <c r="U110" s="16">
        <v>40010001</v>
      </c>
      <c r="V110" s="8"/>
      <c r="X110" s="8">
        <v>11000001</v>
      </c>
      <c r="Z110" s="8"/>
      <c r="AA110" s="8" t="s">
        <v>130</v>
      </c>
      <c r="AB110" s="21">
        <v>20082</v>
      </c>
      <c r="AC110" s="8">
        <v>0.7</v>
      </c>
      <c r="AD110" s="8">
        <v>80</v>
      </c>
      <c r="AE110" s="8">
        <v>80</v>
      </c>
      <c r="AF110" s="8">
        <v>40</v>
      </c>
      <c r="AG110" s="8">
        <v>40</v>
      </c>
      <c r="AH110" s="8" t="s">
        <v>131</v>
      </c>
      <c r="AJ110" s="17"/>
      <c r="AL110" s="18">
        <v>255</v>
      </c>
      <c r="AM110" s="8" t="s">
        <v>132</v>
      </c>
      <c r="AN110" s="19">
        <v>1500</v>
      </c>
      <c r="AO110" s="8" t="s">
        <v>133</v>
      </c>
      <c r="AP110" s="8">
        <v>8</v>
      </c>
      <c r="AQ110" s="8" t="s">
        <v>134</v>
      </c>
      <c r="AR110" s="8">
        <v>12</v>
      </c>
      <c r="AS110" s="8" t="s">
        <v>135</v>
      </c>
      <c r="AT110" s="8">
        <v>8</v>
      </c>
      <c r="AU110" s="8" t="s">
        <v>136</v>
      </c>
      <c r="AV110" s="8">
        <v>11</v>
      </c>
      <c r="AW110" s="8" t="s">
        <v>137</v>
      </c>
      <c r="AX110" s="8">
        <v>21</v>
      </c>
      <c r="AY110" s="8" t="s">
        <v>138</v>
      </c>
      <c r="AZ110" s="8">
        <v>29</v>
      </c>
      <c r="BA110" s="8" t="s">
        <v>139</v>
      </c>
      <c r="BB110" s="8">
        <v>21</v>
      </c>
      <c r="BC110" s="8" t="s">
        <v>140</v>
      </c>
      <c r="BD110" s="8">
        <v>29</v>
      </c>
      <c r="BE110" s="8" t="s">
        <v>139</v>
      </c>
      <c r="BF110" s="8">
        <v>0</v>
      </c>
      <c r="BG110" s="8" t="s">
        <v>140</v>
      </c>
      <c r="BH110" s="8">
        <v>0</v>
      </c>
      <c r="BI110" s="8" t="s">
        <v>141</v>
      </c>
      <c r="BJ110" s="8">
        <v>100</v>
      </c>
      <c r="BK110" s="8" t="s">
        <v>142</v>
      </c>
      <c r="BL110" s="8">
        <v>120</v>
      </c>
      <c r="BM110" s="8" t="s">
        <v>143</v>
      </c>
      <c r="BN110" s="8">
        <v>600</v>
      </c>
      <c r="BQ110" s="8">
        <v>1</v>
      </c>
      <c r="BR110" s="8">
        <v>2500</v>
      </c>
      <c r="BS110" s="8">
        <v>2</v>
      </c>
      <c r="BT110" s="8">
        <v>2500</v>
      </c>
      <c r="BU110" s="8" t="s">
        <v>144</v>
      </c>
      <c r="BV110">
        <v>6</v>
      </c>
      <c r="BW110">
        <v>10</v>
      </c>
    </row>
    <row r="111" ht="16.5" customHeight="1" spans="2:75">
      <c r="B111" s="8">
        <f>60000000+INDEX(编号表!$B:$B,MATCH(J111,编号表!$A:$A,0))*10000+INDEX(编号表!$B:$B,MATCH(K111,编号表!$C:$C,0))*1000+L111</f>
        <v>60231107</v>
      </c>
      <c r="C111" s="8" t="s">
        <v>447</v>
      </c>
      <c r="D111" s="5" t="s">
        <v>448</v>
      </c>
      <c r="E111" s="5" t="s">
        <v>449</v>
      </c>
      <c r="F111" s="8">
        <v>60</v>
      </c>
      <c r="G111" s="8" t="str">
        <f>INDEX(编号表!$E:$E,MATCH(K111,编号表!$C:$C,0))</f>
        <v>白色</v>
      </c>
      <c r="H111" s="8">
        <v>5</v>
      </c>
      <c r="I111" s="8" t="s">
        <v>446</v>
      </c>
      <c r="J111" s="8" t="s">
        <v>446</v>
      </c>
      <c r="K111" s="8" t="s">
        <v>129</v>
      </c>
      <c r="L111" s="8">
        <v>107</v>
      </c>
      <c r="M111" s="8">
        <v>107</v>
      </c>
      <c r="N111" s="8"/>
      <c r="O111" s="8"/>
      <c r="P111" s="8">
        <v>10</v>
      </c>
      <c r="Q111" s="8">
        <v>150000</v>
      </c>
      <c r="R111" s="8"/>
      <c r="S111" s="8"/>
      <c r="T111" s="8">
        <v>1</v>
      </c>
      <c r="U111" s="16">
        <v>40010001</v>
      </c>
      <c r="V111" s="8"/>
      <c r="X111" s="8">
        <v>11000001</v>
      </c>
      <c r="Z111" s="8"/>
      <c r="AA111" s="8" t="s">
        <v>130</v>
      </c>
      <c r="AB111" s="21">
        <v>20083</v>
      </c>
      <c r="AC111" s="8">
        <v>0.7</v>
      </c>
      <c r="AD111" s="8">
        <v>80</v>
      </c>
      <c r="AE111" s="8">
        <v>80</v>
      </c>
      <c r="AF111" s="8">
        <v>40</v>
      </c>
      <c r="AG111" s="8">
        <v>40</v>
      </c>
      <c r="AH111" s="8" t="s">
        <v>131</v>
      </c>
      <c r="AJ111" s="17"/>
      <c r="AL111" s="18">
        <v>255</v>
      </c>
      <c r="AM111" s="8" t="s">
        <v>132</v>
      </c>
      <c r="AN111" s="19">
        <v>1500</v>
      </c>
      <c r="AO111" s="8" t="s">
        <v>133</v>
      </c>
      <c r="AP111" s="8">
        <v>8</v>
      </c>
      <c r="AQ111" s="8" t="s">
        <v>134</v>
      </c>
      <c r="AR111" s="8">
        <v>12</v>
      </c>
      <c r="AS111" s="8" t="s">
        <v>135</v>
      </c>
      <c r="AT111" s="8">
        <v>8</v>
      </c>
      <c r="AU111" s="8" t="s">
        <v>136</v>
      </c>
      <c r="AV111" s="8">
        <v>11</v>
      </c>
      <c r="AW111" s="8" t="s">
        <v>137</v>
      </c>
      <c r="AX111" s="8">
        <v>21</v>
      </c>
      <c r="AY111" s="8" t="s">
        <v>138</v>
      </c>
      <c r="AZ111" s="8">
        <v>29</v>
      </c>
      <c r="BA111" s="8" t="s">
        <v>139</v>
      </c>
      <c r="BB111" s="8">
        <v>21</v>
      </c>
      <c r="BC111" s="8" t="s">
        <v>140</v>
      </c>
      <c r="BD111" s="8">
        <v>29</v>
      </c>
      <c r="BE111" s="8" t="s">
        <v>139</v>
      </c>
      <c r="BF111" s="8">
        <v>0</v>
      </c>
      <c r="BG111" s="8" t="s">
        <v>140</v>
      </c>
      <c r="BH111" s="8">
        <v>0</v>
      </c>
      <c r="BI111" s="8" t="s">
        <v>141</v>
      </c>
      <c r="BJ111" s="8">
        <v>100</v>
      </c>
      <c r="BK111" s="8" t="s">
        <v>142</v>
      </c>
      <c r="BL111" s="8">
        <v>120</v>
      </c>
      <c r="BM111" s="8" t="s">
        <v>143</v>
      </c>
      <c r="BN111" s="8">
        <v>600</v>
      </c>
      <c r="BQ111" s="8">
        <v>1</v>
      </c>
      <c r="BR111" s="8">
        <v>2500</v>
      </c>
      <c r="BS111" s="8">
        <v>2</v>
      </c>
      <c r="BT111" s="8">
        <v>2500</v>
      </c>
      <c r="BU111" s="8" t="s">
        <v>144</v>
      </c>
      <c r="BV111">
        <v>6</v>
      </c>
      <c r="BW111">
        <v>10</v>
      </c>
    </row>
    <row r="112" ht="16.5" customHeight="1" spans="2:75">
      <c r="B112" s="8">
        <f>60000000+INDEX(编号表!$B:$B,MATCH(J112,编号表!$A:$A,0))*10000+INDEX(编号表!$B:$B,MATCH(K112,编号表!$C:$C,0))*1000+L112</f>
        <v>60241108</v>
      </c>
      <c r="C112" s="8" t="s">
        <v>450</v>
      </c>
      <c r="D112" s="5" t="s">
        <v>451</v>
      </c>
      <c r="E112" s="5" t="s">
        <v>452</v>
      </c>
      <c r="F112" s="8">
        <v>60</v>
      </c>
      <c r="G112" s="8" t="str">
        <f>INDEX(编号表!$E:$E,MATCH(K112,编号表!$C:$C,0))</f>
        <v>白色</v>
      </c>
      <c r="H112" s="8">
        <v>5</v>
      </c>
      <c r="I112" s="8" t="s">
        <v>453</v>
      </c>
      <c r="J112" s="8" t="s">
        <v>453</v>
      </c>
      <c r="K112" s="8" t="s">
        <v>129</v>
      </c>
      <c r="L112" s="8">
        <v>108</v>
      </c>
      <c r="M112" s="8">
        <v>108</v>
      </c>
      <c r="N112" s="8"/>
      <c r="O112" s="8"/>
      <c r="P112" s="8">
        <v>10</v>
      </c>
      <c r="Q112" s="8">
        <v>150000</v>
      </c>
      <c r="R112" s="8"/>
      <c r="S112" s="8"/>
      <c r="T112" s="8">
        <v>1</v>
      </c>
      <c r="U112" s="16">
        <v>40010001</v>
      </c>
      <c r="V112" s="8"/>
      <c r="X112" s="8">
        <v>11000001</v>
      </c>
      <c r="Z112" s="8"/>
      <c r="AA112" s="8" t="s">
        <v>130</v>
      </c>
      <c r="AB112" s="21">
        <v>20084</v>
      </c>
      <c r="AC112" s="8">
        <v>0.7</v>
      </c>
      <c r="AD112" s="8">
        <v>80</v>
      </c>
      <c r="AE112" s="8">
        <v>80</v>
      </c>
      <c r="AF112" s="8">
        <v>40</v>
      </c>
      <c r="AG112" s="8">
        <v>40</v>
      </c>
      <c r="AH112" s="8" t="s">
        <v>131</v>
      </c>
      <c r="AJ112" s="17"/>
      <c r="AL112" s="18">
        <v>255</v>
      </c>
      <c r="AM112" s="8" t="s">
        <v>132</v>
      </c>
      <c r="AN112" s="19">
        <v>1500</v>
      </c>
      <c r="AO112" s="8" t="s">
        <v>133</v>
      </c>
      <c r="AP112" s="8">
        <v>8</v>
      </c>
      <c r="AQ112" s="8" t="s">
        <v>134</v>
      </c>
      <c r="AR112" s="8">
        <v>12</v>
      </c>
      <c r="AS112" s="8" t="s">
        <v>135</v>
      </c>
      <c r="AT112" s="8">
        <v>8</v>
      </c>
      <c r="AU112" s="8" t="s">
        <v>136</v>
      </c>
      <c r="AV112" s="8">
        <v>11</v>
      </c>
      <c r="AW112" s="8" t="s">
        <v>137</v>
      </c>
      <c r="AX112" s="8">
        <v>21</v>
      </c>
      <c r="AY112" s="8" t="s">
        <v>138</v>
      </c>
      <c r="AZ112" s="8">
        <v>29</v>
      </c>
      <c r="BA112" s="8" t="s">
        <v>139</v>
      </c>
      <c r="BB112" s="8">
        <v>21</v>
      </c>
      <c r="BC112" s="8" t="s">
        <v>140</v>
      </c>
      <c r="BD112" s="8">
        <v>29</v>
      </c>
      <c r="BE112" s="8" t="s">
        <v>139</v>
      </c>
      <c r="BF112" s="8">
        <v>0</v>
      </c>
      <c r="BG112" s="8" t="s">
        <v>140</v>
      </c>
      <c r="BH112" s="8">
        <v>0</v>
      </c>
      <c r="BI112" s="8" t="s">
        <v>141</v>
      </c>
      <c r="BJ112" s="8">
        <v>100</v>
      </c>
      <c r="BK112" s="8" t="s">
        <v>142</v>
      </c>
      <c r="BL112" s="8">
        <v>120</v>
      </c>
      <c r="BM112" s="8" t="s">
        <v>143</v>
      </c>
      <c r="BN112" s="8">
        <v>600</v>
      </c>
      <c r="BQ112" s="8">
        <v>1</v>
      </c>
      <c r="BR112" s="8">
        <v>2500</v>
      </c>
      <c r="BS112" s="8">
        <v>2</v>
      </c>
      <c r="BT112" s="8">
        <v>2500</v>
      </c>
      <c r="BU112" s="8" t="s">
        <v>144</v>
      </c>
      <c r="BV112">
        <v>6</v>
      </c>
      <c r="BW112">
        <v>10</v>
      </c>
    </row>
    <row r="113" ht="16.5" customHeight="1" spans="2:75">
      <c r="B113" s="8">
        <f>60000000+INDEX(编号表!$B:$B,MATCH(J113,编号表!$A:$A,0))*10000+INDEX(编号表!$B:$B,MATCH(K113,编号表!$C:$C,0))*1000+L113</f>
        <v>60241109</v>
      </c>
      <c r="C113" s="8" t="s">
        <v>454</v>
      </c>
      <c r="D113" s="5" t="s">
        <v>455</v>
      </c>
      <c r="E113" s="5" t="s">
        <v>456</v>
      </c>
      <c r="F113" s="8">
        <v>60</v>
      </c>
      <c r="G113" s="8" t="str">
        <f>INDEX(编号表!$E:$E,MATCH(K113,编号表!$C:$C,0))</f>
        <v>白色</v>
      </c>
      <c r="H113" s="8">
        <v>5</v>
      </c>
      <c r="I113" s="8" t="s">
        <v>453</v>
      </c>
      <c r="J113" s="8" t="s">
        <v>453</v>
      </c>
      <c r="K113" s="8" t="s">
        <v>129</v>
      </c>
      <c r="L113" s="8">
        <v>109</v>
      </c>
      <c r="M113" s="8">
        <v>109</v>
      </c>
      <c r="N113" s="8"/>
      <c r="O113" s="8"/>
      <c r="P113" s="8">
        <v>10</v>
      </c>
      <c r="Q113" s="8">
        <v>150000</v>
      </c>
      <c r="R113" s="8"/>
      <c r="S113" s="8"/>
      <c r="T113" s="8">
        <v>1</v>
      </c>
      <c r="U113" s="16">
        <v>40010001</v>
      </c>
      <c r="V113" s="8"/>
      <c r="X113" s="8">
        <v>11000250</v>
      </c>
      <c r="Z113" s="8"/>
      <c r="AA113" s="8" t="s">
        <v>130</v>
      </c>
      <c r="AB113" s="21">
        <v>20085</v>
      </c>
      <c r="AC113" s="8">
        <v>0.7</v>
      </c>
      <c r="AD113" s="8">
        <v>80</v>
      </c>
      <c r="AE113" s="8">
        <v>80</v>
      </c>
      <c r="AF113" s="8">
        <v>40</v>
      </c>
      <c r="AG113" s="8">
        <v>40</v>
      </c>
      <c r="AH113" s="8" t="s">
        <v>160</v>
      </c>
      <c r="AI113">
        <v>30070</v>
      </c>
      <c r="AJ113" s="17"/>
      <c r="AL113" s="18">
        <v>255</v>
      </c>
      <c r="AM113" s="8" t="s">
        <v>132</v>
      </c>
      <c r="AN113" s="19">
        <v>1500</v>
      </c>
      <c r="AO113" s="8" t="s">
        <v>133</v>
      </c>
      <c r="AP113" s="8">
        <v>8</v>
      </c>
      <c r="AQ113" s="8" t="s">
        <v>134</v>
      </c>
      <c r="AR113" s="8">
        <v>12</v>
      </c>
      <c r="AS113" s="8" t="s">
        <v>135</v>
      </c>
      <c r="AT113" s="8">
        <v>8</v>
      </c>
      <c r="AU113" s="8" t="s">
        <v>136</v>
      </c>
      <c r="AV113" s="8">
        <v>11</v>
      </c>
      <c r="AW113" s="8" t="s">
        <v>137</v>
      </c>
      <c r="AX113" s="8">
        <v>21</v>
      </c>
      <c r="AY113" s="8" t="s">
        <v>138</v>
      </c>
      <c r="AZ113" s="8">
        <v>29</v>
      </c>
      <c r="BA113" s="8" t="s">
        <v>139</v>
      </c>
      <c r="BB113" s="8">
        <v>21</v>
      </c>
      <c r="BC113" s="8" t="s">
        <v>140</v>
      </c>
      <c r="BD113" s="8">
        <v>29</v>
      </c>
      <c r="BE113" s="8" t="s">
        <v>139</v>
      </c>
      <c r="BF113" s="8">
        <v>0</v>
      </c>
      <c r="BG113" s="8" t="s">
        <v>140</v>
      </c>
      <c r="BH113" s="8">
        <v>0</v>
      </c>
      <c r="BI113" s="8" t="s">
        <v>141</v>
      </c>
      <c r="BJ113" s="8">
        <v>100</v>
      </c>
      <c r="BK113" s="8" t="s">
        <v>142</v>
      </c>
      <c r="BL113" s="8">
        <v>600</v>
      </c>
      <c r="BM113" s="8" t="s">
        <v>143</v>
      </c>
      <c r="BN113" s="8">
        <v>800</v>
      </c>
      <c r="BQ113" s="8">
        <v>1</v>
      </c>
      <c r="BR113" s="8">
        <v>2500</v>
      </c>
      <c r="BS113" s="8">
        <v>2</v>
      </c>
      <c r="BT113" s="8">
        <v>2500</v>
      </c>
      <c r="BU113" s="8" t="s">
        <v>144</v>
      </c>
      <c r="BV113">
        <v>6</v>
      </c>
      <c r="BW113">
        <v>10</v>
      </c>
    </row>
    <row r="114" ht="16.5" customHeight="1" spans="2:75">
      <c r="B114" s="8">
        <f>60000000+INDEX(编号表!$B:$B,MATCH(J114,编号表!$A:$A,0))*10000+INDEX(编号表!$B:$B,MATCH(K114,编号表!$C:$C,0))*1000+L114</f>
        <v>60241110</v>
      </c>
      <c r="C114" s="8" t="s">
        <v>457</v>
      </c>
      <c r="D114" s="5" t="s">
        <v>458</v>
      </c>
      <c r="E114" s="5" t="s">
        <v>459</v>
      </c>
      <c r="F114" s="8">
        <v>60</v>
      </c>
      <c r="G114" s="8" t="str">
        <f>INDEX(编号表!$E:$E,MATCH(K114,编号表!$C:$C,0))</f>
        <v>白色</v>
      </c>
      <c r="H114" s="8">
        <v>5</v>
      </c>
      <c r="I114" s="8" t="s">
        <v>453</v>
      </c>
      <c r="J114" s="8" t="s">
        <v>453</v>
      </c>
      <c r="K114" s="8" t="s">
        <v>129</v>
      </c>
      <c r="L114" s="8">
        <v>110</v>
      </c>
      <c r="M114" s="8">
        <v>110</v>
      </c>
      <c r="N114" s="8"/>
      <c r="O114" s="8"/>
      <c r="P114" s="8">
        <v>10</v>
      </c>
      <c r="Q114" s="8">
        <v>150000</v>
      </c>
      <c r="R114" s="8"/>
      <c r="S114" s="8"/>
      <c r="T114" s="8">
        <v>1</v>
      </c>
      <c r="U114" s="16">
        <v>40010001</v>
      </c>
      <c r="V114" s="8"/>
      <c r="X114" s="8">
        <v>11000001</v>
      </c>
      <c r="Z114" s="8"/>
      <c r="AA114" s="8" t="s">
        <v>130</v>
      </c>
      <c r="AB114" s="21">
        <v>20086</v>
      </c>
      <c r="AC114" s="8">
        <v>0.7</v>
      </c>
      <c r="AD114" s="8">
        <v>80</v>
      </c>
      <c r="AE114" s="8">
        <v>80</v>
      </c>
      <c r="AF114" s="8">
        <v>40</v>
      </c>
      <c r="AG114" s="8">
        <v>40</v>
      </c>
      <c r="AH114" s="8" t="s">
        <v>131</v>
      </c>
      <c r="AJ114" s="17"/>
      <c r="AL114" s="18">
        <v>255</v>
      </c>
      <c r="AM114" s="8" t="s">
        <v>132</v>
      </c>
      <c r="AN114" s="19">
        <v>1500</v>
      </c>
      <c r="AO114" s="8" t="s">
        <v>133</v>
      </c>
      <c r="AP114" s="8">
        <v>8</v>
      </c>
      <c r="AQ114" s="8" t="s">
        <v>134</v>
      </c>
      <c r="AR114" s="8">
        <v>12</v>
      </c>
      <c r="AS114" s="8" t="s">
        <v>135</v>
      </c>
      <c r="AT114" s="8">
        <v>8</v>
      </c>
      <c r="AU114" s="8" t="s">
        <v>136</v>
      </c>
      <c r="AV114" s="8">
        <v>11</v>
      </c>
      <c r="AW114" s="8" t="s">
        <v>137</v>
      </c>
      <c r="AX114" s="8">
        <v>21</v>
      </c>
      <c r="AY114" s="8" t="s">
        <v>138</v>
      </c>
      <c r="AZ114" s="8">
        <v>29</v>
      </c>
      <c r="BA114" s="8" t="s">
        <v>139</v>
      </c>
      <c r="BB114" s="8">
        <v>21</v>
      </c>
      <c r="BC114" s="8" t="s">
        <v>140</v>
      </c>
      <c r="BD114" s="8">
        <v>29</v>
      </c>
      <c r="BE114" s="8" t="s">
        <v>139</v>
      </c>
      <c r="BF114" s="8">
        <v>0</v>
      </c>
      <c r="BG114" s="8" t="s">
        <v>140</v>
      </c>
      <c r="BH114" s="8">
        <v>0</v>
      </c>
      <c r="BI114" s="8" t="s">
        <v>141</v>
      </c>
      <c r="BJ114" s="8">
        <v>100</v>
      </c>
      <c r="BK114" s="8" t="s">
        <v>142</v>
      </c>
      <c r="BL114" s="8">
        <v>120</v>
      </c>
      <c r="BM114" s="8" t="s">
        <v>143</v>
      </c>
      <c r="BN114" s="8">
        <v>600</v>
      </c>
      <c r="BQ114" s="8">
        <v>1</v>
      </c>
      <c r="BR114" s="8">
        <v>2500</v>
      </c>
      <c r="BS114" s="8">
        <v>2</v>
      </c>
      <c r="BT114" s="8">
        <v>2500</v>
      </c>
      <c r="BU114" s="8" t="s">
        <v>144</v>
      </c>
      <c r="BV114">
        <v>6</v>
      </c>
      <c r="BW114">
        <v>10</v>
      </c>
    </row>
    <row r="115" ht="16.5" customHeight="1" spans="2:75">
      <c r="B115" s="8">
        <f>60000000+INDEX(编号表!$B:$B,MATCH(J115,编号表!$A:$A,0))*10000+INDEX(编号表!$B:$B,MATCH(K115,编号表!$C:$C,0))*1000+L115</f>
        <v>60242111</v>
      </c>
      <c r="C115" s="8" t="s">
        <v>460</v>
      </c>
      <c r="D115" s="5" t="s">
        <v>451</v>
      </c>
      <c r="E115" s="5" t="s">
        <v>452</v>
      </c>
      <c r="F115" s="8">
        <v>60</v>
      </c>
      <c r="G115" s="8" t="str">
        <f>INDEX(编号表!$E:$E,MATCH(K115,编号表!$C:$C,0))</f>
        <v>绿色</v>
      </c>
      <c r="H115" s="8">
        <v>5</v>
      </c>
      <c r="I115" s="8" t="s">
        <v>453</v>
      </c>
      <c r="J115" s="8" t="s">
        <v>453</v>
      </c>
      <c r="K115" s="8" t="s">
        <v>196</v>
      </c>
      <c r="L115" s="8">
        <v>111</v>
      </c>
      <c r="M115" s="8">
        <v>111</v>
      </c>
      <c r="N115" s="8"/>
      <c r="O115" s="8"/>
      <c r="P115" s="8">
        <v>10</v>
      </c>
      <c r="Q115" s="8">
        <v>150000</v>
      </c>
      <c r="R115" s="8"/>
      <c r="S115" s="8"/>
      <c r="T115" s="8">
        <v>1</v>
      </c>
      <c r="U115" s="16">
        <v>40010001</v>
      </c>
      <c r="V115" s="8"/>
      <c r="X115" s="8">
        <v>11000001</v>
      </c>
      <c r="Z115" s="8"/>
      <c r="AA115" s="8" t="s">
        <v>130</v>
      </c>
      <c r="AB115" s="21">
        <v>20084</v>
      </c>
      <c r="AC115" s="8">
        <v>0.7</v>
      </c>
      <c r="AD115" s="8">
        <v>80</v>
      </c>
      <c r="AE115" s="8">
        <v>80</v>
      </c>
      <c r="AF115" s="8">
        <v>40</v>
      </c>
      <c r="AG115" s="8">
        <v>40</v>
      </c>
      <c r="AH115" s="8" t="s">
        <v>131</v>
      </c>
      <c r="AJ115" s="17"/>
      <c r="AL115" s="18">
        <v>255</v>
      </c>
      <c r="AM115" s="8" t="s">
        <v>132</v>
      </c>
      <c r="AN115" s="19">
        <v>1500</v>
      </c>
      <c r="AO115" s="8" t="s">
        <v>133</v>
      </c>
      <c r="AP115" s="8">
        <v>8</v>
      </c>
      <c r="AQ115" s="8" t="s">
        <v>134</v>
      </c>
      <c r="AR115" s="8">
        <v>12</v>
      </c>
      <c r="AS115" s="8" t="s">
        <v>135</v>
      </c>
      <c r="AT115" s="8">
        <v>8</v>
      </c>
      <c r="AU115" s="8" t="s">
        <v>136</v>
      </c>
      <c r="AV115" s="8">
        <v>11</v>
      </c>
      <c r="AW115" s="8" t="s">
        <v>137</v>
      </c>
      <c r="AX115" s="8">
        <v>21</v>
      </c>
      <c r="AY115" s="8" t="s">
        <v>138</v>
      </c>
      <c r="AZ115" s="8">
        <v>29</v>
      </c>
      <c r="BA115" s="8" t="s">
        <v>139</v>
      </c>
      <c r="BB115" s="8">
        <v>21</v>
      </c>
      <c r="BC115" s="8" t="s">
        <v>140</v>
      </c>
      <c r="BD115" s="8">
        <v>29</v>
      </c>
      <c r="BE115" s="8" t="s">
        <v>139</v>
      </c>
      <c r="BF115" s="8">
        <v>0</v>
      </c>
      <c r="BG115" s="8" t="s">
        <v>140</v>
      </c>
      <c r="BH115" s="8">
        <v>0</v>
      </c>
      <c r="BI115" s="8" t="s">
        <v>141</v>
      </c>
      <c r="BJ115" s="8">
        <v>100</v>
      </c>
      <c r="BK115" s="8" t="s">
        <v>142</v>
      </c>
      <c r="BL115" s="8">
        <v>120</v>
      </c>
      <c r="BM115" s="8" t="s">
        <v>143</v>
      </c>
      <c r="BN115" s="8">
        <v>600</v>
      </c>
      <c r="BQ115" s="8">
        <v>1</v>
      </c>
      <c r="BR115" s="8">
        <v>2500</v>
      </c>
      <c r="BS115" s="8">
        <v>2</v>
      </c>
      <c r="BT115" s="8">
        <v>2500</v>
      </c>
      <c r="BU115" s="8" t="s">
        <v>144</v>
      </c>
      <c r="BV115">
        <v>6</v>
      </c>
      <c r="BW115">
        <v>10</v>
      </c>
    </row>
    <row r="116" ht="16.5" customHeight="1" spans="2:75">
      <c r="B116" s="8">
        <f>60000000+INDEX(编号表!$B:$B,MATCH(J116,编号表!$A:$A,0))*10000+INDEX(编号表!$B:$B,MATCH(K116,编号表!$C:$C,0))*1000+L116</f>
        <v>60251112</v>
      </c>
      <c r="C116" s="8" t="s">
        <v>461</v>
      </c>
      <c r="D116" s="5" t="s">
        <v>462</v>
      </c>
      <c r="E116" s="5" t="s">
        <v>463</v>
      </c>
      <c r="F116" s="8">
        <v>60</v>
      </c>
      <c r="G116" s="8" t="str">
        <f>INDEX(编号表!$E:$E,MATCH(K116,编号表!$C:$C,0))</f>
        <v>白色</v>
      </c>
      <c r="H116" s="8">
        <v>5</v>
      </c>
      <c r="I116" s="8" t="s">
        <v>464</v>
      </c>
      <c r="J116" s="8" t="s">
        <v>464</v>
      </c>
      <c r="K116" s="8" t="s">
        <v>129</v>
      </c>
      <c r="L116" s="8">
        <v>112</v>
      </c>
      <c r="M116" s="8">
        <v>112</v>
      </c>
      <c r="N116" s="8"/>
      <c r="O116" s="8"/>
      <c r="P116" s="8">
        <v>10</v>
      </c>
      <c r="Q116" s="8">
        <v>150000</v>
      </c>
      <c r="R116" s="8"/>
      <c r="S116" s="8"/>
      <c r="T116" s="8">
        <v>1</v>
      </c>
      <c r="U116" s="16">
        <v>40010001</v>
      </c>
      <c r="V116" s="8"/>
      <c r="X116" s="8">
        <v>11000001</v>
      </c>
      <c r="Z116" s="8"/>
      <c r="AA116" s="8" t="s">
        <v>130</v>
      </c>
      <c r="AB116" s="21">
        <v>20087</v>
      </c>
      <c r="AC116" s="8">
        <v>0.7</v>
      </c>
      <c r="AD116" s="8">
        <v>80</v>
      </c>
      <c r="AE116" s="8">
        <v>80</v>
      </c>
      <c r="AF116" s="8">
        <v>40</v>
      </c>
      <c r="AG116" s="8">
        <v>40</v>
      </c>
      <c r="AH116" s="8" t="s">
        <v>131</v>
      </c>
      <c r="AJ116" s="17"/>
      <c r="AL116" s="18">
        <v>255</v>
      </c>
      <c r="AM116" s="8" t="s">
        <v>132</v>
      </c>
      <c r="AN116" s="19">
        <v>1500</v>
      </c>
      <c r="AO116" s="8" t="s">
        <v>133</v>
      </c>
      <c r="AP116" s="8">
        <v>8</v>
      </c>
      <c r="AQ116" s="8" t="s">
        <v>134</v>
      </c>
      <c r="AR116" s="8">
        <v>12</v>
      </c>
      <c r="AS116" s="8" t="s">
        <v>135</v>
      </c>
      <c r="AT116" s="8">
        <v>8</v>
      </c>
      <c r="AU116" s="8" t="s">
        <v>136</v>
      </c>
      <c r="AV116" s="8">
        <v>11</v>
      </c>
      <c r="AW116" s="8" t="s">
        <v>137</v>
      </c>
      <c r="AX116" s="8">
        <v>21</v>
      </c>
      <c r="AY116" s="8" t="s">
        <v>138</v>
      </c>
      <c r="AZ116" s="8">
        <v>29</v>
      </c>
      <c r="BA116" s="8" t="s">
        <v>139</v>
      </c>
      <c r="BB116" s="8">
        <v>21</v>
      </c>
      <c r="BC116" s="8" t="s">
        <v>140</v>
      </c>
      <c r="BD116" s="8">
        <v>29</v>
      </c>
      <c r="BE116" s="8" t="s">
        <v>139</v>
      </c>
      <c r="BF116" s="8">
        <v>0</v>
      </c>
      <c r="BG116" s="8" t="s">
        <v>140</v>
      </c>
      <c r="BH116" s="8">
        <v>0</v>
      </c>
      <c r="BI116" s="8" t="s">
        <v>141</v>
      </c>
      <c r="BJ116" s="8">
        <v>100</v>
      </c>
      <c r="BK116" s="8" t="s">
        <v>142</v>
      </c>
      <c r="BL116" s="8">
        <v>120</v>
      </c>
      <c r="BM116" s="8" t="s">
        <v>143</v>
      </c>
      <c r="BN116" s="8">
        <v>600</v>
      </c>
      <c r="BQ116" s="8">
        <v>1</v>
      </c>
      <c r="BR116" s="8">
        <v>2500</v>
      </c>
      <c r="BS116" s="8">
        <v>2</v>
      </c>
      <c r="BT116" s="8">
        <v>2500</v>
      </c>
      <c r="BU116" s="8" t="s">
        <v>144</v>
      </c>
      <c r="BV116">
        <v>6</v>
      </c>
      <c r="BW116">
        <v>10</v>
      </c>
    </row>
    <row r="117" ht="16.5" customHeight="1" spans="2:75">
      <c r="B117" s="8">
        <f>60000000+INDEX(编号表!$B:$B,MATCH(J117,编号表!$A:$A,0))*10000+INDEX(编号表!$B:$B,MATCH(K117,编号表!$C:$C,0))*1000+L117</f>
        <v>60251113</v>
      </c>
      <c r="C117" s="8" t="s">
        <v>465</v>
      </c>
      <c r="D117" s="5" t="s">
        <v>466</v>
      </c>
      <c r="E117" s="5" t="s">
        <v>467</v>
      </c>
      <c r="F117" s="8">
        <v>60</v>
      </c>
      <c r="G117" s="8" t="str">
        <f>INDEX(编号表!$E:$E,MATCH(K117,编号表!$C:$C,0))</f>
        <v>白色</v>
      </c>
      <c r="H117" s="8">
        <v>5</v>
      </c>
      <c r="I117" s="8" t="s">
        <v>464</v>
      </c>
      <c r="J117" s="8" t="s">
        <v>464</v>
      </c>
      <c r="K117" s="8" t="s">
        <v>129</v>
      </c>
      <c r="L117" s="8">
        <v>113</v>
      </c>
      <c r="M117" s="8">
        <v>113</v>
      </c>
      <c r="N117" s="8"/>
      <c r="O117" s="8"/>
      <c r="P117" s="8">
        <v>10</v>
      </c>
      <c r="Q117" s="8">
        <v>150000</v>
      </c>
      <c r="R117" s="8"/>
      <c r="S117" s="8"/>
      <c r="T117" s="8">
        <v>1</v>
      </c>
      <c r="U117" s="16">
        <v>40010001</v>
      </c>
      <c r="V117" s="8"/>
      <c r="X117" s="8">
        <v>11000254</v>
      </c>
      <c r="Z117" s="8"/>
      <c r="AA117" s="8" t="s">
        <v>130</v>
      </c>
      <c r="AB117" s="21">
        <v>20089</v>
      </c>
      <c r="AC117" s="8">
        <v>0.7</v>
      </c>
      <c r="AD117" s="8">
        <v>80</v>
      </c>
      <c r="AE117" s="8">
        <v>80</v>
      </c>
      <c r="AF117" s="8">
        <v>40</v>
      </c>
      <c r="AG117" s="8">
        <v>40</v>
      </c>
      <c r="AH117" s="8" t="s">
        <v>160</v>
      </c>
      <c r="AI117">
        <v>30074</v>
      </c>
      <c r="AJ117" s="17"/>
      <c r="AL117" s="18">
        <v>255</v>
      </c>
      <c r="AM117" s="8" t="s">
        <v>132</v>
      </c>
      <c r="AN117" s="19">
        <v>1500</v>
      </c>
      <c r="AO117" s="8" t="s">
        <v>133</v>
      </c>
      <c r="AP117" s="8">
        <v>8</v>
      </c>
      <c r="AQ117" s="8" t="s">
        <v>134</v>
      </c>
      <c r="AR117" s="8">
        <v>12</v>
      </c>
      <c r="AS117" s="8" t="s">
        <v>135</v>
      </c>
      <c r="AT117" s="8">
        <v>8</v>
      </c>
      <c r="AU117" s="8" t="s">
        <v>136</v>
      </c>
      <c r="AV117" s="8">
        <v>11</v>
      </c>
      <c r="AW117" s="8" t="s">
        <v>137</v>
      </c>
      <c r="AX117" s="8">
        <v>21</v>
      </c>
      <c r="AY117" s="8" t="s">
        <v>138</v>
      </c>
      <c r="AZ117" s="8">
        <v>29</v>
      </c>
      <c r="BA117" s="8" t="s">
        <v>139</v>
      </c>
      <c r="BB117" s="8">
        <v>21</v>
      </c>
      <c r="BC117" s="8" t="s">
        <v>140</v>
      </c>
      <c r="BD117" s="8">
        <v>29</v>
      </c>
      <c r="BE117" s="8" t="s">
        <v>139</v>
      </c>
      <c r="BF117" s="8">
        <v>0</v>
      </c>
      <c r="BG117" s="8" t="s">
        <v>140</v>
      </c>
      <c r="BH117" s="8">
        <v>0</v>
      </c>
      <c r="BI117" s="8" t="s">
        <v>141</v>
      </c>
      <c r="BJ117" s="8">
        <v>100</v>
      </c>
      <c r="BK117" s="8" t="s">
        <v>142</v>
      </c>
      <c r="BL117" s="8">
        <v>600</v>
      </c>
      <c r="BM117" s="8" t="s">
        <v>143</v>
      </c>
      <c r="BN117" s="8">
        <v>800</v>
      </c>
      <c r="BQ117" s="8">
        <v>1</v>
      </c>
      <c r="BR117" s="8">
        <v>2500</v>
      </c>
      <c r="BS117" s="8">
        <v>2</v>
      </c>
      <c r="BT117" s="8">
        <v>2500</v>
      </c>
      <c r="BU117" s="8" t="s">
        <v>144</v>
      </c>
      <c r="BV117">
        <v>6</v>
      </c>
      <c r="BW117">
        <v>10</v>
      </c>
    </row>
    <row r="118" ht="16.5" customHeight="1" spans="2:75">
      <c r="B118" s="8">
        <f>60000000+INDEX(编号表!$B:$B,MATCH(J118,编号表!$A:$A,0))*10000+INDEX(编号表!$B:$B,MATCH(K118,编号表!$C:$C,0))*1000+L118</f>
        <v>60252114</v>
      </c>
      <c r="C118" s="8" t="s">
        <v>468</v>
      </c>
      <c r="D118" s="5" t="s">
        <v>466</v>
      </c>
      <c r="E118" s="5" t="s">
        <v>467</v>
      </c>
      <c r="F118" s="8">
        <v>60</v>
      </c>
      <c r="G118" s="8" t="str">
        <f>INDEX(编号表!$E:$E,MATCH(K118,编号表!$C:$C,0))</f>
        <v>绿色</v>
      </c>
      <c r="H118" s="8">
        <v>5</v>
      </c>
      <c r="I118" s="8" t="s">
        <v>464</v>
      </c>
      <c r="J118" s="8" t="s">
        <v>464</v>
      </c>
      <c r="K118" s="8" t="s">
        <v>196</v>
      </c>
      <c r="L118" s="8">
        <v>114</v>
      </c>
      <c r="M118" s="8">
        <v>114</v>
      </c>
      <c r="N118" s="8"/>
      <c r="O118" s="8"/>
      <c r="P118" s="8">
        <v>10</v>
      </c>
      <c r="Q118" s="8">
        <v>150000</v>
      </c>
      <c r="R118" s="8"/>
      <c r="S118" s="8"/>
      <c r="T118" s="8">
        <v>1</v>
      </c>
      <c r="U118" s="16">
        <v>40010001</v>
      </c>
      <c r="V118" s="8"/>
      <c r="X118" s="8">
        <v>11000254</v>
      </c>
      <c r="Z118" s="8"/>
      <c r="AA118" s="8" t="s">
        <v>130</v>
      </c>
      <c r="AB118" s="21">
        <v>20089</v>
      </c>
      <c r="AC118" s="8">
        <v>0.7</v>
      </c>
      <c r="AD118" s="8">
        <v>80</v>
      </c>
      <c r="AE118" s="8">
        <v>80</v>
      </c>
      <c r="AF118" s="8">
        <v>40</v>
      </c>
      <c r="AG118" s="8">
        <v>40</v>
      </c>
      <c r="AH118" s="8" t="s">
        <v>160</v>
      </c>
      <c r="AI118">
        <v>30074</v>
      </c>
      <c r="AJ118" s="17"/>
      <c r="AL118" s="18">
        <v>255</v>
      </c>
      <c r="AM118" s="8" t="s">
        <v>132</v>
      </c>
      <c r="AN118" s="19">
        <v>1500</v>
      </c>
      <c r="AO118" s="8" t="s">
        <v>133</v>
      </c>
      <c r="AP118" s="8">
        <v>8</v>
      </c>
      <c r="AQ118" s="8" t="s">
        <v>134</v>
      </c>
      <c r="AR118" s="8">
        <v>12</v>
      </c>
      <c r="AS118" s="8" t="s">
        <v>135</v>
      </c>
      <c r="AT118" s="8">
        <v>8</v>
      </c>
      <c r="AU118" s="8" t="s">
        <v>136</v>
      </c>
      <c r="AV118" s="8">
        <v>11</v>
      </c>
      <c r="AW118" s="8" t="s">
        <v>137</v>
      </c>
      <c r="AX118" s="8">
        <v>21</v>
      </c>
      <c r="AY118" s="8" t="s">
        <v>138</v>
      </c>
      <c r="AZ118" s="8">
        <v>29</v>
      </c>
      <c r="BA118" s="8" t="s">
        <v>139</v>
      </c>
      <c r="BB118" s="8">
        <v>21</v>
      </c>
      <c r="BC118" s="8" t="s">
        <v>140</v>
      </c>
      <c r="BD118" s="8">
        <v>29</v>
      </c>
      <c r="BE118" s="8" t="s">
        <v>139</v>
      </c>
      <c r="BF118" s="8">
        <v>0</v>
      </c>
      <c r="BG118" s="8" t="s">
        <v>140</v>
      </c>
      <c r="BH118" s="8">
        <v>0</v>
      </c>
      <c r="BI118" s="8" t="s">
        <v>141</v>
      </c>
      <c r="BJ118" s="8">
        <v>100</v>
      </c>
      <c r="BK118" s="8" t="s">
        <v>142</v>
      </c>
      <c r="BL118" s="8">
        <v>600</v>
      </c>
      <c r="BM118" s="8" t="s">
        <v>143</v>
      </c>
      <c r="BN118" s="8">
        <v>800</v>
      </c>
      <c r="BQ118" s="8">
        <v>1</v>
      </c>
      <c r="BR118" s="8">
        <v>2500</v>
      </c>
      <c r="BS118" s="8">
        <v>2</v>
      </c>
      <c r="BT118" s="8">
        <v>2500</v>
      </c>
      <c r="BU118" s="8" t="s">
        <v>144</v>
      </c>
      <c r="BV118">
        <v>6</v>
      </c>
      <c r="BW118">
        <v>10</v>
      </c>
    </row>
    <row r="119" ht="16.5" customHeight="1" spans="2:75">
      <c r="B119" s="8">
        <f>60000000+INDEX(编号表!$B:$B,MATCH(J119,编号表!$A:$A,0))*10000+INDEX(编号表!$B:$B,MATCH(K119,编号表!$C:$C,0))*1000+L119</f>
        <v>60254115</v>
      </c>
      <c r="C119" s="8" t="s">
        <v>469</v>
      </c>
      <c r="D119" s="5" t="s">
        <v>470</v>
      </c>
      <c r="E119" s="5" t="s">
        <v>471</v>
      </c>
      <c r="F119" s="8">
        <v>60</v>
      </c>
      <c r="G119" s="8" t="str">
        <f>INDEX(编号表!$E:$E,MATCH(K119,编号表!$C:$C,0))</f>
        <v>橙色</v>
      </c>
      <c r="H119" s="8">
        <v>5</v>
      </c>
      <c r="I119" s="8" t="s">
        <v>464</v>
      </c>
      <c r="J119" s="8" t="s">
        <v>464</v>
      </c>
      <c r="K119" s="8" t="s">
        <v>246</v>
      </c>
      <c r="L119" s="8">
        <v>115</v>
      </c>
      <c r="M119" s="8">
        <v>115</v>
      </c>
      <c r="N119" s="8"/>
      <c r="O119" s="8"/>
      <c r="P119" s="8">
        <v>10</v>
      </c>
      <c r="Q119" s="8">
        <v>150000</v>
      </c>
      <c r="R119" s="8"/>
      <c r="S119" s="8"/>
      <c r="T119" s="8">
        <v>1</v>
      </c>
      <c r="U119" s="16">
        <v>40010001</v>
      </c>
      <c r="V119" s="8"/>
      <c r="X119" s="8">
        <v>11000001</v>
      </c>
      <c r="Z119" s="8"/>
      <c r="AA119" s="8" t="s">
        <v>130</v>
      </c>
      <c r="AB119" s="21">
        <v>20090</v>
      </c>
      <c r="AC119" s="8">
        <v>0.7</v>
      </c>
      <c r="AD119" s="8">
        <v>80</v>
      </c>
      <c r="AE119" s="8">
        <v>80</v>
      </c>
      <c r="AF119" s="8">
        <v>40</v>
      </c>
      <c r="AG119" s="8">
        <v>40</v>
      </c>
      <c r="AH119" s="8" t="s">
        <v>131</v>
      </c>
      <c r="AJ119" s="17"/>
      <c r="AL119" s="18">
        <v>255</v>
      </c>
      <c r="AM119" s="8" t="s">
        <v>132</v>
      </c>
      <c r="AN119" s="19">
        <v>1500</v>
      </c>
      <c r="AO119" s="8" t="s">
        <v>133</v>
      </c>
      <c r="AP119" s="8">
        <v>8</v>
      </c>
      <c r="AQ119" s="8" t="s">
        <v>134</v>
      </c>
      <c r="AR119" s="8">
        <v>12</v>
      </c>
      <c r="AS119" s="8" t="s">
        <v>135</v>
      </c>
      <c r="AT119" s="8">
        <v>8</v>
      </c>
      <c r="AU119" s="8" t="s">
        <v>136</v>
      </c>
      <c r="AV119" s="8">
        <v>11</v>
      </c>
      <c r="AW119" s="8" t="s">
        <v>137</v>
      </c>
      <c r="AX119" s="8">
        <v>21</v>
      </c>
      <c r="AY119" s="8" t="s">
        <v>138</v>
      </c>
      <c r="AZ119" s="8">
        <v>29</v>
      </c>
      <c r="BA119" s="8" t="s">
        <v>139</v>
      </c>
      <c r="BB119" s="8">
        <v>21</v>
      </c>
      <c r="BC119" s="8" t="s">
        <v>140</v>
      </c>
      <c r="BD119" s="8">
        <v>29</v>
      </c>
      <c r="BE119" s="8" t="s">
        <v>139</v>
      </c>
      <c r="BF119" s="8">
        <v>0</v>
      </c>
      <c r="BG119" s="8" t="s">
        <v>140</v>
      </c>
      <c r="BH119" s="8">
        <v>0</v>
      </c>
      <c r="BI119" s="8" t="s">
        <v>141</v>
      </c>
      <c r="BJ119" s="8">
        <v>100</v>
      </c>
      <c r="BK119" s="8" t="s">
        <v>142</v>
      </c>
      <c r="BL119" s="8">
        <v>120</v>
      </c>
      <c r="BM119" s="8" t="s">
        <v>143</v>
      </c>
      <c r="BN119" s="8">
        <v>600</v>
      </c>
      <c r="BQ119" s="8">
        <v>1</v>
      </c>
      <c r="BR119" s="8">
        <v>2500</v>
      </c>
      <c r="BS119" s="8">
        <v>2</v>
      </c>
      <c r="BT119" s="8">
        <v>2500</v>
      </c>
      <c r="BU119" s="8" t="s">
        <v>144</v>
      </c>
      <c r="BV119">
        <v>6</v>
      </c>
      <c r="BW119">
        <v>10</v>
      </c>
    </row>
    <row r="120" ht="16.5" customHeight="1" spans="2:75">
      <c r="B120" s="8">
        <f>60000000+INDEX(编号表!$B:$B,MATCH(J120,编号表!$A:$A,0))*10000+INDEX(编号表!$B:$B,MATCH(K120,编号表!$C:$C,0))*1000+L120</f>
        <v>60421116</v>
      </c>
      <c r="C120" s="8" t="s">
        <v>472</v>
      </c>
      <c r="D120" s="5" t="s">
        <v>473</v>
      </c>
      <c r="E120" s="5" t="s">
        <v>474</v>
      </c>
      <c r="F120" s="8">
        <v>60</v>
      </c>
      <c r="G120" s="8" t="str">
        <f>INDEX(编号表!$E:$E,MATCH(K120,编号表!$C:$C,0))</f>
        <v>白色</v>
      </c>
      <c r="H120" s="8">
        <v>5</v>
      </c>
      <c r="I120" s="8" t="s">
        <v>475</v>
      </c>
      <c r="J120" s="8" t="s">
        <v>475</v>
      </c>
      <c r="K120" s="8" t="s">
        <v>129</v>
      </c>
      <c r="L120" s="8">
        <v>116</v>
      </c>
      <c r="M120" s="8">
        <v>116</v>
      </c>
      <c r="N120" s="8"/>
      <c r="O120" s="8"/>
      <c r="P120" s="8">
        <v>10</v>
      </c>
      <c r="Q120" s="8">
        <v>150000</v>
      </c>
      <c r="R120" s="8"/>
      <c r="S120" s="8"/>
      <c r="T120" s="8">
        <v>1</v>
      </c>
      <c r="U120" s="16">
        <v>40010001</v>
      </c>
      <c r="V120" s="8"/>
      <c r="X120" s="8">
        <v>11000242</v>
      </c>
      <c r="Z120" s="8"/>
      <c r="AA120" s="8" t="s">
        <v>130</v>
      </c>
      <c r="AB120" s="21">
        <v>20094</v>
      </c>
      <c r="AC120" s="8">
        <v>0.78</v>
      </c>
      <c r="AD120" s="8">
        <v>80</v>
      </c>
      <c r="AE120" s="8">
        <v>80</v>
      </c>
      <c r="AF120" s="8">
        <v>40</v>
      </c>
      <c r="AG120" s="8">
        <v>40</v>
      </c>
      <c r="AH120" s="8" t="s">
        <v>160</v>
      </c>
      <c r="AI120">
        <v>30062</v>
      </c>
      <c r="AJ120" s="17"/>
      <c r="AL120" s="18">
        <v>255</v>
      </c>
      <c r="AM120" s="8" t="s">
        <v>132</v>
      </c>
      <c r="AN120" s="19">
        <v>1500</v>
      </c>
      <c r="AO120" s="8" t="s">
        <v>133</v>
      </c>
      <c r="AP120" s="8">
        <v>8</v>
      </c>
      <c r="AQ120" s="8" t="s">
        <v>134</v>
      </c>
      <c r="AR120" s="8">
        <v>12</v>
      </c>
      <c r="AS120" s="8" t="s">
        <v>135</v>
      </c>
      <c r="AT120" s="8">
        <v>8</v>
      </c>
      <c r="AU120" s="8" t="s">
        <v>136</v>
      </c>
      <c r="AV120" s="8">
        <v>11</v>
      </c>
      <c r="AW120" s="8" t="s">
        <v>137</v>
      </c>
      <c r="AX120" s="8">
        <v>21</v>
      </c>
      <c r="AY120" s="8" t="s">
        <v>138</v>
      </c>
      <c r="AZ120" s="8">
        <v>29</v>
      </c>
      <c r="BA120" s="8" t="s">
        <v>139</v>
      </c>
      <c r="BB120" s="8">
        <v>21</v>
      </c>
      <c r="BC120" s="8" t="s">
        <v>140</v>
      </c>
      <c r="BD120" s="8">
        <v>29</v>
      </c>
      <c r="BE120" s="8" t="s">
        <v>139</v>
      </c>
      <c r="BF120" s="8">
        <v>0</v>
      </c>
      <c r="BG120" s="8" t="s">
        <v>140</v>
      </c>
      <c r="BH120" s="8">
        <v>0</v>
      </c>
      <c r="BI120" s="8" t="s">
        <v>141</v>
      </c>
      <c r="BJ120" s="8">
        <v>100</v>
      </c>
      <c r="BK120" s="8" t="s">
        <v>142</v>
      </c>
      <c r="BL120" s="8">
        <v>600</v>
      </c>
      <c r="BM120" s="8" t="s">
        <v>143</v>
      </c>
      <c r="BN120" s="8">
        <v>800</v>
      </c>
      <c r="BQ120" s="8">
        <v>1</v>
      </c>
      <c r="BR120" s="8">
        <v>2500</v>
      </c>
      <c r="BS120" s="8">
        <v>2</v>
      </c>
      <c r="BT120" s="8">
        <v>2500</v>
      </c>
      <c r="BU120" s="8" t="s">
        <v>144</v>
      </c>
      <c r="BV120">
        <v>6</v>
      </c>
      <c r="BW120">
        <v>10</v>
      </c>
    </row>
    <row r="121" ht="16.5" customHeight="1" spans="2:75">
      <c r="B121" s="8">
        <f>60000000+INDEX(编号表!$B:$B,MATCH(J121,编号表!$A:$A,0))*10000+INDEX(编号表!$B:$B,MATCH(K121,编号表!$C:$C,0))*1000+L121</f>
        <v>60421117</v>
      </c>
      <c r="C121" s="8" t="s">
        <v>476</v>
      </c>
      <c r="D121" s="5" t="s">
        <v>477</v>
      </c>
      <c r="E121" s="5" t="s">
        <v>478</v>
      </c>
      <c r="F121" s="8">
        <v>60</v>
      </c>
      <c r="G121" s="8" t="str">
        <f>INDEX(编号表!$E:$E,MATCH(K121,编号表!$C:$C,0))</f>
        <v>白色</v>
      </c>
      <c r="H121" s="8">
        <v>5</v>
      </c>
      <c r="I121" s="8" t="s">
        <v>475</v>
      </c>
      <c r="J121" s="8" t="s">
        <v>475</v>
      </c>
      <c r="K121" s="8" t="s">
        <v>129</v>
      </c>
      <c r="L121" s="8">
        <v>117</v>
      </c>
      <c r="M121" s="8">
        <v>117</v>
      </c>
      <c r="N121" s="8"/>
      <c r="O121" s="8"/>
      <c r="P121" s="8">
        <v>10</v>
      </c>
      <c r="Q121" s="8">
        <v>150000</v>
      </c>
      <c r="R121" s="8"/>
      <c r="S121" s="8"/>
      <c r="T121" s="8">
        <v>1</v>
      </c>
      <c r="U121" s="16">
        <v>40010001</v>
      </c>
      <c r="V121" s="8"/>
      <c r="X121" s="8">
        <v>11000001</v>
      </c>
      <c r="Z121" s="8"/>
      <c r="AA121" s="8" t="s">
        <v>130</v>
      </c>
      <c r="AB121" s="21">
        <v>20095</v>
      </c>
      <c r="AC121" s="8">
        <v>0.7</v>
      </c>
      <c r="AD121" s="8">
        <v>80</v>
      </c>
      <c r="AE121" s="8">
        <v>80</v>
      </c>
      <c r="AF121" s="8">
        <v>40</v>
      </c>
      <c r="AG121" s="8">
        <v>40</v>
      </c>
      <c r="AH121" s="8" t="s">
        <v>131</v>
      </c>
      <c r="AJ121" s="17"/>
      <c r="AL121" s="18">
        <v>255</v>
      </c>
      <c r="AM121" s="8" t="s">
        <v>132</v>
      </c>
      <c r="AN121" s="19">
        <v>1500</v>
      </c>
      <c r="AO121" s="8" t="s">
        <v>133</v>
      </c>
      <c r="AP121" s="8">
        <v>8</v>
      </c>
      <c r="AQ121" s="8" t="s">
        <v>134</v>
      </c>
      <c r="AR121" s="8">
        <v>12</v>
      </c>
      <c r="AS121" s="8" t="s">
        <v>135</v>
      </c>
      <c r="AT121" s="8">
        <v>8</v>
      </c>
      <c r="AU121" s="8" t="s">
        <v>136</v>
      </c>
      <c r="AV121" s="8">
        <v>11</v>
      </c>
      <c r="AW121" s="8" t="s">
        <v>137</v>
      </c>
      <c r="AX121" s="8">
        <v>21</v>
      </c>
      <c r="AY121" s="8" t="s">
        <v>138</v>
      </c>
      <c r="AZ121" s="8">
        <v>29</v>
      </c>
      <c r="BA121" s="8" t="s">
        <v>139</v>
      </c>
      <c r="BB121" s="8">
        <v>21</v>
      </c>
      <c r="BC121" s="8" t="s">
        <v>140</v>
      </c>
      <c r="BD121" s="8">
        <v>29</v>
      </c>
      <c r="BE121" s="8" t="s">
        <v>139</v>
      </c>
      <c r="BF121" s="8">
        <v>0</v>
      </c>
      <c r="BG121" s="8" t="s">
        <v>140</v>
      </c>
      <c r="BH121" s="8">
        <v>0</v>
      </c>
      <c r="BI121" s="8" t="s">
        <v>141</v>
      </c>
      <c r="BJ121" s="8">
        <v>100</v>
      </c>
      <c r="BK121" s="8" t="s">
        <v>142</v>
      </c>
      <c r="BL121" s="8">
        <v>120</v>
      </c>
      <c r="BM121" s="8" t="s">
        <v>143</v>
      </c>
      <c r="BN121" s="8">
        <v>600</v>
      </c>
      <c r="BQ121" s="8">
        <v>1</v>
      </c>
      <c r="BR121" s="8">
        <v>2500</v>
      </c>
      <c r="BS121" s="8">
        <v>2</v>
      </c>
      <c r="BT121" s="8">
        <v>2500</v>
      </c>
      <c r="BU121" s="8" t="s">
        <v>144</v>
      </c>
      <c r="BV121">
        <v>6</v>
      </c>
      <c r="BW121">
        <v>10</v>
      </c>
    </row>
    <row r="122" ht="16.5" customHeight="1" spans="2:75">
      <c r="B122" s="8">
        <f>60000000+INDEX(编号表!$B:$B,MATCH(J122,编号表!$A:$A,0))*10000+INDEX(编号表!$B:$B,MATCH(K122,编号表!$C:$C,0))*1000+L122</f>
        <v>60421118</v>
      </c>
      <c r="C122" s="8" t="s">
        <v>479</v>
      </c>
      <c r="D122" s="5" t="s">
        <v>480</v>
      </c>
      <c r="E122" s="5" t="s">
        <v>481</v>
      </c>
      <c r="F122" s="8">
        <v>60</v>
      </c>
      <c r="G122" s="8" t="str">
        <f>INDEX(编号表!$E:$E,MATCH(K122,编号表!$C:$C,0))</f>
        <v>白色</v>
      </c>
      <c r="H122" s="8">
        <v>5</v>
      </c>
      <c r="I122" s="8" t="s">
        <v>475</v>
      </c>
      <c r="J122" s="8" t="s">
        <v>475</v>
      </c>
      <c r="K122" s="8" t="s">
        <v>129</v>
      </c>
      <c r="L122" s="8">
        <v>118</v>
      </c>
      <c r="M122" s="8">
        <v>118</v>
      </c>
      <c r="N122" s="8"/>
      <c r="O122" s="8"/>
      <c r="P122" s="8">
        <v>10</v>
      </c>
      <c r="Q122" s="8">
        <v>150000</v>
      </c>
      <c r="R122" s="8"/>
      <c r="S122" s="8"/>
      <c r="T122" s="8">
        <v>1</v>
      </c>
      <c r="U122" s="16">
        <v>40010001</v>
      </c>
      <c r="V122" s="8"/>
      <c r="X122" s="8">
        <v>11000246</v>
      </c>
      <c r="Z122" s="8"/>
      <c r="AA122" s="8" t="s">
        <v>130</v>
      </c>
      <c r="AB122" s="21">
        <v>20096</v>
      </c>
      <c r="AC122" s="8">
        <v>0.65</v>
      </c>
      <c r="AD122" s="8">
        <v>80</v>
      </c>
      <c r="AE122" s="8">
        <v>80</v>
      </c>
      <c r="AF122" s="8">
        <v>40</v>
      </c>
      <c r="AG122" s="8">
        <v>40</v>
      </c>
      <c r="AH122" s="8" t="s">
        <v>160</v>
      </c>
      <c r="AI122">
        <v>30066</v>
      </c>
      <c r="AJ122" s="17"/>
      <c r="AL122" s="18">
        <v>255</v>
      </c>
      <c r="AM122" s="8" t="s">
        <v>132</v>
      </c>
      <c r="AN122" s="19">
        <v>1500</v>
      </c>
      <c r="AO122" s="8" t="s">
        <v>133</v>
      </c>
      <c r="AP122" s="8">
        <v>8</v>
      </c>
      <c r="AQ122" s="8" t="s">
        <v>134</v>
      </c>
      <c r="AR122" s="8">
        <v>12</v>
      </c>
      <c r="AS122" s="8" t="s">
        <v>135</v>
      </c>
      <c r="AT122" s="8">
        <v>8</v>
      </c>
      <c r="AU122" s="8" t="s">
        <v>136</v>
      </c>
      <c r="AV122" s="8">
        <v>11</v>
      </c>
      <c r="AW122" s="8" t="s">
        <v>137</v>
      </c>
      <c r="AX122" s="8">
        <v>21</v>
      </c>
      <c r="AY122" s="8" t="s">
        <v>138</v>
      </c>
      <c r="AZ122" s="8">
        <v>29</v>
      </c>
      <c r="BA122" s="8" t="s">
        <v>139</v>
      </c>
      <c r="BB122" s="8">
        <v>21</v>
      </c>
      <c r="BC122" s="8" t="s">
        <v>140</v>
      </c>
      <c r="BD122" s="8">
        <v>29</v>
      </c>
      <c r="BE122" s="8" t="s">
        <v>139</v>
      </c>
      <c r="BF122" s="8">
        <v>0</v>
      </c>
      <c r="BG122" s="8" t="s">
        <v>140</v>
      </c>
      <c r="BH122" s="8">
        <v>0</v>
      </c>
      <c r="BI122" s="8" t="s">
        <v>141</v>
      </c>
      <c r="BJ122" s="8">
        <v>100</v>
      </c>
      <c r="BK122" s="8" t="s">
        <v>142</v>
      </c>
      <c r="BL122" s="8">
        <v>600</v>
      </c>
      <c r="BM122" s="8" t="s">
        <v>143</v>
      </c>
      <c r="BN122" s="8">
        <v>800</v>
      </c>
      <c r="BQ122" s="8">
        <v>1</v>
      </c>
      <c r="BR122" s="8">
        <v>2500</v>
      </c>
      <c r="BS122" s="8">
        <v>2</v>
      </c>
      <c r="BT122" s="8">
        <v>2500</v>
      </c>
      <c r="BU122" s="8" t="s">
        <v>144</v>
      </c>
      <c r="BV122">
        <v>6</v>
      </c>
      <c r="BW122">
        <v>10</v>
      </c>
    </row>
    <row r="123" ht="16.5" customHeight="1" spans="2:75">
      <c r="B123" s="8">
        <f>60000000+INDEX(编号表!$B:$B,MATCH(J123,编号表!$A:$A,0))*10000+INDEX(编号表!$B:$B,MATCH(K123,编号表!$C:$C,0))*1000+L123</f>
        <v>60422119</v>
      </c>
      <c r="C123" s="8" t="s">
        <v>482</v>
      </c>
      <c r="D123" s="5" t="s">
        <v>483</v>
      </c>
      <c r="E123" s="5" t="s">
        <v>484</v>
      </c>
      <c r="F123" s="8">
        <v>60</v>
      </c>
      <c r="G123" s="8" t="str">
        <f>INDEX(编号表!$E:$E,MATCH(K123,编号表!$C:$C,0))</f>
        <v>绿色</v>
      </c>
      <c r="H123" s="8">
        <v>5</v>
      </c>
      <c r="I123" s="8" t="s">
        <v>475</v>
      </c>
      <c r="J123" s="8" t="s">
        <v>475</v>
      </c>
      <c r="K123" s="8" t="s">
        <v>196</v>
      </c>
      <c r="L123" s="8">
        <v>119</v>
      </c>
      <c r="M123" s="8">
        <v>119</v>
      </c>
      <c r="N123" s="8"/>
      <c r="O123" s="8"/>
      <c r="P123" s="8">
        <v>10</v>
      </c>
      <c r="Q123" s="8">
        <v>150000</v>
      </c>
      <c r="R123" s="8"/>
      <c r="S123" s="8"/>
      <c r="T123" s="8">
        <v>1</v>
      </c>
      <c r="U123" s="16">
        <v>40010001</v>
      </c>
      <c r="V123" s="8"/>
      <c r="X123" s="8">
        <v>11000001</v>
      </c>
      <c r="Z123" s="8"/>
      <c r="AA123" s="8" t="s">
        <v>130</v>
      </c>
      <c r="AB123" s="21">
        <v>20097</v>
      </c>
      <c r="AC123" s="8">
        <v>1.42</v>
      </c>
      <c r="AD123" s="8">
        <v>80</v>
      </c>
      <c r="AE123" s="8">
        <v>80</v>
      </c>
      <c r="AF123" s="8">
        <v>40</v>
      </c>
      <c r="AG123" s="8">
        <v>40</v>
      </c>
      <c r="AH123" s="8" t="s">
        <v>131</v>
      </c>
      <c r="AJ123" s="17"/>
      <c r="AL123" s="18">
        <v>255</v>
      </c>
      <c r="AM123" s="8" t="s">
        <v>132</v>
      </c>
      <c r="AN123" s="19">
        <v>1500</v>
      </c>
      <c r="AO123" s="8" t="s">
        <v>133</v>
      </c>
      <c r="AP123" s="8">
        <v>8</v>
      </c>
      <c r="AQ123" s="8" t="s">
        <v>134</v>
      </c>
      <c r="AR123" s="8">
        <v>12</v>
      </c>
      <c r="AS123" s="8" t="s">
        <v>135</v>
      </c>
      <c r="AT123" s="8">
        <v>8</v>
      </c>
      <c r="AU123" s="8" t="s">
        <v>136</v>
      </c>
      <c r="AV123" s="8">
        <v>11</v>
      </c>
      <c r="AW123" s="8" t="s">
        <v>137</v>
      </c>
      <c r="AX123" s="8">
        <v>21</v>
      </c>
      <c r="AY123" s="8" t="s">
        <v>138</v>
      </c>
      <c r="AZ123" s="8">
        <v>29</v>
      </c>
      <c r="BA123" s="8" t="s">
        <v>139</v>
      </c>
      <c r="BB123" s="8">
        <v>21</v>
      </c>
      <c r="BC123" s="8" t="s">
        <v>140</v>
      </c>
      <c r="BD123" s="8">
        <v>29</v>
      </c>
      <c r="BE123" s="8" t="s">
        <v>139</v>
      </c>
      <c r="BF123" s="8">
        <v>0</v>
      </c>
      <c r="BG123" s="8" t="s">
        <v>140</v>
      </c>
      <c r="BH123" s="8">
        <v>0</v>
      </c>
      <c r="BI123" s="8" t="s">
        <v>141</v>
      </c>
      <c r="BJ123" s="8">
        <v>100</v>
      </c>
      <c r="BK123" s="8" t="s">
        <v>142</v>
      </c>
      <c r="BL123" s="8">
        <v>120</v>
      </c>
      <c r="BM123" s="8" t="s">
        <v>143</v>
      </c>
      <c r="BN123" s="8">
        <v>600</v>
      </c>
      <c r="BQ123" s="8">
        <v>1</v>
      </c>
      <c r="BR123" s="8">
        <v>2500</v>
      </c>
      <c r="BS123" s="8">
        <v>2</v>
      </c>
      <c r="BT123" s="8">
        <v>2500</v>
      </c>
      <c r="BU123" s="8" t="s">
        <v>144</v>
      </c>
      <c r="BV123">
        <v>6</v>
      </c>
      <c r="BW123">
        <v>10</v>
      </c>
    </row>
    <row r="124" ht="16.5" customHeight="1" spans="2:75">
      <c r="B124" s="8">
        <f>60000000+INDEX(编号表!$B:$B,MATCH(J124,编号表!$A:$A,0))*10000+INDEX(编号表!$B:$B,MATCH(K124,编号表!$C:$C,0))*1000+L124</f>
        <v>60431120</v>
      </c>
      <c r="C124" s="8" t="s">
        <v>485</v>
      </c>
      <c r="D124" s="5" t="s">
        <v>486</v>
      </c>
      <c r="E124" s="5" t="s">
        <v>487</v>
      </c>
      <c r="F124" s="8">
        <v>60</v>
      </c>
      <c r="G124" s="8" t="str">
        <f>INDEX(编号表!$E:$E,MATCH(K124,编号表!$C:$C,0))</f>
        <v>白色</v>
      </c>
      <c r="H124" s="8">
        <v>5</v>
      </c>
      <c r="I124" s="8" t="s">
        <v>488</v>
      </c>
      <c r="J124" s="8" t="s">
        <v>488</v>
      </c>
      <c r="K124" s="8" t="s">
        <v>129</v>
      </c>
      <c r="L124" s="8">
        <v>120</v>
      </c>
      <c r="M124" s="8">
        <v>120</v>
      </c>
      <c r="N124" s="8"/>
      <c r="O124" s="8"/>
      <c r="P124" s="8">
        <v>10</v>
      </c>
      <c r="Q124" s="8">
        <v>150000</v>
      </c>
      <c r="R124" s="8"/>
      <c r="S124" s="8"/>
      <c r="T124" s="8">
        <v>1</v>
      </c>
      <c r="U124" s="16">
        <v>40010001</v>
      </c>
      <c r="V124" s="8"/>
      <c r="X124" s="8">
        <v>11000246</v>
      </c>
      <c r="Z124" s="8"/>
      <c r="AA124" s="8" t="s">
        <v>130</v>
      </c>
      <c r="AB124" s="21">
        <v>20098</v>
      </c>
      <c r="AC124" s="8">
        <v>0.91</v>
      </c>
      <c r="AD124" s="8">
        <v>80</v>
      </c>
      <c r="AE124" s="8">
        <v>80</v>
      </c>
      <c r="AF124" s="8">
        <v>40</v>
      </c>
      <c r="AG124" s="8">
        <v>40</v>
      </c>
      <c r="AH124" s="8" t="s">
        <v>160</v>
      </c>
      <c r="AI124">
        <v>30066</v>
      </c>
      <c r="AJ124" s="17"/>
      <c r="AL124" s="18">
        <v>255</v>
      </c>
      <c r="AM124" s="8" t="s">
        <v>132</v>
      </c>
      <c r="AN124" s="19">
        <v>1500</v>
      </c>
      <c r="AO124" s="8" t="s">
        <v>133</v>
      </c>
      <c r="AP124" s="8">
        <v>8</v>
      </c>
      <c r="AQ124" s="8" t="s">
        <v>134</v>
      </c>
      <c r="AR124" s="8">
        <v>12</v>
      </c>
      <c r="AS124" s="8" t="s">
        <v>135</v>
      </c>
      <c r="AT124" s="8">
        <v>8</v>
      </c>
      <c r="AU124" s="8" t="s">
        <v>136</v>
      </c>
      <c r="AV124" s="8">
        <v>11</v>
      </c>
      <c r="AW124" s="8" t="s">
        <v>137</v>
      </c>
      <c r="AX124" s="8">
        <v>21</v>
      </c>
      <c r="AY124" s="8" t="s">
        <v>138</v>
      </c>
      <c r="AZ124" s="8">
        <v>29</v>
      </c>
      <c r="BA124" s="8" t="s">
        <v>139</v>
      </c>
      <c r="BB124" s="8">
        <v>21</v>
      </c>
      <c r="BC124" s="8" t="s">
        <v>140</v>
      </c>
      <c r="BD124" s="8">
        <v>29</v>
      </c>
      <c r="BE124" s="8" t="s">
        <v>139</v>
      </c>
      <c r="BF124" s="8">
        <v>0</v>
      </c>
      <c r="BG124" s="8" t="s">
        <v>140</v>
      </c>
      <c r="BH124" s="8">
        <v>0</v>
      </c>
      <c r="BI124" s="8" t="s">
        <v>141</v>
      </c>
      <c r="BJ124" s="8">
        <v>100</v>
      </c>
      <c r="BK124" s="8" t="s">
        <v>142</v>
      </c>
      <c r="BL124" s="8">
        <v>600</v>
      </c>
      <c r="BM124" s="8" t="s">
        <v>143</v>
      </c>
      <c r="BN124" s="8">
        <v>800</v>
      </c>
      <c r="BQ124" s="8">
        <v>1</v>
      </c>
      <c r="BR124" s="8">
        <v>2500</v>
      </c>
      <c r="BS124" s="8">
        <v>2</v>
      </c>
      <c r="BT124" s="8">
        <v>2500</v>
      </c>
      <c r="BU124" s="8" t="s">
        <v>144</v>
      </c>
      <c r="BV124">
        <v>6</v>
      </c>
      <c r="BW124">
        <v>10</v>
      </c>
    </row>
    <row r="125" ht="16.5" customHeight="1" spans="2:75">
      <c r="B125" s="8">
        <f>60000000+INDEX(编号表!$B:$B,MATCH(J125,编号表!$A:$A,0))*10000+INDEX(编号表!$B:$B,MATCH(K125,编号表!$C:$C,0))*1000+L125</f>
        <v>60431121</v>
      </c>
      <c r="C125" s="8" t="s">
        <v>489</v>
      </c>
      <c r="D125" s="5" t="s">
        <v>490</v>
      </c>
      <c r="E125" s="5" t="s">
        <v>491</v>
      </c>
      <c r="F125" s="8">
        <v>60</v>
      </c>
      <c r="G125" s="8" t="str">
        <f>INDEX(编号表!$E:$E,MATCH(K125,编号表!$C:$C,0))</f>
        <v>白色</v>
      </c>
      <c r="H125" s="8">
        <v>5</v>
      </c>
      <c r="I125" s="8" t="s">
        <v>488</v>
      </c>
      <c r="J125" s="8" t="s">
        <v>488</v>
      </c>
      <c r="K125" s="8" t="s">
        <v>129</v>
      </c>
      <c r="L125" s="8">
        <v>121</v>
      </c>
      <c r="M125" s="8">
        <v>121</v>
      </c>
      <c r="N125" s="8"/>
      <c r="O125" s="8"/>
      <c r="P125" s="8">
        <v>10</v>
      </c>
      <c r="Q125" s="8">
        <v>150000</v>
      </c>
      <c r="R125" s="8"/>
      <c r="S125" s="8"/>
      <c r="T125" s="8">
        <v>1</v>
      </c>
      <c r="U125" s="16">
        <v>40010001</v>
      </c>
      <c r="V125" s="8"/>
      <c r="X125" s="8">
        <v>11000001</v>
      </c>
      <c r="Z125" s="8"/>
      <c r="AA125" s="8" t="s">
        <v>130</v>
      </c>
      <c r="AB125" s="21">
        <v>20099</v>
      </c>
      <c r="AC125" s="8">
        <v>0.33</v>
      </c>
      <c r="AD125" s="8">
        <v>80</v>
      </c>
      <c r="AE125" s="8">
        <v>80</v>
      </c>
      <c r="AF125" s="8">
        <v>40</v>
      </c>
      <c r="AG125" s="8">
        <v>40</v>
      </c>
      <c r="AH125" s="8" t="s">
        <v>131</v>
      </c>
      <c r="AJ125" s="17"/>
      <c r="AL125" s="18">
        <v>255</v>
      </c>
      <c r="AM125" s="8" t="s">
        <v>132</v>
      </c>
      <c r="AN125" s="19">
        <v>1500</v>
      </c>
      <c r="AO125" s="8" t="s">
        <v>133</v>
      </c>
      <c r="AP125" s="8">
        <v>8</v>
      </c>
      <c r="AQ125" s="8" t="s">
        <v>134</v>
      </c>
      <c r="AR125" s="8">
        <v>12</v>
      </c>
      <c r="AS125" s="8" t="s">
        <v>135</v>
      </c>
      <c r="AT125" s="8">
        <v>8</v>
      </c>
      <c r="AU125" s="8" t="s">
        <v>136</v>
      </c>
      <c r="AV125" s="8">
        <v>11</v>
      </c>
      <c r="AW125" s="8" t="s">
        <v>137</v>
      </c>
      <c r="AX125" s="8">
        <v>21</v>
      </c>
      <c r="AY125" s="8" t="s">
        <v>138</v>
      </c>
      <c r="AZ125" s="8">
        <v>29</v>
      </c>
      <c r="BA125" s="8" t="s">
        <v>139</v>
      </c>
      <c r="BB125" s="8">
        <v>21</v>
      </c>
      <c r="BC125" s="8" t="s">
        <v>140</v>
      </c>
      <c r="BD125" s="8">
        <v>29</v>
      </c>
      <c r="BE125" s="8" t="s">
        <v>139</v>
      </c>
      <c r="BF125" s="8">
        <v>0</v>
      </c>
      <c r="BG125" s="8" t="s">
        <v>140</v>
      </c>
      <c r="BH125" s="8">
        <v>0</v>
      </c>
      <c r="BI125" s="8" t="s">
        <v>141</v>
      </c>
      <c r="BJ125" s="8">
        <v>100</v>
      </c>
      <c r="BK125" s="8" t="s">
        <v>142</v>
      </c>
      <c r="BL125" s="8">
        <v>120</v>
      </c>
      <c r="BM125" s="8" t="s">
        <v>143</v>
      </c>
      <c r="BN125" s="8">
        <v>600</v>
      </c>
      <c r="BQ125" s="8">
        <v>1</v>
      </c>
      <c r="BR125" s="8">
        <v>2500</v>
      </c>
      <c r="BS125" s="8">
        <v>2</v>
      </c>
      <c r="BT125" s="8">
        <v>2500</v>
      </c>
      <c r="BU125" s="8" t="s">
        <v>144</v>
      </c>
      <c r="BV125">
        <v>6</v>
      </c>
      <c r="BW125">
        <v>10</v>
      </c>
    </row>
    <row r="126" ht="16.5" customHeight="1" spans="2:75">
      <c r="B126" s="8">
        <f>60000000+INDEX(编号表!$B:$B,MATCH(J126,编号表!$A:$A,0))*10000+INDEX(编号表!$B:$B,MATCH(K126,编号表!$C:$C,0))*1000+L126</f>
        <v>60432122</v>
      </c>
      <c r="C126" s="8" t="s">
        <v>492</v>
      </c>
      <c r="D126" s="5" t="s">
        <v>493</v>
      </c>
      <c r="E126" s="5" t="s">
        <v>494</v>
      </c>
      <c r="F126" s="8">
        <v>60</v>
      </c>
      <c r="G126" s="8" t="str">
        <f>INDEX(编号表!$E:$E,MATCH(K126,编号表!$C:$C,0))</f>
        <v>绿色</v>
      </c>
      <c r="H126" s="8">
        <v>5</v>
      </c>
      <c r="I126" s="8" t="s">
        <v>488</v>
      </c>
      <c r="J126" s="8" t="s">
        <v>488</v>
      </c>
      <c r="K126" s="8" t="s">
        <v>196</v>
      </c>
      <c r="L126" s="8">
        <v>122</v>
      </c>
      <c r="M126" s="8">
        <v>122</v>
      </c>
      <c r="N126" s="8"/>
      <c r="O126" s="8"/>
      <c r="P126" s="8">
        <v>10</v>
      </c>
      <c r="Q126" s="8">
        <v>150000</v>
      </c>
      <c r="R126" s="8"/>
      <c r="S126" s="8"/>
      <c r="T126" s="8">
        <v>1</v>
      </c>
      <c r="U126" s="16">
        <v>40010001</v>
      </c>
      <c r="V126" s="8"/>
      <c r="X126" s="8">
        <v>11000248</v>
      </c>
      <c r="Z126" s="8"/>
      <c r="AA126" s="8" t="s">
        <v>130</v>
      </c>
      <c r="AB126" s="21">
        <v>20100</v>
      </c>
      <c r="AC126" s="8">
        <v>0.92</v>
      </c>
      <c r="AD126" s="8">
        <v>80</v>
      </c>
      <c r="AE126" s="8">
        <v>80</v>
      </c>
      <c r="AF126" s="8">
        <v>40</v>
      </c>
      <c r="AG126" s="8">
        <v>40</v>
      </c>
      <c r="AH126" s="8" t="s">
        <v>160</v>
      </c>
      <c r="AI126">
        <v>30068</v>
      </c>
      <c r="AJ126" s="17"/>
      <c r="AL126" s="18">
        <v>255</v>
      </c>
      <c r="AM126" s="8" t="s">
        <v>132</v>
      </c>
      <c r="AN126" s="19">
        <v>1500</v>
      </c>
      <c r="AO126" s="8" t="s">
        <v>133</v>
      </c>
      <c r="AP126" s="8">
        <v>8</v>
      </c>
      <c r="AQ126" s="8" t="s">
        <v>134</v>
      </c>
      <c r="AR126" s="8">
        <v>12</v>
      </c>
      <c r="AS126" s="8" t="s">
        <v>135</v>
      </c>
      <c r="AT126" s="8">
        <v>8</v>
      </c>
      <c r="AU126" s="8" t="s">
        <v>136</v>
      </c>
      <c r="AV126" s="8">
        <v>11</v>
      </c>
      <c r="AW126" s="8" t="s">
        <v>137</v>
      </c>
      <c r="AX126" s="8">
        <v>21</v>
      </c>
      <c r="AY126" s="8" t="s">
        <v>138</v>
      </c>
      <c r="AZ126" s="8">
        <v>29</v>
      </c>
      <c r="BA126" s="8" t="s">
        <v>139</v>
      </c>
      <c r="BB126" s="8">
        <v>21</v>
      </c>
      <c r="BC126" s="8" t="s">
        <v>140</v>
      </c>
      <c r="BD126" s="8">
        <v>29</v>
      </c>
      <c r="BE126" s="8" t="s">
        <v>139</v>
      </c>
      <c r="BF126" s="8">
        <v>0</v>
      </c>
      <c r="BG126" s="8" t="s">
        <v>140</v>
      </c>
      <c r="BH126" s="8">
        <v>0</v>
      </c>
      <c r="BI126" s="8" t="s">
        <v>141</v>
      </c>
      <c r="BJ126" s="8">
        <v>100</v>
      </c>
      <c r="BK126" s="8" t="s">
        <v>142</v>
      </c>
      <c r="BL126" s="8">
        <v>600</v>
      </c>
      <c r="BM126" s="8" t="s">
        <v>143</v>
      </c>
      <c r="BN126" s="8">
        <v>800</v>
      </c>
      <c r="BQ126" s="8">
        <v>1</v>
      </c>
      <c r="BR126" s="8">
        <v>2500</v>
      </c>
      <c r="BS126" s="8">
        <v>2</v>
      </c>
      <c r="BT126" s="8">
        <v>2500</v>
      </c>
      <c r="BU126" s="8" t="s">
        <v>144</v>
      </c>
      <c r="BV126">
        <v>6</v>
      </c>
      <c r="BW126">
        <v>10</v>
      </c>
    </row>
    <row r="127" ht="16.5" customHeight="1" spans="2:75">
      <c r="B127" s="8">
        <f>60000000+INDEX(编号表!$B:$B,MATCH(J127,编号表!$A:$A,0))*10000+INDEX(编号表!$B:$B,MATCH(K127,编号表!$C:$C,0))*1000+L127</f>
        <v>60434123</v>
      </c>
      <c r="C127" s="8" t="s">
        <v>495</v>
      </c>
      <c r="D127" s="5" t="s">
        <v>496</v>
      </c>
      <c r="E127" s="5" t="s">
        <v>497</v>
      </c>
      <c r="F127" s="8">
        <v>60</v>
      </c>
      <c r="G127" s="8" t="str">
        <f>INDEX(编号表!$E:$E,MATCH(K127,编号表!$C:$C,0))</f>
        <v>橙色</v>
      </c>
      <c r="H127" s="8">
        <v>5</v>
      </c>
      <c r="I127" s="8" t="s">
        <v>488</v>
      </c>
      <c r="J127" s="8" t="s">
        <v>488</v>
      </c>
      <c r="K127" s="8" t="s">
        <v>246</v>
      </c>
      <c r="L127" s="8">
        <v>123</v>
      </c>
      <c r="M127" s="8">
        <v>123</v>
      </c>
      <c r="N127" s="8"/>
      <c r="O127" s="8"/>
      <c r="P127" s="8">
        <v>10</v>
      </c>
      <c r="Q127" s="8">
        <v>150000</v>
      </c>
      <c r="R127" s="8"/>
      <c r="S127" s="8"/>
      <c r="T127" s="8">
        <v>1</v>
      </c>
      <c r="U127" s="16">
        <v>40010001</v>
      </c>
      <c r="V127" s="8"/>
      <c r="X127" s="8">
        <v>11000001</v>
      </c>
      <c r="Z127" s="8"/>
      <c r="AA127" s="8" t="s">
        <v>130</v>
      </c>
      <c r="AB127" s="21">
        <v>20101</v>
      </c>
      <c r="AC127" s="8">
        <v>0.76</v>
      </c>
      <c r="AD127" s="8">
        <v>80</v>
      </c>
      <c r="AE127" s="8">
        <v>80</v>
      </c>
      <c r="AF127" s="8">
        <v>40</v>
      </c>
      <c r="AG127" s="8">
        <v>40</v>
      </c>
      <c r="AH127" s="8" t="s">
        <v>131</v>
      </c>
      <c r="AJ127" s="17"/>
      <c r="AL127" s="18">
        <v>255</v>
      </c>
      <c r="AM127" s="8" t="s">
        <v>132</v>
      </c>
      <c r="AN127" s="19">
        <v>1500</v>
      </c>
      <c r="AO127" s="8" t="s">
        <v>133</v>
      </c>
      <c r="AP127" s="8">
        <v>8</v>
      </c>
      <c r="AQ127" s="8" t="s">
        <v>134</v>
      </c>
      <c r="AR127" s="8">
        <v>12</v>
      </c>
      <c r="AS127" s="8" t="s">
        <v>135</v>
      </c>
      <c r="AT127" s="8">
        <v>8</v>
      </c>
      <c r="AU127" s="8" t="s">
        <v>136</v>
      </c>
      <c r="AV127" s="8">
        <v>11</v>
      </c>
      <c r="AW127" s="8" t="s">
        <v>137</v>
      </c>
      <c r="AX127" s="8">
        <v>21</v>
      </c>
      <c r="AY127" s="8" t="s">
        <v>138</v>
      </c>
      <c r="AZ127" s="8">
        <v>29</v>
      </c>
      <c r="BA127" s="8" t="s">
        <v>139</v>
      </c>
      <c r="BB127" s="8">
        <v>21</v>
      </c>
      <c r="BC127" s="8" t="s">
        <v>140</v>
      </c>
      <c r="BD127" s="8">
        <v>29</v>
      </c>
      <c r="BE127" s="8" t="s">
        <v>139</v>
      </c>
      <c r="BF127" s="8">
        <v>0</v>
      </c>
      <c r="BG127" s="8" t="s">
        <v>140</v>
      </c>
      <c r="BH127" s="8">
        <v>0</v>
      </c>
      <c r="BI127" s="8" t="s">
        <v>141</v>
      </c>
      <c r="BJ127" s="8">
        <v>100</v>
      </c>
      <c r="BK127" s="8" t="s">
        <v>142</v>
      </c>
      <c r="BL127" s="8">
        <v>120</v>
      </c>
      <c r="BM127" s="8" t="s">
        <v>143</v>
      </c>
      <c r="BN127" s="8">
        <v>600</v>
      </c>
      <c r="BQ127" s="8">
        <v>1</v>
      </c>
      <c r="BR127" s="8">
        <v>2500</v>
      </c>
      <c r="BS127" s="8">
        <v>2</v>
      </c>
      <c r="BT127" s="8">
        <v>2500</v>
      </c>
      <c r="BU127" s="8" t="s">
        <v>144</v>
      </c>
      <c r="BV127">
        <v>6</v>
      </c>
      <c r="BW127">
        <v>10</v>
      </c>
    </row>
    <row r="128" ht="16.5" customHeight="1" spans="2:75">
      <c r="B128" s="8">
        <f>60000000+INDEX(编号表!$B:$B,MATCH(J128,编号表!$A:$A,0))*10000+INDEX(编号表!$B:$B,MATCH(K128,编号表!$C:$C,0))*1000+L128</f>
        <v>60441124</v>
      </c>
      <c r="C128" s="8" t="s">
        <v>498</v>
      </c>
      <c r="D128" s="5" t="s">
        <v>499</v>
      </c>
      <c r="E128" s="5" t="s">
        <v>500</v>
      </c>
      <c r="F128" s="8">
        <v>60</v>
      </c>
      <c r="G128" s="8" t="str">
        <f>INDEX(编号表!$E:$E,MATCH(K128,编号表!$C:$C,0))</f>
        <v>白色</v>
      </c>
      <c r="H128" s="8">
        <v>5</v>
      </c>
      <c r="I128" s="8" t="s">
        <v>501</v>
      </c>
      <c r="J128" s="8" t="s">
        <v>501</v>
      </c>
      <c r="K128" s="8" t="s">
        <v>129</v>
      </c>
      <c r="L128" s="8">
        <v>124</v>
      </c>
      <c r="M128" s="8">
        <v>124</v>
      </c>
      <c r="N128" s="8"/>
      <c r="O128" s="8"/>
      <c r="P128" s="8">
        <v>10</v>
      </c>
      <c r="Q128" s="8">
        <v>150000</v>
      </c>
      <c r="R128" s="8"/>
      <c r="S128" s="8"/>
      <c r="T128" s="8">
        <v>1</v>
      </c>
      <c r="U128" s="16">
        <v>40010001</v>
      </c>
      <c r="V128" s="8"/>
      <c r="X128" s="8">
        <v>11000259</v>
      </c>
      <c r="Z128" s="8"/>
      <c r="AA128" s="8" t="s">
        <v>130</v>
      </c>
      <c r="AB128" s="21">
        <v>20102</v>
      </c>
      <c r="AC128" s="8">
        <v>0.92</v>
      </c>
      <c r="AD128" s="8">
        <v>80</v>
      </c>
      <c r="AE128" s="8">
        <v>80</v>
      </c>
      <c r="AF128" s="8">
        <v>40</v>
      </c>
      <c r="AG128" s="8">
        <v>40</v>
      </c>
      <c r="AH128" s="8" t="s">
        <v>160</v>
      </c>
      <c r="AI128">
        <v>30079</v>
      </c>
      <c r="AJ128" s="17"/>
      <c r="AL128" s="18">
        <v>255</v>
      </c>
      <c r="AM128" s="8" t="s">
        <v>132</v>
      </c>
      <c r="AN128" s="19">
        <v>1500</v>
      </c>
      <c r="AO128" s="8" t="s">
        <v>133</v>
      </c>
      <c r="AP128" s="8">
        <v>8</v>
      </c>
      <c r="AQ128" s="8" t="s">
        <v>134</v>
      </c>
      <c r="AR128" s="8">
        <v>12</v>
      </c>
      <c r="AS128" s="8" t="s">
        <v>135</v>
      </c>
      <c r="AT128" s="8">
        <v>8</v>
      </c>
      <c r="AU128" s="8" t="s">
        <v>136</v>
      </c>
      <c r="AV128" s="8">
        <v>11</v>
      </c>
      <c r="AW128" s="8" t="s">
        <v>137</v>
      </c>
      <c r="AX128" s="8">
        <v>21</v>
      </c>
      <c r="AY128" s="8" t="s">
        <v>138</v>
      </c>
      <c r="AZ128" s="8">
        <v>29</v>
      </c>
      <c r="BA128" s="8" t="s">
        <v>139</v>
      </c>
      <c r="BB128" s="8">
        <v>21</v>
      </c>
      <c r="BC128" s="8" t="s">
        <v>140</v>
      </c>
      <c r="BD128" s="8">
        <v>29</v>
      </c>
      <c r="BE128" s="8" t="s">
        <v>139</v>
      </c>
      <c r="BF128" s="8">
        <v>0</v>
      </c>
      <c r="BG128" s="8" t="s">
        <v>140</v>
      </c>
      <c r="BH128" s="8">
        <v>0</v>
      </c>
      <c r="BI128" s="8" t="s">
        <v>141</v>
      </c>
      <c r="BJ128" s="8">
        <v>100</v>
      </c>
      <c r="BK128" s="8" t="s">
        <v>142</v>
      </c>
      <c r="BL128" s="8">
        <v>600</v>
      </c>
      <c r="BM128" s="8" t="s">
        <v>143</v>
      </c>
      <c r="BN128" s="8">
        <v>800</v>
      </c>
      <c r="BQ128" s="8">
        <v>1</v>
      </c>
      <c r="BR128" s="8">
        <v>2500</v>
      </c>
      <c r="BS128" s="8">
        <v>2</v>
      </c>
      <c r="BT128" s="8">
        <v>2500</v>
      </c>
      <c r="BU128" s="8" t="s">
        <v>144</v>
      </c>
      <c r="BV128">
        <v>6</v>
      </c>
      <c r="BW128">
        <v>10</v>
      </c>
    </row>
    <row r="129" ht="16.5" customHeight="1" spans="2:75">
      <c r="B129" s="8">
        <f>60000000+INDEX(编号表!$B:$B,MATCH(J129,编号表!$A:$A,0))*10000+INDEX(编号表!$B:$B,MATCH(K129,编号表!$C:$C,0))*1000+L129</f>
        <v>60441125</v>
      </c>
      <c r="C129" s="8" t="s">
        <v>502</v>
      </c>
      <c r="D129" s="5" t="s">
        <v>503</v>
      </c>
      <c r="E129" s="5" t="s">
        <v>504</v>
      </c>
      <c r="F129" s="8">
        <v>60</v>
      </c>
      <c r="G129" s="8" t="str">
        <f>INDEX(编号表!$E:$E,MATCH(K129,编号表!$C:$C,0))</f>
        <v>白色</v>
      </c>
      <c r="H129" s="8">
        <v>5</v>
      </c>
      <c r="I129" s="8" t="s">
        <v>501</v>
      </c>
      <c r="J129" s="8" t="s">
        <v>501</v>
      </c>
      <c r="K129" s="8" t="s">
        <v>129</v>
      </c>
      <c r="L129" s="8">
        <v>125</v>
      </c>
      <c r="M129" s="8">
        <v>125</v>
      </c>
      <c r="N129" s="8"/>
      <c r="O129" s="8"/>
      <c r="P129" s="8">
        <v>10</v>
      </c>
      <c r="Q129" s="8">
        <v>150000</v>
      </c>
      <c r="R129" s="8"/>
      <c r="S129" s="8"/>
      <c r="T129" s="8">
        <v>1</v>
      </c>
      <c r="U129" s="16">
        <v>40010001</v>
      </c>
      <c r="V129" s="8"/>
      <c r="X129" s="8">
        <v>11000001</v>
      </c>
      <c r="Z129" s="8"/>
      <c r="AA129" s="8" t="s">
        <v>130</v>
      </c>
      <c r="AB129" s="21">
        <v>20103</v>
      </c>
      <c r="AC129" s="8">
        <v>0.66</v>
      </c>
      <c r="AD129" s="8">
        <v>80</v>
      </c>
      <c r="AE129" s="8">
        <v>80</v>
      </c>
      <c r="AF129" s="8">
        <v>40</v>
      </c>
      <c r="AG129" s="8">
        <v>40</v>
      </c>
      <c r="AH129" s="8" t="s">
        <v>131</v>
      </c>
      <c r="AJ129" s="17"/>
      <c r="AL129" s="18">
        <v>255</v>
      </c>
      <c r="AM129" s="8" t="s">
        <v>132</v>
      </c>
      <c r="AN129" s="19">
        <v>1500</v>
      </c>
      <c r="AO129" s="8" t="s">
        <v>133</v>
      </c>
      <c r="AP129" s="8">
        <v>8</v>
      </c>
      <c r="AQ129" s="8" t="s">
        <v>134</v>
      </c>
      <c r="AR129" s="8">
        <v>12</v>
      </c>
      <c r="AS129" s="8" t="s">
        <v>135</v>
      </c>
      <c r="AT129" s="8">
        <v>8</v>
      </c>
      <c r="AU129" s="8" t="s">
        <v>136</v>
      </c>
      <c r="AV129" s="8">
        <v>11</v>
      </c>
      <c r="AW129" s="8" t="s">
        <v>137</v>
      </c>
      <c r="AX129" s="8">
        <v>21</v>
      </c>
      <c r="AY129" s="8" t="s">
        <v>138</v>
      </c>
      <c r="AZ129" s="8">
        <v>29</v>
      </c>
      <c r="BA129" s="8" t="s">
        <v>139</v>
      </c>
      <c r="BB129" s="8">
        <v>21</v>
      </c>
      <c r="BC129" s="8" t="s">
        <v>140</v>
      </c>
      <c r="BD129" s="8">
        <v>29</v>
      </c>
      <c r="BE129" s="8" t="s">
        <v>139</v>
      </c>
      <c r="BF129" s="8">
        <v>0</v>
      </c>
      <c r="BG129" s="8" t="s">
        <v>140</v>
      </c>
      <c r="BH129" s="8">
        <v>0</v>
      </c>
      <c r="BI129" s="8" t="s">
        <v>141</v>
      </c>
      <c r="BJ129" s="8">
        <v>100</v>
      </c>
      <c r="BK129" s="8" t="s">
        <v>142</v>
      </c>
      <c r="BL129" s="8">
        <v>120</v>
      </c>
      <c r="BM129" s="8" t="s">
        <v>143</v>
      </c>
      <c r="BN129" s="8">
        <v>600</v>
      </c>
      <c r="BQ129" s="8">
        <v>1</v>
      </c>
      <c r="BR129" s="8">
        <v>2500</v>
      </c>
      <c r="BS129" s="8">
        <v>2</v>
      </c>
      <c r="BT129" s="8">
        <v>2500</v>
      </c>
      <c r="BU129" s="8" t="s">
        <v>144</v>
      </c>
      <c r="BV129">
        <v>6</v>
      </c>
      <c r="BW129">
        <v>10</v>
      </c>
    </row>
    <row r="130" ht="16.5" customHeight="1" spans="2:75">
      <c r="B130" s="8">
        <f>60000000+INDEX(编号表!$B:$B,MATCH(J130,编号表!$A:$A,0))*10000+INDEX(编号表!$B:$B,MATCH(K130,编号表!$C:$C,0))*1000+L130</f>
        <v>60442126</v>
      </c>
      <c r="C130" s="8" t="s">
        <v>505</v>
      </c>
      <c r="D130" s="5" t="s">
        <v>506</v>
      </c>
      <c r="E130" s="5" t="s">
        <v>507</v>
      </c>
      <c r="F130" s="8">
        <v>60</v>
      </c>
      <c r="G130" s="8" t="str">
        <f>INDEX(编号表!$E:$E,MATCH(K130,编号表!$C:$C,0))</f>
        <v>绿色</v>
      </c>
      <c r="H130" s="8">
        <v>5</v>
      </c>
      <c r="I130" s="8" t="s">
        <v>501</v>
      </c>
      <c r="J130" s="8" t="s">
        <v>501</v>
      </c>
      <c r="K130" s="8" t="s">
        <v>196</v>
      </c>
      <c r="L130" s="8">
        <v>126</v>
      </c>
      <c r="M130" s="8">
        <v>126</v>
      </c>
      <c r="N130" s="8"/>
      <c r="O130" s="8"/>
      <c r="P130" s="8">
        <v>10</v>
      </c>
      <c r="Q130" s="8">
        <v>150000</v>
      </c>
      <c r="R130" s="8"/>
      <c r="S130" s="8"/>
      <c r="T130" s="8">
        <v>1</v>
      </c>
      <c r="U130" s="16">
        <v>40010001</v>
      </c>
      <c r="V130" s="8"/>
      <c r="X130" s="8">
        <v>11000001</v>
      </c>
      <c r="Z130" s="8"/>
      <c r="AA130" s="8" t="s">
        <v>130</v>
      </c>
      <c r="AB130" s="21">
        <v>20104</v>
      </c>
      <c r="AC130" s="8">
        <v>1.05</v>
      </c>
      <c r="AD130" s="8">
        <v>80</v>
      </c>
      <c r="AE130" s="8">
        <v>80</v>
      </c>
      <c r="AF130" s="8">
        <v>40</v>
      </c>
      <c r="AG130" s="8">
        <v>40</v>
      </c>
      <c r="AH130" s="8" t="s">
        <v>131</v>
      </c>
      <c r="AJ130" s="17"/>
      <c r="AL130" s="18">
        <v>255</v>
      </c>
      <c r="AM130" s="8" t="s">
        <v>132</v>
      </c>
      <c r="AN130" s="19">
        <v>1500</v>
      </c>
      <c r="AO130" s="8" t="s">
        <v>133</v>
      </c>
      <c r="AP130" s="8">
        <v>8</v>
      </c>
      <c r="AQ130" s="8" t="s">
        <v>134</v>
      </c>
      <c r="AR130" s="8">
        <v>12</v>
      </c>
      <c r="AS130" s="8" t="s">
        <v>135</v>
      </c>
      <c r="AT130" s="8">
        <v>8</v>
      </c>
      <c r="AU130" s="8" t="s">
        <v>136</v>
      </c>
      <c r="AV130" s="8">
        <v>11</v>
      </c>
      <c r="AW130" s="8" t="s">
        <v>137</v>
      </c>
      <c r="AX130" s="8">
        <v>21</v>
      </c>
      <c r="AY130" s="8" t="s">
        <v>138</v>
      </c>
      <c r="AZ130" s="8">
        <v>29</v>
      </c>
      <c r="BA130" s="8" t="s">
        <v>139</v>
      </c>
      <c r="BB130" s="8">
        <v>21</v>
      </c>
      <c r="BC130" s="8" t="s">
        <v>140</v>
      </c>
      <c r="BD130" s="8">
        <v>29</v>
      </c>
      <c r="BE130" s="8" t="s">
        <v>139</v>
      </c>
      <c r="BF130" s="8">
        <v>0</v>
      </c>
      <c r="BG130" s="8" t="s">
        <v>140</v>
      </c>
      <c r="BH130" s="8">
        <v>0</v>
      </c>
      <c r="BI130" s="8" t="s">
        <v>141</v>
      </c>
      <c r="BJ130" s="8">
        <v>100</v>
      </c>
      <c r="BK130" s="8" t="s">
        <v>142</v>
      </c>
      <c r="BL130" s="8">
        <v>120</v>
      </c>
      <c r="BM130" s="8" t="s">
        <v>143</v>
      </c>
      <c r="BN130" s="8">
        <v>600</v>
      </c>
      <c r="BQ130" s="8">
        <v>1</v>
      </c>
      <c r="BR130" s="8">
        <v>2500</v>
      </c>
      <c r="BS130" s="8">
        <v>2</v>
      </c>
      <c r="BT130" s="8">
        <v>2500</v>
      </c>
      <c r="BU130" s="8" t="s">
        <v>144</v>
      </c>
      <c r="BV130">
        <v>6</v>
      </c>
      <c r="BW130">
        <v>10</v>
      </c>
    </row>
    <row r="131" ht="16.5" customHeight="1" spans="2:75">
      <c r="B131" s="8">
        <f>60000000+INDEX(编号表!$B:$B,MATCH(J131,编号表!$A:$A,0))*10000+INDEX(编号表!$B:$B,MATCH(K131,编号表!$C:$C,0))*1000+L131</f>
        <v>60444127</v>
      </c>
      <c r="C131" s="8" t="s">
        <v>508</v>
      </c>
      <c r="D131" s="5" t="s">
        <v>509</v>
      </c>
      <c r="E131" s="5" t="s">
        <v>510</v>
      </c>
      <c r="F131" s="8">
        <v>60</v>
      </c>
      <c r="G131" s="8" t="str">
        <f>INDEX(编号表!$E:$E,MATCH(K131,编号表!$C:$C,0))</f>
        <v>橙色</v>
      </c>
      <c r="H131" s="8">
        <v>5</v>
      </c>
      <c r="I131" s="8" t="s">
        <v>501</v>
      </c>
      <c r="J131" s="8" t="s">
        <v>501</v>
      </c>
      <c r="K131" s="8" t="s">
        <v>246</v>
      </c>
      <c r="L131" s="8">
        <v>127</v>
      </c>
      <c r="M131" s="8">
        <v>127</v>
      </c>
      <c r="N131" s="8"/>
      <c r="O131" s="8"/>
      <c r="P131" s="8">
        <v>10</v>
      </c>
      <c r="Q131" s="8">
        <v>150000</v>
      </c>
      <c r="R131" s="8"/>
      <c r="S131" s="8"/>
      <c r="T131" s="8">
        <v>1</v>
      </c>
      <c r="U131" s="16">
        <v>40010001</v>
      </c>
      <c r="V131" s="8"/>
      <c r="X131" s="8">
        <v>11000001</v>
      </c>
      <c r="Z131" s="8"/>
      <c r="AA131" s="8" t="s">
        <v>130</v>
      </c>
      <c r="AB131" s="21">
        <v>20105</v>
      </c>
      <c r="AC131" s="8">
        <v>1.09</v>
      </c>
      <c r="AD131" s="8">
        <v>80</v>
      </c>
      <c r="AE131" s="8">
        <v>80</v>
      </c>
      <c r="AF131" s="8">
        <v>40</v>
      </c>
      <c r="AG131" s="8">
        <v>40</v>
      </c>
      <c r="AH131" s="8" t="s">
        <v>131</v>
      </c>
      <c r="AJ131" s="17"/>
      <c r="AL131" s="18">
        <v>255</v>
      </c>
      <c r="AM131" s="8" t="s">
        <v>132</v>
      </c>
      <c r="AN131" s="19">
        <v>1500</v>
      </c>
      <c r="AO131" s="8" t="s">
        <v>133</v>
      </c>
      <c r="AP131" s="8">
        <v>8</v>
      </c>
      <c r="AQ131" s="8" t="s">
        <v>134</v>
      </c>
      <c r="AR131" s="8">
        <v>12</v>
      </c>
      <c r="AS131" s="8" t="s">
        <v>135</v>
      </c>
      <c r="AT131" s="8">
        <v>8</v>
      </c>
      <c r="AU131" s="8" t="s">
        <v>136</v>
      </c>
      <c r="AV131" s="8">
        <v>11</v>
      </c>
      <c r="AW131" s="8" t="s">
        <v>137</v>
      </c>
      <c r="AX131" s="8">
        <v>21</v>
      </c>
      <c r="AY131" s="8" t="s">
        <v>138</v>
      </c>
      <c r="AZ131" s="8">
        <v>29</v>
      </c>
      <c r="BA131" s="8" t="s">
        <v>139</v>
      </c>
      <c r="BB131" s="8">
        <v>21</v>
      </c>
      <c r="BC131" s="8" t="s">
        <v>140</v>
      </c>
      <c r="BD131" s="8">
        <v>29</v>
      </c>
      <c r="BE131" s="8" t="s">
        <v>139</v>
      </c>
      <c r="BF131" s="8">
        <v>0</v>
      </c>
      <c r="BG131" s="8" t="s">
        <v>140</v>
      </c>
      <c r="BH131" s="8">
        <v>0</v>
      </c>
      <c r="BI131" s="8" t="s">
        <v>141</v>
      </c>
      <c r="BJ131" s="8">
        <v>100</v>
      </c>
      <c r="BK131" s="8" t="s">
        <v>142</v>
      </c>
      <c r="BL131" s="8">
        <v>120</v>
      </c>
      <c r="BM131" s="8" t="s">
        <v>143</v>
      </c>
      <c r="BN131" s="8">
        <v>600</v>
      </c>
      <c r="BQ131" s="8">
        <v>1</v>
      </c>
      <c r="BR131" s="8">
        <v>2500</v>
      </c>
      <c r="BS131" s="8">
        <v>2</v>
      </c>
      <c r="BT131" s="8">
        <v>2500</v>
      </c>
      <c r="BU131" s="8" t="s">
        <v>144</v>
      </c>
      <c r="BV131">
        <v>6</v>
      </c>
      <c r="BW131">
        <v>10</v>
      </c>
    </row>
    <row r="132" ht="16.5" customHeight="1" spans="2:75">
      <c r="B132" s="8">
        <f>60000000+INDEX(编号表!$B:$B,MATCH(J132,编号表!$A:$A,0))*10000+INDEX(编号表!$B:$B,MATCH(K132,编号表!$C:$C,0))*1000+L132</f>
        <v>60451128</v>
      </c>
      <c r="C132" s="8" t="s">
        <v>511</v>
      </c>
      <c r="D132" s="5" t="s">
        <v>512</v>
      </c>
      <c r="E132" s="5" t="s">
        <v>513</v>
      </c>
      <c r="F132" s="8">
        <v>60</v>
      </c>
      <c r="G132" s="8" t="str">
        <f>INDEX(编号表!$E:$E,MATCH(K132,编号表!$C:$C,0))</f>
        <v>白色</v>
      </c>
      <c r="H132" s="8">
        <v>5</v>
      </c>
      <c r="I132" s="8" t="s">
        <v>514</v>
      </c>
      <c r="J132" s="8" t="s">
        <v>514</v>
      </c>
      <c r="K132" s="8" t="s">
        <v>129</v>
      </c>
      <c r="L132" s="8">
        <v>128</v>
      </c>
      <c r="M132" s="8">
        <v>128</v>
      </c>
      <c r="N132" s="8"/>
      <c r="O132" s="8"/>
      <c r="P132" s="8">
        <v>10</v>
      </c>
      <c r="Q132" s="8">
        <v>150000</v>
      </c>
      <c r="R132" s="8"/>
      <c r="S132" s="8"/>
      <c r="T132" s="8">
        <v>1</v>
      </c>
      <c r="U132" s="16">
        <v>40010001</v>
      </c>
      <c r="V132" s="8"/>
      <c r="X132" s="8">
        <v>11000001</v>
      </c>
      <c r="Z132" s="8"/>
      <c r="AA132" s="8" t="s">
        <v>130</v>
      </c>
      <c r="AB132" s="21">
        <v>20106</v>
      </c>
      <c r="AC132" s="8">
        <v>0.92</v>
      </c>
      <c r="AD132" s="8">
        <v>80</v>
      </c>
      <c r="AE132" s="8">
        <v>80</v>
      </c>
      <c r="AF132" s="8">
        <v>40</v>
      </c>
      <c r="AG132" s="8">
        <v>40</v>
      </c>
      <c r="AH132" s="8" t="s">
        <v>131</v>
      </c>
      <c r="AJ132" s="17"/>
      <c r="AL132" s="18">
        <v>255</v>
      </c>
      <c r="AM132" s="8" t="s">
        <v>132</v>
      </c>
      <c r="AN132" s="19">
        <v>1500</v>
      </c>
      <c r="AO132" s="8" t="s">
        <v>133</v>
      </c>
      <c r="AP132" s="8">
        <v>8</v>
      </c>
      <c r="AQ132" s="8" t="s">
        <v>134</v>
      </c>
      <c r="AR132" s="8">
        <v>12</v>
      </c>
      <c r="AS132" s="8" t="s">
        <v>135</v>
      </c>
      <c r="AT132" s="8">
        <v>8</v>
      </c>
      <c r="AU132" s="8" t="s">
        <v>136</v>
      </c>
      <c r="AV132" s="8">
        <v>11</v>
      </c>
      <c r="AW132" s="8" t="s">
        <v>137</v>
      </c>
      <c r="AX132" s="8">
        <v>21</v>
      </c>
      <c r="AY132" s="8" t="s">
        <v>138</v>
      </c>
      <c r="AZ132" s="8">
        <v>29</v>
      </c>
      <c r="BA132" s="8" t="s">
        <v>139</v>
      </c>
      <c r="BB132" s="8">
        <v>21</v>
      </c>
      <c r="BC132" s="8" t="s">
        <v>140</v>
      </c>
      <c r="BD132" s="8">
        <v>29</v>
      </c>
      <c r="BE132" s="8" t="s">
        <v>139</v>
      </c>
      <c r="BF132" s="8">
        <v>0</v>
      </c>
      <c r="BG132" s="8" t="s">
        <v>140</v>
      </c>
      <c r="BH132" s="8">
        <v>0</v>
      </c>
      <c r="BI132" s="8" t="s">
        <v>141</v>
      </c>
      <c r="BJ132" s="8">
        <v>100</v>
      </c>
      <c r="BK132" s="8" t="s">
        <v>142</v>
      </c>
      <c r="BL132" s="8">
        <v>120</v>
      </c>
      <c r="BM132" s="8" t="s">
        <v>143</v>
      </c>
      <c r="BN132" s="8">
        <v>600</v>
      </c>
      <c r="BQ132" s="8">
        <v>1</v>
      </c>
      <c r="BR132" s="8">
        <v>2500</v>
      </c>
      <c r="BS132" s="8">
        <v>2</v>
      </c>
      <c r="BT132" s="8">
        <v>2500</v>
      </c>
      <c r="BU132" s="8" t="s">
        <v>144</v>
      </c>
      <c r="BV132">
        <v>6</v>
      </c>
      <c r="BW132">
        <v>10</v>
      </c>
    </row>
    <row r="133" ht="16.5" customHeight="1" spans="2:75">
      <c r="B133" s="8">
        <f>60000000+INDEX(编号表!$B:$B,MATCH(J133,编号表!$A:$A,0))*10000+INDEX(编号表!$B:$B,MATCH(K133,编号表!$C:$C,0))*1000+L133</f>
        <v>60461129</v>
      </c>
      <c r="C133" s="8" t="s">
        <v>515</v>
      </c>
      <c r="D133" s="5" t="s">
        <v>516</v>
      </c>
      <c r="E133" s="5" t="s">
        <v>517</v>
      </c>
      <c r="F133" s="8">
        <v>60</v>
      </c>
      <c r="G133" s="8" t="str">
        <f>INDEX(编号表!$E:$E,MATCH(K133,编号表!$C:$C,0))</f>
        <v>白色</v>
      </c>
      <c r="H133" s="8">
        <v>5</v>
      </c>
      <c r="I133" s="8" t="s">
        <v>518</v>
      </c>
      <c r="J133" s="8" t="s">
        <v>518</v>
      </c>
      <c r="K133" s="8" t="s">
        <v>129</v>
      </c>
      <c r="L133" s="8">
        <v>129</v>
      </c>
      <c r="M133" s="8">
        <v>129</v>
      </c>
      <c r="N133" s="8"/>
      <c r="O133" s="8"/>
      <c r="P133" s="8">
        <v>10</v>
      </c>
      <c r="Q133" s="8">
        <v>150000</v>
      </c>
      <c r="R133" s="8"/>
      <c r="S133" s="8"/>
      <c r="T133" s="8">
        <v>1</v>
      </c>
      <c r="U133" s="16">
        <v>40010001</v>
      </c>
      <c r="V133" s="8"/>
      <c r="X133" s="8">
        <v>11000001</v>
      </c>
      <c r="Z133" s="8"/>
      <c r="AA133" s="8" t="s">
        <v>130</v>
      </c>
      <c r="AB133" s="21">
        <v>20107</v>
      </c>
      <c r="AC133" s="8">
        <v>0.42</v>
      </c>
      <c r="AD133" s="8">
        <v>80</v>
      </c>
      <c r="AE133" s="8">
        <v>80</v>
      </c>
      <c r="AF133" s="8">
        <v>40</v>
      </c>
      <c r="AG133" s="8">
        <v>40</v>
      </c>
      <c r="AH133" s="8" t="s">
        <v>131</v>
      </c>
      <c r="AJ133" s="17"/>
      <c r="AL133" s="18">
        <v>255</v>
      </c>
      <c r="AM133" s="8" t="s">
        <v>132</v>
      </c>
      <c r="AN133" s="19">
        <v>1500</v>
      </c>
      <c r="AO133" s="8" t="s">
        <v>133</v>
      </c>
      <c r="AP133" s="8">
        <v>8</v>
      </c>
      <c r="AQ133" s="8" t="s">
        <v>134</v>
      </c>
      <c r="AR133" s="8">
        <v>12</v>
      </c>
      <c r="AS133" s="8" t="s">
        <v>135</v>
      </c>
      <c r="AT133" s="8">
        <v>8</v>
      </c>
      <c r="AU133" s="8" t="s">
        <v>136</v>
      </c>
      <c r="AV133" s="8">
        <v>11</v>
      </c>
      <c r="AW133" s="8" t="s">
        <v>137</v>
      </c>
      <c r="AX133" s="8">
        <v>21</v>
      </c>
      <c r="AY133" s="8" t="s">
        <v>138</v>
      </c>
      <c r="AZ133" s="8">
        <v>29</v>
      </c>
      <c r="BA133" s="8" t="s">
        <v>139</v>
      </c>
      <c r="BB133" s="8">
        <v>21</v>
      </c>
      <c r="BC133" s="8" t="s">
        <v>140</v>
      </c>
      <c r="BD133" s="8">
        <v>29</v>
      </c>
      <c r="BE133" s="8" t="s">
        <v>139</v>
      </c>
      <c r="BF133" s="8">
        <v>0</v>
      </c>
      <c r="BG133" s="8" t="s">
        <v>140</v>
      </c>
      <c r="BH133" s="8">
        <v>0</v>
      </c>
      <c r="BI133" s="8" t="s">
        <v>141</v>
      </c>
      <c r="BJ133" s="8">
        <v>100</v>
      </c>
      <c r="BK133" s="8" t="s">
        <v>142</v>
      </c>
      <c r="BL133" s="8">
        <v>120</v>
      </c>
      <c r="BM133" s="8" t="s">
        <v>143</v>
      </c>
      <c r="BN133" s="8">
        <v>600</v>
      </c>
      <c r="BQ133" s="8">
        <v>1</v>
      </c>
      <c r="BR133" s="8">
        <v>2500</v>
      </c>
      <c r="BS133" s="8">
        <v>2</v>
      </c>
      <c r="BT133" s="8">
        <v>2500</v>
      </c>
      <c r="BU133" s="8" t="s">
        <v>144</v>
      </c>
      <c r="BV133">
        <v>6</v>
      </c>
      <c r="BW133">
        <v>10</v>
      </c>
    </row>
    <row r="134" ht="16.5" customHeight="1" spans="2:75">
      <c r="B134" s="8">
        <f>60000000+INDEX(编号表!$B:$B,MATCH(J134,编号表!$A:$A,0))*10000+INDEX(编号表!$B:$B,MATCH(K134,编号表!$C:$C,0))*1000+L134</f>
        <v>60471130</v>
      </c>
      <c r="C134" s="8" t="s">
        <v>519</v>
      </c>
      <c r="D134" s="5" t="s">
        <v>520</v>
      </c>
      <c r="E134" s="5" t="s">
        <v>521</v>
      </c>
      <c r="F134" s="8">
        <v>60</v>
      </c>
      <c r="G134" s="8" t="str">
        <f>INDEX(编号表!$E:$E,MATCH(K134,编号表!$C:$C,0))</f>
        <v>白色</v>
      </c>
      <c r="H134" s="8">
        <v>5</v>
      </c>
      <c r="I134" s="8" t="s">
        <v>522</v>
      </c>
      <c r="J134" s="8" t="s">
        <v>522</v>
      </c>
      <c r="K134" s="8" t="s">
        <v>129</v>
      </c>
      <c r="L134" s="8">
        <v>130</v>
      </c>
      <c r="M134" s="8">
        <v>130</v>
      </c>
      <c r="N134" s="8"/>
      <c r="O134" s="8"/>
      <c r="P134" s="8">
        <v>10</v>
      </c>
      <c r="Q134" s="8">
        <v>150000</v>
      </c>
      <c r="R134" s="8"/>
      <c r="S134" s="8"/>
      <c r="T134" s="8">
        <v>1</v>
      </c>
      <c r="U134" s="16">
        <v>40010001</v>
      </c>
      <c r="V134" s="8"/>
      <c r="X134" s="8">
        <v>11000001</v>
      </c>
      <c r="Z134" s="8"/>
      <c r="AA134" s="8" t="s">
        <v>130</v>
      </c>
      <c r="AB134" s="21">
        <v>20108</v>
      </c>
      <c r="AC134" s="8">
        <v>0.51</v>
      </c>
      <c r="AD134" s="8">
        <v>80</v>
      </c>
      <c r="AE134" s="8">
        <v>80</v>
      </c>
      <c r="AF134" s="8">
        <v>40</v>
      </c>
      <c r="AG134" s="8">
        <v>40</v>
      </c>
      <c r="AH134" s="8" t="s">
        <v>131</v>
      </c>
      <c r="AJ134" s="17"/>
      <c r="AL134" s="18">
        <v>255</v>
      </c>
      <c r="AM134" s="8" t="s">
        <v>132</v>
      </c>
      <c r="AN134" s="19">
        <v>1500</v>
      </c>
      <c r="AO134" s="8" t="s">
        <v>133</v>
      </c>
      <c r="AP134" s="8">
        <v>8</v>
      </c>
      <c r="AQ134" s="8" t="s">
        <v>134</v>
      </c>
      <c r="AR134" s="8">
        <v>12</v>
      </c>
      <c r="AS134" s="8" t="s">
        <v>135</v>
      </c>
      <c r="AT134" s="8">
        <v>8</v>
      </c>
      <c r="AU134" s="8" t="s">
        <v>136</v>
      </c>
      <c r="AV134" s="8">
        <v>11</v>
      </c>
      <c r="AW134" s="8" t="s">
        <v>137</v>
      </c>
      <c r="AX134" s="8">
        <v>21</v>
      </c>
      <c r="AY134" s="8" t="s">
        <v>138</v>
      </c>
      <c r="AZ134" s="8">
        <v>29</v>
      </c>
      <c r="BA134" s="8" t="s">
        <v>139</v>
      </c>
      <c r="BB134" s="8">
        <v>21</v>
      </c>
      <c r="BC134" s="8" t="s">
        <v>140</v>
      </c>
      <c r="BD134" s="8">
        <v>29</v>
      </c>
      <c r="BE134" s="8" t="s">
        <v>139</v>
      </c>
      <c r="BF134" s="8">
        <v>0</v>
      </c>
      <c r="BG134" s="8" t="s">
        <v>140</v>
      </c>
      <c r="BH134" s="8">
        <v>0</v>
      </c>
      <c r="BI134" s="8" t="s">
        <v>141</v>
      </c>
      <c r="BJ134" s="8">
        <v>100</v>
      </c>
      <c r="BK134" s="8" t="s">
        <v>142</v>
      </c>
      <c r="BL134" s="8">
        <v>120</v>
      </c>
      <c r="BM134" s="8" t="s">
        <v>143</v>
      </c>
      <c r="BN134" s="8">
        <v>600</v>
      </c>
      <c r="BQ134" s="8">
        <v>1</v>
      </c>
      <c r="BR134" s="8">
        <v>2500</v>
      </c>
      <c r="BS134" s="8">
        <v>2</v>
      </c>
      <c r="BT134" s="8">
        <v>2500</v>
      </c>
      <c r="BU134" s="8" t="s">
        <v>144</v>
      </c>
      <c r="BV134">
        <v>6</v>
      </c>
      <c r="BW134">
        <v>10</v>
      </c>
    </row>
    <row r="135" ht="16.5" customHeight="1" spans="2:75">
      <c r="B135" s="8">
        <f>60000000+INDEX(编号表!$B:$B,MATCH(J135,编号表!$A:$A,0))*10000+INDEX(编号表!$B:$B,MATCH(K135,编号表!$C:$C,0))*1000+L135</f>
        <v>60471131</v>
      </c>
      <c r="C135" s="8" t="s">
        <v>523</v>
      </c>
      <c r="D135" s="5" t="s">
        <v>524</v>
      </c>
      <c r="E135" s="5" t="s">
        <v>525</v>
      </c>
      <c r="F135" s="8">
        <v>60</v>
      </c>
      <c r="G135" s="8" t="str">
        <f>INDEX(编号表!$E:$E,MATCH(K135,编号表!$C:$C,0))</f>
        <v>白色</v>
      </c>
      <c r="H135" s="8">
        <v>5</v>
      </c>
      <c r="I135" s="8" t="s">
        <v>522</v>
      </c>
      <c r="J135" s="8" t="s">
        <v>522</v>
      </c>
      <c r="K135" s="8" t="s">
        <v>129</v>
      </c>
      <c r="L135" s="8">
        <v>131</v>
      </c>
      <c r="M135" s="8">
        <v>131</v>
      </c>
      <c r="N135" s="8"/>
      <c r="O135" s="8"/>
      <c r="P135" s="8">
        <v>10</v>
      </c>
      <c r="Q135" s="8">
        <v>150000</v>
      </c>
      <c r="R135" s="8"/>
      <c r="S135" s="8"/>
      <c r="T135" s="8">
        <v>1</v>
      </c>
      <c r="U135" s="16">
        <v>40010001</v>
      </c>
      <c r="V135" s="8"/>
      <c r="X135" s="8">
        <v>11000001</v>
      </c>
      <c r="Z135" s="8"/>
      <c r="AA135" s="8" t="s">
        <v>130</v>
      </c>
      <c r="AB135" s="21">
        <v>20109</v>
      </c>
      <c r="AC135" s="8">
        <v>0.4</v>
      </c>
      <c r="AD135" s="8">
        <v>80</v>
      </c>
      <c r="AE135" s="8">
        <v>80</v>
      </c>
      <c r="AF135" s="8">
        <v>40</v>
      </c>
      <c r="AG135" s="8">
        <v>40</v>
      </c>
      <c r="AH135" s="8" t="s">
        <v>131</v>
      </c>
      <c r="AJ135" s="17"/>
      <c r="AL135" s="18">
        <v>255</v>
      </c>
      <c r="AM135" s="8" t="s">
        <v>132</v>
      </c>
      <c r="AN135" s="19">
        <v>1500</v>
      </c>
      <c r="AO135" s="8" t="s">
        <v>133</v>
      </c>
      <c r="AP135" s="8">
        <v>8</v>
      </c>
      <c r="AQ135" s="8" t="s">
        <v>134</v>
      </c>
      <c r="AR135" s="8">
        <v>12</v>
      </c>
      <c r="AS135" s="8" t="s">
        <v>135</v>
      </c>
      <c r="AT135" s="8">
        <v>8</v>
      </c>
      <c r="AU135" s="8" t="s">
        <v>136</v>
      </c>
      <c r="AV135" s="8">
        <v>11</v>
      </c>
      <c r="AW135" s="8" t="s">
        <v>137</v>
      </c>
      <c r="AX135" s="8">
        <v>21</v>
      </c>
      <c r="AY135" s="8" t="s">
        <v>138</v>
      </c>
      <c r="AZ135" s="8">
        <v>29</v>
      </c>
      <c r="BA135" s="8" t="s">
        <v>139</v>
      </c>
      <c r="BB135" s="8">
        <v>21</v>
      </c>
      <c r="BC135" s="8" t="s">
        <v>140</v>
      </c>
      <c r="BD135" s="8">
        <v>29</v>
      </c>
      <c r="BE135" s="8" t="s">
        <v>139</v>
      </c>
      <c r="BF135" s="8">
        <v>0</v>
      </c>
      <c r="BG135" s="8" t="s">
        <v>140</v>
      </c>
      <c r="BH135" s="8">
        <v>0</v>
      </c>
      <c r="BI135" s="8" t="s">
        <v>141</v>
      </c>
      <c r="BJ135" s="8">
        <v>100</v>
      </c>
      <c r="BK135" s="8" t="s">
        <v>142</v>
      </c>
      <c r="BL135" s="8">
        <v>120</v>
      </c>
      <c r="BM135" s="8" t="s">
        <v>143</v>
      </c>
      <c r="BN135" s="8">
        <v>600</v>
      </c>
      <c r="BQ135" s="8">
        <v>1</v>
      </c>
      <c r="BR135" s="8">
        <v>2500</v>
      </c>
      <c r="BS135" s="8">
        <v>2</v>
      </c>
      <c r="BT135" s="8">
        <v>2500</v>
      </c>
      <c r="BU135" s="8" t="s">
        <v>144</v>
      </c>
      <c r="BV135">
        <v>6</v>
      </c>
      <c r="BW135">
        <v>10</v>
      </c>
    </row>
    <row r="136" ht="16.5" customHeight="1" spans="2:75">
      <c r="B136" s="8">
        <f>60000000+INDEX(编号表!$B:$B,MATCH(J136,编号表!$A:$A,0))*10000+INDEX(编号表!$B:$B,MATCH(K136,编号表!$C:$C,0))*1000+L136</f>
        <v>60471132</v>
      </c>
      <c r="C136" s="8" t="s">
        <v>526</v>
      </c>
      <c r="D136" s="5" t="s">
        <v>527</v>
      </c>
      <c r="E136" s="5" t="s">
        <v>528</v>
      </c>
      <c r="F136" s="8">
        <v>60</v>
      </c>
      <c r="G136" s="8" t="str">
        <f>INDEX(编号表!$E:$E,MATCH(K136,编号表!$C:$C,0))</f>
        <v>白色</v>
      </c>
      <c r="H136" s="8">
        <v>5</v>
      </c>
      <c r="I136" s="8" t="s">
        <v>522</v>
      </c>
      <c r="J136" s="8" t="s">
        <v>522</v>
      </c>
      <c r="K136" s="8" t="s">
        <v>129</v>
      </c>
      <c r="L136" s="8">
        <v>132</v>
      </c>
      <c r="M136" s="8">
        <v>132</v>
      </c>
      <c r="N136" s="8"/>
      <c r="O136" s="8"/>
      <c r="P136" s="8">
        <v>10</v>
      </c>
      <c r="Q136" s="8">
        <v>150000</v>
      </c>
      <c r="R136" s="8"/>
      <c r="S136" s="8"/>
      <c r="T136" s="8">
        <v>1</v>
      </c>
      <c r="U136" s="16">
        <v>40010001</v>
      </c>
      <c r="V136" s="8"/>
      <c r="X136" s="8">
        <v>11000249</v>
      </c>
      <c r="Z136" s="8"/>
      <c r="AA136" s="8" t="s">
        <v>130</v>
      </c>
      <c r="AB136" s="21">
        <v>20110</v>
      </c>
      <c r="AC136" s="8">
        <v>0.55</v>
      </c>
      <c r="AD136" s="8">
        <v>80</v>
      </c>
      <c r="AE136" s="8">
        <v>80</v>
      </c>
      <c r="AF136" s="8">
        <v>40</v>
      </c>
      <c r="AG136" s="8">
        <v>40</v>
      </c>
      <c r="AH136" s="8" t="s">
        <v>160</v>
      </c>
      <c r="AI136">
        <v>30069</v>
      </c>
      <c r="AJ136" s="17"/>
      <c r="AL136" s="18">
        <v>255</v>
      </c>
      <c r="AM136" s="8" t="s">
        <v>132</v>
      </c>
      <c r="AN136" s="19">
        <v>1500</v>
      </c>
      <c r="AO136" s="8" t="s">
        <v>133</v>
      </c>
      <c r="AP136" s="8">
        <v>8</v>
      </c>
      <c r="AQ136" s="8" t="s">
        <v>134</v>
      </c>
      <c r="AR136" s="8">
        <v>12</v>
      </c>
      <c r="AS136" s="8" t="s">
        <v>135</v>
      </c>
      <c r="AT136" s="8">
        <v>8</v>
      </c>
      <c r="AU136" s="8" t="s">
        <v>136</v>
      </c>
      <c r="AV136" s="8">
        <v>11</v>
      </c>
      <c r="AW136" s="8" t="s">
        <v>137</v>
      </c>
      <c r="AX136" s="8">
        <v>21</v>
      </c>
      <c r="AY136" s="8" t="s">
        <v>138</v>
      </c>
      <c r="AZ136" s="8">
        <v>29</v>
      </c>
      <c r="BA136" s="8" t="s">
        <v>139</v>
      </c>
      <c r="BB136" s="8">
        <v>21</v>
      </c>
      <c r="BC136" s="8" t="s">
        <v>140</v>
      </c>
      <c r="BD136" s="8">
        <v>29</v>
      </c>
      <c r="BE136" s="8" t="s">
        <v>139</v>
      </c>
      <c r="BF136" s="8">
        <v>0</v>
      </c>
      <c r="BG136" s="8" t="s">
        <v>140</v>
      </c>
      <c r="BH136" s="8">
        <v>0</v>
      </c>
      <c r="BI136" s="8" t="s">
        <v>141</v>
      </c>
      <c r="BJ136" s="8">
        <v>100</v>
      </c>
      <c r="BK136" s="8" t="s">
        <v>142</v>
      </c>
      <c r="BL136" s="8">
        <v>600</v>
      </c>
      <c r="BM136" s="8" t="s">
        <v>143</v>
      </c>
      <c r="BN136" s="8">
        <v>800</v>
      </c>
      <c r="BQ136" s="8">
        <v>1</v>
      </c>
      <c r="BR136" s="8">
        <v>2500</v>
      </c>
      <c r="BS136" s="8">
        <v>2</v>
      </c>
      <c r="BT136" s="8">
        <v>2500</v>
      </c>
      <c r="BU136" s="8" t="s">
        <v>144</v>
      </c>
      <c r="BV136">
        <v>6</v>
      </c>
      <c r="BW136">
        <v>10</v>
      </c>
    </row>
    <row r="137" ht="16.5" customHeight="1" spans="2:75">
      <c r="B137" s="8">
        <f>60000000+INDEX(编号表!$B:$B,MATCH(J137,编号表!$A:$A,0))*10000+INDEX(编号表!$B:$B,MATCH(K137,编号表!$C:$C,0))*1000+L137</f>
        <v>60481133</v>
      </c>
      <c r="C137" s="8" t="s">
        <v>529</v>
      </c>
      <c r="D137" s="5" t="s">
        <v>530</v>
      </c>
      <c r="E137" s="5" t="s">
        <v>531</v>
      </c>
      <c r="F137" s="8">
        <v>60</v>
      </c>
      <c r="G137" s="8" t="str">
        <f>INDEX(编号表!$E:$E,MATCH(K137,编号表!$C:$C,0))</f>
        <v>白色</v>
      </c>
      <c r="H137" s="8">
        <v>5</v>
      </c>
      <c r="I137" s="8" t="s">
        <v>532</v>
      </c>
      <c r="J137" s="8" t="s">
        <v>532</v>
      </c>
      <c r="K137" s="8" t="s">
        <v>129</v>
      </c>
      <c r="L137" s="8">
        <v>133</v>
      </c>
      <c r="M137" s="8">
        <v>133</v>
      </c>
      <c r="N137" s="8"/>
      <c r="O137" s="8"/>
      <c r="P137" s="8">
        <v>10</v>
      </c>
      <c r="Q137" s="8">
        <v>150000</v>
      </c>
      <c r="R137" s="8"/>
      <c r="S137" s="8"/>
      <c r="T137" s="8">
        <v>1</v>
      </c>
      <c r="U137" s="16">
        <v>40010001</v>
      </c>
      <c r="V137" s="8"/>
      <c r="X137" s="8">
        <v>11000251</v>
      </c>
      <c r="Z137" s="8"/>
      <c r="AA137" s="8" t="s">
        <v>130</v>
      </c>
      <c r="AB137" s="21">
        <v>20111</v>
      </c>
      <c r="AC137" s="8">
        <v>0.43</v>
      </c>
      <c r="AD137" s="8">
        <v>80</v>
      </c>
      <c r="AE137" s="8">
        <v>80</v>
      </c>
      <c r="AF137" s="8">
        <v>40</v>
      </c>
      <c r="AG137" s="8">
        <v>40</v>
      </c>
      <c r="AH137" s="8" t="s">
        <v>160</v>
      </c>
      <c r="AI137">
        <v>30071</v>
      </c>
      <c r="AJ137" s="17"/>
      <c r="AL137" s="18">
        <v>255</v>
      </c>
      <c r="AM137" s="8" t="s">
        <v>132</v>
      </c>
      <c r="AN137" s="19">
        <v>1500</v>
      </c>
      <c r="AO137" s="8" t="s">
        <v>133</v>
      </c>
      <c r="AP137" s="8">
        <v>8</v>
      </c>
      <c r="AQ137" s="8" t="s">
        <v>134</v>
      </c>
      <c r="AR137" s="8">
        <v>12</v>
      </c>
      <c r="AS137" s="8" t="s">
        <v>135</v>
      </c>
      <c r="AT137" s="8">
        <v>8</v>
      </c>
      <c r="AU137" s="8" t="s">
        <v>136</v>
      </c>
      <c r="AV137" s="8">
        <v>11</v>
      </c>
      <c r="AW137" s="8" t="s">
        <v>137</v>
      </c>
      <c r="AX137" s="8">
        <v>21</v>
      </c>
      <c r="AY137" s="8" t="s">
        <v>138</v>
      </c>
      <c r="AZ137" s="8">
        <v>29</v>
      </c>
      <c r="BA137" s="8" t="s">
        <v>139</v>
      </c>
      <c r="BB137" s="8">
        <v>21</v>
      </c>
      <c r="BC137" s="8" t="s">
        <v>140</v>
      </c>
      <c r="BD137" s="8">
        <v>29</v>
      </c>
      <c r="BE137" s="8" t="s">
        <v>139</v>
      </c>
      <c r="BF137" s="8">
        <v>0</v>
      </c>
      <c r="BG137" s="8" t="s">
        <v>140</v>
      </c>
      <c r="BH137" s="8">
        <v>0</v>
      </c>
      <c r="BI137" s="8" t="s">
        <v>141</v>
      </c>
      <c r="BJ137" s="8">
        <v>100</v>
      </c>
      <c r="BK137" s="8" t="s">
        <v>142</v>
      </c>
      <c r="BL137" s="8">
        <v>600</v>
      </c>
      <c r="BM137" s="8" t="s">
        <v>143</v>
      </c>
      <c r="BN137" s="8">
        <v>800</v>
      </c>
      <c r="BQ137" s="8">
        <v>1</v>
      </c>
      <c r="BR137" s="8">
        <v>2500</v>
      </c>
      <c r="BS137" s="8">
        <v>2</v>
      </c>
      <c r="BT137" s="8">
        <v>2500</v>
      </c>
      <c r="BU137" s="8" t="s">
        <v>144</v>
      </c>
      <c r="BV137">
        <v>6</v>
      </c>
      <c r="BW137">
        <v>10</v>
      </c>
    </row>
    <row r="138" ht="16.5" customHeight="1" spans="2:75">
      <c r="B138" s="8">
        <f>60000000+INDEX(编号表!$B:$B,MATCH(J138,编号表!$A:$A,0))*10000+INDEX(编号表!$B:$B,MATCH(K138,编号表!$C:$C,0))*1000+L138</f>
        <v>60482134</v>
      </c>
      <c r="C138" s="8" t="s">
        <v>533</v>
      </c>
      <c r="D138" s="5" t="s">
        <v>534</v>
      </c>
      <c r="E138" s="5" t="s">
        <v>535</v>
      </c>
      <c r="F138" s="8">
        <v>60</v>
      </c>
      <c r="G138" s="8" t="str">
        <f>INDEX(编号表!$E:$E,MATCH(K138,编号表!$C:$C,0))</f>
        <v>绿色</v>
      </c>
      <c r="H138" s="8">
        <v>5</v>
      </c>
      <c r="I138" s="8" t="s">
        <v>532</v>
      </c>
      <c r="J138" s="8" t="s">
        <v>532</v>
      </c>
      <c r="K138" s="8" t="s">
        <v>196</v>
      </c>
      <c r="L138" s="8">
        <v>134</v>
      </c>
      <c r="M138" s="8">
        <v>134</v>
      </c>
      <c r="N138" s="8"/>
      <c r="O138" s="8"/>
      <c r="P138" s="8">
        <v>10</v>
      </c>
      <c r="Q138" s="8">
        <v>150000</v>
      </c>
      <c r="R138" s="8"/>
      <c r="S138" s="8"/>
      <c r="T138" s="8">
        <v>1</v>
      </c>
      <c r="U138" s="16">
        <v>40010001</v>
      </c>
      <c r="V138" s="8"/>
      <c r="X138" s="8">
        <v>11000001</v>
      </c>
      <c r="Z138" s="8"/>
      <c r="AA138" s="8" t="s">
        <v>130</v>
      </c>
      <c r="AB138" s="21">
        <v>20112</v>
      </c>
      <c r="AC138" s="8">
        <v>0.69</v>
      </c>
      <c r="AD138" s="8">
        <v>80</v>
      </c>
      <c r="AE138" s="8">
        <v>80</v>
      </c>
      <c r="AF138" s="8">
        <v>40</v>
      </c>
      <c r="AG138" s="8">
        <v>40</v>
      </c>
      <c r="AH138" s="8" t="s">
        <v>131</v>
      </c>
      <c r="AJ138" s="17"/>
      <c r="AL138" s="18">
        <v>255</v>
      </c>
      <c r="AM138" s="8" t="s">
        <v>132</v>
      </c>
      <c r="AN138" s="19">
        <v>1500</v>
      </c>
      <c r="AO138" s="8" t="s">
        <v>133</v>
      </c>
      <c r="AP138" s="8">
        <v>8</v>
      </c>
      <c r="AQ138" s="8" t="s">
        <v>134</v>
      </c>
      <c r="AR138" s="8">
        <v>12</v>
      </c>
      <c r="AS138" s="8" t="s">
        <v>135</v>
      </c>
      <c r="AT138" s="8">
        <v>8</v>
      </c>
      <c r="AU138" s="8" t="s">
        <v>136</v>
      </c>
      <c r="AV138" s="8">
        <v>11</v>
      </c>
      <c r="AW138" s="8" t="s">
        <v>137</v>
      </c>
      <c r="AX138" s="8">
        <v>21</v>
      </c>
      <c r="AY138" s="8" t="s">
        <v>138</v>
      </c>
      <c r="AZ138" s="8">
        <v>29</v>
      </c>
      <c r="BA138" s="8" t="s">
        <v>139</v>
      </c>
      <c r="BB138" s="8">
        <v>21</v>
      </c>
      <c r="BC138" s="8" t="s">
        <v>140</v>
      </c>
      <c r="BD138" s="8">
        <v>29</v>
      </c>
      <c r="BE138" s="8" t="s">
        <v>139</v>
      </c>
      <c r="BF138" s="8">
        <v>0</v>
      </c>
      <c r="BG138" s="8" t="s">
        <v>140</v>
      </c>
      <c r="BH138" s="8">
        <v>0</v>
      </c>
      <c r="BI138" s="8" t="s">
        <v>141</v>
      </c>
      <c r="BJ138" s="8">
        <v>100</v>
      </c>
      <c r="BK138" s="8" t="s">
        <v>142</v>
      </c>
      <c r="BL138" s="8">
        <v>120</v>
      </c>
      <c r="BM138" s="8" t="s">
        <v>143</v>
      </c>
      <c r="BN138" s="8">
        <v>600</v>
      </c>
      <c r="BQ138" s="8">
        <v>1</v>
      </c>
      <c r="BR138" s="8">
        <v>2500</v>
      </c>
      <c r="BS138" s="8">
        <v>2</v>
      </c>
      <c r="BT138" s="8">
        <v>2500</v>
      </c>
      <c r="BU138" s="8" t="s">
        <v>144</v>
      </c>
      <c r="BV138">
        <v>6</v>
      </c>
      <c r="BW138">
        <v>10</v>
      </c>
    </row>
    <row r="139" ht="16.5" customHeight="1" spans="2:75">
      <c r="B139" s="8">
        <f>60000000+INDEX(编号表!$B:$B,MATCH(J139,编号表!$A:$A,0))*10000+INDEX(编号表!$B:$B,MATCH(K139,编号表!$C:$C,0))*1000+L139</f>
        <v>60484135</v>
      </c>
      <c r="C139" s="8" t="s">
        <v>536</v>
      </c>
      <c r="D139" s="5" t="s">
        <v>537</v>
      </c>
      <c r="E139" s="5" t="s">
        <v>538</v>
      </c>
      <c r="F139" s="8">
        <v>60</v>
      </c>
      <c r="G139" s="8" t="str">
        <f>INDEX(编号表!$E:$E,MATCH(K139,编号表!$C:$C,0))</f>
        <v>橙色</v>
      </c>
      <c r="H139" s="8">
        <v>5</v>
      </c>
      <c r="I139" s="8" t="s">
        <v>532</v>
      </c>
      <c r="J139" s="8" t="s">
        <v>532</v>
      </c>
      <c r="K139" s="8" t="s">
        <v>246</v>
      </c>
      <c r="L139" s="8">
        <v>135</v>
      </c>
      <c r="M139" s="8">
        <v>135</v>
      </c>
      <c r="N139" s="8"/>
      <c r="O139" s="8"/>
      <c r="P139" s="8">
        <v>10</v>
      </c>
      <c r="Q139" s="8">
        <v>150000</v>
      </c>
      <c r="R139" s="8"/>
      <c r="S139" s="8"/>
      <c r="T139" s="8">
        <v>1</v>
      </c>
      <c r="U139" s="16">
        <v>40010001</v>
      </c>
      <c r="V139" s="8"/>
      <c r="X139" s="8">
        <v>11000001</v>
      </c>
      <c r="Z139" s="8"/>
      <c r="AA139" s="8" t="s">
        <v>130</v>
      </c>
      <c r="AB139" s="21">
        <v>20113</v>
      </c>
      <c r="AC139" s="8">
        <v>1</v>
      </c>
      <c r="AD139" s="8">
        <v>80</v>
      </c>
      <c r="AE139" s="8">
        <v>80</v>
      </c>
      <c r="AF139" s="8">
        <v>40</v>
      </c>
      <c r="AG139" s="8">
        <v>40</v>
      </c>
      <c r="AH139" s="8" t="s">
        <v>160</v>
      </c>
      <c r="AJ139" s="17"/>
      <c r="AL139" s="18">
        <v>255</v>
      </c>
      <c r="AM139" s="8" t="s">
        <v>132</v>
      </c>
      <c r="AN139" s="19">
        <v>1500</v>
      </c>
      <c r="AO139" s="8" t="s">
        <v>133</v>
      </c>
      <c r="AP139" s="8">
        <v>8</v>
      </c>
      <c r="AQ139" s="8" t="s">
        <v>134</v>
      </c>
      <c r="AR139" s="8">
        <v>12</v>
      </c>
      <c r="AS139" s="8" t="s">
        <v>135</v>
      </c>
      <c r="AT139" s="8">
        <v>8</v>
      </c>
      <c r="AU139" s="8" t="s">
        <v>136</v>
      </c>
      <c r="AV139" s="8">
        <v>11</v>
      </c>
      <c r="AW139" s="8" t="s">
        <v>137</v>
      </c>
      <c r="AX139" s="8">
        <v>21</v>
      </c>
      <c r="AY139" s="8" t="s">
        <v>138</v>
      </c>
      <c r="AZ139" s="8">
        <v>29</v>
      </c>
      <c r="BA139" s="8" t="s">
        <v>139</v>
      </c>
      <c r="BB139" s="8">
        <v>21</v>
      </c>
      <c r="BC139" s="8" t="s">
        <v>140</v>
      </c>
      <c r="BD139" s="8">
        <v>29</v>
      </c>
      <c r="BE139" s="8" t="s">
        <v>139</v>
      </c>
      <c r="BF139" s="8">
        <v>0</v>
      </c>
      <c r="BG139" s="8" t="s">
        <v>140</v>
      </c>
      <c r="BH139" s="8">
        <v>0</v>
      </c>
      <c r="BI139" s="8" t="s">
        <v>141</v>
      </c>
      <c r="BJ139" s="8">
        <v>100</v>
      </c>
      <c r="BK139" s="8" t="s">
        <v>142</v>
      </c>
      <c r="BL139" s="8">
        <v>120</v>
      </c>
      <c r="BM139" s="8" t="s">
        <v>143</v>
      </c>
      <c r="BN139" s="8">
        <v>600</v>
      </c>
      <c r="BQ139" s="8">
        <v>1</v>
      </c>
      <c r="BR139" s="8">
        <v>2500</v>
      </c>
      <c r="BS139" s="8">
        <v>2</v>
      </c>
      <c r="BT139" s="8">
        <v>2500</v>
      </c>
      <c r="BU139" s="8" t="s">
        <v>144</v>
      </c>
      <c r="BV139">
        <v>6</v>
      </c>
      <c r="BW139">
        <v>10</v>
      </c>
    </row>
    <row r="140" ht="16.5" customHeight="1" spans="2:75">
      <c r="B140" s="8">
        <f>60000000+INDEX(编号表!$B:$B,MATCH(J140,编号表!$A:$A,0))*10000+INDEX(编号表!$B:$B,MATCH(K140,编号表!$C:$C,0))*1000+L140</f>
        <v>60491136</v>
      </c>
      <c r="C140" s="8" t="s">
        <v>539</v>
      </c>
      <c r="D140" s="5" t="s">
        <v>540</v>
      </c>
      <c r="E140" s="5" t="s">
        <v>541</v>
      </c>
      <c r="F140" s="8">
        <v>60</v>
      </c>
      <c r="G140" s="8" t="str">
        <f>INDEX(编号表!$E:$E,MATCH(K140,编号表!$C:$C,0))</f>
        <v>白色</v>
      </c>
      <c r="H140" s="8">
        <v>5</v>
      </c>
      <c r="I140" s="8" t="s">
        <v>542</v>
      </c>
      <c r="J140" s="8" t="s">
        <v>542</v>
      </c>
      <c r="K140" s="8" t="s">
        <v>129</v>
      </c>
      <c r="L140" s="8">
        <v>136</v>
      </c>
      <c r="M140" s="8">
        <v>136</v>
      </c>
      <c r="N140" s="8"/>
      <c r="O140" s="8"/>
      <c r="P140" s="8">
        <v>10</v>
      </c>
      <c r="Q140" s="8">
        <v>150000</v>
      </c>
      <c r="R140" s="8"/>
      <c r="S140" s="8"/>
      <c r="T140" s="8">
        <v>1</v>
      </c>
      <c r="U140" s="16">
        <v>40010001</v>
      </c>
      <c r="V140" s="8"/>
      <c r="X140" s="8">
        <v>11000001</v>
      </c>
      <c r="Z140" s="8"/>
      <c r="AA140" s="8" t="s">
        <v>130</v>
      </c>
      <c r="AB140" s="21">
        <v>20114</v>
      </c>
      <c r="AC140" s="8">
        <v>0.86</v>
      </c>
      <c r="AD140" s="8">
        <v>80</v>
      </c>
      <c r="AE140" s="8">
        <v>80</v>
      </c>
      <c r="AF140" s="8">
        <v>40</v>
      </c>
      <c r="AG140" s="8">
        <v>40</v>
      </c>
      <c r="AH140" s="8" t="s">
        <v>131</v>
      </c>
      <c r="AJ140" s="17"/>
      <c r="AL140" s="18">
        <v>255</v>
      </c>
      <c r="AM140" s="8" t="s">
        <v>132</v>
      </c>
      <c r="AN140" s="19">
        <v>1500</v>
      </c>
      <c r="AO140" s="8" t="s">
        <v>133</v>
      </c>
      <c r="AP140" s="8">
        <v>8</v>
      </c>
      <c r="AQ140" s="8" t="s">
        <v>134</v>
      </c>
      <c r="AR140" s="8">
        <v>12</v>
      </c>
      <c r="AS140" s="8" t="s">
        <v>135</v>
      </c>
      <c r="AT140" s="8">
        <v>8</v>
      </c>
      <c r="AU140" s="8" t="s">
        <v>136</v>
      </c>
      <c r="AV140" s="8">
        <v>11</v>
      </c>
      <c r="AW140" s="8" t="s">
        <v>137</v>
      </c>
      <c r="AX140" s="8">
        <v>21</v>
      </c>
      <c r="AY140" s="8" t="s">
        <v>138</v>
      </c>
      <c r="AZ140" s="8">
        <v>29</v>
      </c>
      <c r="BA140" s="8" t="s">
        <v>139</v>
      </c>
      <c r="BB140" s="8">
        <v>21</v>
      </c>
      <c r="BC140" s="8" t="s">
        <v>140</v>
      </c>
      <c r="BD140" s="8">
        <v>29</v>
      </c>
      <c r="BE140" s="8" t="s">
        <v>139</v>
      </c>
      <c r="BF140" s="8">
        <v>0</v>
      </c>
      <c r="BG140" s="8" t="s">
        <v>140</v>
      </c>
      <c r="BH140" s="8">
        <v>0</v>
      </c>
      <c r="BI140" s="8" t="s">
        <v>141</v>
      </c>
      <c r="BJ140" s="8">
        <v>100</v>
      </c>
      <c r="BK140" s="8" t="s">
        <v>142</v>
      </c>
      <c r="BL140" s="8">
        <v>120</v>
      </c>
      <c r="BM140" s="8" t="s">
        <v>143</v>
      </c>
      <c r="BN140" s="8">
        <v>600</v>
      </c>
      <c r="BQ140" s="8">
        <v>1</v>
      </c>
      <c r="BR140" s="8">
        <v>2500</v>
      </c>
      <c r="BS140" s="8">
        <v>2</v>
      </c>
      <c r="BT140" s="8">
        <v>2500</v>
      </c>
      <c r="BU140" s="8" t="s">
        <v>144</v>
      </c>
      <c r="BV140">
        <v>6</v>
      </c>
      <c r="BW140">
        <v>10</v>
      </c>
    </row>
    <row r="141" ht="16.5" customHeight="1" spans="2:75">
      <c r="B141" s="8">
        <f>60000000+INDEX(编号表!$B:$B,MATCH(J141,编号表!$A:$A,0))*10000+INDEX(编号表!$B:$B,MATCH(K141,编号表!$C:$C,0))*1000+L141</f>
        <v>60491137</v>
      </c>
      <c r="C141" s="8" t="s">
        <v>543</v>
      </c>
      <c r="D141" s="5" t="s">
        <v>544</v>
      </c>
      <c r="E141" s="5" t="s">
        <v>545</v>
      </c>
      <c r="F141" s="8">
        <v>60</v>
      </c>
      <c r="G141" s="8" t="str">
        <f>INDEX(编号表!$E:$E,MATCH(K141,编号表!$C:$C,0))</f>
        <v>白色</v>
      </c>
      <c r="H141" s="8">
        <v>5</v>
      </c>
      <c r="I141" s="8" t="s">
        <v>542</v>
      </c>
      <c r="J141" s="8" t="s">
        <v>542</v>
      </c>
      <c r="K141" s="8" t="s">
        <v>129</v>
      </c>
      <c r="L141" s="8">
        <v>137</v>
      </c>
      <c r="M141" s="8">
        <v>137</v>
      </c>
      <c r="N141" s="8"/>
      <c r="O141" s="8"/>
      <c r="P141" s="8">
        <v>10</v>
      </c>
      <c r="Q141" s="8">
        <v>150000</v>
      </c>
      <c r="R141" s="8"/>
      <c r="S141" s="8"/>
      <c r="T141" s="8">
        <v>1</v>
      </c>
      <c r="U141" s="16">
        <v>40010001</v>
      </c>
      <c r="V141" s="8"/>
      <c r="X141" s="8">
        <v>11000258</v>
      </c>
      <c r="Z141" s="8"/>
      <c r="AA141" s="8" t="s">
        <v>130</v>
      </c>
      <c r="AB141" s="21">
        <v>20115</v>
      </c>
      <c r="AC141" s="8">
        <v>0.25</v>
      </c>
      <c r="AD141" s="8">
        <v>80</v>
      </c>
      <c r="AE141" s="8">
        <v>80</v>
      </c>
      <c r="AF141" s="8">
        <v>40</v>
      </c>
      <c r="AG141" s="8">
        <v>40</v>
      </c>
      <c r="AH141" s="8" t="s">
        <v>160</v>
      </c>
      <c r="AI141">
        <v>30078</v>
      </c>
      <c r="AJ141" s="17"/>
      <c r="AL141" s="18">
        <v>255</v>
      </c>
      <c r="AM141" s="8" t="s">
        <v>132</v>
      </c>
      <c r="AN141" s="19">
        <v>1500</v>
      </c>
      <c r="AO141" s="8" t="s">
        <v>133</v>
      </c>
      <c r="AP141" s="8">
        <v>8</v>
      </c>
      <c r="AQ141" s="8" t="s">
        <v>134</v>
      </c>
      <c r="AR141" s="8">
        <v>12</v>
      </c>
      <c r="AS141" s="8" t="s">
        <v>135</v>
      </c>
      <c r="AT141" s="8">
        <v>8</v>
      </c>
      <c r="AU141" s="8" t="s">
        <v>136</v>
      </c>
      <c r="AV141" s="8">
        <v>11</v>
      </c>
      <c r="AW141" s="8" t="s">
        <v>137</v>
      </c>
      <c r="AX141" s="8">
        <v>21</v>
      </c>
      <c r="AY141" s="8" t="s">
        <v>138</v>
      </c>
      <c r="AZ141" s="8">
        <v>29</v>
      </c>
      <c r="BA141" s="8" t="s">
        <v>139</v>
      </c>
      <c r="BB141" s="8">
        <v>21</v>
      </c>
      <c r="BC141" s="8" t="s">
        <v>140</v>
      </c>
      <c r="BD141" s="8">
        <v>29</v>
      </c>
      <c r="BE141" s="8" t="s">
        <v>139</v>
      </c>
      <c r="BF141" s="8">
        <v>0</v>
      </c>
      <c r="BG141" s="8" t="s">
        <v>140</v>
      </c>
      <c r="BH141" s="8">
        <v>0</v>
      </c>
      <c r="BI141" s="8" t="s">
        <v>141</v>
      </c>
      <c r="BJ141" s="8">
        <v>100</v>
      </c>
      <c r="BK141" s="8" t="s">
        <v>142</v>
      </c>
      <c r="BL141" s="8">
        <v>600</v>
      </c>
      <c r="BM141" s="8" t="s">
        <v>143</v>
      </c>
      <c r="BN141" s="8">
        <v>800</v>
      </c>
      <c r="BQ141" s="8">
        <v>1</v>
      </c>
      <c r="BR141" s="8">
        <v>2500</v>
      </c>
      <c r="BS141" s="8">
        <v>2</v>
      </c>
      <c r="BT141" s="8">
        <v>2500</v>
      </c>
      <c r="BU141" s="8" t="s">
        <v>144</v>
      </c>
      <c r="BV141">
        <v>6</v>
      </c>
      <c r="BW141">
        <v>10</v>
      </c>
    </row>
    <row r="142" ht="16.5" customHeight="1" spans="2:75">
      <c r="B142" s="8">
        <f>60000000+INDEX(编号表!$B:$B,MATCH(J142,编号表!$A:$A,0))*10000+INDEX(编号表!$B:$B,MATCH(K142,编号表!$C:$C,0))*1000+L142</f>
        <v>60491138</v>
      </c>
      <c r="C142" s="8" t="s">
        <v>546</v>
      </c>
      <c r="D142" s="5" t="s">
        <v>547</v>
      </c>
      <c r="E142" s="5" t="s">
        <v>548</v>
      </c>
      <c r="F142" s="8">
        <v>60</v>
      </c>
      <c r="G142" s="8" t="str">
        <f>INDEX(编号表!$E:$E,MATCH(K142,编号表!$C:$C,0))</f>
        <v>白色</v>
      </c>
      <c r="H142" s="8">
        <v>5</v>
      </c>
      <c r="I142" s="8" t="s">
        <v>542</v>
      </c>
      <c r="J142" s="8" t="s">
        <v>542</v>
      </c>
      <c r="K142" s="8" t="s">
        <v>129</v>
      </c>
      <c r="L142" s="8">
        <v>138</v>
      </c>
      <c r="M142" s="8">
        <v>138</v>
      </c>
      <c r="N142" s="8"/>
      <c r="O142" s="8"/>
      <c r="P142" s="8">
        <v>10</v>
      </c>
      <c r="Q142" s="8">
        <v>150000</v>
      </c>
      <c r="R142" s="8"/>
      <c r="S142" s="8"/>
      <c r="T142" s="8">
        <v>1</v>
      </c>
      <c r="U142" s="16">
        <v>40010001</v>
      </c>
      <c r="V142" s="8"/>
      <c r="X142" s="8">
        <v>11000001</v>
      </c>
      <c r="Z142" s="8"/>
      <c r="AA142" s="8" t="s">
        <v>130</v>
      </c>
      <c r="AB142" s="21">
        <v>20116</v>
      </c>
      <c r="AC142" s="8">
        <v>0.6</v>
      </c>
      <c r="AD142" s="8">
        <v>80</v>
      </c>
      <c r="AE142" s="8">
        <v>80</v>
      </c>
      <c r="AF142" s="8">
        <v>40</v>
      </c>
      <c r="AG142" s="8">
        <v>40</v>
      </c>
      <c r="AH142" s="8" t="s">
        <v>131</v>
      </c>
      <c r="AJ142" s="17"/>
      <c r="AL142" s="18">
        <v>255</v>
      </c>
      <c r="AM142" s="8" t="s">
        <v>132</v>
      </c>
      <c r="AN142" s="19">
        <v>1500</v>
      </c>
      <c r="AO142" s="8" t="s">
        <v>133</v>
      </c>
      <c r="AP142" s="8">
        <v>8</v>
      </c>
      <c r="AQ142" s="8" t="s">
        <v>134</v>
      </c>
      <c r="AR142" s="8">
        <v>12</v>
      </c>
      <c r="AS142" s="8" t="s">
        <v>135</v>
      </c>
      <c r="AT142" s="8">
        <v>8</v>
      </c>
      <c r="AU142" s="8" t="s">
        <v>136</v>
      </c>
      <c r="AV142" s="8">
        <v>11</v>
      </c>
      <c r="AW142" s="8" t="s">
        <v>137</v>
      </c>
      <c r="AX142" s="8">
        <v>21</v>
      </c>
      <c r="AY142" s="8" t="s">
        <v>138</v>
      </c>
      <c r="AZ142" s="8">
        <v>29</v>
      </c>
      <c r="BA142" s="8" t="s">
        <v>139</v>
      </c>
      <c r="BB142" s="8">
        <v>21</v>
      </c>
      <c r="BC142" s="8" t="s">
        <v>140</v>
      </c>
      <c r="BD142" s="8">
        <v>29</v>
      </c>
      <c r="BE142" s="8" t="s">
        <v>139</v>
      </c>
      <c r="BF142" s="8">
        <v>0</v>
      </c>
      <c r="BG142" s="8" t="s">
        <v>140</v>
      </c>
      <c r="BH142" s="8">
        <v>0</v>
      </c>
      <c r="BI142" s="8" t="s">
        <v>141</v>
      </c>
      <c r="BJ142" s="8">
        <v>100</v>
      </c>
      <c r="BK142" s="8" t="s">
        <v>142</v>
      </c>
      <c r="BL142" s="8">
        <v>120</v>
      </c>
      <c r="BM142" s="8" t="s">
        <v>143</v>
      </c>
      <c r="BN142" s="8">
        <v>600</v>
      </c>
      <c r="BQ142" s="8">
        <v>1</v>
      </c>
      <c r="BR142" s="8">
        <v>2500</v>
      </c>
      <c r="BS142" s="8">
        <v>2</v>
      </c>
      <c r="BT142" s="8">
        <v>2500</v>
      </c>
      <c r="BU142" s="8" t="s">
        <v>144</v>
      </c>
      <c r="BV142">
        <v>6</v>
      </c>
      <c r="BW142">
        <v>10</v>
      </c>
    </row>
    <row r="143" ht="16.5" customHeight="1" spans="2:75">
      <c r="B143" s="8">
        <f>60000000+INDEX(编号表!$B:$B,MATCH(J143,编号表!$A:$A,0))*10000+INDEX(编号表!$B:$B,MATCH(K143,编号表!$C:$C,0))*1000+L143</f>
        <v>60511139</v>
      </c>
      <c r="C143" s="8" t="s">
        <v>549</v>
      </c>
      <c r="D143" s="5" t="s">
        <v>550</v>
      </c>
      <c r="E143" s="5" t="s">
        <v>551</v>
      </c>
      <c r="F143" s="8">
        <v>60</v>
      </c>
      <c r="G143" s="8" t="str">
        <f>INDEX(编号表!$E:$E,MATCH(K143,编号表!$C:$C,0))</f>
        <v>白色</v>
      </c>
      <c r="H143" s="8">
        <v>5</v>
      </c>
      <c r="I143" s="8" t="s">
        <v>552</v>
      </c>
      <c r="J143" s="8" t="s">
        <v>552</v>
      </c>
      <c r="K143" s="8" t="s">
        <v>129</v>
      </c>
      <c r="L143" s="8">
        <v>139</v>
      </c>
      <c r="M143" s="8">
        <v>139</v>
      </c>
      <c r="N143" s="8"/>
      <c r="O143" s="8"/>
      <c r="P143" s="8">
        <v>10</v>
      </c>
      <c r="Q143" s="8">
        <v>150000</v>
      </c>
      <c r="R143" s="8"/>
      <c r="S143" s="8"/>
      <c r="T143" s="8">
        <v>1</v>
      </c>
      <c r="U143" s="16">
        <v>40010001</v>
      </c>
      <c r="V143" s="8"/>
      <c r="X143" s="8">
        <v>11000001</v>
      </c>
      <c r="Z143" s="8"/>
      <c r="AA143" s="8" t="s">
        <v>130</v>
      </c>
      <c r="AB143" s="21">
        <v>20117</v>
      </c>
      <c r="AC143" s="8">
        <v>0.48</v>
      </c>
      <c r="AD143" s="8">
        <v>80</v>
      </c>
      <c r="AE143" s="8">
        <v>80</v>
      </c>
      <c r="AF143" s="8">
        <v>40</v>
      </c>
      <c r="AG143" s="8">
        <v>40</v>
      </c>
      <c r="AH143" s="8" t="s">
        <v>131</v>
      </c>
      <c r="AJ143" s="17"/>
      <c r="AL143" s="18">
        <v>255</v>
      </c>
      <c r="AM143" s="8" t="s">
        <v>132</v>
      </c>
      <c r="AN143" s="19">
        <v>1500</v>
      </c>
      <c r="AO143" s="8" t="s">
        <v>133</v>
      </c>
      <c r="AP143" s="8">
        <v>8</v>
      </c>
      <c r="AQ143" s="8" t="s">
        <v>134</v>
      </c>
      <c r="AR143" s="8">
        <v>12</v>
      </c>
      <c r="AS143" s="8" t="s">
        <v>135</v>
      </c>
      <c r="AT143" s="8">
        <v>8</v>
      </c>
      <c r="AU143" s="8" t="s">
        <v>136</v>
      </c>
      <c r="AV143" s="8">
        <v>11</v>
      </c>
      <c r="AW143" s="8" t="s">
        <v>137</v>
      </c>
      <c r="AX143" s="8">
        <v>21</v>
      </c>
      <c r="AY143" s="8" t="s">
        <v>138</v>
      </c>
      <c r="AZ143" s="8">
        <v>29</v>
      </c>
      <c r="BA143" s="8" t="s">
        <v>139</v>
      </c>
      <c r="BB143" s="8">
        <v>21</v>
      </c>
      <c r="BC143" s="8" t="s">
        <v>140</v>
      </c>
      <c r="BD143" s="8">
        <v>29</v>
      </c>
      <c r="BE143" s="8" t="s">
        <v>139</v>
      </c>
      <c r="BF143" s="8">
        <v>0</v>
      </c>
      <c r="BG143" s="8" t="s">
        <v>140</v>
      </c>
      <c r="BH143" s="8">
        <v>0</v>
      </c>
      <c r="BI143" s="8" t="s">
        <v>141</v>
      </c>
      <c r="BJ143" s="8">
        <v>100</v>
      </c>
      <c r="BK143" s="8" t="s">
        <v>142</v>
      </c>
      <c r="BL143" s="8">
        <v>120</v>
      </c>
      <c r="BM143" s="8" t="s">
        <v>143</v>
      </c>
      <c r="BN143" s="8">
        <v>600</v>
      </c>
      <c r="BQ143" s="8">
        <v>1</v>
      </c>
      <c r="BR143" s="8">
        <v>2500</v>
      </c>
      <c r="BS143" s="8">
        <v>2</v>
      </c>
      <c r="BT143" s="8">
        <v>2500</v>
      </c>
      <c r="BU143" s="8" t="s">
        <v>144</v>
      </c>
      <c r="BV143">
        <v>6</v>
      </c>
      <c r="BW143">
        <v>10</v>
      </c>
    </row>
    <row r="144" ht="16.5" customHeight="1" spans="2:75">
      <c r="B144" s="8">
        <f>60000000+INDEX(编号表!$B:$B,MATCH(J144,编号表!$A:$A,0))*10000+INDEX(编号表!$B:$B,MATCH(K144,编号表!$C:$C,0))*1000+L144</f>
        <v>60511140</v>
      </c>
      <c r="C144" s="8" t="s">
        <v>553</v>
      </c>
      <c r="D144" s="5" t="s">
        <v>554</v>
      </c>
      <c r="E144" s="5" t="s">
        <v>555</v>
      </c>
      <c r="F144" s="8">
        <v>60</v>
      </c>
      <c r="G144" s="8" t="str">
        <f>INDEX(编号表!$E:$E,MATCH(K144,编号表!$C:$C,0))</f>
        <v>白色</v>
      </c>
      <c r="H144" s="8">
        <v>5</v>
      </c>
      <c r="I144" s="8" t="s">
        <v>552</v>
      </c>
      <c r="J144" s="8" t="s">
        <v>552</v>
      </c>
      <c r="K144" s="8" t="s">
        <v>129</v>
      </c>
      <c r="L144" s="8">
        <v>140</v>
      </c>
      <c r="M144" s="8">
        <v>140</v>
      </c>
      <c r="N144" s="8"/>
      <c r="O144" s="8"/>
      <c r="P144" s="8">
        <v>10</v>
      </c>
      <c r="Q144" s="8">
        <v>150000</v>
      </c>
      <c r="R144" s="8"/>
      <c r="S144" s="8"/>
      <c r="T144" s="8">
        <v>1</v>
      </c>
      <c r="U144" s="16">
        <v>40010001</v>
      </c>
      <c r="V144" s="8"/>
      <c r="X144" s="8">
        <v>11000257</v>
      </c>
      <c r="Z144" s="8"/>
      <c r="AA144" s="8" t="s">
        <v>130</v>
      </c>
      <c r="AB144" s="21">
        <v>20118</v>
      </c>
      <c r="AC144" s="8">
        <v>0.62</v>
      </c>
      <c r="AD144" s="8">
        <v>80</v>
      </c>
      <c r="AE144" s="8">
        <v>80</v>
      </c>
      <c r="AF144" s="8">
        <v>40</v>
      </c>
      <c r="AG144" s="8">
        <v>40</v>
      </c>
      <c r="AH144" s="8" t="s">
        <v>160</v>
      </c>
      <c r="AI144">
        <v>30077</v>
      </c>
      <c r="AJ144" s="17"/>
      <c r="AL144" s="18">
        <v>255</v>
      </c>
      <c r="AM144" s="8" t="s">
        <v>132</v>
      </c>
      <c r="AN144" s="19">
        <v>1500</v>
      </c>
      <c r="AO144" s="8" t="s">
        <v>133</v>
      </c>
      <c r="AP144" s="8">
        <v>8</v>
      </c>
      <c r="AQ144" s="8" t="s">
        <v>134</v>
      </c>
      <c r="AR144" s="8">
        <v>12</v>
      </c>
      <c r="AS144" s="8" t="s">
        <v>135</v>
      </c>
      <c r="AT144" s="8">
        <v>8</v>
      </c>
      <c r="AU144" s="8" t="s">
        <v>136</v>
      </c>
      <c r="AV144" s="8">
        <v>11</v>
      </c>
      <c r="AW144" s="8" t="s">
        <v>137</v>
      </c>
      <c r="AX144" s="8">
        <v>21</v>
      </c>
      <c r="AY144" s="8" t="s">
        <v>138</v>
      </c>
      <c r="AZ144" s="8">
        <v>29</v>
      </c>
      <c r="BA144" s="8" t="s">
        <v>139</v>
      </c>
      <c r="BB144" s="8">
        <v>21</v>
      </c>
      <c r="BC144" s="8" t="s">
        <v>140</v>
      </c>
      <c r="BD144" s="8">
        <v>29</v>
      </c>
      <c r="BE144" s="8" t="s">
        <v>139</v>
      </c>
      <c r="BF144" s="8">
        <v>0</v>
      </c>
      <c r="BG144" s="8" t="s">
        <v>140</v>
      </c>
      <c r="BH144" s="8">
        <v>0</v>
      </c>
      <c r="BI144" s="8" t="s">
        <v>141</v>
      </c>
      <c r="BJ144" s="8">
        <v>100</v>
      </c>
      <c r="BK144" s="8" t="s">
        <v>142</v>
      </c>
      <c r="BL144" s="8">
        <v>600</v>
      </c>
      <c r="BM144" s="8" t="s">
        <v>143</v>
      </c>
      <c r="BN144" s="8">
        <v>800</v>
      </c>
      <c r="BQ144" s="8">
        <v>1</v>
      </c>
      <c r="BR144" s="8">
        <v>2500</v>
      </c>
      <c r="BS144" s="8">
        <v>2</v>
      </c>
      <c r="BT144" s="8">
        <v>2500</v>
      </c>
      <c r="BU144" s="8" t="s">
        <v>144</v>
      </c>
      <c r="BV144">
        <v>6</v>
      </c>
      <c r="BW144">
        <v>10</v>
      </c>
    </row>
    <row r="145" ht="16.5" customHeight="1" spans="2:75">
      <c r="B145" s="8">
        <f>60000000+INDEX(编号表!$B:$B,MATCH(J145,编号表!$A:$A,0))*10000+INDEX(编号表!$B:$B,MATCH(K145,编号表!$C:$C,0))*1000+L145</f>
        <v>60512141</v>
      </c>
      <c r="C145" s="8" t="s">
        <v>556</v>
      </c>
      <c r="D145" s="5" t="s">
        <v>557</v>
      </c>
      <c r="E145" s="5" t="s">
        <v>558</v>
      </c>
      <c r="F145" s="8">
        <v>60</v>
      </c>
      <c r="G145" s="8" t="str">
        <f>INDEX(编号表!$E:$E,MATCH(K145,编号表!$C:$C,0))</f>
        <v>绿色</v>
      </c>
      <c r="H145" s="8">
        <v>5</v>
      </c>
      <c r="I145" s="8" t="s">
        <v>552</v>
      </c>
      <c r="J145" s="8" t="s">
        <v>552</v>
      </c>
      <c r="K145" s="8" t="s">
        <v>196</v>
      </c>
      <c r="L145" s="8">
        <v>141</v>
      </c>
      <c r="M145" s="8">
        <v>141</v>
      </c>
      <c r="N145" s="8"/>
      <c r="O145" s="8"/>
      <c r="P145" s="8">
        <v>10</v>
      </c>
      <c r="Q145" s="8">
        <v>150000</v>
      </c>
      <c r="R145" s="8"/>
      <c r="S145" s="8"/>
      <c r="T145" s="8">
        <v>1</v>
      </c>
      <c r="U145" s="16">
        <v>40010001</v>
      </c>
      <c r="V145" s="8"/>
      <c r="X145" s="8">
        <v>11000001</v>
      </c>
      <c r="Z145" s="8"/>
      <c r="AA145" s="8" t="s">
        <v>130</v>
      </c>
      <c r="AB145" s="21">
        <v>20119</v>
      </c>
      <c r="AC145" s="8">
        <v>2</v>
      </c>
      <c r="AD145" s="8">
        <v>80</v>
      </c>
      <c r="AE145" s="8">
        <v>80</v>
      </c>
      <c r="AF145" s="8">
        <v>40</v>
      </c>
      <c r="AG145" s="8">
        <v>40</v>
      </c>
      <c r="AH145" s="8" t="s">
        <v>131</v>
      </c>
      <c r="AJ145" s="17"/>
      <c r="AL145" s="18">
        <v>255</v>
      </c>
      <c r="AM145" s="8" t="s">
        <v>132</v>
      </c>
      <c r="AN145" s="19">
        <v>1500</v>
      </c>
      <c r="AO145" s="8" t="s">
        <v>133</v>
      </c>
      <c r="AP145" s="8">
        <v>8</v>
      </c>
      <c r="AQ145" s="8" t="s">
        <v>134</v>
      </c>
      <c r="AR145" s="8">
        <v>12</v>
      </c>
      <c r="AS145" s="8" t="s">
        <v>135</v>
      </c>
      <c r="AT145" s="8">
        <v>8</v>
      </c>
      <c r="AU145" s="8" t="s">
        <v>136</v>
      </c>
      <c r="AV145" s="8">
        <v>11</v>
      </c>
      <c r="AW145" s="8" t="s">
        <v>137</v>
      </c>
      <c r="AX145" s="8">
        <v>21</v>
      </c>
      <c r="AY145" s="8" t="s">
        <v>138</v>
      </c>
      <c r="AZ145" s="8">
        <v>29</v>
      </c>
      <c r="BA145" s="8" t="s">
        <v>139</v>
      </c>
      <c r="BB145" s="8">
        <v>21</v>
      </c>
      <c r="BC145" s="8" t="s">
        <v>140</v>
      </c>
      <c r="BD145" s="8">
        <v>29</v>
      </c>
      <c r="BE145" s="8" t="s">
        <v>139</v>
      </c>
      <c r="BF145" s="8">
        <v>0</v>
      </c>
      <c r="BG145" s="8" t="s">
        <v>140</v>
      </c>
      <c r="BH145" s="8">
        <v>0</v>
      </c>
      <c r="BI145" s="8" t="s">
        <v>141</v>
      </c>
      <c r="BJ145" s="8">
        <v>100</v>
      </c>
      <c r="BK145" s="8" t="s">
        <v>142</v>
      </c>
      <c r="BL145" s="8">
        <v>120</v>
      </c>
      <c r="BM145" s="8" t="s">
        <v>143</v>
      </c>
      <c r="BN145" s="8">
        <v>600</v>
      </c>
      <c r="BQ145" s="8">
        <v>1</v>
      </c>
      <c r="BR145" s="8">
        <v>2500</v>
      </c>
      <c r="BS145" s="8">
        <v>2</v>
      </c>
      <c r="BT145" s="8">
        <v>2500</v>
      </c>
      <c r="BU145" s="8" t="s">
        <v>144</v>
      </c>
      <c r="BV145">
        <v>6</v>
      </c>
      <c r="BW145">
        <v>10</v>
      </c>
    </row>
    <row r="146" ht="16.5" customHeight="1" spans="2:75">
      <c r="B146" s="8">
        <f>60000000+INDEX(编号表!$B:$B,MATCH(J146,编号表!$A:$A,0))*10000+INDEX(编号表!$B:$B,MATCH(K146,编号表!$C:$C,0))*1000+L146</f>
        <v>60521142</v>
      </c>
      <c r="C146" s="8" t="s">
        <v>559</v>
      </c>
      <c r="D146" s="5" t="s">
        <v>560</v>
      </c>
      <c r="E146" s="5" t="s">
        <v>561</v>
      </c>
      <c r="F146" s="8">
        <v>60</v>
      </c>
      <c r="G146" s="8" t="str">
        <f>INDEX(编号表!$E:$E,MATCH(K146,编号表!$C:$C,0))</f>
        <v>白色</v>
      </c>
      <c r="H146" s="8">
        <v>5</v>
      </c>
      <c r="I146" s="8" t="s">
        <v>562</v>
      </c>
      <c r="J146" s="8" t="s">
        <v>562</v>
      </c>
      <c r="K146" s="8" t="s">
        <v>129</v>
      </c>
      <c r="L146" s="8">
        <v>142</v>
      </c>
      <c r="M146" s="8">
        <v>142</v>
      </c>
      <c r="N146" s="8"/>
      <c r="O146" s="8"/>
      <c r="P146" s="8">
        <v>10</v>
      </c>
      <c r="Q146" s="8">
        <v>150000</v>
      </c>
      <c r="R146" s="8"/>
      <c r="S146" s="8"/>
      <c r="T146" s="8">
        <v>1</v>
      </c>
      <c r="U146" s="16">
        <v>40010001</v>
      </c>
      <c r="V146" s="8"/>
      <c r="X146" s="8">
        <v>11000001</v>
      </c>
      <c r="Z146" s="8"/>
      <c r="AA146" s="8" t="s">
        <v>130</v>
      </c>
      <c r="AB146" s="21">
        <v>20120</v>
      </c>
      <c r="AC146" s="8">
        <v>0.73</v>
      </c>
      <c r="AD146" s="8">
        <v>80</v>
      </c>
      <c r="AE146" s="8">
        <v>80</v>
      </c>
      <c r="AF146" s="8">
        <v>40</v>
      </c>
      <c r="AG146" s="8">
        <v>40</v>
      </c>
      <c r="AH146" s="8" t="s">
        <v>131</v>
      </c>
      <c r="AJ146" s="17"/>
      <c r="AL146" s="18">
        <v>255</v>
      </c>
      <c r="AM146" s="8" t="s">
        <v>132</v>
      </c>
      <c r="AN146" s="19">
        <v>1500</v>
      </c>
      <c r="AO146" s="8" t="s">
        <v>133</v>
      </c>
      <c r="AP146" s="8">
        <v>8</v>
      </c>
      <c r="AQ146" s="8" t="s">
        <v>134</v>
      </c>
      <c r="AR146" s="8">
        <v>12</v>
      </c>
      <c r="AS146" s="8" t="s">
        <v>135</v>
      </c>
      <c r="AT146" s="8">
        <v>8</v>
      </c>
      <c r="AU146" s="8" t="s">
        <v>136</v>
      </c>
      <c r="AV146" s="8">
        <v>11</v>
      </c>
      <c r="AW146" s="8" t="s">
        <v>137</v>
      </c>
      <c r="AX146" s="8">
        <v>21</v>
      </c>
      <c r="AY146" s="8" t="s">
        <v>138</v>
      </c>
      <c r="AZ146" s="8">
        <v>29</v>
      </c>
      <c r="BA146" s="8" t="s">
        <v>139</v>
      </c>
      <c r="BB146" s="8">
        <v>21</v>
      </c>
      <c r="BC146" s="8" t="s">
        <v>140</v>
      </c>
      <c r="BD146" s="8">
        <v>29</v>
      </c>
      <c r="BE146" s="8" t="s">
        <v>139</v>
      </c>
      <c r="BF146" s="8">
        <v>0</v>
      </c>
      <c r="BG146" s="8" t="s">
        <v>140</v>
      </c>
      <c r="BH146" s="8">
        <v>0</v>
      </c>
      <c r="BI146" s="8" t="s">
        <v>141</v>
      </c>
      <c r="BJ146" s="8">
        <v>100</v>
      </c>
      <c r="BK146" s="8" t="s">
        <v>142</v>
      </c>
      <c r="BL146" s="8">
        <v>120</v>
      </c>
      <c r="BM146" s="8" t="s">
        <v>143</v>
      </c>
      <c r="BN146" s="8">
        <v>600</v>
      </c>
      <c r="BQ146" s="8">
        <v>1</v>
      </c>
      <c r="BR146" s="8">
        <v>2500</v>
      </c>
      <c r="BS146" s="8">
        <v>2</v>
      </c>
      <c r="BT146" s="8">
        <v>2500</v>
      </c>
      <c r="BU146" s="8" t="s">
        <v>144</v>
      </c>
      <c r="BV146">
        <v>6</v>
      </c>
      <c r="BW146">
        <v>10</v>
      </c>
    </row>
    <row r="147" ht="16.5" customHeight="1" spans="2:75">
      <c r="B147" s="8">
        <f>60000000+INDEX(编号表!$B:$B,MATCH(J147,编号表!$A:$A,0))*10000+INDEX(编号表!$B:$B,MATCH(K147,编号表!$C:$C,0))*1000+L147</f>
        <v>60522143</v>
      </c>
      <c r="C147" s="8" t="s">
        <v>563</v>
      </c>
      <c r="D147" s="5" t="s">
        <v>564</v>
      </c>
      <c r="E147" s="5" t="s">
        <v>565</v>
      </c>
      <c r="F147" s="8">
        <v>60</v>
      </c>
      <c r="G147" s="8" t="str">
        <f>INDEX(编号表!$E:$E,MATCH(K147,编号表!$C:$C,0))</f>
        <v>绿色</v>
      </c>
      <c r="H147" s="8">
        <v>5</v>
      </c>
      <c r="I147" s="8" t="s">
        <v>562</v>
      </c>
      <c r="J147" s="8" t="s">
        <v>562</v>
      </c>
      <c r="K147" s="8" t="s">
        <v>196</v>
      </c>
      <c r="L147" s="8">
        <v>143</v>
      </c>
      <c r="M147" s="8">
        <v>143</v>
      </c>
      <c r="N147" s="8"/>
      <c r="O147" s="8"/>
      <c r="P147" s="8">
        <v>10</v>
      </c>
      <c r="Q147" s="8">
        <v>150000</v>
      </c>
      <c r="R147" s="8"/>
      <c r="S147" s="8"/>
      <c r="T147" s="8">
        <v>1</v>
      </c>
      <c r="U147" s="16">
        <v>40010001</v>
      </c>
      <c r="V147" s="8"/>
      <c r="X147" s="8">
        <v>11000001</v>
      </c>
      <c r="Z147" s="8"/>
      <c r="AA147" s="8" t="s">
        <v>130</v>
      </c>
      <c r="AB147" s="21">
        <v>20121</v>
      </c>
      <c r="AC147" s="8">
        <v>1.45</v>
      </c>
      <c r="AD147" s="8">
        <v>80</v>
      </c>
      <c r="AE147" s="8">
        <v>80</v>
      </c>
      <c r="AF147" s="8">
        <v>40</v>
      </c>
      <c r="AG147" s="8">
        <v>40</v>
      </c>
      <c r="AH147" s="8" t="s">
        <v>131</v>
      </c>
      <c r="AJ147" s="17"/>
      <c r="AL147" s="18">
        <v>255</v>
      </c>
      <c r="AM147" s="8" t="s">
        <v>132</v>
      </c>
      <c r="AN147" s="19">
        <v>1500</v>
      </c>
      <c r="AO147" s="8" t="s">
        <v>133</v>
      </c>
      <c r="AP147" s="8">
        <v>8</v>
      </c>
      <c r="AQ147" s="8" t="s">
        <v>134</v>
      </c>
      <c r="AR147" s="8">
        <v>12</v>
      </c>
      <c r="AS147" s="8" t="s">
        <v>135</v>
      </c>
      <c r="AT147" s="8">
        <v>8</v>
      </c>
      <c r="AU147" s="8" t="s">
        <v>136</v>
      </c>
      <c r="AV147" s="8">
        <v>11</v>
      </c>
      <c r="AW147" s="8" t="s">
        <v>137</v>
      </c>
      <c r="AX147" s="8">
        <v>21</v>
      </c>
      <c r="AY147" s="8" t="s">
        <v>138</v>
      </c>
      <c r="AZ147" s="8">
        <v>29</v>
      </c>
      <c r="BA147" s="8" t="s">
        <v>139</v>
      </c>
      <c r="BB147" s="8">
        <v>21</v>
      </c>
      <c r="BC147" s="8" t="s">
        <v>140</v>
      </c>
      <c r="BD147" s="8">
        <v>29</v>
      </c>
      <c r="BE147" s="8" t="s">
        <v>139</v>
      </c>
      <c r="BF147" s="8">
        <v>0</v>
      </c>
      <c r="BG147" s="8" t="s">
        <v>140</v>
      </c>
      <c r="BH147" s="8">
        <v>0</v>
      </c>
      <c r="BI147" s="8" t="s">
        <v>141</v>
      </c>
      <c r="BJ147" s="8">
        <v>100</v>
      </c>
      <c r="BK147" s="8" t="s">
        <v>142</v>
      </c>
      <c r="BL147" s="8">
        <v>120</v>
      </c>
      <c r="BM147" s="8" t="s">
        <v>143</v>
      </c>
      <c r="BN147" s="8">
        <v>600</v>
      </c>
      <c r="BQ147" s="8">
        <v>1</v>
      </c>
      <c r="BR147" s="8">
        <v>2500</v>
      </c>
      <c r="BS147" s="8">
        <v>2</v>
      </c>
      <c r="BT147" s="8">
        <v>2500</v>
      </c>
      <c r="BU147" s="8" t="s">
        <v>144</v>
      </c>
      <c r="BV147">
        <v>6</v>
      </c>
      <c r="BW147">
        <v>10</v>
      </c>
    </row>
    <row r="148" ht="16.5" customHeight="1" spans="2:75">
      <c r="B148" s="8">
        <f>60000000+INDEX(编号表!$B:$B,MATCH(J148,编号表!$A:$A,0))*10000+INDEX(编号表!$B:$B,MATCH(K148,编号表!$C:$C,0))*1000+L148</f>
        <v>60524144</v>
      </c>
      <c r="C148" s="8" t="s">
        <v>566</v>
      </c>
      <c r="D148" s="5" t="s">
        <v>567</v>
      </c>
      <c r="E148" s="5" t="s">
        <v>568</v>
      </c>
      <c r="F148" s="8">
        <v>60</v>
      </c>
      <c r="G148" s="8" t="str">
        <f>INDEX(编号表!$E:$E,MATCH(K148,编号表!$C:$C,0))</f>
        <v>橙色</v>
      </c>
      <c r="H148" s="8">
        <v>5</v>
      </c>
      <c r="I148" s="8" t="s">
        <v>562</v>
      </c>
      <c r="J148" s="8" t="s">
        <v>562</v>
      </c>
      <c r="K148" s="8" t="s">
        <v>246</v>
      </c>
      <c r="L148" s="8">
        <v>144</v>
      </c>
      <c r="M148" s="8">
        <v>144</v>
      </c>
      <c r="N148" s="8"/>
      <c r="O148" s="8"/>
      <c r="P148" s="8">
        <v>10</v>
      </c>
      <c r="Q148" s="8">
        <v>150000</v>
      </c>
      <c r="R148" s="8"/>
      <c r="S148" s="8"/>
      <c r="T148" s="8">
        <v>1</v>
      </c>
      <c r="U148" s="16">
        <v>40010001</v>
      </c>
      <c r="V148" s="8"/>
      <c r="X148" s="8">
        <v>11000001</v>
      </c>
      <c r="Z148" s="8"/>
      <c r="AA148" s="8" t="s">
        <v>130</v>
      </c>
      <c r="AB148" s="21">
        <v>20122</v>
      </c>
      <c r="AC148" s="8">
        <v>2</v>
      </c>
      <c r="AD148" s="8">
        <v>80</v>
      </c>
      <c r="AE148" s="8">
        <v>80</v>
      </c>
      <c r="AF148" s="8">
        <v>40</v>
      </c>
      <c r="AG148" s="8">
        <v>40</v>
      </c>
      <c r="AH148" s="8" t="s">
        <v>160</v>
      </c>
      <c r="AJ148" s="17"/>
      <c r="AL148" s="18">
        <v>255</v>
      </c>
      <c r="AM148" s="8" t="s">
        <v>132</v>
      </c>
      <c r="AN148" s="19">
        <v>1500</v>
      </c>
      <c r="AO148" s="8" t="s">
        <v>133</v>
      </c>
      <c r="AP148" s="8">
        <v>8</v>
      </c>
      <c r="AQ148" s="8" t="s">
        <v>134</v>
      </c>
      <c r="AR148" s="8">
        <v>12</v>
      </c>
      <c r="AS148" s="8" t="s">
        <v>135</v>
      </c>
      <c r="AT148" s="8">
        <v>8</v>
      </c>
      <c r="AU148" s="8" t="s">
        <v>136</v>
      </c>
      <c r="AV148" s="8">
        <v>11</v>
      </c>
      <c r="AW148" s="8" t="s">
        <v>137</v>
      </c>
      <c r="AX148" s="8">
        <v>21</v>
      </c>
      <c r="AY148" s="8" t="s">
        <v>138</v>
      </c>
      <c r="AZ148" s="8">
        <v>29</v>
      </c>
      <c r="BA148" s="8" t="s">
        <v>139</v>
      </c>
      <c r="BB148" s="8">
        <v>21</v>
      </c>
      <c r="BC148" s="8" t="s">
        <v>140</v>
      </c>
      <c r="BD148" s="8">
        <v>29</v>
      </c>
      <c r="BE148" s="8" t="s">
        <v>139</v>
      </c>
      <c r="BF148" s="8">
        <v>0</v>
      </c>
      <c r="BG148" s="8" t="s">
        <v>140</v>
      </c>
      <c r="BH148" s="8">
        <v>0</v>
      </c>
      <c r="BI148" s="8" t="s">
        <v>141</v>
      </c>
      <c r="BJ148" s="8">
        <v>100</v>
      </c>
      <c r="BK148" s="8" t="s">
        <v>142</v>
      </c>
      <c r="BL148" s="8">
        <v>120</v>
      </c>
      <c r="BM148" s="8" t="s">
        <v>143</v>
      </c>
      <c r="BN148" s="8">
        <v>600</v>
      </c>
      <c r="BQ148" s="8">
        <v>1</v>
      </c>
      <c r="BR148" s="8">
        <v>2500</v>
      </c>
      <c r="BS148" s="8">
        <v>2</v>
      </c>
      <c r="BT148" s="8">
        <v>2500</v>
      </c>
      <c r="BU148" s="8" t="s">
        <v>144</v>
      </c>
      <c r="BV148">
        <v>6</v>
      </c>
      <c r="BW148">
        <v>10</v>
      </c>
    </row>
    <row r="149" ht="16.5" customHeight="1" spans="2:75">
      <c r="B149" s="8">
        <f>60000000+INDEX(编号表!$B:$B,MATCH(J149,编号表!$A:$A,0))*10000+INDEX(编号表!$B:$B,MATCH(K149,编号表!$C:$C,0))*1000+L149</f>
        <v>60531145</v>
      </c>
      <c r="C149" s="8" t="s">
        <v>569</v>
      </c>
      <c r="D149" s="5" t="s">
        <v>570</v>
      </c>
      <c r="E149" s="5" t="s">
        <v>571</v>
      </c>
      <c r="F149" s="8">
        <v>60</v>
      </c>
      <c r="G149" s="8" t="str">
        <f>INDEX(编号表!$E:$E,MATCH(K149,编号表!$C:$C,0))</f>
        <v>白色</v>
      </c>
      <c r="H149" s="8">
        <v>5</v>
      </c>
      <c r="I149" s="8" t="s">
        <v>572</v>
      </c>
      <c r="J149" s="8" t="s">
        <v>572</v>
      </c>
      <c r="K149" s="8" t="s">
        <v>129</v>
      </c>
      <c r="L149" s="8">
        <v>145</v>
      </c>
      <c r="M149" s="8">
        <v>145</v>
      </c>
      <c r="N149" s="8"/>
      <c r="O149" s="8"/>
      <c r="P149" s="8">
        <v>10</v>
      </c>
      <c r="Q149" s="8">
        <v>150000</v>
      </c>
      <c r="R149" s="8"/>
      <c r="S149" s="8"/>
      <c r="T149" s="8">
        <v>1</v>
      </c>
      <c r="U149" s="16">
        <v>40010001</v>
      </c>
      <c r="V149" s="8"/>
      <c r="X149" s="8">
        <v>11000258</v>
      </c>
      <c r="Z149" s="8"/>
      <c r="AA149" s="8" t="s">
        <v>130</v>
      </c>
      <c r="AB149" s="21">
        <v>20123</v>
      </c>
      <c r="AC149" s="8">
        <v>0.59</v>
      </c>
      <c r="AD149" s="8">
        <v>80</v>
      </c>
      <c r="AE149" s="8">
        <v>80</v>
      </c>
      <c r="AF149" s="8">
        <v>40</v>
      </c>
      <c r="AG149" s="8">
        <v>40</v>
      </c>
      <c r="AH149" s="8" t="s">
        <v>160</v>
      </c>
      <c r="AI149">
        <v>30078</v>
      </c>
      <c r="AJ149" s="17"/>
      <c r="AL149" s="18">
        <v>255</v>
      </c>
      <c r="AM149" s="8" t="s">
        <v>132</v>
      </c>
      <c r="AN149" s="19">
        <v>1500</v>
      </c>
      <c r="AO149" s="8" t="s">
        <v>133</v>
      </c>
      <c r="AP149" s="8">
        <v>8</v>
      </c>
      <c r="AQ149" s="8" t="s">
        <v>134</v>
      </c>
      <c r="AR149" s="8">
        <v>12</v>
      </c>
      <c r="AS149" s="8" t="s">
        <v>135</v>
      </c>
      <c r="AT149" s="8">
        <v>8</v>
      </c>
      <c r="AU149" s="8" t="s">
        <v>136</v>
      </c>
      <c r="AV149" s="8">
        <v>11</v>
      </c>
      <c r="AW149" s="8" t="s">
        <v>137</v>
      </c>
      <c r="AX149" s="8">
        <v>21</v>
      </c>
      <c r="AY149" s="8" t="s">
        <v>138</v>
      </c>
      <c r="AZ149" s="8">
        <v>29</v>
      </c>
      <c r="BA149" s="8" t="s">
        <v>139</v>
      </c>
      <c r="BB149" s="8">
        <v>21</v>
      </c>
      <c r="BC149" s="8" t="s">
        <v>140</v>
      </c>
      <c r="BD149" s="8">
        <v>29</v>
      </c>
      <c r="BE149" s="8" t="s">
        <v>139</v>
      </c>
      <c r="BF149" s="8">
        <v>0</v>
      </c>
      <c r="BG149" s="8" t="s">
        <v>140</v>
      </c>
      <c r="BH149" s="8">
        <v>0</v>
      </c>
      <c r="BI149" s="8" t="s">
        <v>141</v>
      </c>
      <c r="BJ149" s="8">
        <v>100</v>
      </c>
      <c r="BK149" s="8" t="s">
        <v>142</v>
      </c>
      <c r="BL149" s="8">
        <v>600</v>
      </c>
      <c r="BM149" s="8" t="s">
        <v>143</v>
      </c>
      <c r="BN149" s="8">
        <v>800</v>
      </c>
      <c r="BQ149" s="8">
        <v>1</v>
      </c>
      <c r="BR149" s="8">
        <v>2500</v>
      </c>
      <c r="BS149" s="8">
        <v>2</v>
      </c>
      <c r="BT149" s="8">
        <v>2500</v>
      </c>
      <c r="BU149" s="8" t="s">
        <v>144</v>
      </c>
      <c r="BV149">
        <v>6</v>
      </c>
      <c r="BW149">
        <v>10</v>
      </c>
    </row>
    <row r="150" ht="16.5" customHeight="1" spans="2:75">
      <c r="B150" s="8">
        <f>60000000+INDEX(编号表!$B:$B,MATCH(J150,编号表!$A:$A,0))*10000+INDEX(编号表!$B:$B,MATCH(K150,编号表!$C:$C,0))*1000+L150</f>
        <v>60531146</v>
      </c>
      <c r="C150" s="8" t="s">
        <v>573</v>
      </c>
      <c r="D150" s="5" t="s">
        <v>574</v>
      </c>
      <c r="E150" s="5" t="s">
        <v>575</v>
      </c>
      <c r="F150" s="8">
        <v>60</v>
      </c>
      <c r="G150" s="8" t="str">
        <f>INDEX(编号表!$E:$E,MATCH(K150,编号表!$C:$C,0))</f>
        <v>白色</v>
      </c>
      <c r="H150" s="8">
        <v>5</v>
      </c>
      <c r="I150" s="8" t="s">
        <v>572</v>
      </c>
      <c r="J150" s="8" t="s">
        <v>572</v>
      </c>
      <c r="K150" s="8" t="s">
        <v>129</v>
      </c>
      <c r="L150" s="8">
        <v>146</v>
      </c>
      <c r="M150" s="8">
        <v>146</v>
      </c>
      <c r="N150" s="8"/>
      <c r="O150" s="8"/>
      <c r="P150" s="8">
        <v>10</v>
      </c>
      <c r="Q150" s="8">
        <v>150000</v>
      </c>
      <c r="R150" s="8"/>
      <c r="S150" s="8"/>
      <c r="T150" s="8">
        <v>1</v>
      </c>
      <c r="U150" s="16">
        <v>40010001</v>
      </c>
      <c r="V150" s="8"/>
      <c r="X150" s="8">
        <v>11000001</v>
      </c>
      <c r="Z150" s="8"/>
      <c r="AA150" s="8" t="s">
        <v>130</v>
      </c>
      <c r="AB150" s="21">
        <v>20124</v>
      </c>
      <c r="AC150" s="8">
        <v>0.33</v>
      </c>
      <c r="AD150" s="8">
        <v>80</v>
      </c>
      <c r="AE150" s="8">
        <v>80</v>
      </c>
      <c r="AF150" s="8">
        <v>40</v>
      </c>
      <c r="AG150" s="8">
        <v>40</v>
      </c>
      <c r="AH150" s="8" t="s">
        <v>131</v>
      </c>
      <c r="AJ150" s="17"/>
      <c r="AL150" s="18">
        <v>255</v>
      </c>
      <c r="AM150" s="8" t="s">
        <v>132</v>
      </c>
      <c r="AN150" s="19">
        <v>1500</v>
      </c>
      <c r="AO150" s="8" t="s">
        <v>133</v>
      </c>
      <c r="AP150" s="8">
        <v>8</v>
      </c>
      <c r="AQ150" s="8" t="s">
        <v>134</v>
      </c>
      <c r="AR150" s="8">
        <v>12</v>
      </c>
      <c r="AS150" s="8" t="s">
        <v>135</v>
      </c>
      <c r="AT150" s="8">
        <v>8</v>
      </c>
      <c r="AU150" s="8" t="s">
        <v>136</v>
      </c>
      <c r="AV150" s="8">
        <v>11</v>
      </c>
      <c r="AW150" s="8" t="s">
        <v>137</v>
      </c>
      <c r="AX150" s="8">
        <v>21</v>
      </c>
      <c r="AY150" s="8" t="s">
        <v>138</v>
      </c>
      <c r="AZ150" s="8">
        <v>29</v>
      </c>
      <c r="BA150" s="8" t="s">
        <v>139</v>
      </c>
      <c r="BB150" s="8">
        <v>21</v>
      </c>
      <c r="BC150" s="8" t="s">
        <v>140</v>
      </c>
      <c r="BD150" s="8">
        <v>29</v>
      </c>
      <c r="BE150" s="8" t="s">
        <v>139</v>
      </c>
      <c r="BF150" s="8">
        <v>0</v>
      </c>
      <c r="BG150" s="8" t="s">
        <v>140</v>
      </c>
      <c r="BH150" s="8">
        <v>0</v>
      </c>
      <c r="BI150" s="8" t="s">
        <v>141</v>
      </c>
      <c r="BJ150" s="8">
        <v>100</v>
      </c>
      <c r="BK150" s="8" t="s">
        <v>142</v>
      </c>
      <c r="BL150" s="8">
        <v>120</v>
      </c>
      <c r="BM150" s="8" t="s">
        <v>143</v>
      </c>
      <c r="BN150" s="8">
        <v>600</v>
      </c>
      <c r="BQ150" s="8">
        <v>1</v>
      </c>
      <c r="BR150" s="8">
        <v>2500</v>
      </c>
      <c r="BS150" s="8">
        <v>2</v>
      </c>
      <c r="BT150" s="8">
        <v>2500</v>
      </c>
      <c r="BU150" s="8" t="s">
        <v>144</v>
      </c>
      <c r="BV150">
        <v>6</v>
      </c>
      <c r="BW150">
        <v>10</v>
      </c>
    </row>
    <row r="151" ht="16.5" customHeight="1" spans="2:75">
      <c r="B151" s="8">
        <f>60000000+INDEX(编号表!$B:$B,MATCH(J151,编号表!$A:$A,0))*10000+INDEX(编号表!$B:$B,MATCH(K151,编号表!$C:$C,0))*1000+L151</f>
        <v>60532147</v>
      </c>
      <c r="C151" s="8" t="s">
        <v>576</v>
      </c>
      <c r="D151" s="5" t="s">
        <v>577</v>
      </c>
      <c r="E151" s="5" t="s">
        <v>578</v>
      </c>
      <c r="F151" s="8">
        <v>60</v>
      </c>
      <c r="G151" s="8" t="str">
        <f>INDEX(编号表!$E:$E,MATCH(K151,编号表!$C:$C,0))</f>
        <v>绿色</v>
      </c>
      <c r="H151" s="8">
        <v>5</v>
      </c>
      <c r="I151" s="8" t="s">
        <v>572</v>
      </c>
      <c r="J151" s="8" t="s">
        <v>572</v>
      </c>
      <c r="K151" s="8" t="s">
        <v>196</v>
      </c>
      <c r="L151" s="8">
        <v>147</v>
      </c>
      <c r="M151" s="8">
        <v>147</v>
      </c>
      <c r="N151" s="8"/>
      <c r="O151" s="8"/>
      <c r="P151" s="8">
        <v>10</v>
      </c>
      <c r="Q151" s="8">
        <v>150000</v>
      </c>
      <c r="R151" s="8"/>
      <c r="S151" s="8"/>
      <c r="T151" s="8">
        <v>1</v>
      </c>
      <c r="U151" s="16">
        <v>40010001</v>
      </c>
      <c r="V151" s="8"/>
      <c r="X151" s="8">
        <v>11000001</v>
      </c>
      <c r="Z151" s="8"/>
      <c r="AA151" s="8" t="s">
        <v>130</v>
      </c>
      <c r="AB151" s="21">
        <v>20125</v>
      </c>
      <c r="AC151" s="8">
        <v>0.71</v>
      </c>
      <c r="AD151" s="8">
        <v>80</v>
      </c>
      <c r="AE151" s="8">
        <v>80</v>
      </c>
      <c r="AF151" s="8">
        <v>40</v>
      </c>
      <c r="AG151" s="8">
        <v>40</v>
      </c>
      <c r="AH151" s="8" t="s">
        <v>131</v>
      </c>
      <c r="AJ151" s="17"/>
      <c r="AL151" s="18">
        <v>255</v>
      </c>
      <c r="AM151" s="8" t="s">
        <v>132</v>
      </c>
      <c r="AN151" s="19">
        <v>1500</v>
      </c>
      <c r="AO151" s="8" t="s">
        <v>133</v>
      </c>
      <c r="AP151" s="8">
        <v>8</v>
      </c>
      <c r="AQ151" s="8" t="s">
        <v>134</v>
      </c>
      <c r="AR151" s="8">
        <v>12</v>
      </c>
      <c r="AS151" s="8" t="s">
        <v>135</v>
      </c>
      <c r="AT151" s="8">
        <v>8</v>
      </c>
      <c r="AU151" s="8" t="s">
        <v>136</v>
      </c>
      <c r="AV151" s="8">
        <v>11</v>
      </c>
      <c r="AW151" s="8" t="s">
        <v>137</v>
      </c>
      <c r="AX151" s="8">
        <v>21</v>
      </c>
      <c r="AY151" s="8" t="s">
        <v>138</v>
      </c>
      <c r="AZ151" s="8">
        <v>29</v>
      </c>
      <c r="BA151" s="8" t="s">
        <v>139</v>
      </c>
      <c r="BB151" s="8">
        <v>21</v>
      </c>
      <c r="BC151" s="8" t="s">
        <v>140</v>
      </c>
      <c r="BD151" s="8">
        <v>29</v>
      </c>
      <c r="BE151" s="8" t="s">
        <v>139</v>
      </c>
      <c r="BF151" s="8">
        <v>0</v>
      </c>
      <c r="BG151" s="8" t="s">
        <v>140</v>
      </c>
      <c r="BH151" s="8">
        <v>0</v>
      </c>
      <c r="BI151" s="8" t="s">
        <v>141</v>
      </c>
      <c r="BJ151" s="8">
        <v>100</v>
      </c>
      <c r="BK151" s="8" t="s">
        <v>142</v>
      </c>
      <c r="BL151" s="8">
        <v>120</v>
      </c>
      <c r="BM151" s="8" t="s">
        <v>143</v>
      </c>
      <c r="BN151" s="8">
        <v>600</v>
      </c>
      <c r="BQ151" s="8">
        <v>1</v>
      </c>
      <c r="BR151" s="8">
        <v>2500</v>
      </c>
      <c r="BS151" s="8">
        <v>2</v>
      </c>
      <c r="BT151" s="8">
        <v>2500</v>
      </c>
      <c r="BU151" s="8" t="s">
        <v>144</v>
      </c>
      <c r="BV151">
        <v>6</v>
      </c>
      <c r="BW151">
        <v>10</v>
      </c>
    </row>
    <row r="152" ht="16.5" customHeight="1" spans="2:75">
      <c r="B152" s="8">
        <f>60000000+INDEX(编号表!$B:$B,MATCH(J152,编号表!$A:$A,0))*10000+INDEX(编号表!$B:$B,MATCH(K152,编号表!$C:$C,0))*1000+L152</f>
        <v>60534148</v>
      </c>
      <c r="C152" s="8" t="s">
        <v>579</v>
      </c>
      <c r="D152" s="5" t="s">
        <v>580</v>
      </c>
      <c r="E152" s="5" t="s">
        <v>581</v>
      </c>
      <c r="F152" s="8">
        <v>60</v>
      </c>
      <c r="G152" s="8" t="str">
        <f>INDEX(编号表!$E:$E,MATCH(K152,编号表!$C:$C,0))</f>
        <v>橙色</v>
      </c>
      <c r="H152" s="8">
        <v>5</v>
      </c>
      <c r="I152" s="8" t="s">
        <v>572</v>
      </c>
      <c r="J152" s="8" t="s">
        <v>572</v>
      </c>
      <c r="K152" s="8" t="s">
        <v>246</v>
      </c>
      <c r="L152" s="8">
        <v>148</v>
      </c>
      <c r="M152" s="8">
        <v>148</v>
      </c>
      <c r="N152" s="8"/>
      <c r="O152" s="8"/>
      <c r="P152" s="8">
        <v>10</v>
      </c>
      <c r="Q152" s="8">
        <v>150000</v>
      </c>
      <c r="R152" s="8"/>
      <c r="S152" s="8"/>
      <c r="T152" s="8">
        <v>1</v>
      </c>
      <c r="U152" s="16">
        <v>40010001</v>
      </c>
      <c r="V152" s="8"/>
      <c r="X152" s="8">
        <v>11000001</v>
      </c>
      <c r="Z152" s="8"/>
      <c r="AA152" s="8" t="s">
        <v>130</v>
      </c>
      <c r="AB152" s="21">
        <v>20126</v>
      </c>
      <c r="AC152" s="8">
        <v>2</v>
      </c>
      <c r="AD152" s="8">
        <v>80</v>
      </c>
      <c r="AE152" s="8">
        <v>80</v>
      </c>
      <c r="AF152" s="8">
        <v>40</v>
      </c>
      <c r="AG152" s="8">
        <v>40</v>
      </c>
      <c r="AH152" s="8" t="s">
        <v>131</v>
      </c>
      <c r="AJ152" s="17"/>
      <c r="AL152" s="18">
        <v>255</v>
      </c>
      <c r="AM152" s="8" t="s">
        <v>132</v>
      </c>
      <c r="AN152" s="19">
        <v>1500</v>
      </c>
      <c r="AO152" s="8" t="s">
        <v>133</v>
      </c>
      <c r="AP152" s="8">
        <v>8</v>
      </c>
      <c r="AQ152" s="8" t="s">
        <v>134</v>
      </c>
      <c r="AR152" s="8">
        <v>12</v>
      </c>
      <c r="AS152" s="8" t="s">
        <v>135</v>
      </c>
      <c r="AT152" s="8">
        <v>8</v>
      </c>
      <c r="AU152" s="8" t="s">
        <v>136</v>
      </c>
      <c r="AV152" s="8">
        <v>11</v>
      </c>
      <c r="AW152" s="8" t="s">
        <v>137</v>
      </c>
      <c r="AX152" s="8">
        <v>21</v>
      </c>
      <c r="AY152" s="8" t="s">
        <v>138</v>
      </c>
      <c r="AZ152" s="8">
        <v>29</v>
      </c>
      <c r="BA152" s="8" t="s">
        <v>139</v>
      </c>
      <c r="BB152" s="8">
        <v>21</v>
      </c>
      <c r="BC152" s="8" t="s">
        <v>140</v>
      </c>
      <c r="BD152" s="8">
        <v>29</v>
      </c>
      <c r="BE152" s="8" t="s">
        <v>139</v>
      </c>
      <c r="BF152" s="8">
        <v>0</v>
      </c>
      <c r="BG152" s="8" t="s">
        <v>140</v>
      </c>
      <c r="BH152" s="8">
        <v>0</v>
      </c>
      <c r="BI152" s="8" t="s">
        <v>141</v>
      </c>
      <c r="BJ152" s="8">
        <v>100</v>
      </c>
      <c r="BK152" s="8" t="s">
        <v>142</v>
      </c>
      <c r="BL152" s="8">
        <v>120</v>
      </c>
      <c r="BM152" s="8" t="s">
        <v>143</v>
      </c>
      <c r="BN152" s="8">
        <v>600</v>
      </c>
      <c r="BQ152" s="8">
        <v>1</v>
      </c>
      <c r="BR152" s="8">
        <v>2500</v>
      </c>
      <c r="BS152" s="8">
        <v>2</v>
      </c>
      <c r="BT152" s="8">
        <v>2500</v>
      </c>
      <c r="BU152" s="8" t="s">
        <v>144</v>
      </c>
      <c r="BV152">
        <v>6</v>
      </c>
      <c r="BW152">
        <v>10</v>
      </c>
    </row>
    <row r="153" ht="16.5" customHeight="1" spans="2:75">
      <c r="B153" s="8">
        <f>60000000+INDEX(编号表!$B:$B,MATCH(J153,编号表!$A:$A,0))*10000+INDEX(编号表!$B:$B,MATCH(K153,编号表!$C:$C,0))*1000+L153</f>
        <v>60541149</v>
      </c>
      <c r="C153" s="8" t="s">
        <v>582</v>
      </c>
      <c r="D153" s="5" t="s">
        <v>583</v>
      </c>
      <c r="E153" s="5" t="s">
        <v>584</v>
      </c>
      <c r="F153" s="8">
        <v>60</v>
      </c>
      <c r="G153" s="8" t="str">
        <f>INDEX(编号表!$E:$E,MATCH(K153,编号表!$C:$C,0))</f>
        <v>白色</v>
      </c>
      <c r="H153" s="8">
        <v>5</v>
      </c>
      <c r="I153" s="8" t="s">
        <v>585</v>
      </c>
      <c r="J153" s="8" t="s">
        <v>585</v>
      </c>
      <c r="K153" s="8" t="s">
        <v>129</v>
      </c>
      <c r="L153" s="8">
        <v>149</v>
      </c>
      <c r="M153" s="8">
        <v>149</v>
      </c>
      <c r="N153" s="8"/>
      <c r="O153" s="8"/>
      <c r="P153" s="8">
        <v>10</v>
      </c>
      <c r="Q153" s="8">
        <v>150000</v>
      </c>
      <c r="R153" s="8"/>
      <c r="S153" s="8"/>
      <c r="T153" s="8">
        <v>1</v>
      </c>
      <c r="U153" s="16">
        <v>40010001</v>
      </c>
      <c r="V153" s="8"/>
      <c r="X153" s="8">
        <v>11000001</v>
      </c>
      <c r="Z153" s="8"/>
      <c r="AA153" s="8" t="s">
        <v>130</v>
      </c>
      <c r="AB153" s="21">
        <v>20127</v>
      </c>
      <c r="AC153" s="8">
        <v>0.46</v>
      </c>
      <c r="AD153" s="8">
        <v>80</v>
      </c>
      <c r="AE153" s="8">
        <v>80</v>
      </c>
      <c r="AF153" s="8">
        <v>40</v>
      </c>
      <c r="AG153" s="8">
        <v>40</v>
      </c>
      <c r="AH153" s="8" t="s">
        <v>131</v>
      </c>
      <c r="AJ153" s="17"/>
      <c r="AL153" s="18">
        <v>255</v>
      </c>
      <c r="AM153" s="8" t="s">
        <v>132</v>
      </c>
      <c r="AN153" s="19">
        <v>1500</v>
      </c>
      <c r="AO153" s="8" t="s">
        <v>133</v>
      </c>
      <c r="AP153" s="8">
        <v>8</v>
      </c>
      <c r="AQ153" s="8" t="s">
        <v>134</v>
      </c>
      <c r="AR153" s="8">
        <v>12</v>
      </c>
      <c r="AS153" s="8" t="s">
        <v>135</v>
      </c>
      <c r="AT153" s="8">
        <v>8</v>
      </c>
      <c r="AU153" s="8" t="s">
        <v>136</v>
      </c>
      <c r="AV153" s="8">
        <v>11</v>
      </c>
      <c r="AW153" s="8" t="s">
        <v>137</v>
      </c>
      <c r="AX153" s="8">
        <v>21</v>
      </c>
      <c r="AY153" s="8" t="s">
        <v>138</v>
      </c>
      <c r="AZ153" s="8">
        <v>29</v>
      </c>
      <c r="BA153" s="8" t="s">
        <v>139</v>
      </c>
      <c r="BB153" s="8">
        <v>21</v>
      </c>
      <c r="BC153" s="8" t="s">
        <v>140</v>
      </c>
      <c r="BD153" s="8">
        <v>29</v>
      </c>
      <c r="BE153" s="8" t="s">
        <v>139</v>
      </c>
      <c r="BF153" s="8">
        <v>0</v>
      </c>
      <c r="BG153" s="8" t="s">
        <v>140</v>
      </c>
      <c r="BH153" s="8">
        <v>0</v>
      </c>
      <c r="BI153" s="8" t="s">
        <v>141</v>
      </c>
      <c r="BJ153" s="8">
        <v>100</v>
      </c>
      <c r="BK153" s="8" t="s">
        <v>142</v>
      </c>
      <c r="BL153" s="8">
        <v>120</v>
      </c>
      <c r="BM153" s="8" t="s">
        <v>143</v>
      </c>
      <c r="BN153" s="8">
        <v>600</v>
      </c>
      <c r="BQ153" s="8">
        <v>1</v>
      </c>
      <c r="BR153" s="8">
        <v>2500</v>
      </c>
      <c r="BS153" s="8">
        <v>2</v>
      </c>
      <c r="BT153" s="8">
        <v>2500</v>
      </c>
      <c r="BU153" s="8" t="s">
        <v>144</v>
      </c>
      <c r="BV153">
        <v>6</v>
      </c>
      <c r="BW153">
        <v>10</v>
      </c>
    </row>
    <row r="154" ht="16.5" customHeight="1" spans="2:75">
      <c r="B154" s="8">
        <f>60000000+INDEX(编号表!$B:$B,MATCH(J154,编号表!$A:$A,0))*10000+INDEX(编号表!$B:$B,MATCH(K154,编号表!$C:$C,0))*1000+L154</f>
        <v>60551150</v>
      </c>
      <c r="C154" s="8" t="s">
        <v>586</v>
      </c>
      <c r="D154" s="5" t="s">
        <v>587</v>
      </c>
      <c r="E154" s="5" t="s">
        <v>588</v>
      </c>
      <c r="F154" s="8">
        <v>60</v>
      </c>
      <c r="G154" s="8" t="str">
        <f>INDEX(编号表!$E:$E,MATCH(K154,编号表!$C:$C,0))</f>
        <v>白色</v>
      </c>
      <c r="H154" s="8">
        <v>5</v>
      </c>
      <c r="I154" s="8" t="s">
        <v>589</v>
      </c>
      <c r="J154" s="8" t="s">
        <v>589</v>
      </c>
      <c r="K154" s="8" t="s">
        <v>129</v>
      </c>
      <c r="L154" s="8">
        <v>150</v>
      </c>
      <c r="M154" s="8">
        <v>150</v>
      </c>
      <c r="N154" s="8"/>
      <c r="O154" s="8"/>
      <c r="P154" s="8">
        <v>10</v>
      </c>
      <c r="Q154" s="8">
        <v>150000</v>
      </c>
      <c r="R154" s="8"/>
      <c r="S154" s="8"/>
      <c r="T154" s="8">
        <v>1</v>
      </c>
      <c r="U154" s="16">
        <v>40010001</v>
      </c>
      <c r="V154" s="8"/>
      <c r="X154" s="8">
        <v>11000001</v>
      </c>
      <c r="Z154" s="8"/>
      <c r="AA154" s="8" t="s">
        <v>130</v>
      </c>
      <c r="AB154" s="21">
        <v>20128</v>
      </c>
      <c r="AC154" s="8">
        <v>0.4</v>
      </c>
      <c r="AD154" s="8">
        <v>80</v>
      </c>
      <c r="AE154" s="8">
        <v>80</v>
      </c>
      <c r="AF154" s="8">
        <v>40</v>
      </c>
      <c r="AG154" s="8">
        <v>40</v>
      </c>
      <c r="AH154" s="8" t="s">
        <v>131</v>
      </c>
      <c r="AJ154" s="17"/>
      <c r="AL154" s="18">
        <v>255</v>
      </c>
      <c r="AM154" s="8" t="s">
        <v>132</v>
      </c>
      <c r="AN154" s="19">
        <v>1500</v>
      </c>
      <c r="AO154" s="8" t="s">
        <v>133</v>
      </c>
      <c r="AP154" s="8">
        <v>8</v>
      </c>
      <c r="AQ154" s="8" t="s">
        <v>134</v>
      </c>
      <c r="AR154" s="8">
        <v>12</v>
      </c>
      <c r="AS154" s="8" t="s">
        <v>135</v>
      </c>
      <c r="AT154" s="8">
        <v>8</v>
      </c>
      <c r="AU154" s="8" t="s">
        <v>136</v>
      </c>
      <c r="AV154" s="8">
        <v>11</v>
      </c>
      <c r="AW154" s="8" t="s">
        <v>137</v>
      </c>
      <c r="AX154" s="8">
        <v>21</v>
      </c>
      <c r="AY154" s="8" t="s">
        <v>138</v>
      </c>
      <c r="AZ154" s="8">
        <v>29</v>
      </c>
      <c r="BA154" s="8" t="s">
        <v>139</v>
      </c>
      <c r="BB154" s="8">
        <v>21</v>
      </c>
      <c r="BC154" s="8" t="s">
        <v>140</v>
      </c>
      <c r="BD154" s="8">
        <v>29</v>
      </c>
      <c r="BE154" s="8" t="s">
        <v>139</v>
      </c>
      <c r="BF154" s="8">
        <v>0</v>
      </c>
      <c r="BG154" s="8" t="s">
        <v>140</v>
      </c>
      <c r="BH154" s="8">
        <v>0</v>
      </c>
      <c r="BI154" s="8" t="s">
        <v>141</v>
      </c>
      <c r="BJ154" s="8">
        <v>100</v>
      </c>
      <c r="BK154" s="8" t="s">
        <v>142</v>
      </c>
      <c r="BL154" s="8">
        <v>120</v>
      </c>
      <c r="BM154" s="8" t="s">
        <v>143</v>
      </c>
      <c r="BN154" s="8">
        <v>600</v>
      </c>
      <c r="BQ154" s="8">
        <v>1</v>
      </c>
      <c r="BR154" s="8">
        <v>2500</v>
      </c>
      <c r="BS154" s="8">
        <v>2</v>
      </c>
      <c r="BT154" s="8">
        <v>2500</v>
      </c>
      <c r="BU154" s="8" t="s">
        <v>144</v>
      </c>
      <c r="BV154">
        <v>6</v>
      </c>
      <c r="BW154">
        <v>10</v>
      </c>
    </row>
    <row r="155" ht="16.5" customHeight="1" spans="2:75">
      <c r="B155" s="8">
        <f>60000000+INDEX(编号表!$B:$B,MATCH(J155,编号表!$A:$A,0))*10000+INDEX(编号表!$B:$B,MATCH(K155,编号表!$C:$C,0))*1000+L155</f>
        <v>60561151</v>
      </c>
      <c r="C155" s="8" t="s">
        <v>590</v>
      </c>
      <c r="D155" s="5" t="s">
        <v>591</v>
      </c>
      <c r="E155" s="5" t="s">
        <v>592</v>
      </c>
      <c r="F155" s="8">
        <v>60</v>
      </c>
      <c r="G155" s="8" t="str">
        <f>INDEX(编号表!$E:$E,MATCH(K155,编号表!$C:$C,0))</f>
        <v>白色</v>
      </c>
      <c r="H155" s="8">
        <v>5</v>
      </c>
      <c r="I155" s="8" t="s">
        <v>593</v>
      </c>
      <c r="J155" s="8" t="s">
        <v>593</v>
      </c>
      <c r="K155" s="8" t="s">
        <v>129</v>
      </c>
      <c r="L155" s="8">
        <v>151</v>
      </c>
      <c r="M155" s="8">
        <v>151</v>
      </c>
      <c r="N155" s="8"/>
      <c r="O155" s="8"/>
      <c r="P155" s="8">
        <v>10</v>
      </c>
      <c r="Q155" s="8">
        <v>150000</v>
      </c>
      <c r="R155" s="8"/>
      <c r="S155" s="8"/>
      <c r="T155" s="8">
        <v>1</v>
      </c>
      <c r="U155" s="16">
        <v>40010001</v>
      </c>
      <c r="V155" s="8"/>
      <c r="X155" s="8">
        <v>11000252</v>
      </c>
      <c r="Z155" s="8"/>
      <c r="AA155" s="8" t="s">
        <v>130</v>
      </c>
      <c r="AB155" s="21">
        <v>20129</v>
      </c>
      <c r="AC155" s="8">
        <v>0.89</v>
      </c>
      <c r="AD155" s="8">
        <v>80</v>
      </c>
      <c r="AE155" s="8">
        <v>80</v>
      </c>
      <c r="AF155" s="8">
        <v>40</v>
      </c>
      <c r="AG155" s="8">
        <v>40</v>
      </c>
      <c r="AH155" s="8" t="s">
        <v>160</v>
      </c>
      <c r="AI155">
        <v>30072</v>
      </c>
      <c r="AJ155" s="17"/>
      <c r="AL155" s="18">
        <v>255</v>
      </c>
      <c r="AM155" s="8" t="s">
        <v>132</v>
      </c>
      <c r="AN155" s="19">
        <v>1500</v>
      </c>
      <c r="AO155" s="8" t="s">
        <v>133</v>
      </c>
      <c r="AP155" s="8">
        <v>8</v>
      </c>
      <c r="AQ155" s="8" t="s">
        <v>134</v>
      </c>
      <c r="AR155" s="8">
        <v>12</v>
      </c>
      <c r="AS155" s="8" t="s">
        <v>135</v>
      </c>
      <c r="AT155" s="8">
        <v>8</v>
      </c>
      <c r="AU155" s="8" t="s">
        <v>136</v>
      </c>
      <c r="AV155" s="8">
        <v>11</v>
      </c>
      <c r="AW155" s="8" t="s">
        <v>137</v>
      </c>
      <c r="AX155" s="8">
        <v>21</v>
      </c>
      <c r="AY155" s="8" t="s">
        <v>138</v>
      </c>
      <c r="AZ155" s="8">
        <v>29</v>
      </c>
      <c r="BA155" s="8" t="s">
        <v>139</v>
      </c>
      <c r="BB155" s="8">
        <v>21</v>
      </c>
      <c r="BC155" s="8" t="s">
        <v>140</v>
      </c>
      <c r="BD155" s="8">
        <v>29</v>
      </c>
      <c r="BE155" s="8" t="s">
        <v>139</v>
      </c>
      <c r="BF155" s="8">
        <v>0</v>
      </c>
      <c r="BG155" s="8" t="s">
        <v>140</v>
      </c>
      <c r="BH155" s="8">
        <v>0</v>
      </c>
      <c r="BI155" s="8" t="s">
        <v>141</v>
      </c>
      <c r="BJ155" s="8">
        <v>100</v>
      </c>
      <c r="BK155" s="8" t="s">
        <v>142</v>
      </c>
      <c r="BL155" s="8">
        <v>600</v>
      </c>
      <c r="BM155" s="8" t="s">
        <v>143</v>
      </c>
      <c r="BN155" s="8">
        <v>800</v>
      </c>
      <c r="BQ155" s="8">
        <v>1</v>
      </c>
      <c r="BR155" s="8">
        <v>2500</v>
      </c>
      <c r="BS155" s="8">
        <v>2</v>
      </c>
      <c r="BT155" s="8">
        <v>2500</v>
      </c>
      <c r="BU155" s="8" t="s">
        <v>144</v>
      </c>
      <c r="BV155">
        <v>6</v>
      </c>
      <c r="BW155">
        <v>10</v>
      </c>
    </row>
    <row r="156" ht="16.5" customHeight="1" spans="2:75">
      <c r="B156" s="8">
        <f>60000000+INDEX(编号表!$B:$B,MATCH(J156,编号表!$A:$A,0))*10000+INDEX(编号表!$B:$B,MATCH(K156,编号表!$C:$C,0))*1000+L156</f>
        <v>60561152</v>
      </c>
      <c r="C156" s="8" t="s">
        <v>594</v>
      </c>
      <c r="D156" s="5" t="s">
        <v>595</v>
      </c>
      <c r="E156" s="5" t="s">
        <v>596</v>
      </c>
      <c r="F156" s="8">
        <v>60</v>
      </c>
      <c r="G156" s="8" t="str">
        <f>INDEX(编号表!$E:$E,MATCH(K156,编号表!$C:$C,0))</f>
        <v>白色</v>
      </c>
      <c r="H156" s="8">
        <v>5</v>
      </c>
      <c r="I156" s="8" t="s">
        <v>593</v>
      </c>
      <c r="J156" s="8" t="s">
        <v>593</v>
      </c>
      <c r="K156" s="8" t="s">
        <v>129</v>
      </c>
      <c r="L156" s="8">
        <v>152</v>
      </c>
      <c r="M156" s="8">
        <v>152</v>
      </c>
      <c r="N156" s="8"/>
      <c r="O156" s="8"/>
      <c r="P156" s="8">
        <v>10</v>
      </c>
      <c r="Q156" s="8">
        <v>150000</v>
      </c>
      <c r="R156" s="8"/>
      <c r="S156" s="8"/>
      <c r="T156" s="8">
        <v>1</v>
      </c>
      <c r="U156" s="16">
        <v>40010001</v>
      </c>
      <c r="V156" s="8"/>
      <c r="X156" s="8">
        <v>11000001</v>
      </c>
      <c r="Z156" s="8"/>
      <c r="AA156" s="8" t="s">
        <v>130</v>
      </c>
      <c r="AB156" s="21">
        <v>20130</v>
      </c>
      <c r="AC156" s="8">
        <v>0.69</v>
      </c>
      <c r="AD156" s="8">
        <v>80</v>
      </c>
      <c r="AE156" s="8">
        <v>80</v>
      </c>
      <c r="AF156" s="8">
        <v>40</v>
      </c>
      <c r="AG156" s="8">
        <v>40</v>
      </c>
      <c r="AH156" s="8" t="s">
        <v>131</v>
      </c>
      <c r="AJ156" s="17"/>
      <c r="AL156" s="18">
        <v>255</v>
      </c>
      <c r="AM156" s="8" t="s">
        <v>132</v>
      </c>
      <c r="AN156" s="19">
        <v>1500</v>
      </c>
      <c r="AO156" s="8" t="s">
        <v>133</v>
      </c>
      <c r="AP156" s="8">
        <v>8</v>
      </c>
      <c r="AQ156" s="8" t="s">
        <v>134</v>
      </c>
      <c r="AR156" s="8">
        <v>12</v>
      </c>
      <c r="AS156" s="8" t="s">
        <v>135</v>
      </c>
      <c r="AT156" s="8">
        <v>8</v>
      </c>
      <c r="AU156" s="8" t="s">
        <v>136</v>
      </c>
      <c r="AV156" s="8">
        <v>11</v>
      </c>
      <c r="AW156" s="8" t="s">
        <v>137</v>
      </c>
      <c r="AX156" s="8">
        <v>21</v>
      </c>
      <c r="AY156" s="8" t="s">
        <v>138</v>
      </c>
      <c r="AZ156" s="8">
        <v>29</v>
      </c>
      <c r="BA156" s="8" t="s">
        <v>139</v>
      </c>
      <c r="BB156" s="8">
        <v>21</v>
      </c>
      <c r="BC156" s="8" t="s">
        <v>140</v>
      </c>
      <c r="BD156" s="8">
        <v>29</v>
      </c>
      <c r="BE156" s="8" t="s">
        <v>139</v>
      </c>
      <c r="BF156" s="8">
        <v>0</v>
      </c>
      <c r="BG156" s="8" t="s">
        <v>140</v>
      </c>
      <c r="BH156" s="8">
        <v>0</v>
      </c>
      <c r="BI156" s="8" t="s">
        <v>141</v>
      </c>
      <c r="BJ156" s="8">
        <v>100</v>
      </c>
      <c r="BK156" s="8" t="s">
        <v>142</v>
      </c>
      <c r="BL156" s="8">
        <v>120</v>
      </c>
      <c r="BM156" s="8" t="s">
        <v>143</v>
      </c>
      <c r="BN156" s="8">
        <v>600</v>
      </c>
      <c r="BQ156" s="8">
        <v>1</v>
      </c>
      <c r="BR156" s="8">
        <v>2500</v>
      </c>
      <c r="BS156" s="8">
        <v>2</v>
      </c>
      <c r="BT156" s="8">
        <v>2500</v>
      </c>
      <c r="BU156" s="8" t="s">
        <v>144</v>
      </c>
      <c r="BV156">
        <v>6</v>
      </c>
      <c r="BW156">
        <v>10</v>
      </c>
    </row>
    <row r="157" ht="16.5" customHeight="1" spans="2:75">
      <c r="B157" s="8">
        <f>60000000+INDEX(编号表!$B:$B,MATCH(J157,编号表!$A:$A,0))*10000+INDEX(编号表!$B:$B,MATCH(K157,编号表!$C:$C,0))*1000+L157</f>
        <v>60562153</v>
      </c>
      <c r="C157" s="8" t="s">
        <v>597</v>
      </c>
      <c r="D157" s="5" t="s">
        <v>598</v>
      </c>
      <c r="E157" s="5" t="s">
        <v>599</v>
      </c>
      <c r="F157" s="8">
        <v>60</v>
      </c>
      <c r="G157" s="8" t="str">
        <f>INDEX(编号表!$E:$E,MATCH(K157,编号表!$C:$C,0))</f>
        <v>绿色</v>
      </c>
      <c r="H157" s="8">
        <v>5</v>
      </c>
      <c r="I157" s="8" t="s">
        <v>593</v>
      </c>
      <c r="J157" s="8" t="s">
        <v>593</v>
      </c>
      <c r="K157" s="8" t="s">
        <v>196</v>
      </c>
      <c r="L157" s="8">
        <v>153</v>
      </c>
      <c r="M157" s="8">
        <v>153</v>
      </c>
      <c r="N157" s="8"/>
      <c r="O157" s="8"/>
      <c r="P157" s="8">
        <v>10</v>
      </c>
      <c r="Q157" s="8">
        <v>150000</v>
      </c>
      <c r="R157" s="8"/>
      <c r="S157" s="8"/>
      <c r="T157" s="8">
        <v>1</v>
      </c>
      <c r="U157" s="16">
        <v>40010001</v>
      </c>
      <c r="V157" s="8"/>
      <c r="X157" s="8">
        <v>11000255</v>
      </c>
      <c r="Z157" s="8"/>
      <c r="AA157" s="8" t="s">
        <v>130</v>
      </c>
      <c r="AB157" s="21">
        <v>20131</v>
      </c>
      <c r="AC157" s="8">
        <v>0.93</v>
      </c>
      <c r="AD157" s="8">
        <v>80</v>
      </c>
      <c r="AE157" s="8">
        <v>80</v>
      </c>
      <c r="AF157" s="8">
        <v>40</v>
      </c>
      <c r="AG157" s="8">
        <v>40</v>
      </c>
      <c r="AH157" s="8" t="s">
        <v>160</v>
      </c>
      <c r="AI157">
        <v>30075</v>
      </c>
      <c r="AJ157" s="17"/>
      <c r="AL157" s="18">
        <v>255</v>
      </c>
      <c r="AM157" s="8" t="s">
        <v>132</v>
      </c>
      <c r="AN157" s="19">
        <v>1500</v>
      </c>
      <c r="AO157" s="8" t="s">
        <v>133</v>
      </c>
      <c r="AP157" s="8">
        <v>8</v>
      </c>
      <c r="AQ157" s="8" t="s">
        <v>134</v>
      </c>
      <c r="AR157" s="8">
        <v>12</v>
      </c>
      <c r="AS157" s="8" t="s">
        <v>135</v>
      </c>
      <c r="AT157" s="8">
        <v>8</v>
      </c>
      <c r="AU157" s="8" t="s">
        <v>136</v>
      </c>
      <c r="AV157" s="8">
        <v>11</v>
      </c>
      <c r="AW157" s="8" t="s">
        <v>137</v>
      </c>
      <c r="AX157" s="8">
        <v>21</v>
      </c>
      <c r="AY157" s="8" t="s">
        <v>138</v>
      </c>
      <c r="AZ157" s="8">
        <v>29</v>
      </c>
      <c r="BA157" s="8" t="s">
        <v>139</v>
      </c>
      <c r="BB157" s="8">
        <v>21</v>
      </c>
      <c r="BC157" s="8" t="s">
        <v>140</v>
      </c>
      <c r="BD157" s="8">
        <v>29</v>
      </c>
      <c r="BE157" s="8" t="s">
        <v>139</v>
      </c>
      <c r="BF157" s="8">
        <v>0</v>
      </c>
      <c r="BG157" s="8" t="s">
        <v>140</v>
      </c>
      <c r="BH157" s="8">
        <v>0</v>
      </c>
      <c r="BI157" s="8" t="s">
        <v>141</v>
      </c>
      <c r="BJ157" s="8">
        <v>100</v>
      </c>
      <c r="BK157" s="8" t="s">
        <v>142</v>
      </c>
      <c r="BL157" s="8">
        <v>600</v>
      </c>
      <c r="BM157" s="8" t="s">
        <v>143</v>
      </c>
      <c r="BN157" s="8">
        <v>800</v>
      </c>
      <c r="BQ157" s="8">
        <v>1</v>
      </c>
      <c r="BR157" s="8">
        <v>2500</v>
      </c>
      <c r="BS157" s="8">
        <v>2</v>
      </c>
      <c r="BT157" s="8">
        <v>2500</v>
      </c>
      <c r="BU157" s="8" t="s">
        <v>144</v>
      </c>
      <c r="BV157">
        <v>6</v>
      </c>
      <c r="BW157">
        <v>10</v>
      </c>
    </row>
    <row r="158" ht="16.5" customHeight="1" spans="2:75">
      <c r="B158" s="8">
        <f>60000000+INDEX(编号表!$B:$B,MATCH(J158,编号表!$A:$A,0))*10000+INDEX(编号表!$B:$B,MATCH(K158,编号表!$C:$C,0))*1000+L158</f>
        <v>60564154</v>
      </c>
      <c r="C158" s="8" t="s">
        <v>600</v>
      </c>
      <c r="D158" s="5" t="s">
        <v>601</v>
      </c>
      <c r="E158" s="5" t="s">
        <v>602</v>
      </c>
      <c r="F158" s="8">
        <v>60</v>
      </c>
      <c r="G158" s="8" t="str">
        <f>INDEX(编号表!$E:$E,MATCH(K158,编号表!$C:$C,0))</f>
        <v>橙色</v>
      </c>
      <c r="H158" s="8">
        <v>5</v>
      </c>
      <c r="I158" s="8" t="s">
        <v>593</v>
      </c>
      <c r="J158" s="8" t="s">
        <v>593</v>
      </c>
      <c r="K158" s="8" t="s">
        <v>246</v>
      </c>
      <c r="L158" s="8">
        <v>154</v>
      </c>
      <c r="M158" s="8">
        <v>154</v>
      </c>
      <c r="N158" s="8"/>
      <c r="O158" s="8"/>
      <c r="P158" s="8">
        <v>10</v>
      </c>
      <c r="Q158" s="8">
        <v>150000</v>
      </c>
      <c r="R158" s="8"/>
      <c r="S158" s="8"/>
      <c r="T158" s="8">
        <v>1</v>
      </c>
      <c r="U158" s="16">
        <v>40010001</v>
      </c>
      <c r="V158" s="8"/>
      <c r="X158" s="8">
        <v>11000001</v>
      </c>
      <c r="Z158" s="8"/>
      <c r="AA158" s="8" t="s">
        <v>130</v>
      </c>
      <c r="AB158" s="21">
        <v>20132</v>
      </c>
      <c r="AC158" s="8">
        <v>0.26</v>
      </c>
      <c r="AD158" s="8">
        <v>80</v>
      </c>
      <c r="AE158" s="8">
        <v>80</v>
      </c>
      <c r="AF158" s="8">
        <v>40</v>
      </c>
      <c r="AG158" s="8">
        <v>40</v>
      </c>
      <c r="AH158" s="8" t="s">
        <v>131</v>
      </c>
      <c r="AJ158" s="17"/>
      <c r="AL158" s="18">
        <v>255</v>
      </c>
      <c r="AM158" s="8" t="s">
        <v>132</v>
      </c>
      <c r="AN158" s="19">
        <v>1500</v>
      </c>
      <c r="AO158" s="8" t="s">
        <v>133</v>
      </c>
      <c r="AP158" s="8">
        <v>8</v>
      </c>
      <c r="AQ158" s="8" t="s">
        <v>134</v>
      </c>
      <c r="AR158" s="8">
        <v>12</v>
      </c>
      <c r="AS158" s="8" t="s">
        <v>135</v>
      </c>
      <c r="AT158" s="8">
        <v>8</v>
      </c>
      <c r="AU158" s="8" t="s">
        <v>136</v>
      </c>
      <c r="AV158" s="8">
        <v>11</v>
      </c>
      <c r="AW158" s="8" t="s">
        <v>137</v>
      </c>
      <c r="AX158" s="8">
        <v>21</v>
      </c>
      <c r="AY158" s="8" t="s">
        <v>138</v>
      </c>
      <c r="AZ158" s="8">
        <v>29</v>
      </c>
      <c r="BA158" s="8" t="s">
        <v>139</v>
      </c>
      <c r="BB158" s="8">
        <v>21</v>
      </c>
      <c r="BC158" s="8" t="s">
        <v>140</v>
      </c>
      <c r="BD158" s="8">
        <v>29</v>
      </c>
      <c r="BE158" s="8" t="s">
        <v>139</v>
      </c>
      <c r="BF158" s="8">
        <v>0</v>
      </c>
      <c r="BG158" s="8" t="s">
        <v>140</v>
      </c>
      <c r="BH158" s="8">
        <v>0</v>
      </c>
      <c r="BI158" s="8" t="s">
        <v>141</v>
      </c>
      <c r="BJ158" s="8">
        <v>100</v>
      </c>
      <c r="BK158" s="8" t="s">
        <v>142</v>
      </c>
      <c r="BL158" s="8">
        <v>120</v>
      </c>
      <c r="BM158" s="8" t="s">
        <v>143</v>
      </c>
      <c r="BN158" s="8">
        <v>600</v>
      </c>
      <c r="BQ158" s="8">
        <v>1</v>
      </c>
      <c r="BR158" s="8">
        <v>2500</v>
      </c>
      <c r="BS158" s="8">
        <v>2</v>
      </c>
      <c r="BT158" s="8">
        <v>2500</v>
      </c>
      <c r="BU158" s="8" t="s">
        <v>144</v>
      </c>
      <c r="BV158">
        <v>6</v>
      </c>
      <c r="BW158">
        <v>10</v>
      </c>
    </row>
    <row r="159" ht="16.5" customHeight="1" spans="2:75">
      <c r="B159" s="8">
        <f>60000000+INDEX(编号表!$B:$B,MATCH(J159,编号表!$A:$A,0))*10000+INDEX(编号表!$B:$B,MATCH(K159,编号表!$C:$C,0))*1000+L159</f>
        <v>60571155</v>
      </c>
      <c r="C159" s="8" t="s">
        <v>603</v>
      </c>
      <c r="D159" s="5" t="s">
        <v>604</v>
      </c>
      <c r="E159" s="5" t="s">
        <v>605</v>
      </c>
      <c r="F159" s="8">
        <v>60</v>
      </c>
      <c r="G159" s="8" t="str">
        <f>INDEX(编号表!$E:$E,MATCH(K159,编号表!$C:$C,0))</f>
        <v>白色</v>
      </c>
      <c r="H159" s="8">
        <v>5</v>
      </c>
      <c r="I159" s="8" t="s">
        <v>606</v>
      </c>
      <c r="J159" s="8" t="s">
        <v>606</v>
      </c>
      <c r="K159" s="8" t="s">
        <v>129</v>
      </c>
      <c r="L159" s="8">
        <v>155</v>
      </c>
      <c r="M159" s="8">
        <v>155</v>
      </c>
      <c r="N159" s="8"/>
      <c r="O159" s="8"/>
      <c r="P159" s="8">
        <v>10</v>
      </c>
      <c r="Q159" s="8">
        <v>150000</v>
      </c>
      <c r="R159" s="8"/>
      <c r="S159" s="8"/>
      <c r="T159" s="8">
        <v>1</v>
      </c>
      <c r="U159" s="16">
        <v>40010001</v>
      </c>
      <c r="V159" s="8"/>
      <c r="X159" s="8">
        <v>11000245</v>
      </c>
      <c r="Z159" s="8"/>
      <c r="AA159" s="8" t="s">
        <v>130</v>
      </c>
      <c r="AB159" s="21">
        <v>20133</v>
      </c>
      <c r="AC159" s="8">
        <v>0.45</v>
      </c>
      <c r="AD159" s="8">
        <v>80</v>
      </c>
      <c r="AE159" s="8">
        <v>80</v>
      </c>
      <c r="AF159" s="8">
        <v>40</v>
      </c>
      <c r="AG159" s="8">
        <v>40</v>
      </c>
      <c r="AH159" s="8" t="s">
        <v>160</v>
      </c>
      <c r="AI159">
        <v>30065</v>
      </c>
      <c r="AJ159" s="17"/>
      <c r="AL159" s="18">
        <v>255</v>
      </c>
      <c r="AM159" s="8" t="s">
        <v>132</v>
      </c>
      <c r="AN159" s="19">
        <v>1500</v>
      </c>
      <c r="AO159" s="8" t="s">
        <v>133</v>
      </c>
      <c r="AP159" s="8">
        <v>8</v>
      </c>
      <c r="AQ159" s="8" t="s">
        <v>134</v>
      </c>
      <c r="AR159" s="8">
        <v>12</v>
      </c>
      <c r="AS159" s="8" t="s">
        <v>135</v>
      </c>
      <c r="AT159" s="8">
        <v>8</v>
      </c>
      <c r="AU159" s="8" t="s">
        <v>136</v>
      </c>
      <c r="AV159" s="8">
        <v>11</v>
      </c>
      <c r="AW159" s="8" t="s">
        <v>137</v>
      </c>
      <c r="AX159" s="8">
        <v>21</v>
      </c>
      <c r="AY159" s="8" t="s">
        <v>138</v>
      </c>
      <c r="AZ159" s="8">
        <v>29</v>
      </c>
      <c r="BA159" s="8" t="s">
        <v>139</v>
      </c>
      <c r="BB159" s="8">
        <v>21</v>
      </c>
      <c r="BC159" s="8" t="s">
        <v>140</v>
      </c>
      <c r="BD159" s="8">
        <v>29</v>
      </c>
      <c r="BE159" s="8" t="s">
        <v>139</v>
      </c>
      <c r="BF159" s="8">
        <v>0</v>
      </c>
      <c r="BG159" s="8" t="s">
        <v>140</v>
      </c>
      <c r="BH159" s="8">
        <v>0</v>
      </c>
      <c r="BI159" s="8" t="s">
        <v>141</v>
      </c>
      <c r="BJ159" s="8">
        <v>100</v>
      </c>
      <c r="BK159" s="8" t="s">
        <v>142</v>
      </c>
      <c r="BL159" s="8">
        <v>600</v>
      </c>
      <c r="BM159" s="8" t="s">
        <v>143</v>
      </c>
      <c r="BN159" s="8">
        <v>800</v>
      </c>
      <c r="BQ159" s="8">
        <v>1</v>
      </c>
      <c r="BR159" s="8">
        <v>2500</v>
      </c>
      <c r="BS159" s="8">
        <v>2</v>
      </c>
      <c r="BT159" s="8">
        <v>2500</v>
      </c>
      <c r="BU159" s="8" t="s">
        <v>144</v>
      </c>
      <c r="BV159">
        <v>6</v>
      </c>
      <c r="BW159">
        <v>10</v>
      </c>
    </row>
    <row r="160" ht="16.5" customHeight="1" spans="2:75">
      <c r="B160" s="8">
        <f>60000000+INDEX(编号表!$B:$B,MATCH(J160,编号表!$A:$A,0))*10000+INDEX(编号表!$B:$B,MATCH(K160,编号表!$C:$C,0))*1000+L160</f>
        <v>60571156</v>
      </c>
      <c r="C160" s="8" t="s">
        <v>607</v>
      </c>
      <c r="D160" s="5" t="s">
        <v>608</v>
      </c>
      <c r="E160" s="5" t="s">
        <v>609</v>
      </c>
      <c r="F160" s="8">
        <v>60</v>
      </c>
      <c r="G160" s="8" t="str">
        <f>INDEX(编号表!$E:$E,MATCH(K160,编号表!$C:$C,0))</f>
        <v>白色</v>
      </c>
      <c r="H160" s="8">
        <v>5</v>
      </c>
      <c r="I160" s="8" t="s">
        <v>606</v>
      </c>
      <c r="J160" s="8" t="s">
        <v>606</v>
      </c>
      <c r="K160" s="8" t="s">
        <v>129</v>
      </c>
      <c r="L160" s="8">
        <v>156</v>
      </c>
      <c r="M160" s="8">
        <v>156</v>
      </c>
      <c r="N160" s="8"/>
      <c r="O160" s="8"/>
      <c r="P160" s="8">
        <v>10</v>
      </c>
      <c r="Q160" s="8">
        <v>150000</v>
      </c>
      <c r="R160" s="8"/>
      <c r="S160" s="8"/>
      <c r="T160" s="8">
        <v>1</v>
      </c>
      <c r="U160" s="16">
        <v>40010001</v>
      </c>
      <c r="V160" s="8"/>
      <c r="X160" s="8">
        <v>11000001</v>
      </c>
      <c r="Z160" s="8"/>
      <c r="AA160" s="8" t="s">
        <v>130</v>
      </c>
      <c r="AB160" s="21">
        <v>20134</v>
      </c>
      <c r="AC160" s="8">
        <v>0.59</v>
      </c>
      <c r="AD160" s="8">
        <v>80</v>
      </c>
      <c r="AE160" s="8">
        <v>80</v>
      </c>
      <c r="AF160" s="8">
        <v>40</v>
      </c>
      <c r="AG160" s="8">
        <v>40</v>
      </c>
      <c r="AH160" s="8" t="s">
        <v>131</v>
      </c>
      <c r="AJ160" s="17"/>
      <c r="AL160" s="18">
        <v>255</v>
      </c>
      <c r="AM160" s="8" t="s">
        <v>132</v>
      </c>
      <c r="AN160" s="19">
        <v>1500</v>
      </c>
      <c r="AO160" s="8" t="s">
        <v>133</v>
      </c>
      <c r="AP160" s="8">
        <v>8</v>
      </c>
      <c r="AQ160" s="8" t="s">
        <v>134</v>
      </c>
      <c r="AR160" s="8">
        <v>12</v>
      </c>
      <c r="AS160" s="8" t="s">
        <v>135</v>
      </c>
      <c r="AT160" s="8">
        <v>8</v>
      </c>
      <c r="AU160" s="8" t="s">
        <v>136</v>
      </c>
      <c r="AV160" s="8">
        <v>11</v>
      </c>
      <c r="AW160" s="8" t="s">
        <v>137</v>
      </c>
      <c r="AX160" s="8">
        <v>21</v>
      </c>
      <c r="AY160" s="8" t="s">
        <v>138</v>
      </c>
      <c r="AZ160" s="8">
        <v>29</v>
      </c>
      <c r="BA160" s="8" t="s">
        <v>139</v>
      </c>
      <c r="BB160" s="8">
        <v>21</v>
      </c>
      <c r="BC160" s="8" t="s">
        <v>140</v>
      </c>
      <c r="BD160" s="8">
        <v>29</v>
      </c>
      <c r="BE160" s="8" t="s">
        <v>139</v>
      </c>
      <c r="BF160" s="8">
        <v>0</v>
      </c>
      <c r="BG160" s="8" t="s">
        <v>140</v>
      </c>
      <c r="BH160" s="8">
        <v>0</v>
      </c>
      <c r="BI160" s="8" t="s">
        <v>141</v>
      </c>
      <c r="BJ160" s="8">
        <v>100</v>
      </c>
      <c r="BK160" s="8" t="s">
        <v>142</v>
      </c>
      <c r="BL160" s="8">
        <v>120</v>
      </c>
      <c r="BM160" s="8" t="s">
        <v>143</v>
      </c>
      <c r="BN160" s="8">
        <v>600</v>
      </c>
      <c r="BQ160" s="8">
        <v>1</v>
      </c>
      <c r="BR160" s="8">
        <v>2500</v>
      </c>
      <c r="BS160" s="8">
        <v>2</v>
      </c>
      <c r="BT160" s="8">
        <v>2500</v>
      </c>
      <c r="BU160" s="8" t="s">
        <v>144</v>
      </c>
      <c r="BV160">
        <v>6</v>
      </c>
      <c r="BW160">
        <v>10</v>
      </c>
    </row>
    <row r="161" ht="16.5" customHeight="1" spans="2:75">
      <c r="B161" s="8">
        <f>60000000+INDEX(编号表!$B:$B,MATCH(J161,编号表!$A:$A,0))*10000+INDEX(编号表!$B:$B,MATCH(K161,编号表!$C:$C,0))*1000+L161</f>
        <v>60572157</v>
      </c>
      <c r="C161" s="8" t="s">
        <v>610</v>
      </c>
      <c r="D161" s="5" t="s">
        <v>611</v>
      </c>
      <c r="E161" s="5" t="s">
        <v>612</v>
      </c>
      <c r="F161" s="8">
        <v>60</v>
      </c>
      <c r="G161" s="8" t="str">
        <f>INDEX(编号表!$E:$E,MATCH(K161,编号表!$C:$C,0))</f>
        <v>绿色</v>
      </c>
      <c r="H161" s="8">
        <v>5</v>
      </c>
      <c r="I161" s="8" t="s">
        <v>606</v>
      </c>
      <c r="J161" s="8" t="s">
        <v>606</v>
      </c>
      <c r="K161" s="8" t="s">
        <v>196</v>
      </c>
      <c r="L161" s="8">
        <v>157</v>
      </c>
      <c r="M161" s="8">
        <v>157</v>
      </c>
      <c r="N161" s="8"/>
      <c r="O161" s="8"/>
      <c r="P161" s="8">
        <v>10</v>
      </c>
      <c r="Q161" s="8">
        <v>150000</v>
      </c>
      <c r="R161" s="8"/>
      <c r="S161" s="8"/>
      <c r="T161" s="8">
        <v>1</v>
      </c>
      <c r="U161" s="16">
        <v>40010001</v>
      </c>
      <c r="V161" s="8"/>
      <c r="X161" s="8">
        <v>11000001</v>
      </c>
      <c r="Z161" s="8"/>
      <c r="AA161" s="8" t="s">
        <v>130</v>
      </c>
      <c r="AB161" s="21">
        <v>20135</v>
      </c>
      <c r="AC161" s="8">
        <v>1.25</v>
      </c>
      <c r="AD161" s="8">
        <v>80</v>
      </c>
      <c r="AE161" s="8">
        <v>80</v>
      </c>
      <c r="AF161" s="8">
        <v>40</v>
      </c>
      <c r="AG161" s="8">
        <v>40</v>
      </c>
      <c r="AH161" s="8" t="s">
        <v>131</v>
      </c>
      <c r="AJ161" s="17"/>
      <c r="AL161" s="18">
        <v>255</v>
      </c>
      <c r="AM161" s="8" t="s">
        <v>132</v>
      </c>
      <c r="AN161" s="19">
        <v>1500</v>
      </c>
      <c r="AO161" s="8" t="s">
        <v>133</v>
      </c>
      <c r="AP161" s="8">
        <v>8</v>
      </c>
      <c r="AQ161" s="8" t="s">
        <v>134</v>
      </c>
      <c r="AR161" s="8">
        <v>12</v>
      </c>
      <c r="AS161" s="8" t="s">
        <v>135</v>
      </c>
      <c r="AT161" s="8">
        <v>8</v>
      </c>
      <c r="AU161" s="8" t="s">
        <v>136</v>
      </c>
      <c r="AV161" s="8">
        <v>11</v>
      </c>
      <c r="AW161" s="8" t="s">
        <v>137</v>
      </c>
      <c r="AX161" s="8">
        <v>21</v>
      </c>
      <c r="AY161" s="8" t="s">
        <v>138</v>
      </c>
      <c r="AZ161" s="8">
        <v>29</v>
      </c>
      <c r="BA161" s="8" t="s">
        <v>139</v>
      </c>
      <c r="BB161" s="8">
        <v>21</v>
      </c>
      <c r="BC161" s="8" t="s">
        <v>140</v>
      </c>
      <c r="BD161" s="8">
        <v>29</v>
      </c>
      <c r="BE161" s="8" t="s">
        <v>139</v>
      </c>
      <c r="BF161" s="8">
        <v>0</v>
      </c>
      <c r="BG161" s="8" t="s">
        <v>140</v>
      </c>
      <c r="BH161" s="8">
        <v>0</v>
      </c>
      <c r="BI161" s="8" t="s">
        <v>141</v>
      </c>
      <c r="BJ161" s="8">
        <v>100</v>
      </c>
      <c r="BK161" s="8" t="s">
        <v>142</v>
      </c>
      <c r="BL161" s="8">
        <v>120</v>
      </c>
      <c r="BM161" s="8" t="s">
        <v>143</v>
      </c>
      <c r="BN161" s="8">
        <v>600</v>
      </c>
      <c r="BQ161" s="8">
        <v>1</v>
      </c>
      <c r="BR161" s="8">
        <v>2500</v>
      </c>
      <c r="BS161" s="8">
        <v>2</v>
      </c>
      <c r="BT161" s="8">
        <v>2500</v>
      </c>
      <c r="BU161" s="8" t="s">
        <v>144</v>
      </c>
      <c r="BV161">
        <v>6</v>
      </c>
      <c r="BW161">
        <v>10</v>
      </c>
    </row>
    <row r="162" ht="16.5" customHeight="1" spans="2:75">
      <c r="B162" s="8">
        <f>60000000+INDEX(编号表!$B:$B,MATCH(J162,编号表!$A:$A,0))*10000+INDEX(编号表!$B:$B,MATCH(K162,编号表!$C:$C,0))*1000+L162</f>
        <v>60574158</v>
      </c>
      <c r="C162" s="8" t="s">
        <v>613</v>
      </c>
      <c r="D162" s="5" t="s">
        <v>614</v>
      </c>
      <c r="E162" s="5" t="s">
        <v>615</v>
      </c>
      <c r="F162" s="8">
        <v>60</v>
      </c>
      <c r="G162" s="8" t="str">
        <f>INDEX(编号表!$E:$E,MATCH(K162,编号表!$C:$C,0))</f>
        <v>橙色</v>
      </c>
      <c r="H162" s="8">
        <v>5</v>
      </c>
      <c r="I162" s="8" t="s">
        <v>606</v>
      </c>
      <c r="J162" s="8" t="s">
        <v>606</v>
      </c>
      <c r="K162" s="8" t="s">
        <v>246</v>
      </c>
      <c r="L162" s="8">
        <v>158</v>
      </c>
      <c r="M162" s="8">
        <v>158</v>
      </c>
      <c r="N162" s="8"/>
      <c r="O162" s="8"/>
      <c r="P162" s="8">
        <v>10</v>
      </c>
      <c r="Q162" s="8">
        <v>150000</v>
      </c>
      <c r="R162" s="8"/>
      <c r="S162" s="8"/>
      <c r="T162" s="8">
        <v>1</v>
      </c>
      <c r="U162" s="16">
        <v>40010001</v>
      </c>
      <c r="V162" s="8"/>
      <c r="X162" s="8">
        <v>11000001</v>
      </c>
      <c r="Z162" s="8"/>
      <c r="AA162" s="8" t="s">
        <v>130</v>
      </c>
      <c r="AB162" s="21">
        <v>20136</v>
      </c>
      <c r="AC162" s="8">
        <v>1.65</v>
      </c>
      <c r="AD162" s="8">
        <v>80</v>
      </c>
      <c r="AE162" s="8">
        <v>80</v>
      </c>
      <c r="AF162" s="8">
        <v>40</v>
      </c>
      <c r="AG162" s="8">
        <v>40</v>
      </c>
      <c r="AH162" s="8" t="s">
        <v>131</v>
      </c>
      <c r="AJ162" s="17"/>
      <c r="AL162" s="18">
        <v>255</v>
      </c>
      <c r="AM162" s="8" t="s">
        <v>132</v>
      </c>
      <c r="AN162" s="19">
        <v>1500</v>
      </c>
      <c r="AO162" s="8" t="s">
        <v>133</v>
      </c>
      <c r="AP162" s="8">
        <v>8</v>
      </c>
      <c r="AQ162" s="8" t="s">
        <v>134</v>
      </c>
      <c r="AR162" s="8">
        <v>12</v>
      </c>
      <c r="AS162" s="8" t="s">
        <v>135</v>
      </c>
      <c r="AT162" s="8">
        <v>8</v>
      </c>
      <c r="AU162" s="8" t="s">
        <v>136</v>
      </c>
      <c r="AV162" s="8">
        <v>11</v>
      </c>
      <c r="AW162" s="8" t="s">
        <v>137</v>
      </c>
      <c r="AX162" s="8">
        <v>21</v>
      </c>
      <c r="AY162" s="8" t="s">
        <v>138</v>
      </c>
      <c r="AZ162" s="8">
        <v>29</v>
      </c>
      <c r="BA162" s="8" t="s">
        <v>139</v>
      </c>
      <c r="BB162" s="8">
        <v>21</v>
      </c>
      <c r="BC162" s="8" t="s">
        <v>140</v>
      </c>
      <c r="BD162" s="8">
        <v>29</v>
      </c>
      <c r="BE162" s="8" t="s">
        <v>139</v>
      </c>
      <c r="BF162" s="8">
        <v>0</v>
      </c>
      <c r="BG162" s="8" t="s">
        <v>140</v>
      </c>
      <c r="BH162" s="8">
        <v>0</v>
      </c>
      <c r="BI162" s="8" t="s">
        <v>141</v>
      </c>
      <c r="BJ162" s="8">
        <v>100</v>
      </c>
      <c r="BK162" s="8" t="s">
        <v>142</v>
      </c>
      <c r="BL162" s="8">
        <v>120</v>
      </c>
      <c r="BM162" s="8" t="s">
        <v>143</v>
      </c>
      <c r="BN162" s="8">
        <v>600</v>
      </c>
      <c r="BQ162" s="8">
        <v>1</v>
      </c>
      <c r="BR162" s="8">
        <v>2500</v>
      </c>
      <c r="BS162" s="8">
        <v>2</v>
      </c>
      <c r="BT162" s="8">
        <v>2500</v>
      </c>
      <c r="BU162" s="8" t="s">
        <v>144</v>
      </c>
      <c r="BV162">
        <v>6</v>
      </c>
      <c r="BW162">
        <v>10</v>
      </c>
    </row>
    <row r="163" ht="16.5" customHeight="1" spans="2:75">
      <c r="B163" s="8">
        <f>60000000+INDEX(编号表!$B:$B,MATCH(J163,编号表!$A:$A,0))*10000+INDEX(编号表!$B:$B,MATCH(K163,编号表!$C:$C,0))*1000+L163</f>
        <v>60581159</v>
      </c>
      <c r="C163" s="8" t="s">
        <v>616</v>
      </c>
      <c r="D163" s="5" t="s">
        <v>617</v>
      </c>
      <c r="E163" s="5" t="s">
        <v>618</v>
      </c>
      <c r="F163" s="8">
        <v>60</v>
      </c>
      <c r="G163" s="8" t="str">
        <f>INDEX(编号表!$E:$E,MATCH(K163,编号表!$C:$C,0))</f>
        <v>白色</v>
      </c>
      <c r="H163" s="8">
        <v>5</v>
      </c>
      <c r="I163" s="8" t="s">
        <v>619</v>
      </c>
      <c r="J163" s="8" t="s">
        <v>619</v>
      </c>
      <c r="K163" s="8" t="s">
        <v>129</v>
      </c>
      <c r="L163" s="8">
        <v>159</v>
      </c>
      <c r="M163" s="8">
        <v>159</v>
      </c>
      <c r="N163" s="8"/>
      <c r="O163" s="8"/>
      <c r="P163" s="8">
        <v>10</v>
      </c>
      <c r="Q163" s="8">
        <v>150000</v>
      </c>
      <c r="R163" s="8"/>
      <c r="S163" s="8"/>
      <c r="T163" s="8">
        <v>1</v>
      </c>
      <c r="U163" s="16">
        <v>40010001</v>
      </c>
      <c r="V163" s="8"/>
      <c r="X163" s="8">
        <v>11000001</v>
      </c>
      <c r="Z163" s="8"/>
      <c r="AA163" s="8" t="s">
        <v>130</v>
      </c>
      <c r="AB163" s="21">
        <v>20137</v>
      </c>
      <c r="AC163" s="8">
        <v>0.62</v>
      </c>
      <c r="AD163" s="8">
        <v>80</v>
      </c>
      <c r="AE163" s="8">
        <v>80</v>
      </c>
      <c r="AF163" s="8">
        <v>40</v>
      </c>
      <c r="AG163" s="8">
        <v>40</v>
      </c>
      <c r="AH163" s="8" t="s">
        <v>131</v>
      </c>
      <c r="AJ163" s="17"/>
      <c r="AL163" s="18">
        <v>255</v>
      </c>
      <c r="AM163" s="8" t="s">
        <v>132</v>
      </c>
      <c r="AN163" s="19">
        <v>1500</v>
      </c>
      <c r="AO163" s="8" t="s">
        <v>133</v>
      </c>
      <c r="AP163" s="8">
        <v>8</v>
      </c>
      <c r="AQ163" s="8" t="s">
        <v>134</v>
      </c>
      <c r="AR163" s="8">
        <v>12</v>
      </c>
      <c r="AS163" s="8" t="s">
        <v>135</v>
      </c>
      <c r="AT163" s="8">
        <v>8</v>
      </c>
      <c r="AU163" s="8" t="s">
        <v>136</v>
      </c>
      <c r="AV163" s="8">
        <v>11</v>
      </c>
      <c r="AW163" s="8" t="s">
        <v>137</v>
      </c>
      <c r="AX163" s="8">
        <v>21</v>
      </c>
      <c r="AY163" s="8" t="s">
        <v>138</v>
      </c>
      <c r="AZ163" s="8">
        <v>29</v>
      </c>
      <c r="BA163" s="8" t="s">
        <v>139</v>
      </c>
      <c r="BB163" s="8">
        <v>21</v>
      </c>
      <c r="BC163" s="8" t="s">
        <v>140</v>
      </c>
      <c r="BD163" s="8">
        <v>29</v>
      </c>
      <c r="BE163" s="8" t="s">
        <v>139</v>
      </c>
      <c r="BF163" s="8">
        <v>0</v>
      </c>
      <c r="BG163" s="8" t="s">
        <v>140</v>
      </c>
      <c r="BH163" s="8">
        <v>0</v>
      </c>
      <c r="BI163" s="8" t="s">
        <v>141</v>
      </c>
      <c r="BJ163" s="8">
        <v>100</v>
      </c>
      <c r="BK163" s="8" t="s">
        <v>142</v>
      </c>
      <c r="BL163" s="8">
        <v>120</v>
      </c>
      <c r="BM163" s="8" t="s">
        <v>143</v>
      </c>
      <c r="BN163" s="8">
        <v>600</v>
      </c>
      <c r="BQ163" s="8">
        <v>1</v>
      </c>
      <c r="BR163" s="8">
        <v>2500</v>
      </c>
      <c r="BS163" s="8">
        <v>2</v>
      </c>
      <c r="BT163" s="8">
        <v>2500</v>
      </c>
      <c r="BU163" s="8" t="s">
        <v>144</v>
      </c>
      <c r="BV163">
        <v>6</v>
      </c>
      <c r="BW163">
        <v>10</v>
      </c>
    </row>
    <row r="164" ht="16.5" customHeight="1" spans="2:75">
      <c r="B164" s="8">
        <f>60000000+INDEX(编号表!$B:$B,MATCH(J164,编号表!$A:$A,0))*10000+INDEX(编号表!$B:$B,MATCH(K164,编号表!$C:$C,0))*1000+L164</f>
        <v>60582160</v>
      </c>
      <c r="C164" s="8" t="s">
        <v>620</v>
      </c>
      <c r="D164" s="5" t="s">
        <v>621</v>
      </c>
      <c r="E164" s="5" t="s">
        <v>622</v>
      </c>
      <c r="F164" s="8">
        <v>60</v>
      </c>
      <c r="G164" s="8" t="str">
        <f>INDEX(编号表!$E:$E,MATCH(K164,编号表!$C:$C,0))</f>
        <v>绿色</v>
      </c>
      <c r="H164" s="8">
        <v>5</v>
      </c>
      <c r="I164" s="8" t="s">
        <v>619</v>
      </c>
      <c r="J164" s="8" t="s">
        <v>619</v>
      </c>
      <c r="K164" s="8" t="s">
        <v>196</v>
      </c>
      <c r="L164" s="8">
        <v>160</v>
      </c>
      <c r="M164" s="8">
        <v>160</v>
      </c>
      <c r="N164" s="8"/>
      <c r="O164" s="8"/>
      <c r="P164" s="8">
        <v>10</v>
      </c>
      <c r="Q164" s="8">
        <v>150000</v>
      </c>
      <c r="R164" s="8"/>
      <c r="S164" s="8"/>
      <c r="T164" s="8">
        <v>1</v>
      </c>
      <c r="U164" s="16">
        <v>40010001</v>
      </c>
      <c r="V164" s="8"/>
      <c r="X164" s="8">
        <v>11000260</v>
      </c>
      <c r="Z164" s="8"/>
      <c r="AA164" s="8" t="s">
        <v>130</v>
      </c>
      <c r="AB164" s="21">
        <v>20138</v>
      </c>
      <c r="AC164" s="8">
        <v>1.02</v>
      </c>
      <c r="AD164" s="8">
        <v>80</v>
      </c>
      <c r="AE164" s="8">
        <v>80</v>
      </c>
      <c r="AF164" s="8">
        <v>40</v>
      </c>
      <c r="AG164" s="8">
        <v>40</v>
      </c>
      <c r="AH164" s="8" t="s">
        <v>160</v>
      </c>
      <c r="AI164">
        <v>30080</v>
      </c>
      <c r="AJ164" s="17"/>
      <c r="AL164" s="18">
        <v>255</v>
      </c>
      <c r="AM164" s="8" t="s">
        <v>132</v>
      </c>
      <c r="AN164" s="19">
        <v>1500</v>
      </c>
      <c r="AO164" s="8" t="s">
        <v>133</v>
      </c>
      <c r="AP164" s="8">
        <v>8</v>
      </c>
      <c r="AQ164" s="8" t="s">
        <v>134</v>
      </c>
      <c r="AR164" s="8">
        <v>12</v>
      </c>
      <c r="AS164" s="8" t="s">
        <v>135</v>
      </c>
      <c r="AT164" s="8">
        <v>8</v>
      </c>
      <c r="AU164" s="8" t="s">
        <v>136</v>
      </c>
      <c r="AV164" s="8">
        <v>11</v>
      </c>
      <c r="AW164" s="8" t="s">
        <v>137</v>
      </c>
      <c r="AX164" s="8">
        <v>21</v>
      </c>
      <c r="AY164" s="8" t="s">
        <v>138</v>
      </c>
      <c r="AZ164" s="8">
        <v>29</v>
      </c>
      <c r="BA164" s="8" t="s">
        <v>139</v>
      </c>
      <c r="BB164" s="8">
        <v>21</v>
      </c>
      <c r="BC164" s="8" t="s">
        <v>140</v>
      </c>
      <c r="BD164" s="8">
        <v>29</v>
      </c>
      <c r="BE164" s="8" t="s">
        <v>139</v>
      </c>
      <c r="BF164" s="8">
        <v>0</v>
      </c>
      <c r="BG164" s="8" t="s">
        <v>140</v>
      </c>
      <c r="BH164" s="8">
        <v>0</v>
      </c>
      <c r="BI164" s="8" t="s">
        <v>141</v>
      </c>
      <c r="BJ164" s="8">
        <v>100</v>
      </c>
      <c r="BK164" s="8" t="s">
        <v>142</v>
      </c>
      <c r="BL164" s="8">
        <v>600</v>
      </c>
      <c r="BM164" s="8" t="s">
        <v>143</v>
      </c>
      <c r="BN164" s="8">
        <v>800</v>
      </c>
      <c r="BQ164" s="8">
        <v>1</v>
      </c>
      <c r="BR164" s="8">
        <v>2500</v>
      </c>
      <c r="BS164" s="8">
        <v>2</v>
      </c>
      <c r="BT164" s="8">
        <v>2500</v>
      </c>
      <c r="BU164" s="8" t="s">
        <v>144</v>
      </c>
      <c r="BV164">
        <v>6</v>
      </c>
      <c r="BW164">
        <v>10</v>
      </c>
    </row>
    <row r="165" ht="16.5" customHeight="1" spans="2:75">
      <c r="B165" s="8">
        <f>60000000+INDEX(编号表!$B:$B,MATCH(J165,编号表!$A:$A,0))*10000+INDEX(编号表!$B:$B,MATCH(K165,编号表!$C:$C,0))*1000+L165</f>
        <v>60584161</v>
      </c>
      <c r="C165" s="8" t="s">
        <v>623</v>
      </c>
      <c r="D165" s="5" t="s">
        <v>624</v>
      </c>
      <c r="E165" s="5" t="s">
        <v>625</v>
      </c>
      <c r="F165" s="8">
        <v>60</v>
      </c>
      <c r="G165" s="8" t="str">
        <f>INDEX(编号表!$E:$E,MATCH(K165,编号表!$C:$C,0))</f>
        <v>橙色</v>
      </c>
      <c r="H165" s="8">
        <v>5</v>
      </c>
      <c r="I165" s="8" t="s">
        <v>619</v>
      </c>
      <c r="J165" s="8" t="s">
        <v>619</v>
      </c>
      <c r="K165" s="8" t="s">
        <v>246</v>
      </c>
      <c r="L165" s="8">
        <v>161</v>
      </c>
      <c r="M165" s="8">
        <v>161</v>
      </c>
      <c r="N165" s="8"/>
      <c r="O165" s="8"/>
      <c r="P165" s="8">
        <v>10</v>
      </c>
      <c r="Q165" s="8">
        <v>150000</v>
      </c>
      <c r="R165" s="8"/>
      <c r="S165" s="8"/>
      <c r="T165" s="8">
        <v>1</v>
      </c>
      <c r="U165" s="16">
        <v>40010001</v>
      </c>
      <c r="V165" s="8"/>
      <c r="X165" s="8">
        <v>11000001</v>
      </c>
      <c r="Z165" s="8"/>
      <c r="AA165" s="8" t="s">
        <v>130</v>
      </c>
      <c r="AB165" s="21">
        <v>20139</v>
      </c>
      <c r="AC165" s="8">
        <v>1.27</v>
      </c>
      <c r="AD165" s="8">
        <v>80</v>
      </c>
      <c r="AE165" s="8">
        <v>80</v>
      </c>
      <c r="AF165" s="8">
        <v>40</v>
      </c>
      <c r="AG165" s="8">
        <v>40</v>
      </c>
      <c r="AH165" s="8" t="s">
        <v>131</v>
      </c>
      <c r="AJ165" s="17"/>
      <c r="AL165" s="18">
        <v>255</v>
      </c>
      <c r="AM165" s="8" t="s">
        <v>132</v>
      </c>
      <c r="AN165" s="19">
        <v>1500</v>
      </c>
      <c r="AO165" s="8" t="s">
        <v>133</v>
      </c>
      <c r="AP165" s="8">
        <v>8</v>
      </c>
      <c r="AQ165" s="8" t="s">
        <v>134</v>
      </c>
      <c r="AR165" s="8">
        <v>12</v>
      </c>
      <c r="AS165" s="8" t="s">
        <v>135</v>
      </c>
      <c r="AT165" s="8">
        <v>8</v>
      </c>
      <c r="AU165" s="8" t="s">
        <v>136</v>
      </c>
      <c r="AV165" s="8">
        <v>11</v>
      </c>
      <c r="AW165" s="8" t="s">
        <v>137</v>
      </c>
      <c r="AX165" s="8">
        <v>21</v>
      </c>
      <c r="AY165" s="8" t="s">
        <v>138</v>
      </c>
      <c r="AZ165" s="8">
        <v>29</v>
      </c>
      <c r="BA165" s="8" t="s">
        <v>139</v>
      </c>
      <c r="BB165" s="8">
        <v>21</v>
      </c>
      <c r="BC165" s="8" t="s">
        <v>140</v>
      </c>
      <c r="BD165" s="8">
        <v>29</v>
      </c>
      <c r="BE165" s="8" t="s">
        <v>139</v>
      </c>
      <c r="BF165" s="8">
        <v>0</v>
      </c>
      <c r="BG165" s="8" t="s">
        <v>140</v>
      </c>
      <c r="BH165" s="8">
        <v>0</v>
      </c>
      <c r="BI165" s="8" t="s">
        <v>141</v>
      </c>
      <c r="BJ165" s="8">
        <v>100</v>
      </c>
      <c r="BK165" s="8" t="s">
        <v>142</v>
      </c>
      <c r="BL165" s="8">
        <v>120</v>
      </c>
      <c r="BM165" s="8" t="s">
        <v>143</v>
      </c>
      <c r="BN165" s="8">
        <v>600</v>
      </c>
      <c r="BQ165" s="8">
        <v>1</v>
      </c>
      <c r="BR165" s="8">
        <v>2500</v>
      </c>
      <c r="BS165" s="8">
        <v>2</v>
      </c>
      <c r="BT165" s="8">
        <v>2500</v>
      </c>
      <c r="BU165" s="8" t="s">
        <v>144</v>
      </c>
      <c r="BV165">
        <v>6</v>
      </c>
      <c r="BW165">
        <v>10</v>
      </c>
    </row>
    <row r="166" ht="16.5" customHeight="1" spans="2:75">
      <c r="B166" s="8">
        <f>60000000+INDEX(编号表!$B:$B,MATCH(J166,编号表!$A:$A,0))*10000+INDEX(编号表!$B:$B,MATCH(K166,编号表!$C:$C,0))*1000+L166</f>
        <v>60641162</v>
      </c>
      <c r="C166" s="8" t="s">
        <v>626</v>
      </c>
      <c r="D166" s="5" t="s">
        <v>627</v>
      </c>
      <c r="E166" s="5" t="s">
        <v>628</v>
      </c>
      <c r="F166" s="8">
        <v>60</v>
      </c>
      <c r="G166" s="8" t="str">
        <f>INDEX(编号表!$E:$E,MATCH(K166,编号表!$C:$C,0))</f>
        <v>白色</v>
      </c>
      <c r="H166" s="8">
        <v>5</v>
      </c>
      <c r="I166" s="8" t="s">
        <v>629</v>
      </c>
      <c r="J166" s="8" t="s">
        <v>629</v>
      </c>
      <c r="K166" s="8" t="s">
        <v>129</v>
      </c>
      <c r="L166" s="8">
        <v>162</v>
      </c>
      <c r="M166" s="8">
        <v>162</v>
      </c>
      <c r="N166" s="8"/>
      <c r="O166" s="8"/>
      <c r="P166" s="8">
        <v>10</v>
      </c>
      <c r="Q166" s="8">
        <v>150000</v>
      </c>
      <c r="R166" s="8"/>
      <c r="S166" s="8"/>
      <c r="T166" s="8">
        <v>1</v>
      </c>
      <c r="U166" s="16">
        <v>40010001</v>
      </c>
      <c r="V166" s="8"/>
      <c r="X166" s="8">
        <v>11000001</v>
      </c>
      <c r="Z166" s="8"/>
      <c r="AA166" s="8" t="s">
        <v>130</v>
      </c>
      <c r="AB166" s="21">
        <v>20156</v>
      </c>
      <c r="AC166" s="8">
        <v>1</v>
      </c>
      <c r="AD166" s="8">
        <v>80</v>
      </c>
      <c r="AE166" s="8">
        <v>80</v>
      </c>
      <c r="AF166" s="8">
        <v>40</v>
      </c>
      <c r="AG166" s="8">
        <v>40</v>
      </c>
      <c r="AH166" s="8" t="s">
        <v>131</v>
      </c>
      <c r="AJ166" s="17"/>
      <c r="AL166" s="18">
        <v>255</v>
      </c>
      <c r="AM166" s="8" t="s">
        <v>132</v>
      </c>
      <c r="AN166" s="19">
        <v>1500</v>
      </c>
      <c r="AO166" s="8" t="s">
        <v>133</v>
      </c>
      <c r="AP166" s="8">
        <v>8</v>
      </c>
      <c r="AQ166" s="8" t="s">
        <v>134</v>
      </c>
      <c r="AR166" s="8">
        <v>12</v>
      </c>
      <c r="AS166" s="8" t="s">
        <v>135</v>
      </c>
      <c r="AT166" s="8">
        <v>8</v>
      </c>
      <c r="AU166" s="8" t="s">
        <v>136</v>
      </c>
      <c r="AV166" s="8">
        <v>11</v>
      </c>
      <c r="AW166" s="8" t="s">
        <v>137</v>
      </c>
      <c r="AX166" s="8">
        <v>21</v>
      </c>
      <c r="AY166" s="8" t="s">
        <v>138</v>
      </c>
      <c r="AZ166" s="8">
        <v>29</v>
      </c>
      <c r="BA166" s="8" t="s">
        <v>139</v>
      </c>
      <c r="BB166" s="8">
        <v>21</v>
      </c>
      <c r="BC166" s="8" t="s">
        <v>140</v>
      </c>
      <c r="BD166" s="8">
        <v>29</v>
      </c>
      <c r="BE166" s="8" t="s">
        <v>139</v>
      </c>
      <c r="BF166" s="8">
        <v>0</v>
      </c>
      <c r="BG166" s="8" t="s">
        <v>140</v>
      </c>
      <c r="BH166" s="8">
        <v>0</v>
      </c>
      <c r="BI166" s="8" t="s">
        <v>141</v>
      </c>
      <c r="BJ166" s="8">
        <v>100</v>
      </c>
      <c r="BK166" s="8" t="s">
        <v>142</v>
      </c>
      <c r="BL166" s="8">
        <v>120</v>
      </c>
      <c r="BM166" s="8" t="s">
        <v>143</v>
      </c>
      <c r="BN166" s="8">
        <v>600</v>
      </c>
      <c r="BQ166" s="8">
        <v>1</v>
      </c>
      <c r="BR166" s="8">
        <v>2500</v>
      </c>
      <c r="BS166" s="8">
        <v>2</v>
      </c>
      <c r="BT166" s="8">
        <v>2500</v>
      </c>
      <c r="BU166" s="8" t="s">
        <v>144</v>
      </c>
      <c r="BV166">
        <v>6</v>
      </c>
      <c r="BW166">
        <v>10</v>
      </c>
    </row>
    <row r="167" ht="16.5" customHeight="1" spans="2:75">
      <c r="B167" s="8">
        <f>60000000+INDEX(编号表!$B:$B,MATCH(J167,编号表!$A:$A,0))*10000+INDEX(编号表!$B:$B,MATCH(K167,编号表!$C:$C,0))*1000+L167</f>
        <v>60644163</v>
      </c>
      <c r="C167" s="8" t="s">
        <v>630</v>
      </c>
      <c r="D167" s="5" t="s">
        <v>631</v>
      </c>
      <c r="E167" s="5" t="s">
        <v>632</v>
      </c>
      <c r="F167" s="8">
        <v>60</v>
      </c>
      <c r="G167" s="8" t="str">
        <f>INDEX(编号表!$E:$E,MATCH(K167,编号表!$C:$C,0))</f>
        <v>橙色</v>
      </c>
      <c r="H167" s="8">
        <v>5</v>
      </c>
      <c r="I167" s="8" t="s">
        <v>629</v>
      </c>
      <c r="J167" s="8" t="s">
        <v>629</v>
      </c>
      <c r="K167" s="8" t="s">
        <v>246</v>
      </c>
      <c r="L167" s="8">
        <v>163</v>
      </c>
      <c r="M167" s="8">
        <v>163</v>
      </c>
      <c r="N167" s="8"/>
      <c r="O167" s="8"/>
      <c r="P167" s="8">
        <v>10</v>
      </c>
      <c r="Q167" s="8">
        <v>150000</v>
      </c>
      <c r="R167" s="8"/>
      <c r="S167" s="8"/>
      <c r="T167" s="8">
        <v>1</v>
      </c>
      <c r="U167" s="16">
        <v>40010001</v>
      </c>
      <c r="V167" s="8"/>
      <c r="X167" s="8">
        <v>11000001</v>
      </c>
      <c r="Z167" s="8"/>
      <c r="AA167" s="8" t="s">
        <v>130</v>
      </c>
      <c r="AB167" s="21">
        <v>20157</v>
      </c>
      <c r="AC167" s="8">
        <v>1</v>
      </c>
      <c r="AD167" s="8">
        <v>80</v>
      </c>
      <c r="AE167" s="8">
        <v>80</v>
      </c>
      <c r="AF167" s="8">
        <v>40</v>
      </c>
      <c r="AG167" s="8">
        <v>40</v>
      </c>
      <c r="AH167" s="8" t="s">
        <v>131</v>
      </c>
      <c r="AJ167" s="17"/>
      <c r="AL167" s="18">
        <v>255</v>
      </c>
      <c r="AM167" s="8" t="s">
        <v>132</v>
      </c>
      <c r="AN167" s="19">
        <v>1500</v>
      </c>
      <c r="AO167" s="8" t="s">
        <v>133</v>
      </c>
      <c r="AP167" s="8">
        <v>8</v>
      </c>
      <c r="AQ167" s="8" t="s">
        <v>134</v>
      </c>
      <c r="AR167" s="8">
        <v>12</v>
      </c>
      <c r="AS167" s="8" t="s">
        <v>135</v>
      </c>
      <c r="AT167" s="8">
        <v>8</v>
      </c>
      <c r="AU167" s="8" t="s">
        <v>136</v>
      </c>
      <c r="AV167" s="8">
        <v>11</v>
      </c>
      <c r="AW167" s="8" t="s">
        <v>137</v>
      </c>
      <c r="AX167" s="8">
        <v>21</v>
      </c>
      <c r="AY167" s="8" t="s">
        <v>138</v>
      </c>
      <c r="AZ167" s="8">
        <v>29</v>
      </c>
      <c r="BA167" s="8" t="s">
        <v>139</v>
      </c>
      <c r="BB167" s="8">
        <v>21</v>
      </c>
      <c r="BC167" s="8" t="s">
        <v>140</v>
      </c>
      <c r="BD167" s="8">
        <v>29</v>
      </c>
      <c r="BE167" s="8" t="s">
        <v>139</v>
      </c>
      <c r="BF167" s="8">
        <v>0</v>
      </c>
      <c r="BG167" s="8" t="s">
        <v>140</v>
      </c>
      <c r="BH167" s="8">
        <v>0</v>
      </c>
      <c r="BI167" s="8" t="s">
        <v>141</v>
      </c>
      <c r="BJ167" s="8">
        <v>100</v>
      </c>
      <c r="BK167" s="8" t="s">
        <v>142</v>
      </c>
      <c r="BL167" s="8">
        <v>120</v>
      </c>
      <c r="BM167" s="8" t="s">
        <v>143</v>
      </c>
      <c r="BN167" s="8">
        <v>600</v>
      </c>
      <c r="BQ167" s="8">
        <v>1</v>
      </c>
      <c r="BR167" s="8">
        <v>2500</v>
      </c>
      <c r="BS167" s="8">
        <v>2</v>
      </c>
      <c r="BT167" s="8">
        <v>2500</v>
      </c>
      <c r="BU167" s="8" t="s">
        <v>144</v>
      </c>
      <c r="BV167">
        <v>6</v>
      </c>
      <c r="BW167">
        <v>10</v>
      </c>
    </row>
    <row r="168" ht="16.5" customHeight="1" spans="2:75">
      <c r="B168" s="8">
        <f>60000000+INDEX(编号表!$B:$B,MATCH(J168,编号表!$A:$A,0))*10000+INDEX(编号表!$B:$B,MATCH(K168,编号表!$C:$C,0))*1000+L168</f>
        <v>60642164</v>
      </c>
      <c r="C168" s="8" t="s">
        <v>633</v>
      </c>
      <c r="D168" s="5" t="s">
        <v>631</v>
      </c>
      <c r="E168" s="5" t="s">
        <v>634</v>
      </c>
      <c r="F168" s="8">
        <v>60</v>
      </c>
      <c r="G168" s="8" t="str">
        <f>INDEX(编号表!$E:$E,MATCH(K168,编号表!$C:$C,0))</f>
        <v>绿色</v>
      </c>
      <c r="H168" s="8">
        <v>5</v>
      </c>
      <c r="I168" s="8" t="s">
        <v>629</v>
      </c>
      <c r="J168" s="8" t="s">
        <v>629</v>
      </c>
      <c r="K168" s="8" t="s">
        <v>196</v>
      </c>
      <c r="L168" s="8">
        <v>164</v>
      </c>
      <c r="M168" s="8">
        <v>164</v>
      </c>
      <c r="N168" s="8"/>
      <c r="O168" s="8"/>
      <c r="P168" s="8">
        <v>10</v>
      </c>
      <c r="Q168" s="8">
        <v>150000</v>
      </c>
      <c r="R168" s="8"/>
      <c r="S168" s="8"/>
      <c r="T168" s="8">
        <v>1</v>
      </c>
      <c r="U168" s="16">
        <v>40010001</v>
      </c>
      <c r="V168" s="8"/>
      <c r="X168" s="8">
        <v>11000001</v>
      </c>
      <c r="Z168" s="8"/>
      <c r="AA168" s="8" t="s">
        <v>130</v>
      </c>
      <c r="AB168" s="21">
        <v>20158</v>
      </c>
      <c r="AC168" s="8">
        <v>1</v>
      </c>
      <c r="AD168" s="8">
        <v>80</v>
      </c>
      <c r="AE168" s="8">
        <v>80</v>
      </c>
      <c r="AF168" s="8">
        <v>40</v>
      </c>
      <c r="AG168" s="8">
        <v>40</v>
      </c>
      <c r="AH168" s="8" t="s">
        <v>131</v>
      </c>
      <c r="AJ168" s="17"/>
      <c r="AL168" s="18">
        <v>255</v>
      </c>
      <c r="AM168" s="8" t="s">
        <v>132</v>
      </c>
      <c r="AN168" s="19">
        <v>1500</v>
      </c>
      <c r="AO168" s="8" t="s">
        <v>133</v>
      </c>
      <c r="AP168" s="8">
        <v>8</v>
      </c>
      <c r="AQ168" s="8" t="s">
        <v>134</v>
      </c>
      <c r="AR168" s="8">
        <v>12</v>
      </c>
      <c r="AS168" s="8" t="s">
        <v>135</v>
      </c>
      <c r="AT168" s="8">
        <v>8</v>
      </c>
      <c r="AU168" s="8" t="s">
        <v>136</v>
      </c>
      <c r="AV168" s="8">
        <v>11</v>
      </c>
      <c r="AW168" s="8" t="s">
        <v>137</v>
      </c>
      <c r="AX168" s="8">
        <v>21</v>
      </c>
      <c r="AY168" s="8" t="s">
        <v>138</v>
      </c>
      <c r="AZ168" s="8">
        <v>29</v>
      </c>
      <c r="BA168" s="8" t="s">
        <v>139</v>
      </c>
      <c r="BB168" s="8">
        <v>21</v>
      </c>
      <c r="BC168" s="8" t="s">
        <v>140</v>
      </c>
      <c r="BD168" s="8">
        <v>29</v>
      </c>
      <c r="BE168" s="8" t="s">
        <v>139</v>
      </c>
      <c r="BF168" s="8">
        <v>0</v>
      </c>
      <c r="BG168" s="8" t="s">
        <v>140</v>
      </c>
      <c r="BH168" s="8">
        <v>0</v>
      </c>
      <c r="BI168" s="8" t="s">
        <v>141</v>
      </c>
      <c r="BJ168" s="8">
        <v>100</v>
      </c>
      <c r="BK168" s="8" t="s">
        <v>142</v>
      </c>
      <c r="BL168" s="8">
        <v>120</v>
      </c>
      <c r="BM168" s="8" t="s">
        <v>143</v>
      </c>
      <c r="BN168" s="8">
        <v>600</v>
      </c>
      <c r="BQ168" s="8">
        <v>1</v>
      </c>
      <c r="BR168" s="8">
        <v>2500</v>
      </c>
      <c r="BS168" s="8">
        <v>2</v>
      </c>
      <c r="BT168" s="8">
        <v>2500</v>
      </c>
      <c r="BU168" s="8" t="s">
        <v>144</v>
      </c>
      <c r="BV168">
        <v>6</v>
      </c>
      <c r="BW168">
        <v>10</v>
      </c>
    </row>
    <row r="169" ht="16.5" customHeight="1" spans="2:75">
      <c r="B169" s="8">
        <f>60000000+INDEX(编号表!$B:$B,MATCH(J169,编号表!$A:$A,0))*10000+INDEX(编号表!$B:$B,MATCH(K169,编号表!$C:$C,0))*1000+L169</f>
        <v>60641165</v>
      </c>
      <c r="C169" s="8" t="s">
        <v>635</v>
      </c>
      <c r="D169" s="5" t="s">
        <v>636</v>
      </c>
      <c r="E169" s="5" t="s">
        <v>634</v>
      </c>
      <c r="F169" s="8">
        <v>60</v>
      </c>
      <c r="G169" s="8" t="str">
        <f>INDEX(编号表!$E:$E,MATCH(K169,编号表!$C:$C,0))</f>
        <v>白色</v>
      </c>
      <c r="H169" s="8">
        <v>5</v>
      </c>
      <c r="I169" s="8" t="s">
        <v>629</v>
      </c>
      <c r="J169" s="8" t="s">
        <v>629</v>
      </c>
      <c r="K169" s="8" t="s">
        <v>129</v>
      </c>
      <c r="L169" s="8">
        <v>165</v>
      </c>
      <c r="M169" s="8">
        <v>165</v>
      </c>
      <c r="N169" s="8"/>
      <c r="O169" s="8"/>
      <c r="P169" s="8">
        <v>10</v>
      </c>
      <c r="Q169" s="8">
        <v>150000</v>
      </c>
      <c r="R169" s="8"/>
      <c r="S169" s="8"/>
      <c r="T169" s="8">
        <v>1</v>
      </c>
      <c r="U169" s="16">
        <v>40010001</v>
      </c>
      <c r="V169" s="8"/>
      <c r="X169" s="8">
        <v>11000248</v>
      </c>
      <c r="Z169" s="8"/>
      <c r="AA169" s="8" t="s">
        <v>130</v>
      </c>
      <c r="AB169" s="21">
        <v>20158</v>
      </c>
      <c r="AC169" s="8">
        <v>1</v>
      </c>
      <c r="AD169" s="8">
        <v>80</v>
      </c>
      <c r="AE169" s="8">
        <v>80</v>
      </c>
      <c r="AF169" s="8">
        <v>40</v>
      </c>
      <c r="AG169" s="8">
        <v>40</v>
      </c>
      <c r="AH169" s="8" t="s">
        <v>160</v>
      </c>
      <c r="AI169">
        <v>30068</v>
      </c>
      <c r="AJ169" s="17"/>
      <c r="AL169" s="18">
        <v>255</v>
      </c>
      <c r="AM169" s="8" t="s">
        <v>132</v>
      </c>
      <c r="AN169" s="19">
        <v>1500</v>
      </c>
      <c r="AO169" s="8" t="s">
        <v>133</v>
      </c>
      <c r="AP169" s="8">
        <v>8</v>
      </c>
      <c r="AQ169" s="8" t="s">
        <v>134</v>
      </c>
      <c r="AR169" s="8">
        <v>12</v>
      </c>
      <c r="AS169" s="8" t="s">
        <v>135</v>
      </c>
      <c r="AT169" s="8">
        <v>8</v>
      </c>
      <c r="AU169" s="8" t="s">
        <v>136</v>
      </c>
      <c r="AV169" s="8">
        <v>11</v>
      </c>
      <c r="AW169" s="8" t="s">
        <v>137</v>
      </c>
      <c r="AX169" s="8">
        <v>21</v>
      </c>
      <c r="AY169" s="8" t="s">
        <v>138</v>
      </c>
      <c r="AZ169" s="8">
        <v>29</v>
      </c>
      <c r="BA169" s="8" t="s">
        <v>139</v>
      </c>
      <c r="BB169" s="8">
        <v>21</v>
      </c>
      <c r="BC169" s="8" t="s">
        <v>140</v>
      </c>
      <c r="BD169" s="8">
        <v>29</v>
      </c>
      <c r="BE169" s="8" t="s">
        <v>139</v>
      </c>
      <c r="BF169" s="8">
        <v>0</v>
      </c>
      <c r="BG169" s="8" t="s">
        <v>140</v>
      </c>
      <c r="BH169" s="8">
        <v>0</v>
      </c>
      <c r="BI169" s="8" t="s">
        <v>141</v>
      </c>
      <c r="BJ169" s="8">
        <v>100</v>
      </c>
      <c r="BK169" s="8" t="s">
        <v>142</v>
      </c>
      <c r="BL169" s="8">
        <v>600</v>
      </c>
      <c r="BM169" s="8" t="s">
        <v>143</v>
      </c>
      <c r="BN169" s="8">
        <v>800</v>
      </c>
      <c r="BQ169" s="8">
        <v>1</v>
      </c>
      <c r="BR169" s="8">
        <v>2500</v>
      </c>
      <c r="BS169" s="8">
        <v>2</v>
      </c>
      <c r="BT169" s="8">
        <v>2500</v>
      </c>
      <c r="BU169" s="8" t="s">
        <v>144</v>
      </c>
      <c r="BV169">
        <v>6</v>
      </c>
      <c r="BW169">
        <v>10</v>
      </c>
    </row>
    <row r="170" ht="16.5" customHeight="1" spans="2:75">
      <c r="B170" s="8">
        <f>60000000+INDEX(编号表!$B:$B,MATCH(J170,编号表!$A:$A,0))*10000+INDEX(编号表!$B:$B,MATCH(K170,编号表!$C:$C,0))*1000+L170</f>
        <v>60641166</v>
      </c>
      <c r="C170" s="8" t="s">
        <v>637</v>
      </c>
      <c r="D170" s="5" t="s">
        <v>638</v>
      </c>
      <c r="E170" s="5" t="s">
        <v>639</v>
      </c>
      <c r="F170" s="8">
        <v>60</v>
      </c>
      <c r="G170" s="8" t="str">
        <f>INDEX(编号表!$E:$E,MATCH(K170,编号表!$C:$C,0))</f>
        <v>白色</v>
      </c>
      <c r="H170" s="8">
        <v>5</v>
      </c>
      <c r="I170" s="8" t="s">
        <v>629</v>
      </c>
      <c r="J170" s="8" t="s">
        <v>629</v>
      </c>
      <c r="K170" s="8" t="s">
        <v>129</v>
      </c>
      <c r="L170" s="8">
        <v>166</v>
      </c>
      <c r="M170" s="8">
        <v>166</v>
      </c>
      <c r="N170" s="8"/>
      <c r="O170" s="8"/>
      <c r="P170" s="8">
        <v>10</v>
      </c>
      <c r="Q170" s="8">
        <v>150000</v>
      </c>
      <c r="R170" s="8"/>
      <c r="S170" s="8"/>
      <c r="T170" s="8">
        <v>1</v>
      </c>
      <c r="U170" s="16">
        <v>40010001</v>
      </c>
      <c r="V170" s="8"/>
      <c r="X170" s="8">
        <v>11000001</v>
      </c>
      <c r="Z170" s="8"/>
      <c r="AA170" s="8" t="s">
        <v>130</v>
      </c>
      <c r="AB170" s="21">
        <v>20159</v>
      </c>
      <c r="AC170" s="8">
        <v>1</v>
      </c>
      <c r="AD170" s="8">
        <v>80</v>
      </c>
      <c r="AE170" s="8">
        <v>80</v>
      </c>
      <c r="AF170" s="8">
        <v>40</v>
      </c>
      <c r="AG170" s="8">
        <v>40</v>
      </c>
      <c r="AH170" s="8" t="s">
        <v>131</v>
      </c>
      <c r="AJ170" s="17"/>
      <c r="AL170" s="18">
        <v>255</v>
      </c>
      <c r="AM170" s="8" t="s">
        <v>132</v>
      </c>
      <c r="AN170" s="19">
        <v>1500</v>
      </c>
      <c r="AO170" s="8" t="s">
        <v>133</v>
      </c>
      <c r="AP170" s="8">
        <v>8</v>
      </c>
      <c r="AQ170" s="8" t="s">
        <v>134</v>
      </c>
      <c r="AR170" s="8">
        <v>12</v>
      </c>
      <c r="AS170" s="8" t="s">
        <v>135</v>
      </c>
      <c r="AT170" s="8">
        <v>8</v>
      </c>
      <c r="AU170" s="8" t="s">
        <v>136</v>
      </c>
      <c r="AV170" s="8">
        <v>11</v>
      </c>
      <c r="AW170" s="8" t="s">
        <v>137</v>
      </c>
      <c r="AX170" s="8">
        <v>21</v>
      </c>
      <c r="AY170" s="8" t="s">
        <v>138</v>
      </c>
      <c r="AZ170" s="8">
        <v>29</v>
      </c>
      <c r="BA170" s="8" t="s">
        <v>139</v>
      </c>
      <c r="BB170" s="8">
        <v>21</v>
      </c>
      <c r="BC170" s="8" t="s">
        <v>140</v>
      </c>
      <c r="BD170" s="8">
        <v>29</v>
      </c>
      <c r="BE170" s="8" t="s">
        <v>139</v>
      </c>
      <c r="BF170" s="8">
        <v>0</v>
      </c>
      <c r="BG170" s="8" t="s">
        <v>140</v>
      </c>
      <c r="BH170" s="8">
        <v>0</v>
      </c>
      <c r="BI170" s="8" t="s">
        <v>141</v>
      </c>
      <c r="BJ170" s="8">
        <v>100</v>
      </c>
      <c r="BK170" s="8" t="s">
        <v>142</v>
      </c>
      <c r="BL170" s="8">
        <v>120</v>
      </c>
      <c r="BM170" s="8" t="s">
        <v>143</v>
      </c>
      <c r="BN170" s="8">
        <v>600</v>
      </c>
      <c r="BQ170" s="8">
        <v>1</v>
      </c>
      <c r="BR170" s="8">
        <v>2500</v>
      </c>
      <c r="BS170" s="8">
        <v>2</v>
      </c>
      <c r="BT170" s="8">
        <v>2500</v>
      </c>
      <c r="BU170" s="8" t="s">
        <v>144</v>
      </c>
      <c r="BV170">
        <v>6</v>
      </c>
      <c r="BW170">
        <v>10</v>
      </c>
    </row>
    <row r="171" ht="16.5" customHeight="1" spans="2:75">
      <c r="B171" s="8">
        <f>60000000+INDEX(编号表!$B:$B,MATCH(J171,编号表!$A:$A,0))*10000+INDEX(编号表!$B:$B,MATCH(K171,编号表!$C:$C,0))*1000+L171</f>
        <v>60652167</v>
      </c>
      <c r="C171" s="8" t="s">
        <v>640</v>
      </c>
      <c r="D171" s="5" t="s">
        <v>641</v>
      </c>
      <c r="E171" s="5" t="s">
        <v>642</v>
      </c>
      <c r="F171" s="8">
        <v>60</v>
      </c>
      <c r="G171" s="8" t="str">
        <f>INDEX(编号表!$E:$E,MATCH(K171,编号表!$C:$C,0))</f>
        <v>绿色</v>
      </c>
      <c r="H171" s="8">
        <v>5</v>
      </c>
      <c r="I171" s="8" t="s">
        <v>643</v>
      </c>
      <c r="J171" s="8" t="s">
        <v>643</v>
      </c>
      <c r="K171" s="8" t="s">
        <v>196</v>
      </c>
      <c r="L171" s="8">
        <v>167</v>
      </c>
      <c r="M171" s="8">
        <v>167</v>
      </c>
      <c r="N171" s="8"/>
      <c r="O171" s="8"/>
      <c r="P171" s="8">
        <v>10</v>
      </c>
      <c r="Q171" s="8">
        <v>150000</v>
      </c>
      <c r="R171" s="8"/>
      <c r="S171" s="8"/>
      <c r="T171" s="8">
        <v>1</v>
      </c>
      <c r="U171" s="16">
        <v>40010001</v>
      </c>
      <c r="V171" s="8"/>
      <c r="X171" s="8">
        <v>11000001</v>
      </c>
      <c r="Z171" s="8"/>
      <c r="AA171" s="8" t="s">
        <v>130</v>
      </c>
      <c r="AB171" s="21">
        <v>20160</v>
      </c>
      <c r="AC171" s="8">
        <v>1</v>
      </c>
      <c r="AD171" s="8">
        <v>80</v>
      </c>
      <c r="AE171" s="8">
        <v>80</v>
      </c>
      <c r="AF171" s="8">
        <v>40</v>
      </c>
      <c r="AG171" s="8">
        <v>40</v>
      </c>
      <c r="AH171" s="8" t="s">
        <v>131</v>
      </c>
      <c r="AJ171" s="17"/>
      <c r="AL171" s="18">
        <v>255</v>
      </c>
      <c r="AM171" s="8" t="s">
        <v>132</v>
      </c>
      <c r="AN171" s="19">
        <v>1500</v>
      </c>
      <c r="AO171" s="8" t="s">
        <v>133</v>
      </c>
      <c r="AP171" s="8">
        <v>8</v>
      </c>
      <c r="AQ171" s="8" t="s">
        <v>134</v>
      </c>
      <c r="AR171" s="8">
        <v>12</v>
      </c>
      <c r="AS171" s="8" t="s">
        <v>135</v>
      </c>
      <c r="AT171" s="8">
        <v>8</v>
      </c>
      <c r="AU171" s="8" t="s">
        <v>136</v>
      </c>
      <c r="AV171" s="8">
        <v>11</v>
      </c>
      <c r="AW171" s="8" t="s">
        <v>137</v>
      </c>
      <c r="AX171" s="8">
        <v>21</v>
      </c>
      <c r="AY171" s="8" t="s">
        <v>138</v>
      </c>
      <c r="AZ171" s="8">
        <v>29</v>
      </c>
      <c r="BA171" s="8" t="s">
        <v>139</v>
      </c>
      <c r="BB171" s="8">
        <v>21</v>
      </c>
      <c r="BC171" s="8" t="s">
        <v>140</v>
      </c>
      <c r="BD171" s="8">
        <v>29</v>
      </c>
      <c r="BE171" s="8" t="s">
        <v>139</v>
      </c>
      <c r="BF171" s="8">
        <v>0</v>
      </c>
      <c r="BG171" s="8" t="s">
        <v>140</v>
      </c>
      <c r="BH171" s="8">
        <v>0</v>
      </c>
      <c r="BI171" s="8" t="s">
        <v>141</v>
      </c>
      <c r="BJ171" s="8">
        <v>100</v>
      </c>
      <c r="BK171" s="8" t="s">
        <v>142</v>
      </c>
      <c r="BL171" s="8">
        <v>120</v>
      </c>
      <c r="BM171" s="8" t="s">
        <v>143</v>
      </c>
      <c r="BN171" s="8">
        <v>600</v>
      </c>
      <c r="BQ171" s="8">
        <v>1</v>
      </c>
      <c r="BR171" s="8">
        <v>2500</v>
      </c>
      <c r="BS171" s="8">
        <v>2</v>
      </c>
      <c r="BT171" s="8">
        <v>2500</v>
      </c>
      <c r="BU171" s="8" t="s">
        <v>144</v>
      </c>
      <c r="BV171">
        <v>6</v>
      </c>
      <c r="BW171">
        <v>10</v>
      </c>
    </row>
    <row r="172" ht="16.5" customHeight="1" spans="2:75">
      <c r="B172" s="8">
        <f>60000000+INDEX(编号表!$B:$B,MATCH(J172,编号表!$A:$A,0))*10000+INDEX(编号表!$B:$B,MATCH(K172,编号表!$C:$C,0))*1000+L172</f>
        <v>60651168</v>
      </c>
      <c r="C172" s="8" t="s">
        <v>644</v>
      </c>
      <c r="D172" s="5" t="s">
        <v>641</v>
      </c>
      <c r="E172" s="5" t="s">
        <v>642</v>
      </c>
      <c r="F172" s="8">
        <v>60</v>
      </c>
      <c r="G172" s="8" t="str">
        <f>INDEX(编号表!$E:$E,MATCH(K172,编号表!$C:$C,0))</f>
        <v>白色</v>
      </c>
      <c r="H172" s="8">
        <v>5</v>
      </c>
      <c r="I172" s="8" t="s">
        <v>643</v>
      </c>
      <c r="J172" s="8" t="s">
        <v>643</v>
      </c>
      <c r="K172" s="8" t="s">
        <v>129</v>
      </c>
      <c r="L172" s="8">
        <v>168</v>
      </c>
      <c r="M172" s="8">
        <v>168</v>
      </c>
      <c r="N172" s="8"/>
      <c r="O172" s="8"/>
      <c r="P172" s="8">
        <v>10</v>
      </c>
      <c r="Q172" s="8">
        <v>150000</v>
      </c>
      <c r="R172" s="8"/>
      <c r="S172" s="8"/>
      <c r="T172" s="8">
        <v>1</v>
      </c>
      <c r="U172" s="16">
        <v>40010001</v>
      </c>
      <c r="V172" s="8"/>
      <c r="X172" s="8">
        <v>11000001</v>
      </c>
      <c r="Z172" s="8"/>
      <c r="AA172" s="8" t="s">
        <v>130</v>
      </c>
      <c r="AB172" s="21">
        <v>20160</v>
      </c>
      <c r="AC172" s="8">
        <v>1</v>
      </c>
      <c r="AD172" s="8">
        <v>80</v>
      </c>
      <c r="AE172" s="8">
        <v>80</v>
      </c>
      <c r="AF172" s="8">
        <v>40</v>
      </c>
      <c r="AG172" s="8">
        <v>40</v>
      </c>
      <c r="AH172" s="8" t="s">
        <v>131</v>
      </c>
      <c r="AJ172" s="17"/>
      <c r="AL172" s="18">
        <v>255</v>
      </c>
      <c r="AM172" s="8" t="s">
        <v>132</v>
      </c>
      <c r="AN172" s="19">
        <v>1500</v>
      </c>
      <c r="AO172" s="8" t="s">
        <v>133</v>
      </c>
      <c r="AP172" s="8">
        <v>8</v>
      </c>
      <c r="AQ172" s="8" t="s">
        <v>134</v>
      </c>
      <c r="AR172" s="8">
        <v>12</v>
      </c>
      <c r="AS172" s="8" t="s">
        <v>135</v>
      </c>
      <c r="AT172" s="8">
        <v>8</v>
      </c>
      <c r="AU172" s="8" t="s">
        <v>136</v>
      </c>
      <c r="AV172" s="8">
        <v>11</v>
      </c>
      <c r="AW172" s="8" t="s">
        <v>137</v>
      </c>
      <c r="AX172" s="8">
        <v>21</v>
      </c>
      <c r="AY172" s="8" t="s">
        <v>138</v>
      </c>
      <c r="AZ172" s="8">
        <v>29</v>
      </c>
      <c r="BA172" s="8" t="s">
        <v>139</v>
      </c>
      <c r="BB172" s="8">
        <v>21</v>
      </c>
      <c r="BC172" s="8" t="s">
        <v>140</v>
      </c>
      <c r="BD172" s="8">
        <v>29</v>
      </c>
      <c r="BE172" s="8" t="s">
        <v>139</v>
      </c>
      <c r="BF172" s="8">
        <v>0</v>
      </c>
      <c r="BG172" s="8" t="s">
        <v>140</v>
      </c>
      <c r="BH172" s="8">
        <v>0</v>
      </c>
      <c r="BI172" s="8" t="s">
        <v>141</v>
      </c>
      <c r="BJ172" s="8">
        <v>100</v>
      </c>
      <c r="BK172" s="8" t="s">
        <v>142</v>
      </c>
      <c r="BL172" s="8">
        <v>120</v>
      </c>
      <c r="BM172" s="8" t="s">
        <v>143</v>
      </c>
      <c r="BN172" s="8">
        <v>600</v>
      </c>
      <c r="BQ172" s="8">
        <v>1</v>
      </c>
      <c r="BR172" s="8">
        <v>2500</v>
      </c>
      <c r="BS172" s="8">
        <v>2</v>
      </c>
      <c r="BT172" s="8">
        <v>2500</v>
      </c>
      <c r="BU172" s="8" t="s">
        <v>144</v>
      </c>
      <c r="BV172">
        <v>6</v>
      </c>
      <c r="BW172">
        <v>10</v>
      </c>
    </row>
    <row r="173" ht="16.5" customHeight="1" spans="2:75">
      <c r="B173" s="8">
        <f>60000000+INDEX(编号表!$B:$B,MATCH(J173,编号表!$A:$A,0))*10000+INDEX(编号表!$B:$B,MATCH(K173,编号表!$C:$C,0))*1000+L173</f>
        <v>60651169</v>
      </c>
      <c r="C173" s="8" t="s">
        <v>645</v>
      </c>
      <c r="D173" s="5" t="s">
        <v>646</v>
      </c>
      <c r="E173" s="5" t="s">
        <v>647</v>
      </c>
      <c r="F173" s="8">
        <v>60</v>
      </c>
      <c r="G173" s="8" t="str">
        <f>INDEX(编号表!$E:$E,MATCH(K173,编号表!$C:$C,0))</f>
        <v>白色</v>
      </c>
      <c r="H173" s="8">
        <v>5</v>
      </c>
      <c r="I173" s="8" t="s">
        <v>643</v>
      </c>
      <c r="J173" s="8" t="s">
        <v>643</v>
      </c>
      <c r="K173" s="8" t="s">
        <v>129</v>
      </c>
      <c r="L173" s="8">
        <v>169</v>
      </c>
      <c r="M173" s="8">
        <v>169</v>
      </c>
      <c r="N173" s="8"/>
      <c r="O173" s="8"/>
      <c r="P173" s="8">
        <v>10</v>
      </c>
      <c r="Q173" s="8">
        <v>150000</v>
      </c>
      <c r="R173" s="8"/>
      <c r="S173" s="8"/>
      <c r="T173" s="8">
        <v>1</v>
      </c>
      <c r="U173" s="16">
        <v>40010001</v>
      </c>
      <c r="V173" s="8"/>
      <c r="X173" s="8">
        <v>11000001</v>
      </c>
      <c r="Z173" s="8"/>
      <c r="AA173" s="8" t="s">
        <v>130</v>
      </c>
      <c r="AB173" s="21">
        <v>20161</v>
      </c>
      <c r="AC173" s="8">
        <v>1</v>
      </c>
      <c r="AD173" s="8">
        <v>80</v>
      </c>
      <c r="AE173" s="8">
        <v>80</v>
      </c>
      <c r="AF173" s="8">
        <v>40</v>
      </c>
      <c r="AG173" s="8">
        <v>40</v>
      </c>
      <c r="AH173" s="8" t="s">
        <v>131</v>
      </c>
      <c r="AJ173" s="17"/>
      <c r="AL173" s="18">
        <v>255</v>
      </c>
      <c r="AM173" s="8" t="s">
        <v>132</v>
      </c>
      <c r="AN173" s="19">
        <v>1500</v>
      </c>
      <c r="AO173" s="8" t="s">
        <v>133</v>
      </c>
      <c r="AP173" s="8">
        <v>8</v>
      </c>
      <c r="AQ173" s="8" t="s">
        <v>134</v>
      </c>
      <c r="AR173" s="8">
        <v>12</v>
      </c>
      <c r="AS173" s="8" t="s">
        <v>135</v>
      </c>
      <c r="AT173" s="8">
        <v>8</v>
      </c>
      <c r="AU173" s="8" t="s">
        <v>136</v>
      </c>
      <c r="AV173" s="8">
        <v>11</v>
      </c>
      <c r="AW173" s="8" t="s">
        <v>137</v>
      </c>
      <c r="AX173" s="8">
        <v>21</v>
      </c>
      <c r="AY173" s="8" t="s">
        <v>138</v>
      </c>
      <c r="AZ173" s="8">
        <v>29</v>
      </c>
      <c r="BA173" s="8" t="s">
        <v>139</v>
      </c>
      <c r="BB173" s="8">
        <v>21</v>
      </c>
      <c r="BC173" s="8" t="s">
        <v>140</v>
      </c>
      <c r="BD173" s="8">
        <v>29</v>
      </c>
      <c r="BE173" s="8" t="s">
        <v>139</v>
      </c>
      <c r="BF173" s="8">
        <v>0</v>
      </c>
      <c r="BG173" s="8" t="s">
        <v>140</v>
      </c>
      <c r="BH173" s="8">
        <v>0</v>
      </c>
      <c r="BI173" s="8" t="s">
        <v>141</v>
      </c>
      <c r="BJ173" s="8">
        <v>100</v>
      </c>
      <c r="BK173" s="8" t="s">
        <v>142</v>
      </c>
      <c r="BL173" s="8">
        <v>120</v>
      </c>
      <c r="BM173" s="8" t="s">
        <v>143</v>
      </c>
      <c r="BN173" s="8">
        <v>600</v>
      </c>
      <c r="BQ173" s="8">
        <v>1</v>
      </c>
      <c r="BR173" s="8">
        <v>2500</v>
      </c>
      <c r="BS173" s="8">
        <v>2</v>
      </c>
      <c r="BT173" s="8">
        <v>2500</v>
      </c>
      <c r="BU173" s="8" t="s">
        <v>144</v>
      </c>
      <c r="BV173">
        <v>6</v>
      </c>
      <c r="BW173">
        <v>10</v>
      </c>
    </row>
    <row r="174" ht="16.5" customHeight="1" spans="2:75">
      <c r="B174" s="8">
        <f>60000000+INDEX(编号表!$B:$B,MATCH(J174,编号表!$A:$A,0))*10000+INDEX(编号表!$B:$B,MATCH(K174,编号表!$C:$C,0))*1000+L174</f>
        <v>60651170</v>
      </c>
      <c r="C174" s="8" t="s">
        <v>648</v>
      </c>
      <c r="D174" s="5" t="s">
        <v>649</v>
      </c>
      <c r="E174" s="5" t="s">
        <v>650</v>
      </c>
      <c r="F174" s="8">
        <v>60</v>
      </c>
      <c r="G174" s="8" t="str">
        <f>INDEX(编号表!$E:$E,MATCH(K174,编号表!$C:$C,0))</f>
        <v>白色</v>
      </c>
      <c r="H174" s="8">
        <v>5</v>
      </c>
      <c r="I174" s="8" t="s">
        <v>643</v>
      </c>
      <c r="J174" s="8" t="s">
        <v>643</v>
      </c>
      <c r="K174" s="8" t="s">
        <v>129</v>
      </c>
      <c r="L174" s="8">
        <v>170</v>
      </c>
      <c r="M174" s="8">
        <v>170</v>
      </c>
      <c r="N174" s="8"/>
      <c r="O174" s="8"/>
      <c r="P174" s="8">
        <v>10</v>
      </c>
      <c r="Q174" s="8">
        <v>150000</v>
      </c>
      <c r="R174" s="8"/>
      <c r="S174" s="8"/>
      <c r="T174" s="8">
        <v>1</v>
      </c>
      <c r="U174" s="16">
        <v>40010001</v>
      </c>
      <c r="V174" s="8"/>
      <c r="X174" s="8">
        <v>11000001</v>
      </c>
      <c r="Z174" s="8"/>
      <c r="AA174" s="8" t="s">
        <v>130</v>
      </c>
      <c r="AB174" s="21">
        <v>20162</v>
      </c>
      <c r="AC174" s="8">
        <v>1</v>
      </c>
      <c r="AD174" s="8">
        <v>80</v>
      </c>
      <c r="AE174" s="8">
        <v>80</v>
      </c>
      <c r="AF174" s="8">
        <v>40</v>
      </c>
      <c r="AG174" s="8">
        <v>40</v>
      </c>
      <c r="AH174" s="8" t="s">
        <v>131</v>
      </c>
      <c r="AJ174" s="17"/>
      <c r="AL174" s="18">
        <v>255</v>
      </c>
      <c r="AM174" s="8" t="s">
        <v>132</v>
      </c>
      <c r="AN174" s="19">
        <v>1500</v>
      </c>
      <c r="AO174" s="8" t="s">
        <v>133</v>
      </c>
      <c r="AP174" s="8">
        <v>8</v>
      </c>
      <c r="AQ174" s="8" t="s">
        <v>134</v>
      </c>
      <c r="AR174" s="8">
        <v>12</v>
      </c>
      <c r="AS174" s="8" t="s">
        <v>135</v>
      </c>
      <c r="AT174" s="8">
        <v>8</v>
      </c>
      <c r="AU174" s="8" t="s">
        <v>136</v>
      </c>
      <c r="AV174" s="8">
        <v>11</v>
      </c>
      <c r="AW174" s="8" t="s">
        <v>137</v>
      </c>
      <c r="AX174" s="8">
        <v>21</v>
      </c>
      <c r="AY174" s="8" t="s">
        <v>138</v>
      </c>
      <c r="AZ174" s="8">
        <v>29</v>
      </c>
      <c r="BA174" s="8" t="s">
        <v>139</v>
      </c>
      <c r="BB174" s="8">
        <v>21</v>
      </c>
      <c r="BC174" s="8" t="s">
        <v>140</v>
      </c>
      <c r="BD174" s="8">
        <v>29</v>
      </c>
      <c r="BE174" s="8" t="s">
        <v>139</v>
      </c>
      <c r="BF174" s="8">
        <v>0</v>
      </c>
      <c r="BG174" s="8" t="s">
        <v>140</v>
      </c>
      <c r="BH174" s="8">
        <v>0</v>
      </c>
      <c r="BI174" s="8" t="s">
        <v>141</v>
      </c>
      <c r="BJ174" s="8">
        <v>100</v>
      </c>
      <c r="BK174" s="8" t="s">
        <v>142</v>
      </c>
      <c r="BL174" s="8">
        <v>120</v>
      </c>
      <c r="BM174" s="8" t="s">
        <v>143</v>
      </c>
      <c r="BN174" s="8">
        <v>600</v>
      </c>
      <c r="BQ174" s="8">
        <v>1</v>
      </c>
      <c r="BR174" s="8">
        <v>2500</v>
      </c>
      <c r="BS174" s="8">
        <v>2</v>
      </c>
      <c r="BT174" s="8">
        <v>2500</v>
      </c>
      <c r="BU174" s="8" t="s">
        <v>144</v>
      </c>
      <c r="BV174">
        <v>6</v>
      </c>
      <c r="BW174">
        <v>10</v>
      </c>
    </row>
    <row r="175" ht="16.5" customHeight="1" spans="2:75">
      <c r="B175" s="8">
        <f>60000000+INDEX(编号表!$B:$B,MATCH(J175,编号表!$A:$A,0))*10000+INDEX(编号表!$B:$B,MATCH(K175,编号表!$C:$C,0))*1000+L175</f>
        <v>60651171</v>
      </c>
      <c r="C175" s="8" t="s">
        <v>651</v>
      </c>
      <c r="D175" s="5" t="s">
        <v>652</v>
      </c>
      <c r="E175" s="5" t="s">
        <v>653</v>
      </c>
      <c r="F175" s="8">
        <v>60</v>
      </c>
      <c r="G175" s="8" t="str">
        <f>INDEX(编号表!$E:$E,MATCH(K175,编号表!$C:$C,0))</f>
        <v>白色</v>
      </c>
      <c r="H175" s="8">
        <v>5</v>
      </c>
      <c r="I175" s="8" t="s">
        <v>643</v>
      </c>
      <c r="J175" s="8" t="s">
        <v>643</v>
      </c>
      <c r="K175" s="8" t="s">
        <v>129</v>
      </c>
      <c r="L175" s="8">
        <v>171</v>
      </c>
      <c r="M175" s="8">
        <v>171</v>
      </c>
      <c r="N175" s="8"/>
      <c r="O175" s="8"/>
      <c r="P175" s="8">
        <v>10</v>
      </c>
      <c r="Q175" s="8">
        <v>150000</v>
      </c>
      <c r="R175" s="8"/>
      <c r="S175" s="8"/>
      <c r="T175" s="8">
        <v>1</v>
      </c>
      <c r="U175" s="16">
        <v>40010001</v>
      </c>
      <c r="V175" s="8"/>
      <c r="X175" s="8">
        <v>11000001</v>
      </c>
      <c r="Z175" s="8"/>
      <c r="AA175" s="8" t="s">
        <v>130</v>
      </c>
      <c r="AB175" s="21">
        <v>20163</v>
      </c>
      <c r="AC175" s="8">
        <v>1</v>
      </c>
      <c r="AD175" s="8">
        <v>80</v>
      </c>
      <c r="AE175" s="8">
        <v>80</v>
      </c>
      <c r="AF175" s="8">
        <v>40</v>
      </c>
      <c r="AG175" s="8">
        <v>40</v>
      </c>
      <c r="AH175" s="8" t="s">
        <v>131</v>
      </c>
      <c r="AJ175" s="17"/>
      <c r="AL175" s="18">
        <v>255</v>
      </c>
      <c r="AM175" s="8" t="s">
        <v>132</v>
      </c>
      <c r="AN175" s="19">
        <v>1500</v>
      </c>
      <c r="AO175" s="8" t="s">
        <v>133</v>
      </c>
      <c r="AP175" s="8">
        <v>8</v>
      </c>
      <c r="AQ175" s="8" t="s">
        <v>134</v>
      </c>
      <c r="AR175" s="8">
        <v>12</v>
      </c>
      <c r="AS175" s="8" t="s">
        <v>135</v>
      </c>
      <c r="AT175" s="8">
        <v>8</v>
      </c>
      <c r="AU175" s="8" t="s">
        <v>136</v>
      </c>
      <c r="AV175" s="8">
        <v>11</v>
      </c>
      <c r="AW175" s="8" t="s">
        <v>137</v>
      </c>
      <c r="AX175" s="8">
        <v>21</v>
      </c>
      <c r="AY175" s="8" t="s">
        <v>138</v>
      </c>
      <c r="AZ175" s="8">
        <v>29</v>
      </c>
      <c r="BA175" s="8" t="s">
        <v>139</v>
      </c>
      <c r="BB175" s="8">
        <v>21</v>
      </c>
      <c r="BC175" s="8" t="s">
        <v>140</v>
      </c>
      <c r="BD175" s="8">
        <v>29</v>
      </c>
      <c r="BE175" s="8" t="s">
        <v>139</v>
      </c>
      <c r="BF175" s="8">
        <v>0</v>
      </c>
      <c r="BG175" s="8" t="s">
        <v>140</v>
      </c>
      <c r="BH175" s="8">
        <v>0</v>
      </c>
      <c r="BI175" s="8" t="s">
        <v>141</v>
      </c>
      <c r="BJ175" s="8">
        <v>100</v>
      </c>
      <c r="BK175" s="8" t="s">
        <v>142</v>
      </c>
      <c r="BL175" s="8">
        <v>120</v>
      </c>
      <c r="BM175" s="8" t="s">
        <v>143</v>
      </c>
      <c r="BN175" s="8">
        <v>600</v>
      </c>
      <c r="BQ175" s="8">
        <v>1</v>
      </c>
      <c r="BR175" s="8">
        <v>2500</v>
      </c>
      <c r="BS175" s="8">
        <v>2</v>
      </c>
      <c r="BT175" s="8">
        <v>2500</v>
      </c>
      <c r="BU175" s="8" t="s">
        <v>144</v>
      </c>
      <c r="BV175">
        <v>6</v>
      </c>
      <c r="BW175">
        <v>10</v>
      </c>
    </row>
    <row r="176" ht="16.5" customHeight="1" spans="2:75">
      <c r="B176" s="8">
        <f>60000000+INDEX(编号表!$B:$B,MATCH(J176,编号表!$A:$A,0))*10000+INDEX(编号表!$B:$B,MATCH(K176,编号表!$C:$C,0))*1000+L176</f>
        <v>60614172</v>
      </c>
      <c r="C176" s="8" t="s">
        <v>654</v>
      </c>
      <c r="D176" s="5" t="s">
        <v>655</v>
      </c>
      <c r="E176" s="5" t="s">
        <v>656</v>
      </c>
      <c r="F176" s="8">
        <v>60</v>
      </c>
      <c r="G176" s="8" t="str">
        <f>INDEX(编号表!$E:$E,MATCH(K176,编号表!$C:$C,0))</f>
        <v>橙色</v>
      </c>
      <c r="H176" s="8">
        <v>5</v>
      </c>
      <c r="I176" s="8" t="s">
        <v>657</v>
      </c>
      <c r="J176" s="8" t="s">
        <v>657</v>
      </c>
      <c r="K176" s="8" t="s">
        <v>246</v>
      </c>
      <c r="L176" s="8">
        <v>172</v>
      </c>
      <c r="M176" s="8">
        <v>172</v>
      </c>
      <c r="N176" s="8"/>
      <c r="O176" s="8"/>
      <c r="P176" s="8">
        <v>10</v>
      </c>
      <c r="Q176" s="8">
        <v>150000</v>
      </c>
      <c r="R176" s="8"/>
      <c r="S176" s="8"/>
      <c r="T176" s="8">
        <v>1</v>
      </c>
      <c r="U176" s="16">
        <v>40010001</v>
      </c>
      <c r="V176" s="8"/>
      <c r="X176" s="8">
        <v>11000001</v>
      </c>
      <c r="Z176" s="8"/>
      <c r="AA176" s="8" t="s">
        <v>130</v>
      </c>
      <c r="AB176" s="21">
        <v>20146</v>
      </c>
      <c r="AC176" s="8">
        <v>1</v>
      </c>
      <c r="AD176" s="8">
        <v>80</v>
      </c>
      <c r="AE176" s="8">
        <v>80</v>
      </c>
      <c r="AF176" s="8">
        <v>40</v>
      </c>
      <c r="AG176" s="8">
        <v>40</v>
      </c>
      <c r="AH176" s="8" t="s">
        <v>131</v>
      </c>
      <c r="AJ176" s="17"/>
      <c r="AL176" s="18">
        <v>255</v>
      </c>
      <c r="AM176" s="8" t="s">
        <v>132</v>
      </c>
      <c r="AN176" s="19">
        <v>1500</v>
      </c>
      <c r="AO176" s="8" t="s">
        <v>133</v>
      </c>
      <c r="AP176" s="8">
        <v>8</v>
      </c>
      <c r="AQ176" s="8" t="s">
        <v>134</v>
      </c>
      <c r="AR176" s="8">
        <v>12</v>
      </c>
      <c r="AS176" s="8" t="s">
        <v>135</v>
      </c>
      <c r="AT176" s="8">
        <v>8</v>
      </c>
      <c r="AU176" s="8" t="s">
        <v>136</v>
      </c>
      <c r="AV176" s="8">
        <v>11</v>
      </c>
      <c r="AW176" s="8" t="s">
        <v>137</v>
      </c>
      <c r="AX176" s="8">
        <v>21</v>
      </c>
      <c r="AY176" s="8" t="s">
        <v>138</v>
      </c>
      <c r="AZ176" s="8">
        <v>29</v>
      </c>
      <c r="BA176" s="8" t="s">
        <v>139</v>
      </c>
      <c r="BB176" s="8">
        <v>21</v>
      </c>
      <c r="BC176" s="8" t="s">
        <v>140</v>
      </c>
      <c r="BD176" s="8">
        <v>29</v>
      </c>
      <c r="BE176" s="8" t="s">
        <v>139</v>
      </c>
      <c r="BF176" s="8">
        <v>0</v>
      </c>
      <c r="BG176" s="8" t="s">
        <v>140</v>
      </c>
      <c r="BH176" s="8">
        <v>0</v>
      </c>
      <c r="BI176" s="8" t="s">
        <v>141</v>
      </c>
      <c r="BJ176" s="8">
        <v>100</v>
      </c>
      <c r="BK176" s="8" t="s">
        <v>142</v>
      </c>
      <c r="BL176" s="8">
        <v>120</v>
      </c>
      <c r="BM176" s="8" t="s">
        <v>143</v>
      </c>
      <c r="BN176" s="8">
        <v>600</v>
      </c>
      <c r="BQ176" s="8">
        <v>1</v>
      </c>
      <c r="BR176" s="8">
        <v>2500</v>
      </c>
      <c r="BS176" s="8">
        <v>2</v>
      </c>
      <c r="BT176" s="8">
        <v>2500</v>
      </c>
      <c r="BU176" s="8" t="s">
        <v>144</v>
      </c>
      <c r="BV176">
        <v>6</v>
      </c>
      <c r="BW176">
        <v>10</v>
      </c>
    </row>
    <row r="177" ht="16.5" customHeight="1" spans="2:75">
      <c r="B177" s="8">
        <f>60000000+INDEX(编号表!$B:$B,MATCH(J177,编号表!$A:$A,0))*10000+INDEX(编号表!$B:$B,MATCH(K177,编号表!$C:$C,0))*1000+L177</f>
        <v>60611173</v>
      </c>
      <c r="C177" s="8" t="s">
        <v>658</v>
      </c>
      <c r="D177" s="5" t="s">
        <v>659</v>
      </c>
      <c r="E177" s="5" t="s">
        <v>660</v>
      </c>
      <c r="F177" s="8">
        <v>60</v>
      </c>
      <c r="G177" s="8" t="str">
        <f>INDEX(编号表!$E:$E,MATCH(K177,编号表!$C:$C,0))</f>
        <v>白色</v>
      </c>
      <c r="H177" s="8">
        <v>5</v>
      </c>
      <c r="I177" s="8" t="s">
        <v>657</v>
      </c>
      <c r="J177" s="8" t="s">
        <v>657</v>
      </c>
      <c r="K177" s="8" t="s">
        <v>129</v>
      </c>
      <c r="L177" s="8">
        <v>173</v>
      </c>
      <c r="M177" s="8">
        <v>173</v>
      </c>
      <c r="N177" s="8"/>
      <c r="O177" s="8"/>
      <c r="P177" s="8">
        <v>10</v>
      </c>
      <c r="Q177" s="8">
        <v>150000</v>
      </c>
      <c r="R177" s="8"/>
      <c r="S177" s="8"/>
      <c r="T177" s="8">
        <v>1</v>
      </c>
      <c r="U177" s="16">
        <v>40010001</v>
      </c>
      <c r="V177" s="8"/>
      <c r="X177" s="8">
        <v>11000001</v>
      </c>
      <c r="Z177" s="8"/>
      <c r="AA177" s="8" t="s">
        <v>130</v>
      </c>
      <c r="AB177" s="21">
        <v>20147</v>
      </c>
      <c r="AC177" s="8">
        <v>1</v>
      </c>
      <c r="AD177" s="8">
        <v>80</v>
      </c>
      <c r="AE177" s="8">
        <v>80</v>
      </c>
      <c r="AF177" s="8">
        <v>40</v>
      </c>
      <c r="AG177" s="8">
        <v>40</v>
      </c>
      <c r="AH177" s="8" t="s">
        <v>131</v>
      </c>
      <c r="AJ177" s="17"/>
      <c r="AL177" s="18">
        <v>255</v>
      </c>
      <c r="AM177" s="8" t="s">
        <v>132</v>
      </c>
      <c r="AN177" s="19">
        <v>1500</v>
      </c>
      <c r="AO177" s="8" t="s">
        <v>133</v>
      </c>
      <c r="AP177" s="8">
        <v>8</v>
      </c>
      <c r="AQ177" s="8" t="s">
        <v>134</v>
      </c>
      <c r="AR177" s="8">
        <v>12</v>
      </c>
      <c r="AS177" s="8" t="s">
        <v>135</v>
      </c>
      <c r="AT177" s="8">
        <v>8</v>
      </c>
      <c r="AU177" s="8" t="s">
        <v>136</v>
      </c>
      <c r="AV177" s="8">
        <v>11</v>
      </c>
      <c r="AW177" s="8" t="s">
        <v>137</v>
      </c>
      <c r="AX177" s="8">
        <v>21</v>
      </c>
      <c r="AY177" s="8" t="s">
        <v>138</v>
      </c>
      <c r="AZ177" s="8">
        <v>29</v>
      </c>
      <c r="BA177" s="8" t="s">
        <v>139</v>
      </c>
      <c r="BB177" s="8">
        <v>21</v>
      </c>
      <c r="BC177" s="8" t="s">
        <v>140</v>
      </c>
      <c r="BD177" s="8">
        <v>29</v>
      </c>
      <c r="BE177" s="8" t="s">
        <v>139</v>
      </c>
      <c r="BF177" s="8">
        <v>0</v>
      </c>
      <c r="BG177" s="8" t="s">
        <v>140</v>
      </c>
      <c r="BH177" s="8">
        <v>0</v>
      </c>
      <c r="BI177" s="8" t="s">
        <v>141</v>
      </c>
      <c r="BJ177" s="8">
        <v>100</v>
      </c>
      <c r="BK177" s="8" t="s">
        <v>142</v>
      </c>
      <c r="BL177" s="8">
        <v>120</v>
      </c>
      <c r="BM177" s="8" t="s">
        <v>143</v>
      </c>
      <c r="BN177" s="8">
        <v>600</v>
      </c>
      <c r="BQ177" s="8">
        <v>1</v>
      </c>
      <c r="BR177" s="8">
        <v>2500</v>
      </c>
      <c r="BS177" s="8">
        <v>2</v>
      </c>
      <c r="BT177" s="8">
        <v>2500</v>
      </c>
      <c r="BU177" s="8" t="s">
        <v>144</v>
      </c>
      <c r="BV177">
        <v>6</v>
      </c>
      <c r="BW177">
        <v>10</v>
      </c>
    </row>
    <row r="178" ht="16.5" customHeight="1" spans="2:75">
      <c r="B178" s="8">
        <f>60000000+INDEX(编号表!$B:$B,MATCH(J178,编号表!$A:$A,0))*10000+INDEX(编号表!$B:$B,MATCH(K178,编号表!$C:$C,0))*1000+L178</f>
        <v>60612174</v>
      </c>
      <c r="C178" s="8" t="s">
        <v>661</v>
      </c>
      <c r="D178" s="5" t="s">
        <v>662</v>
      </c>
      <c r="E178" s="5" t="s">
        <v>663</v>
      </c>
      <c r="F178" s="8">
        <v>60</v>
      </c>
      <c r="G178" s="8" t="str">
        <f>INDEX(编号表!$E:$E,MATCH(K178,编号表!$C:$C,0))</f>
        <v>绿色</v>
      </c>
      <c r="H178" s="8">
        <v>5</v>
      </c>
      <c r="I178" s="8" t="s">
        <v>657</v>
      </c>
      <c r="J178" s="8" t="s">
        <v>657</v>
      </c>
      <c r="K178" s="8" t="s">
        <v>196</v>
      </c>
      <c r="L178" s="8">
        <v>174</v>
      </c>
      <c r="M178" s="8">
        <v>174</v>
      </c>
      <c r="N178" s="8"/>
      <c r="O178" s="8"/>
      <c r="P178" s="8">
        <v>10</v>
      </c>
      <c r="Q178" s="8">
        <v>150000</v>
      </c>
      <c r="R178" s="8"/>
      <c r="S178" s="8"/>
      <c r="T178" s="8">
        <v>1</v>
      </c>
      <c r="U178" s="16">
        <v>40010001</v>
      </c>
      <c r="V178" s="8"/>
      <c r="X178" s="8">
        <v>11000261</v>
      </c>
      <c r="Z178" s="8"/>
      <c r="AA178" s="8" t="s">
        <v>130</v>
      </c>
      <c r="AB178" s="21">
        <v>20148</v>
      </c>
      <c r="AC178" s="8">
        <v>1</v>
      </c>
      <c r="AD178" s="8">
        <v>80</v>
      </c>
      <c r="AE178" s="8">
        <v>80</v>
      </c>
      <c r="AF178" s="8">
        <v>40</v>
      </c>
      <c r="AG178" s="8">
        <v>40</v>
      </c>
      <c r="AH178" s="8" t="s">
        <v>160</v>
      </c>
      <c r="AI178">
        <v>30081</v>
      </c>
      <c r="AJ178" s="17"/>
      <c r="AL178" s="18">
        <v>255</v>
      </c>
      <c r="AM178" s="8" t="s">
        <v>132</v>
      </c>
      <c r="AN178" s="19">
        <v>1500</v>
      </c>
      <c r="AO178" s="8" t="s">
        <v>133</v>
      </c>
      <c r="AP178" s="8">
        <v>8</v>
      </c>
      <c r="AQ178" s="8" t="s">
        <v>134</v>
      </c>
      <c r="AR178" s="8">
        <v>12</v>
      </c>
      <c r="AS178" s="8" t="s">
        <v>135</v>
      </c>
      <c r="AT178" s="8">
        <v>8</v>
      </c>
      <c r="AU178" s="8" t="s">
        <v>136</v>
      </c>
      <c r="AV178" s="8">
        <v>11</v>
      </c>
      <c r="AW178" s="8" t="s">
        <v>137</v>
      </c>
      <c r="AX178" s="8">
        <v>21</v>
      </c>
      <c r="AY178" s="8" t="s">
        <v>138</v>
      </c>
      <c r="AZ178" s="8">
        <v>29</v>
      </c>
      <c r="BA178" s="8" t="s">
        <v>139</v>
      </c>
      <c r="BB178" s="8">
        <v>21</v>
      </c>
      <c r="BC178" s="8" t="s">
        <v>140</v>
      </c>
      <c r="BD178" s="8">
        <v>29</v>
      </c>
      <c r="BE178" s="8" t="s">
        <v>139</v>
      </c>
      <c r="BF178" s="8">
        <v>0</v>
      </c>
      <c r="BG178" s="8" t="s">
        <v>140</v>
      </c>
      <c r="BH178" s="8">
        <v>0</v>
      </c>
      <c r="BI178" s="8" t="s">
        <v>141</v>
      </c>
      <c r="BJ178" s="8">
        <v>100</v>
      </c>
      <c r="BK178" s="8" t="s">
        <v>142</v>
      </c>
      <c r="BL178" s="8">
        <v>600</v>
      </c>
      <c r="BM178" s="8" t="s">
        <v>143</v>
      </c>
      <c r="BN178" s="8">
        <v>800</v>
      </c>
      <c r="BQ178" s="8">
        <v>1</v>
      </c>
      <c r="BR178" s="8">
        <v>2500</v>
      </c>
      <c r="BS178" s="8">
        <v>2</v>
      </c>
      <c r="BT178" s="8">
        <v>2500</v>
      </c>
      <c r="BU178" s="8" t="s">
        <v>144</v>
      </c>
      <c r="BV178">
        <v>6</v>
      </c>
      <c r="BW178">
        <v>10</v>
      </c>
    </row>
    <row r="179" ht="16.5" customHeight="1" spans="2:75">
      <c r="B179" s="8">
        <f>60000000+INDEX(编号表!$B:$B,MATCH(J179,编号表!$A:$A,0))*10000+INDEX(编号表!$B:$B,MATCH(K179,编号表!$C:$C,0))*1000+L179</f>
        <v>60611175</v>
      </c>
      <c r="C179" s="8" t="s">
        <v>664</v>
      </c>
      <c r="D179" s="5" t="s">
        <v>662</v>
      </c>
      <c r="E179" s="5" t="s">
        <v>663</v>
      </c>
      <c r="F179" s="8">
        <v>60</v>
      </c>
      <c r="G179" s="8" t="str">
        <f>INDEX(编号表!$E:$E,MATCH(K179,编号表!$C:$C,0))</f>
        <v>白色</v>
      </c>
      <c r="H179" s="8">
        <v>5</v>
      </c>
      <c r="I179" s="8" t="s">
        <v>657</v>
      </c>
      <c r="J179" s="8" t="s">
        <v>657</v>
      </c>
      <c r="K179" s="8" t="s">
        <v>129</v>
      </c>
      <c r="L179" s="8">
        <v>175</v>
      </c>
      <c r="M179" s="8">
        <v>175</v>
      </c>
      <c r="N179" s="8"/>
      <c r="O179" s="8"/>
      <c r="P179" s="8">
        <v>10</v>
      </c>
      <c r="Q179" s="8">
        <v>150000</v>
      </c>
      <c r="R179" s="8"/>
      <c r="S179" s="8"/>
      <c r="T179" s="8">
        <v>1</v>
      </c>
      <c r="U179" s="16">
        <v>40010001</v>
      </c>
      <c r="V179" s="8"/>
      <c r="X179" s="8">
        <v>11000261</v>
      </c>
      <c r="Z179" s="8"/>
      <c r="AA179" s="8" t="s">
        <v>130</v>
      </c>
      <c r="AB179" s="21">
        <v>20148</v>
      </c>
      <c r="AC179" s="8">
        <v>1</v>
      </c>
      <c r="AD179" s="8">
        <v>80</v>
      </c>
      <c r="AE179" s="8">
        <v>80</v>
      </c>
      <c r="AF179" s="8">
        <v>40</v>
      </c>
      <c r="AG179" s="8">
        <v>40</v>
      </c>
      <c r="AH179" s="8" t="s">
        <v>160</v>
      </c>
      <c r="AI179">
        <v>30081</v>
      </c>
      <c r="AJ179" s="17"/>
      <c r="AL179" s="18">
        <v>255</v>
      </c>
      <c r="AM179" s="8" t="s">
        <v>132</v>
      </c>
      <c r="AN179" s="19">
        <v>1500</v>
      </c>
      <c r="AO179" s="8" t="s">
        <v>133</v>
      </c>
      <c r="AP179" s="8">
        <v>8</v>
      </c>
      <c r="AQ179" s="8" t="s">
        <v>134</v>
      </c>
      <c r="AR179" s="8">
        <v>12</v>
      </c>
      <c r="AS179" s="8" t="s">
        <v>135</v>
      </c>
      <c r="AT179" s="8">
        <v>8</v>
      </c>
      <c r="AU179" s="8" t="s">
        <v>136</v>
      </c>
      <c r="AV179" s="8">
        <v>11</v>
      </c>
      <c r="AW179" s="8" t="s">
        <v>137</v>
      </c>
      <c r="AX179" s="8">
        <v>21</v>
      </c>
      <c r="AY179" s="8" t="s">
        <v>138</v>
      </c>
      <c r="AZ179" s="8">
        <v>29</v>
      </c>
      <c r="BA179" s="8" t="s">
        <v>139</v>
      </c>
      <c r="BB179" s="8">
        <v>21</v>
      </c>
      <c r="BC179" s="8" t="s">
        <v>140</v>
      </c>
      <c r="BD179" s="8">
        <v>29</v>
      </c>
      <c r="BE179" s="8" t="s">
        <v>139</v>
      </c>
      <c r="BF179" s="8">
        <v>0</v>
      </c>
      <c r="BG179" s="8" t="s">
        <v>140</v>
      </c>
      <c r="BH179" s="8">
        <v>0</v>
      </c>
      <c r="BI179" s="8" t="s">
        <v>141</v>
      </c>
      <c r="BJ179" s="8">
        <v>100</v>
      </c>
      <c r="BK179" s="8" t="s">
        <v>142</v>
      </c>
      <c r="BL179" s="8">
        <v>600</v>
      </c>
      <c r="BM179" s="8" t="s">
        <v>143</v>
      </c>
      <c r="BN179" s="8">
        <v>800</v>
      </c>
      <c r="BQ179" s="8">
        <v>1</v>
      </c>
      <c r="BR179" s="8">
        <v>2500</v>
      </c>
      <c r="BS179" s="8">
        <v>2</v>
      </c>
      <c r="BT179" s="8">
        <v>2500</v>
      </c>
      <c r="BU179" s="8" t="s">
        <v>144</v>
      </c>
      <c r="BV179">
        <v>6</v>
      </c>
      <c r="BW179">
        <v>10</v>
      </c>
    </row>
    <row r="180" ht="16.5" customHeight="1" spans="2:75">
      <c r="B180" s="8">
        <f>60000000+INDEX(编号表!$B:$B,MATCH(J180,编号表!$A:$A,0))*10000+INDEX(编号表!$B:$B,MATCH(K180,编号表!$C:$C,0))*1000+L180</f>
        <v>60621176</v>
      </c>
      <c r="C180" s="8" t="s">
        <v>665</v>
      </c>
      <c r="D180" s="5" t="s">
        <v>666</v>
      </c>
      <c r="E180" s="5" t="s">
        <v>667</v>
      </c>
      <c r="F180" s="8">
        <v>60</v>
      </c>
      <c r="G180" s="8" t="str">
        <f>INDEX(编号表!$E:$E,MATCH(K180,编号表!$C:$C,0))</f>
        <v>白色</v>
      </c>
      <c r="H180" s="8">
        <v>5</v>
      </c>
      <c r="I180" s="8" t="s">
        <v>668</v>
      </c>
      <c r="J180" s="8" t="s">
        <v>668</v>
      </c>
      <c r="K180" s="8" t="s">
        <v>129</v>
      </c>
      <c r="L180" s="8">
        <v>176</v>
      </c>
      <c r="M180" s="8">
        <v>176</v>
      </c>
      <c r="N180" s="8"/>
      <c r="O180" s="8"/>
      <c r="P180" s="8">
        <v>10</v>
      </c>
      <c r="Q180" s="8">
        <v>150000</v>
      </c>
      <c r="R180" s="8"/>
      <c r="S180" s="8"/>
      <c r="T180" s="8">
        <v>1</v>
      </c>
      <c r="U180" s="16">
        <v>40010001</v>
      </c>
      <c r="V180" s="8"/>
      <c r="X180" s="8">
        <v>11000001</v>
      </c>
      <c r="Z180" s="8"/>
      <c r="AA180" s="8" t="s">
        <v>130</v>
      </c>
      <c r="AB180" s="21">
        <v>20149</v>
      </c>
      <c r="AC180" s="8">
        <v>1</v>
      </c>
      <c r="AD180" s="8">
        <v>80</v>
      </c>
      <c r="AE180" s="8">
        <v>80</v>
      </c>
      <c r="AF180" s="8">
        <v>40</v>
      </c>
      <c r="AG180" s="8">
        <v>40</v>
      </c>
      <c r="AH180" s="8" t="s">
        <v>131</v>
      </c>
      <c r="AJ180" s="17"/>
      <c r="AL180" s="18">
        <v>255</v>
      </c>
      <c r="AM180" s="8" t="s">
        <v>132</v>
      </c>
      <c r="AN180" s="19">
        <v>1500</v>
      </c>
      <c r="AO180" s="8" t="s">
        <v>133</v>
      </c>
      <c r="AP180" s="8">
        <v>8</v>
      </c>
      <c r="AQ180" s="8" t="s">
        <v>134</v>
      </c>
      <c r="AR180" s="8">
        <v>12</v>
      </c>
      <c r="AS180" s="8" t="s">
        <v>135</v>
      </c>
      <c r="AT180" s="8">
        <v>8</v>
      </c>
      <c r="AU180" s="8" t="s">
        <v>136</v>
      </c>
      <c r="AV180" s="8">
        <v>11</v>
      </c>
      <c r="AW180" s="8" t="s">
        <v>137</v>
      </c>
      <c r="AX180" s="8">
        <v>21</v>
      </c>
      <c r="AY180" s="8" t="s">
        <v>138</v>
      </c>
      <c r="AZ180" s="8">
        <v>29</v>
      </c>
      <c r="BA180" s="8" t="s">
        <v>139</v>
      </c>
      <c r="BB180" s="8">
        <v>21</v>
      </c>
      <c r="BC180" s="8" t="s">
        <v>140</v>
      </c>
      <c r="BD180" s="8">
        <v>29</v>
      </c>
      <c r="BE180" s="8" t="s">
        <v>139</v>
      </c>
      <c r="BF180" s="8">
        <v>0</v>
      </c>
      <c r="BG180" s="8" t="s">
        <v>140</v>
      </c>
      <c r="BH180" s="8">
        <v>0</v>
      </c>
      <c r="BI180" s="8" t="s">
        <v>141</v>
      </c>
      <c r="BJ180" s="8">
        <v>100</v>
      </c>
      <c r="BK180" s="8" t="s">
        <v>142</v>
      </c>
      <c r="BL180" s="8">
        <v>120</v>
      </c>
      <c r="BM180" s="8" t="s">
        <v>143</v>
      </c>
      <c r="BN180" s="8">
        <v>600</v>
      </c>
      <c r="BQ180" s="8">
        <v>1</v>
      </c>
      <c r="BR180" s="8">
        <v>2500</v>
      </c>
      <c r="BS180" s="8">
        <v>2</v>
      </c>
      <c r="BT180" s="8">
        <v>2500</v>
      </c>
      <c r="BU180" s="8" t="s">
        <v>144</v>
      </c>
      <c r="BV180">
        <v>6</v>
      </c>
      <c r="BW180">
        <v>10</v>
      </c>
    </row>
    <row r="181" ht="16.5" customHeight="1" spans="2:75">
      <c r="B181" s="8">
        <f>60000000+INDEX(编号表!$B:$B,MATCH(J181,编号表!$A:$A,0))*10000+INDEX(编号表!$B:$B,MATCH(K181,编号表!$C:$C,0))*1000+L181</f>
        <v>60622177</v>
      </c>
      <c r="C181" s="8" t="s">
        <v>669</v>
      </c>
      <c r="D181" s="5" t="s">
        <v>670</v>
      </c>
      <c r="E181" s="5" t="s">
        <v>671</v>
      </c>
      <c r="F181" s="8">
        <v>60</v>
      </c>
      <c r="G181" s="8" t="str">
        <f>INDEX(编号表!$E:$E,MATCH(K181,编号表!$C:$C,0))</f>
        <v>绿色</v>
      </c>
      <c r="H181" s="8">
        <v>5</v>
      </c>
      <c r="I181" s="8" t="s">
        <v>668</v>
      </c>
      <c r="J181" s="8" t="s">
        <v>668</v>
      </c>
      <c r="K181" s="8" t="s">
        <v>196</v>
      </c>
      <c r="L181" s="8">
        <v>177</v>
      </c>
      <c r="M181" s="8">
        <v>177</v>
      </c>
      <c r="N181" s="8"/>
      <c r="O181" s="8"/>
      <c r="P181" s="8">
        <v>10</v>
      </c>
      <c r="Q181" s="8">
        <v>150000</v>
      </c>
      <c r="R181" s="8"/>
      <c r="S181" s="8"/>
      <c r="T181" s="8">
        <v>1</v>
      </c>
      <c r="U181" s="16">
        <v>40010001</v>
      </c>
      <c r="V181" s="8"/>
      <c r="X181" s="8">
        <v>11000001</v>
      </c>
      <c r="Z181" s="8"/>
      <c r="AA181" s="8" t="s">
        <v>130</v>
      </c>
      <c r="AB181" s="21">
        <v>20150</v>
      </c>
      <c r="AC181" s="8">
        <v>1</v>
      </c>
      <c r="AD181" s="8">
        <v>80</v>
      </c>
      <c r="AE181" s="8">
        <v>80</v>
      </c>
      <c r="AF181" s="8">
        <v>40</v>
      </c>
      <c r="AG181" s="8">
        <v>40</v>
      </c>
      <c r="AH181" s="8" t="s">
        <v>131</v>
      </c>
      <c r="AJ181" s="17"/>
      <c r="AL181" s="18">
        <v>255</v>
      </c>
      <c r="AM181" s="8" t="s">
        <v>132</v>
      </c>
      <c r="AN181" s="19">
        <v>1500</v>
      </c>
      <c r="AO181" s="8" t="s">
        <v>133</v>
      </c>
      <c r="AP181" s="8">
        <v>8</v>
      </c>
      <c r="AQ181" s="8" t="s">
        <v>134</v>
      </c>
      <c r="AR181" s="8">
        <v>12</v>
      </c>
      <c r="AS181" s="8" t="s">
        <v>135</v>
      </c>
      <c r="AT181" s="8">
        <v>8</v>
      </c>
      <c r="AU181" s="8" t="s">
        <v>136</v>
      </c>
      <c r="AV181" s="8">
        <v>11</v>
      </c>
      <c r="AW181" s="8" t="s">
        <v>137</v>
      </c>
      <c r="AX181" s="8">
        <v>21</v>
      </c>
      <c r="AY181" s="8" t="s">
        <v>138</v>
      </c>
      <c r="AZ181" s="8">
        <v>29</v>
      </c>
      <c r="BA181" s="8" t="s">
        <v>139</v>
      </c>
      <c r="BB181" s="8">
        <v>21</v>
      </c>
      <c r="BC181" s="8" t="s">
        <v>140</v>
      </c>
      <c r="BD181" s="8">
        <v>29</v>
      </c>
      <c r="BE181" s="8" t="s">
        <v>139</v>
      </c>
      <c r="BF181" s="8">
        <v>0</v>
      </c>
      <c r="BG181" s="8" t="s">
        <v>140</v>
      </c>
      <c r="BH181" s="8">
        <v>0</v>
      </c>
      <c r="BI181" s="8" t="s">
        <v>141</v>
      </c>
      <c r="BJ181" s="8">
        <v>100</v>
      </c>
      <c r="BK181" s="8" t="s">
        <v>142</v>
      </c>
      <c r="BL181" s="8">
        <v>120</v>
      </c>
      <c r="BM181" s="8" t="s">
        <v>143</v>
      </c>
      <c r="BN181" s="8">
        <v>600</v>
      </c>
      <c r="BQ181" s="8">
        <v>1</v>
      </c>
      <c r="BR181" s="8">
        <v>2500</v>
      </c>
      <c r="BS181" s="8">
        <v>2</v>
      </c>
      <c r="BT181" s="8">
        <v>2500</v>
      </c>
      <c r="BU181" s="8" t="s">
        <v>144</v>
      </c>
      <c r="BV181">
        <v>6</v>
      </c>
      <c r="BW181">
        <v>10</v>
      </c>
    </row>
    <row r="182" ht="16.5" customHeight="1" spans="2:75">
      <c r="B182" s="8">
        <f>60000000+INDEX(编号表!$B:$B,MATCH(J182,编号表!$A:$A,0))*10000+INDEX(编号表!$B:$B,MATCH(K182,编号表!$C:$C,0))*1000+L182</f>
        <v>60621178</v>
      </c>
      <c r="C182" s="8" t="s">
        <v>672</v>
      </c>
      <c r="D182" s="5" t="s">
        <v>670</v>
      </c>
      <c r="E182" s="5" t="s">
        <v>671</v>
      </c>
      <c r="F182" s="8">
        <v>60</v>
      </c>
      <c r="G182" s="8" t="str">
        <f>INDEX(编号表!$E:$E,MATCH(K182,编号表!$C:$C,0))</f>
        <v>白色</v>
      </c>
      <c r="H182" s="8">
        <v>5</v>
      </c>
      <c r="I182" s="8" t="s">
        <v>668</v>
      </c>
      <c r="J182" s="8" t="s">
        <v>668</v>
      </c>
      <c r="K182" s="8" t="s">
        <v>129</v>
      </c>
      <c r="L182" s="8">
        <v>178</v>
      </c>
      <c r="M182" s="8">
        <v>178</v>
      </c>
      <c r="N182" s="8"/>
      <c r="O182" s="8"/>
      <c r="P182" s="8">
        <v>10</v>
      </c>
      <c r="Q182" s="8">
        <v>150000</v>
      </c>
      <c r="R182" s="8"/>
      <c r="S182" s="8"/>
      <c r="T182" s="8">
        <v>1</v>
      </c>
      <c r="U182" s="16">
        <v>40010001</v>
      </c>
      <c r="V182" s="8"/>
      <c r="X182" s="8">
        <v>11000001</v>
      </c>
      <c r="Z182" s="8"/>
      <c r="AA182" s="8" t="s">
        <v>130</v>
      </c>
      <c r="AB182" s="21">
        <v>20150</v>
      </c>
      <c r="AC182" s="8">
        <v>1</v>
      </c>
      <c r="AD182" s="8">
        <v>80</v>
      </c>
      <c r="AE182" s="8">
        <v>80</v>
      </c>
      <c r="AF182" s="8">
        <v>40</v>
      </c>
      <c r="AG182" s="8">
        <v>40</v>
      </c>
      <c r="AH182" s="8" t="s">
        <v>131</v>
      </c>
      <c r="AJ182" s="17"/>
      <c r="AL182" s="18">
        <v>255</v>
      </c>
      <c r="AM182" s="8" t="s">
        <v>132</v>
      </c>
      <c r="AN182" s="19">
        <v>1500</v>
      </c>
      <c r="AO182" s="8" t="s">
        <v>133</v>
      </c>
      <c r="AP182" s="8">
        <v>8</v>
      </c>
      <c r="AQ182" s="8" t="s">
        <v>134</v>
      </c>
      <c r="AR182" s="8">
        <v>12</v>
      </c>
      <c r="AS182" s="8" t="s">
        <v>135</v>
      </c>
      <c r="AT182" s="8">
        <v>8</v>
      </c>
      <c r="AU182" s="8" t="s">
        <v>136</v>
      </c>
      <c r="AV182" s="8">
        <v>11</v>
      </c>
      <c r="AW182" s="8" t="s">
        <v>137</v>
      </c>
      <c r="AX182" s="8">
        <v>21</v>
      </c>
      <c r="AY182" s="8" t="s">
        <v>138</v>
      </c>
      <c r="AZ182" s="8">
        <v>29</v>
      </c>
      <c r="BA182" s="8" t="s">
        <v>139</v>
      </c>
      <c r="BB182" s="8">
        <v>21</v>
      </c>
      <c r="BC182" s="8" t="s">
        <v>140</v>
      </c>
      <c r="BD182" s="8">
        <v>29</v>
      </c>
      <c r="BE182" s="8" t="s">
        <v>139</v>
      </c>
      <c r="BF182" s="8">
        <v>0</v>
      </c>
      <c r="BG182" s="8" t="s">
        <v>140</v>
      </c>
      <c r="BH182" s="8">
        <v>0</v>
      </c>
      <c r="BI182" s="8" t="s">
        <v>141</v>
      </c>
      <c r="BJ182" s="8">
        <v>100</v>
      </c>
      <c r="BK182" s="8" t="s">
        <v>142</v>
      </c>
      <c r="BL182" s="8">
        <v>120</v>
      </c>
      <c r="BM182" s="8" t="s">
        <v>143</v>
      </c>
      <c r="BN182" s="8">
        <v>600</v>
      </c>
      <c r="BQ182" s="8">
        <v>1</v>
      </c>
      <c r="BR182" s="8">
        <v>2500</v>
      </c>
      <c r="BS182" s="8">
        <v>2</v>
      </c>
      <c r="BT182" s="8">
        <v>2500</v>
      </c>
      <c r="BU182" s="8" t="s">
        <v>144</v>
      </c>
      <c r="BV182">
        <v>6</v>
      </c>
      <c r="BW182">
        <v>10</v>
      </c>
    </row>
    <row r="183" ht="16.5" customHeight="1" spans="2:75">
      <c r="B183" s="8">
        <f>60000000+INDEX(编号表!$B:$B,MATCH(J183,编号表!$A:$A,0))*10000+INDEX(编号表!$B:$B,MATCH(K183,编号表!$C:$C,0))*1000+L183</f>
        <v>60621179</v>
      </c>
      <c r="C183" s="8" t="s">
        <v>673</v>
      </c>
      <c r="D183" s="5" t="s">
        <v>674</v>
      </c>
      <c r="E183" s="5" t="s">
        <v>675</v>
      </c>
      <c r="F183" s="8">
        <v>60</v>
      </c>
      <c r="G183" s="8" t="str">
        <f>INDEX(编号表!$E:$E,MATCH(K183,编号表!$C:$C,0))</f>
        <v>白色</v>
      </c>
      <c r="H183" s="8">
        <v>5</v>
      </c>
      <c r="I183" s="8" t="s">
        <v>668</v>
      </c>
      <c r="J183" s="8" t="s">
        <v>668</v>
      </c>
      <c r="K183" s="8" t="s">
        <v>129</v>
      </c>
      <c r="L183" s="8">
        <v>179</v>
      </c>
      <c r="M183" s="8">
        <v>179</v>
      </c>
      <c r="N183" s="8"/>
      <c r="O183" s="8"/>
      <c r="P183" s="8">
        <v>10</v>
      </c>
      <c r="Q183" s="8">
        <v>150000</v>
      </c>
      <c r="R183" s="8"/>
      <c r="S183" s="8"/>
      <c r="T183" s="8">
        <v>1</v>
      </c>
      <c r="U183" s="16">
        <v>40010001</v>
      </c>
      <c r="V183" s="8"/>
      <c r="X183" s="8">
        <v>11000261</v>
      </c>
      <c r="Z183" s="8"/>
      <c r="AA183" s="8" t="s">
        <v>130</v>
      </c>
      <c r="AB183" s="21">
        <v>20151</v>
      </c>
      <c r="AC183" s="8">
        <v>1</v>
      </c>
      <c r="AD183" s="8">
        <v>80</v>
      </c>
      <c r="AE183" s="8">
        <v>80</v>
      </c>
      <c r="AF183" s="8">
        <v>40</v>
      </c>
      <c r="AG183" s="8">
        <v>40</v>
      </c>
      <c r="AH183" s="8" t="s">
        <v>160</v>
      </c>
      <c r="AI183">
        <v>30081</v>
      </c>
      <c r="AJ183" s="17"/>
      <c r="AL183" s="18">
        <v>255</v>
      </c>
      <c r="AM183" s="8" t="s">
        <v>132</v>
      </c>
      <c r="AN183" s="19">
        <v>1500</v>
      </c>
      <c r="AO183" s="8" t="s">
        <v>133</v>
      </c>
      <c r="AP183" s="8">
        <v>8</v>
      </c>
      <c r="AQ183" s="8" t="s">
        <v>134</v>
      </c>
      <c r="AR183" s="8">
        <v>12</v>
      </c>
      <c r="AS183" s="8" t="s">
        <v>135</v>
      </c>
      <c r="AT183" s="8">
        <v>8</v>
      </c>
      <c r="AU183" s="8" t="s">
        <v>136</v>
      </c>
      <c r="AV183" s="8">
        <v>11</v>
      </c>
      <c r="AW183" s="8" t="s">
        <v>137</v>
      </c>
      <c r="AX183" s="8">
        <v>21</v>
      </c>
      <c r="AY183" s="8" t="s">
        <v>138</v>
      </c>
      <c r="AZ183" s="8">
        <v>29</v>
      </c>
      <c r="BA183" s="8" t="s">
        <v>139</v>
      </c>
      <c r="BB183" s="8">
        <v>21</v>
      </c>
      <c r="BC183" s="8" t="s">
        <v>140</v>
      </c>
      <c r="BD183" s="8">
        <v>29</v>
      </c>
      <c r="BE183" s="8" t="s">
        <v>139</v>
      </c>
      <c r="BF183" s="8">
        <v>0</v>
      </c>
      <c r="BG183" s="8" t="s">
        <v>140</v>
      </c>
      <c r="BH183" s="8">
        <v>0</v>
      </c>
      <c r="BI183" s="8" t="s">
        <v>141</v>
      </c>
      <c r="BJ183" s="8">
        <v>100</v>
      </c>
      <c r="BK183" s="8" t="s">
        <v>142</v>
      </c>
      <c r="BL183" s="8">
        <v>600</v>
      </c>
      <c r="BM183" s="8" t="s">
        <v>143</v>
      </c>
      <c r="BN183" s="8">
        <v>800</v>
      </c>
      <c r="BQ183" s="8">
        <v>1</v>
      </c>
      <c r="BR183" s="8">
        <v>2500</v>
      </c>
      <c r="BS183" s="8">
        <v>2</v>
      </c>
      <c r="BT183" s="8">
        <v>2500</v>
      </c>
      <c r="BU183" s="8" t="s">
        <v>144</v>
      </c>
      <c r="BV183">
        <v>6</v>
      </c>
      <c r="BW183">
        <v>10</v>
      </c>
    </row>
    <row r="184" ht="16.5" customHeight="1" spans="2:75">
      <c r="B184" s="8">
        <f>60000000+INDEX(编号表!$B:$B,MATCH(J184,编号表!$A:$A,0))*10000+INDEX(编号表!$B:$B,MATCH(K184,编号表!$C:$C,0))*1000+L184</f>
        <v>60621180</v>
      </c>
      <c r="C184" s="8" t="s">
        <v>676</v>
      </c>
      <c r="D184" s="5" t="s">
        <v>677</v>
      </c>
      <c r="E184" s="5" t="s">
        <v>678</v>
      </c>
      <c r="F184" s="8">
        <v>60</v>
      </c>
      <c r="G184" s="8" t="str">
        <f>INDEX(编号表!$E:$E,MATCH(K184,编号表!$C:$C,0))</f>
        <v>白色</v>
      </c>
      <c r="H184" s="8">
        <v>5</v>
      </c>
      <c r="I184" s="8" t="s">
        <v>668</v>
      </c>
      <c r="J184" s="8" t="s">
        <v>668</v>
      </c>
      <c r="K184" s="8" t="s">
        <v>129</v>
      </c>
      <c r="L184" s="8">
        <v>180</v>
      </c>
      <c r="M184" s="8">
        <v>180</v>
      </c>
      <c r="N184" s="8"/>
      <c r="O184" s="8"/>
      <c r="P184" s="8">
        <v>10</v>
      </c>
      <c r="Q184" s="8">
        <v>150000</v>
      </c>
      <c r="R184" s="8"/>
      <c r="S184" s="8"/>
      <c r="T184" s="8">
        <v>1</v>
      </c>
      <c r="U184" s="16">
        <v>40010001</v>
      </c>
      <c r="V184" s="8"/>
      <c r="X184" s="8">
        <v>11000001</v>
      </c>
      <c r="Z184" s="8"/>
      <c r="AA184" s="8" t="s">
        <v>130</v>
      </c>
      <c r="AB184" s="21">
        <v>20152</v>
      </c>
      <c r="AC184" s="8">
        <v>1</v>
      </c>
      <c r="AD184" s="8">
        <v>80</v>
      </c>
      <c r="AE184" s="8">
        <v>80</v>
      </c>
      <c r="AF184" s="8">
        <v>40</v>
      </c>
      <c r="AG184" s="8">
        <v>40</v>
      </c>
      <c r="AH184" s="8" t="s">
        <v>131</v>
      </c>
      <c r="AJ184" s="17"/>
      <c r="AL184" s="18">
        <v>255</v>
      </c>
      <c r="AM184" s="8" t="s">
        <v>132</v>
      </c>
      <c r="AN184" s="19">
        <v>1500</v>
      </c>
      <c r="AO184" s="8" t="s">
        <v>133</v>
      </c>
      <c r="AP184" s="8">
        <v>8</v>
      </c>
      <c r="AQ184" s="8" t="s">
        <v>134</v>
      </c>
      <c r="AR184" s="8">
        <v>12</v>
      </c>
      <c r="AS184" s="8" t="s">
        <v>135</v>
      </c>
      <c r="AT184" s="8">
        <v>8</v>
      </c>
      <c r="AU184" s="8" t="s">
        <v>136</v>
      </c>
      <c r="AV184" s="8">
        <v>11</v>
      </c>
      <c r="AW184" s="8" t="s">
        <v>137</v>
      </c>
      <c r="AX184" s="8">
        <v>21</v>
      </c>
      <c r="AY184" s="8" t="s">
        <v>138</v>
      </c>
      <c r="AZ184" s="8">
        <v>29</v>
      </c>
      <c r="BA184" s="8" t="s">
        <v>139</v>
      </c>
      <c r="BB184" s="8">
        <v>21</v>
      </c>
      <c r="BC184" s="8" t="s">
        <v>140</v>
      </c>
      <c r="BD184" s="8">
        <v>29</v>
      </c>
      <c r="BE184" s="8" t="s">
        <v>139</v>
      </c>
      <c r="BF184" s="8">
        <v>0</v>
      </c>
      <c r="BG184" s="8" t="s">
        <v>140</v>
      </c>
      <c r="BH184" s="8">
        <v>0</v>
      </c>
      <c r="BI184" s="8" t="s">
        <v>141</v>
      </c>
      <c r="BJ184" s="8">
        <v>100</v>
      </c>
      <c r="BK184" s="8" t="s">
        <v>142</v>
      </c>
      <c r="BL184" s="8">
        <v>120</v>
      </c>
      <c r="BM184" s="8" t="s">
        <v>143</v>
      </c>
      <c r="BN184" s="8">
        <v>600</v>
      </c>
      <c r="BQ184" s="8">
        <v>1</v>
      </c>
      <c r="BR184" s="8">
        <v>2500</v>
      </c>
      <c r="BS184" s="8">
        <v>2</v>
      </c>
      <c r="BT184" s="8">
        <v>2500</v>
      </c>
      <c r="BU184" s="8" t="s">
        <v>144</v>
      </c>
      <c r="BV184">
        <v>6</v>
      </c>
      <c r="BW184">
        <v>10</v>
      </c>
    </row>
    <row r="185" ht="16.5" customHeight="1" spans="2:75">
      <c r="B185" s="8">
        <f>60000000+INDEX(编号表!$B:$B,MATCH(J185,编号表!$A:$A,0))*10000+INDEX(编号表!$B:$B,MATCH(K185,编号表!$C:$C,0))*1000+L185</f>
        <v>60591181</v>
      </c>
      <c r="C185" s="8" t="s">
        <v>679</v>
      </c>
      <c r="D185" s="5" t="s">
        <v>680</v>
      </c>
      <c r="E185" s="5" t="s">
        <v>163</v>
      </c>
      <c r="F185" s="8">
        <v>60</v>
      </c>
      <c r="G185" s="8" t="str">
        <f>INDEX(编号表!$E:$E,MATCH(K185,编号表!$C:$C,0))</f>
        <v>白色</v>
      </c>
      <c r="H185" s="8">
        <v>5</v>
      </c>
      <c r="I185" s="8" t="s">
        <v>681</v>
      </c>
      <c r="J185" s="8" t="s">
        <v>681</v>
      </c>
      <c r="K185" s="8" t="s">
        <v>129</v>
      </c>
      <c r="L185" s="8">
        <v>181</v>
      </c>
      <c r="M185" s="8">
        <v>181</v>
      </c>
      <c r="N185" s="8"/>
      <c r="O185" s="8"/>
      <c r="P185" s="8">
        <v>10</v>
      </c>
      <c r="Q185" s="8">
        <v>150000</v>
      </c>
      <c r="R185" s="8"/>
      <c r="S185" s="8"/>
      <c r="T185" s="8">
        <v>1</v>
      </c>
      <c r="U185" s="16">
        <v>40010001</v>
      </c>
      <c r="V185" s="8"/>
      <c r="X185" s="8">
        <v>11000250</v>
      </c>
      <c r="Z185" s="8"/>
      <c r="AA185" s="8" t="s">
        <v>130</v>
      </c>
      <c r="AB185" s="21">
        <v>20140</v>
      </c>
      <c r="AC185" s="8">
        <v>1</v>
      </c>
      <c r="AD185" s="8">
        <v>80</v>
      </c>
      <c r="AE185" s="8">
        <v>80</v>
      </c>
      <c r="AF185" s="8">
        <v>40</v>
      </c>
      <c r="AG185" s="8">
        <v>40</v>
      </c>
      <c r="AH185" s="8" t="s">
        <v>160</v>
      </c>
      <c r="AI185">
        <v>30070</v>
      </c>
      <c r="AJ185" s="17"/>
      <c r="AL185" s="18">
        <v>255</v>
      </c>
      <c r="AM185" s="8" t="s">
        <v>132</v>
      </c>
      <c r="AN185" s="19">
        <v>1500</v>
      </c>
      <c r="AO185" s="8" t="s">
        <v>133</v>
      </c>
      <c r="AP185" s="8">
        <v>8</v>
      </c>
      <c r="AQ185" s="8" t="s">
        <v>134</v>
      </c>
      <c r="AR185" s="8">
        <v>12</v>
      </c>
      <c r="AS185" s="8" t="s">
        <v>135</v>
      </c>
      <c r="AT185" s="8">
        <v>8</v>
      </c>
      <c r="AU185" s="8" t="s">
        <v>136</v>
      </c>
      <c r="AV185" s="8">
        <v>11</v>
      </c>
      <c r="AW185" s="8" t="s">
        <v>137</v>
      </c>
      <c r="AX185" s="8">
        <v>21</v>
      </c>
      <c r="AY185" s="8" t="s">
        <v>138</v>
      </c>
      <c r="AZ185" s="8">
        <v>29</v>
      </c>
      <c r="BA185" s="8" t="s">
        <v>139</v>
      </c>
      <c r="BB185" s="8">
        <v>21</v>
      </c>
      <c r="BC185" s="8" t="s">
        <v>140</v>
      </c>
      <c r="BD185" s="8">
        <v>29</v>
      </c>
      <c r="BE185" s="8" t="s">
        <v>139</v>
      </c>
      <c r="BF185" s="8">
        <v>0</v>
      </c>
      <c r="BG185" s="8" t="s">
        <v>140</v>
      </c>
      <c r="BH185" s="8">
        <v>0</v>
      </c>
      <c r="BI185" s="8" t="s">
        <v>141</v>
      </c>
      <c r="BJ185" s="8">
        <v>100</v>
      </c>
      <c r="BK185" s="8" t="s">
        <v>142</v>
      </c>
      <c r="BL185" s="8">
        <v>600</v>
      </c>
      <c r="BM185" s="8" t="s">
        <v>143</v>
      </c>
      <c r="BN185" s="8">
        <v>800</v>
      </c>
      <c r="BQ185" s="8">
        <v>1</v>
      </c>
      <c r="BR185" s="8">
        <v>2500</v>
      </c>
      <c r="BS185" s="8">
        <v>2</v>
      </c>
      <c r="BT185" s="8">
        <v>2500</v>
      </c>
      <c r="BU185" s="8" t="s">
        <v>144</v>
      </c>
      <c r="BV185">
        <v>6</v>
      </c>
      <c r="BW185">
        <v>10</v>
      </c>
    </row>
    <row r="186" ht="16.5" customHeight="1" spans="2:75">
      <c r="B186" s="8">
        <f>60000000+INDEX(编号表!$B:$B,MATCH(J186,编号表!$A:$A,0))*10000+INDEX(编号表!$B:$B,MATCH(K186,编号表!$C:$C,0))*1000+L186</f>
        <v>60591182</v>
      </c>
      <c r="C186" s="8" t="s">
        <v>682</v>
      </c>
      <c r="D186" s="5" t="s">
        <v>680</v>
      </c>
      <c r="E186" s="5" t="s">
        <v>163</v>
      </c>
      <c r="F186" s="8">
        <v>60</v>
      </c>
      <c r="G186" s="8" t="str">
        <f>INDEX(编号表!$E:$E,MATCH(K186,编号表!$C:$C,0))</f>
        <v>白色</v>
      </c>
      <c r="H186" s="8">
        <v>5</v>
      </c>
      <c r="I186" s="8" t="s">
        <v>681</v>
      </c>
      <c r="J186" s="8" t="s">
        <v>681</v>
      </c>
      <c r="K186" s="8" t="s">
        <v>129</v>
      </c>
      <c r="L186" s="8">
        <v>182</v>
      </c>
      <c r="M186" s="8">
        <v>182</v>
      </c>
      <c r="N186" s="8"/>
      <c r="O186" s="8"/>
      <c r="P186" s="8">
        <v>10</v>
      </c>
      <c r="Q186" s="8">
        <v>150000</v>
      </c>
      <c r="R186" s="8"/>
      <c r="S186" s="8"/>
      <c r="T186" s="8">
        <v>1</v>
      </c>
      <c r="U186" s="16">
        <v>40010001</v>
      </c>
      <c r="V186" s="8"/>
      <c r="X186" s="8">
        <v>11000250</v>
      </c>
      <c r="Z186" s="8"/>
      <c r="AA186" s="8" t="s">
        <v>130</v>
      </c>
      <c r="AB186" s="21">
        <v>20140</v>
      </c>
      <c r="AC186" s="8">
        <v>1</v>
      </c>
      <c r="AD186" s="8">
        <v>80</v>
      </c>
      <c r="AE186" s="8">
        <v>80</v>
      </c>
      <c r="AF186" s="8">
        <v>40</v>
      </c>
      <c r="AG186" s="8">
        <v>40</v>
      </c>
      <c r="AH186" s="8" t="s">
        <v>160</v>
      </c>
      <c r="AI186">
        <v>30070</v>
      </c>
      <c r="AJ186" s="17"/>
      <c r="AL186" s="18">
        <v>255</v>
      </c>
      <c r="AM186" s="8" t="s">
        <v>132</v>
      </c>
      <c r="AN186" s="19">
        <v>1500</v>
      </c>
      <c r="AO186" s="8" t="s">
        <v>133</v>
      </c>
      <c r="AP186" s="8">
        <v>8</v>
      </c>
      <c r="AQ186" s="8" t="s">
        <v>134</v>
      </c>
      <c r="AR186" s="8">
        <v>12</v>
      </c>
      <c r="AS186" s="8" t="s">
        <v>135</v>
      </c>
      <c r="AT186" s="8">
        <v>8</v>
      </c>
      <c r="AU186" s="8" t="s">
        <v>136</v>
      </c>
      <c r="AV186" s="8">
        <v>11</v>
      </c>
      <c r="AW186" s="8" t="s">
        <v>137</v>
      </c>
      <c r="AX186" s="8">
        <v>21</v>
      </c>
      <c r="AY186" s="8" t="s">
        <v>138</v>
      </c>
      <c r="AZ186" s="8">
        <v>29</v>
      </c>
      <c r="BA186" s="8" t="s">
        <v>139</v>
      </c>
      <c r="BB186" s="8">
        <v>21</v>
      </c>
      <c r="BC186" s="8" t="s">
        <v>140</v>
      </c>
      <c r="BD186" s="8">
        <v>29</v>
      </c>
      <c r="BE186" s="8" t="s">
        <v>139</v>
      </c>
      <c r="BF186" s="8">
        <v>0</v>
      </c>
      <c r="BG186" s="8" t="s">
        <v>140</v>
      </c>
      <c r="BH186" s="8">
        <v>0</v>
      </c>
      <c r="BI186" s="8" t="s">
        <v>141</v>
      </c>
      <c r="BJ186" s="8">
        <v>100</v>
      </c>
      <c r="BK186" s="8" t="s">
        <v>142</v>
      </c>
      <c r="BL186" s="8">
        <v>600</v>
      </c>
      <c r="BM186" s="8" t="s">
        <v>143</v>
      </c>
      <c r="BN186" s="8">
        <v>800</v>
      </c>
      <c r="BQ186" s="8">
        <v>1</v>
      </c>
      <c r="BR186" s="8">
        <v>2500</v>
      </c>
      <c r="BS186" s="8">
        <v>2</v>
      </c>
      <c r="BT186" s="8">
        <v>2500</v>
      </c>
      <c r="BU186" s="8" t="s">
        <v>144</v>
      </c>
      <c r="BV186">
        <v>6</v>
      </c>
      <c r="BW186">
        <v>10</v>
      </c>
    </row>
    <row r="187" ht="16.5" customHeight="1" spans="2:75">
      <c r="B187" s="8">
        <f>60000000+INDEX(编号表!$B:$B,MATCH(J187,编号表!$A:$A,0))*10000+INDEX(编号表!$B:$B,MATCH(K187,编号表!$C:$C,0))*1000+L187</f>
        <v>60592183</v>
      </c>
      <c r="C187" s="8" t="s">
        <v>683</v>
      </c>
      <c r="D187" s="5" t="s">
        <v>684</v>
      </c>
      <c r="E187" s="5" t="s">
        <v>685</v>
      </c>
      <c r="F187" s="8">
        <v>60</v>
      </c>
      <c r="G187" s="8" t="str">
        <f>INDEX(编号表!$E:$E,MATCH(K187,编号表!$C:$C,0))</f>
        <v>绿色</v>
      </c>
      <c r="H187" s="8">
        <v>5</v>
      </c>
      <c r="I187" s="8" t="s">
        <v>681</v>
      </c>
      <c r="J187" s="8" t="s">
        <v>681</v>
      </c>
      <c r="K187" s="8" t="s">
        <v>196</v>
      </c>
      <c r="L187" s="8">
        <v>183</v>
      </c>
      <c r="M187" s="8">
        <v>183</v>
      </c>
      <c r="N187" s="8"/>
      <c r="O187" s="8"/>
      <c r="P187" s="8">
        <v>10</v>
      </c>
      <c r="Q187" s="8">
        <v>150000</v>
      </c>
      <c r="R187" s="8"/>
      <c r="S187" s="8"/>
      <c r="T187" s="8">
        <v>1</v>
      </c>
      <c r="U187" s="16">
        <v>40010001</v>
      </c>
      <c r="V187" s="8"/>
      <c r="X187" s="8">
        <v>11000001</v>
      </c>
      <c r="Z187" s="8"/>
      <c r="AA187" s="8" t="s">
        <v>130</v>
      </c>
      <c r="AB187" s="21">
        <v>20141</v>
      </c>
      <c r="AC187" s="8">
        <v>1</v>
      </c>
      <c r="AD187" s="8">
        <v>80</v>
      </c>
      <c r="AE187" s="8">
        <v>80</v>
      </c>
      <c r="AF187" s="8">
        <v>40</v>
      </c>
      <c r="AG187" s="8">
        <v>40</v>
      </c>
      <c r="AH187" s="8" t="s">
        <v>160</v>
      </c>
      <c r="AJ187" s="17"/>
      <c r="AL187" s="18">
        <v>255</v>
      </c>
      <c r="AM187" s="8" t="s">
        <v>132</v>
      </c>
      <c r="AN187" s="19">
        <v>1500</v>
      </c>
      <c r="AO187" s="8" t="s">
        <v>133</v>
      </c>
      <c r="AP187" s="8">
        <v>8</v>
      </c>
      <c r="AQ187" s="8" t="s">
        <v>134</v>
      </c>
      <c r="AR187" s="8">
        <v>12</v>
      </c>
      <c r="AS187" s="8" t="s">
        <v>135</v>
      </c>
      <c r="AT187" s="8">
        <v>8</v>
      </c>
      <c r="AU187" s="8" t="s">
        <v>136</v>
      </c>
      <c r="AV187" s="8">
        <v>11</v>
      </c>
      <c r="AW187" s="8" t="s">
        <v>137</v>
      </c>
      <c r="AX187" s="8">
        <v>21</v>
      </c>
      <c r="AY187" s="8" t="s">
        <v>138</v>
      </c>
      <c r="AZ187" s="8">
        <v>29</v>
      </c>
      <c r="BA187" s="8" t="s">
        <v>139</v>
      </c>
      <c r="BB187" s="8">
        <v>21</v>
      </c>
      <c r="BC187" s="8" t="s">
        <v>140</v>
      </c>
      <c r="BD187" s="8">
        <v>29</v>
      </c>
      <c r="BE187" s="8" t="s">
        <v>139</v>
      </c>
      <c r="BF187" s="8">
        <v>0</v>
      </c>
      <c r="BG187" s="8" t="s">
        <v>140</v>
      </c>
      <c r="BH187" s="8">
        <v>0</v>
      </c>
      <c r="BI187" s="8" t="s">
        <v>141</v>
      </c>
      <c r="BJ187" s="8">
        <v>100</v>
      </c>
      <c r="BK187" s="8" t="s">
        <v>142</v>
      </c>
      <c r="BL187" s="8">
        <v>120</v>
      </c>
      <c r="BM187" s="8" t="s">
        <v>143</v>
      </c>
      <c r="BN187" s="8">
        <v>600</v>
      </c>
      <c r="BQ187" s="8">
        <v>1</v>
      </c>
      <c r="BR187" s="8">
        <v>2500</v>
      </c>
      <c r="BS187" s="8">
        <v>2</v>
      </c>
      <c r="BT187" s="8">
        <v>2500</v>
      </c>
      <c r="BU187" s="8" t="s">
        <v>144</v>
      </c>
      <c r="BV187">
        <v>6</v>
      </c>
      <c r="BW187">
        <v>10</v>
      </c>
    </row>
    <row r="188" ht="16.5" customHeight="1" spans="2:75">
      <c r="B188" s="8">
        <f>60000000+INDEX(编号表!$B:$B,MATCH(J188,编号表!$A:$A,0))*10000+INDEX(编号表!$B:$B,MATCH(K188,编号表!$C:$C,0))*1000+L188</f>
        <v>60591184</v>
      </c>
      <c r="C188" s="8" t="s">
        <v>686</v>
      </c>
      <c r="D188" s="5" t="s">
        <v>684</v>
      </c>
      <c r="E188" s="5" t="s">
        <v>685</v>
      </c>
      <c r="F188" s="8">
        <v>60</v>
      </c>
      <c r="G188" s="8" t="str">
        <f>INDEX(编号表!$E:$E,MATCH(K188,编号表!$C:$C,0))</f>
        <v>白色</v>
      </c>
      <c r="H188" s="8">
        <v>5</v>
      </c>
      <c r="I188" s="8" t="s">
        <v>681</v>
      </c>
      <c r="J188" s="8" t="s">
        <v>681</v>
      </c>
      <c r="K188" s="8" t="s">
        <v>129</v>
      </c>
      <c r="L188" s="8">
        <v>184</v>
      </c>
      <c r="M188" s="8">
        <v>184</v>
      </c>
      <c r="N188" s="8"/>
      <c r="O188" s="8"/>
      <c r="P188" s="8">
        <v>10</v>
      </c>
      <c r="Q188" s="8">
        <v>150000</v>
      </c>
      <c r="R188" s="8"/>
      <c r="S188" s="8"/>
      <c r="T188" s="8">
        <v>1</v>
      </c>
      <c r="U188" s="16">
        <v>40010001</v>
      </c>
      <c r="V188" s="8"/>
      <c r="X188" s="8">
        <v>11000001</v>
      </c>
      <c r="Z188" s="8"/>
      <c r="AA188" s="8" t="s">
        <v>130</v>
      </c>
      <c r="AB188" s="21">
        <v>20141</v>
      </c>
      <c r="AC188" s="8">
        <v>1</v>
      </c>
      <c r="AD188" s="8">
        <v>80</v>
      </c>
      <c r="AE188" s="8">
        <v>80</v>
      </c>
      <c r="AF188" s="8">
        <v>40</v>
      </c>
      <c r="AG188" s="8">
        <v>40</v>
      </c>
      <c r="AH188" s="8" t="s">
        <v>160</v>
      </c>
      <c r="AJ188" s="17"/>
      <c r="AL188" s="18">
        <v>255</v>
      </c>
      <c r="AM188" s="8" t="s">
        <v>132</v>
      </c>
      <c r="AN188" s="19">
        <v>1500</v>
      </c>
      <c r="AO188" s="8" t="s">
        <v>133</v>
      </c>
      <c r="AP188" s="8">
        <v>8</v>
      </c>
      <c r="AQ188" s="8" t="s">
        <v>134</v>
      </c>
      <c r="AR188" s="8">
        <v>12</v>
      </c>
      <c r="AS188" s="8" t="s">
        <v>135</v>
      </c>
      <c r="AT188" s="8">
        <v>8</v>
      </c>
      <c r="AU188" s="8" t="s">
        <v>136</v>
      </c>
      <c r="AV188" s="8">
        <v>11</v>
      </c>
      <c r="AW188" s="8" t="s">
        <v>137</v>
      </c>
      <c r="AX188" s="8">
        <v>21</v>
      </c>
      <c r="AY188" s="8" t="s">
        <v>138</v>
      </c>
      <c r="AZ188" s="8">
        <v>29</v>
      </c>
      <c r="BA188" s="8" t="s">
        <v>139</v>
      </c>
      <c r="BB188" s="8">
        <v>21</v>
      </c>
      <c r="BC188" s="8" t="s">
        <v>140</v>
      </c>
      <c r="BD188" s="8">
        <v>29</v>
      </c>
      <c r="BE188" s="8" t="s">
        <v>139</v>
      </c>
      <c r="BF188" s="8">
        <v>0</v>
      </c>
      <c r="BG188" s="8" t="s">
        <v>140</v>
      </c>
      <c r="BH188" s="8">
        <v>0</v>
      </c>
      <c r="BI188" s="8" t="s">
        <v>141</v>
      </c>
      <c r="BJ188" s="8">
        <v>100</v>
      </c>
      <c r="BK188" s="8" t="s">
        <v>142</v>
      </c>
      <c r="BL188" s="8">
        <v>120</v>
      </c>
      <c r="BM188" s="8" t="s">
        <v>143</v>
      </c>
      <c r="BN188" s="8">
        <v>600</v>
      </c>
      <c r="BQ188" s="8">
        <v>1</v>
      </c>
      <c r="BR188" s="8">
        <v>2500</v>
      </c>
      <c r="BS188" s="8">
        <v>2</v>
      </c>
      <c r="BT188" s="8">
        <v>2500</v>
      </c>
      <c r="BU188" s="8" t="s">
        <v>144</v>
      </c>
      <c r="BV188">
        <v>6</v>
      </c>
      <c r="BW188">
        <v>10</v>
      </c>
    </row>
    <row r="189" ht="16.5" customHeight="1" spans="2:75">
      <c r="B189" s="8">
        <f>60000000+INDEX(编号表!$B:$B,MATCH(J189,编号表!$A:$A,0))*10000+INDEX(编号表!$B:$B,MATCH(K189,编号表!$C:$C,0))*1000+L189</f>
        <v>60591185</v>
      </c>
      <c r="C189" s="8" t="s">
        <v>687</v>
      </c>
      <c r="D189" s="5" t="s">
        <v>688</v>
      </c>
      <c r="E189" s="5" t="s">
        <v>689</v>
      </c>
      <c r="F189" s="8">
        <v>60</v>
      </c>
      <c r="G189" s="8" t="str">
        <f>INDEX(编号表!$E:$E,MATCH(K189,编号表!$C:$C,0))</f>
        <v>白色</v>
      </c>
      <c r="H189" s="8">
        <v>5</v>
      </c>
      <c r="I189" s="8" t="s">
        <v>681</v>
      </c>
      <c r="J189" s="8" t="s">
        <v>681</v>
      </c>
      <c r="K189" s="8" t="s">
        <v>129</v>
      </c>
      <c r="L189" s="8">
        <v>185</v>
      </c>
      <c r="M189" s="8">
        <v>185</v>
      </c>
      <c r="N189" s="8"/>
      <c r="O189" s="8"/>
      <c r="P189" s="8">
        <v>10</v>
      </c>
      <c r="Q189" s="8">
        <v>150000</v>
      </c>
      <c r="R189" s="8"/>
      <c r="S189" s="8"/>
      <c r="T189" s="8">
        <v>1</v>
      </c>
      <c r="U189" s="16">
        <v>40010001</v>
      </c>
      <c r="V189" s="8"/>
      <c r="X189" s="8">
        <v>11000001</v>
      </c>
      <c r="Z189" s="8"/>
      <c r="AA189" s="8" t="s">
        <v>130</v>
      </c>
      <c r="AB189" s="21">
        <v>20142</v>
      </c>
      <c r="AC189" s="8">
        <v>1</v>
      </c>
      <c r="AD189" s="8">
        <v>80</v>
      </c>
      <c r="AE189" s="8">
        <v>80</v>
      </c>
      <c r="AF189" s="8">
        <v>40</v>
      </c>
      <c r="AG189" s="8">
        <v>40</v>
      </c>
      <c r="AH189" s="8" t="s">
        <v>131</v>
      </c>
      <c r="AJ189" s="17"/>
      <c r="AL189" s="18">
        <v>255</v>
      </c>
      <c r="AM189" s="8" t="s">
        <v>132</v>
      </c>
      <c r="AN189" s="19">
        <v>1500</v>
      </c>
      <c r="AO189" s="8" t="s">
        <v>133</v>
      </c>
      <c r="AP189" s="8">
        <v>8</v>
      </c>
      <c r="AQ189" s="8" t="s">
        <v>134</v>
      </c>
      <c r="AR189" s="8">
        <v>12</v>
      </c>
      <c r="AS189" s="8" t="s">
        <v>135</v>
      </c>
      <c r="AT189" s="8">
        <v>8</v>
      </c>
      <c r="AU189" s="8" t="s">
        <v>136</v>
      </c>
      <c r="AV189" s="8">
        <v>11</v>
      </c>
      <c r="AW189" s="8" t="s">
        <v>137</v>
      </c>
      <c r="AX189" s="8">
        <v>21</v>
      </c>
      <c r="AY189" s="8" t="s">
        <v>138</v>
      </c>
      <c r="AZ189" s="8">
        <v>29</v>
      </c>
      <c r="BA189" s="8" t="s">
        <v>139</v>
      </c>
      <c r="BB189" s="8">
        <v>21</v>
      </c>
      <c r="BC189" s="8" t="s">
        <v>140</v>
      </c>
      <c r="BD189" s="8">
        <v>29</v>
      </c>
      <c r="BE189" s="8" t="s">
        <v>139</v>
      </c>
      <c r="BF189" s="8">
        <v>0</v>
      </c>
      <c r="BG189" s="8" t="s">
        <v>140</v>
      </c>
      <c r="BH189" s="8">
        <v>0</v>
      </c>
      <c r="BI189" s="8" t="s">
        <v>141</v>
      </c>
      <c r="BJ189" s="8">
        <v>100</v>
      </c>
      <c r="BK189" s="8" t="s">
        <v>142</v>
      </c>
      <c r="BL189" s="8">
        <v>120</v>
      </c>
      <c r="BM189" s="8" t="s">
        <v>143</v>
      </c>
      <c r="BN189" s="8">
        <v>600</v>
      </c>
      <c r="BQ189" s="8">
        <v>1</v>
      </c>
      <c r="BR189" s="8">
        <v>2500</v>
      </c>
      <c r="BS189" s="8">
        <v>2</v>
      </c>
      <c r="BT189" s="8">
        <v>2500</v>
      </c>
      <c r="BU189" s="8" t="s">
        <v>144</v>
      </c>
      <c r="BV189">
        <v>6</v>
      </c>
      <c r="BW189">
        <v>10</v>
      </c>
    </row>
    <row r="190" ht="16.5" customHeight="1" spans="2:75">
      <c r="B190" s="8">
        <f>60000000+INDEX(编号表!$B:$B,MATCH(J190,编号表!$A:$A,0))*10000+INDEX(编号表!$B:$B,MATCH(K190,编号表!$C:$C,0))*1000+L190</f>
        <v>60601186</v>
      </c>
      <c r="C190" s="8" t="s">
        <v>690</v>
      </c>
      <c r="D190" s="5" t="s">
        <v>691</v>
      </c>
      <c r="E190" s="5" t="s">
        <v>692</v>
      </c>
      <c r="F190" s="8">
        <v>60</v>
      </c>
      <c r="G190" s="8" t="str">
        <f>INDEX(编号表!$E:$E,MATCH(K190,编号表!$C:$C,0))</f>
        <v>白色</v>
      </c>
      <c r="H190" s="8">
        <v>5</v>
      </c>
      <c r="I190" s="8" t="s">
        <v>693</v>
      </c>
      <c r="J190" s="8" t="s">
        <v>693</v>
      </c>
      <c r="K190" s="8" t="s">
        <v>129</v>
      </c>
      <c r="L190" s="8">
        <v>186</v>
      </c>
      <c r="M190" s="8">
        <v>186</v>
      </c>
      <c r="N190" s="8"/>
      <c r="O190" s="8"/>
      <c r="P190" s="8">
        <v>10</v>
      </c>
      <c r="Q190" s="8">
        <v>150000</v>
      </c>
      <c r="R190" s="8"/>
      <c r="S190" s="8"/>
      <c r="T190" s="8">
        <v>1</v>
      </c>
      <c r="U190" s="16">
        <v>40010001</v>
      </c>
      <c r="V190" s="8"/>
      <c r="X190" s="8">
        <v>11000001</v>
      </c>
      <c r="Z190" s="8"/>
      <c r="AA190" s="8" t="s">
        <v>130</v>
      </c>
      <c r="AB190" s="21">
        <v>20143</v>
      </c>
      <c r="AC190" s="8">
        <v>1</v>
      </c>
      <c r="AD190" s="8">
        <v>80</v>
      </c>
      <c r="AE190" s="8">
        <v>80</v>
      </c>
      <c r="AF190" s="8">
        <v>40</v>
      </c>
      <c r="AG190" s="8">
        <v>40</v>
      </c>
      <c r="AH190" s="8" t="s">
        <v>160</v>
      </c>
      <c r="AJ190" s="17"/>
      <c r="AL190" s="18">
        <v>255</v>
      </c>
      <c r="AM190" s="8" t="s">
        <v>132</v>
      </c>
      <c r="AN190" s="19">
        <v>1500</v>
      </c>
      <c r="AO190" s="8" t="s">
        <v>133</v>
      </c>
      <c r="AP190" s="8">
        <v>8</v>
      </c>
      <c r="AQ190" s="8" t="s">
        <v>134</v>
      </c>
      <c r="AR190" s="8">
        <v>12</v>
      </c>
      <c r="AS190" s="8" t="s">
        <v>135</v>
      </c>
      <c r="AT190" s="8">
        <v>8</v>
      </c>
      <c r="AU190" s="8" t="s">
        <v>136</v>
      </c>
      <c r="AV190" s="8">
        <v>11</v>
      </c>
      <c r="AW190" s="8" t="s">
        <v>137</v>
      </c>
      <c r="AX190" s="8">
        <v>21</v>
      </c>
      <c r="AY190" s="8" t="s">
        <v>138</v>
      </c>
      <c r="AZ190" s="8">
        <v>29</v>
      </c>
      <c r="BA190" s="8" t="s">
        <v>139</v>
      </c>
      <c r="BB190" s="8">
        <v>21</v>
      </c>
      <c r="BC190" s="8" t="s">
        <v>140</v>
      </c>
      <c r="BD190" s="8">
        <v>29</v>
      </c>
      <c r="BE190" s="8" t="s">
        <v>139</v>
      </c>
      <c r="BF190" s="8">
        <v>0</v>
      </c>
      <c r="BG190" s="8" t="s">
        <v>140</v>
      </c>
      <c r="BH190" s="8">
        <v>0</v>
      </c>
      <c r="BI190" s="8" t="s">
        <v>141</v>
      </c>
      <c r="BJ190" s="8">
        <v>100</v>
      </c>
      <c r="BK190" s="8" t="s">
        <v>142</v>
      </c>
      <c r="BL190" s="8">
        <v>120</v>
      </c>
      <c r="BM190" s="8" t="s">
        <v>143</v>
      </c>
      <c r="BN190" s="8">
        <v>600</v>
      </c>
      <c r="BQ190" s="8">
        <v>1</v>
      </c>
      <c r="BR190" s="8">
        <v>2500</v>
      </c>
      <c r="BS190" s="8">
        <v>2</v>
      </c>
      <c r="BT190" s="8">
        <v>2500</v>
      </c>
      <c r="BU190" s="8" t="s">
        <v>144</v>
      </c>
      <c r="BV190">
        <v>6</v>
      </c>
      <c r="BW190">
        <v>10</v>
      </c>
    </row>
    <row r="191" ht="16.5" customHeight="1" spans="2:75">
      <c r="B191" s="8">
        <f>60000000+INDEX(编号表!$B:$B,MATCH(J191,编号表!$A:$A,0))*10000+INDEX(编号表!$B:$B,MATCH(K191,编号表!$C:$C,0))*1000+L191</f>
        <v>60601187</v>
      </c>
      <c r="C191" s="8" t="s">
        <v>694</v>
      </c>
      <c r="D191" s="5" t="s">
        <v>695</v>
      </c>
      <c r="E191" s="5" t="s">
        <v>696</v>
      </c>
      <c r="F191" s="8">
        <v>60</v>
      </c>
      <c r="G191" s="8" t="str">
        <f>INDEX(编号表!$E:$E,MATCH(K191,编号表!$C:$C,0))</f>
        <v>白色</v>
      </c>
      <c r="H191" s="8">
        <v>5</v>
      </c>
      <c r="I191" s="8" t="s">
        <v>693</v>
      </c>
      <c r="J191" s="8" t="s">
        <v>693</v>
      </c>
      <c r="K191" s="8" t="s">
        <v>129</v>
      </c>
      <c r="L191" s="8">
        <v>187</v>
      </c>
      <c r="M191" s="8">
        <v>187</v>
      </c>
      <c r="N191" s="8"/>
      <c r="O191" s="8"/>
      <c r="P191" s="8">
        <v>10</v>
      </c>
      <c r="Q191" s="8">
        <v>150000</v>
      </c>
      <c r="R191" s="8"/>
      <c r="S191" s="8"/>
      <c r="T191" s="8">
        <v>1</v>
      </c>
      <c r="U191" s="16">
        <v>40010001</v>
      </c>
      <c r="V191" s="8"/>
      <c r="X191" s="8">
        <v>11000001</v>
      </c>
      <c r="Z191" s="8"/>
      <c r="AA191" s="8" t="s">
        <v>130</v>
      </c>
      <c r="AB191" s="21">
        <v>20144</v>
      </c>
      <c r="AC191" s="8">
        <v>1</v>
      </c>
      <c r="AD191" s="8">
        <v>80</v>
      </c>
      <c r="AE191" s="8">
        <v>80</v>
      </c>
      <c r="AF191" s="8">
        <v>40</v>
      </c>
      <c r="AG191" s="8">
        <v>40</v>
      </c>
      <c r="AH191" s="8" t="s">
        <v>131</v>
      </c>
      <c r="AJ191" s="17"/>
      <c r="AL191" s="18">
        <v>255</v>
      </c>
      <c r="AM191" s="8" t="s">
        <v>132</v>
      </c>
      <c r="AN191" s="19">
        <v>1500</v>
      </c>
      <c r="AO191" s="8" t="s">
        <v>133</v>
      </c>
      <c r="AP191" s="8">
        <v>8</v>
      </c>
      <c r="AQ191" s="8" t="s">
        <v>134</v>
      </c>
      <c r="AR191" s="8">
        <v>12</v>
      </c>
      <c r="AS191" s="8" t="s">
        <v>135</v>
      </c>
      <c r="AT191" s="8">
        <v>8</v>
      </c>
      <c r="AU191" s="8" t="s">
        <v>136</v>
      </c>
      <c r="AV191" s="8">
        <v>11</v>
      </c>
      <c r="AW191" s="8" t="s">
        <v>137</v>
      </c>
      <c r="AX191" s="8">
        <v>21</v>
      </c>
      <c r="AY191" s="8" t="s">
        <v>138</v>
      </c>
      <c r="AZ191" s="8">
        <v>29</v>
      </c>
      <c r="BA191" s="8" t="s">
        <v>139</v>
      </c>
      <c r="BB191" s="8">
        <v>21</v>
      </c>
      <c r="BC191" s="8" t="s">
        <v>140</v>
      </c>
      <c r="BD191" s="8">
        <v>29</v>
      </c>
      <c r="BE191" s="8" t="s">
        <v>139</v>
      </c>
      <c r="BF191" s="8">
        <v>0</v>
      </c>
      <c r="BG191" s="8" t="s">
        <v>140</v>
      </c>
      <c r="BH191" s="8">
        <v>0</v>
      </c>
      <c r="BI191" s="8" t="s">
        <v>141</v>
      </c>
      <c r="BJ191" s="8">
        <v>100</v>
      </c>
      <c r="BK191" s="8" t="s">
        <v>142</v>
      </c>
      <c r="BL191" s="8">
        <v>120</v>
      </c>
      <c r="BM191" s="8" t="s">
        <v>143</v>
      </c>
      <c r="BN191" s="8">
        <v>600</v>
      </c>
      <c r="BQ191" s="8">
        <v>1</v>
      </c>
      <c r="BR191" s="8">
        <v>2500</v>
      </c>
      <c r="BS191" s="8">
        <v>2</v>
      </c>
      <c r="BT191" s="8">
        <v>2500</v>
      </c>
      <c r="BU191" s="8" t="s">
        <v>144</v>
      </c>
      <c r="BV191">
        <v>6</v>
      </c>
      <c r="BW191">
        <v>10</v>
      </c>
    </row>
    <row r="192" ht="16.5" customHeight="1" spans="2:75">
      <c r="B192" s="8">
        <f>60000000+INDEX(编号表!$B:$B,MATCH(J192,编号表!$A:$A,0))*10000+INDEX(编号表!$B:$B,MATCH(K192,编号表!$C:$C,0))*1000+L192</f>
        <v>60602188</v>
      </c>
      <c r="C192" s="8" t="s">
        <v>697</v>
      </c>
      <c r="D192" s="5" t="s">
        <v>698</v>
      </c>
      <c r="E192" s="5" t="s">
        <v>699</v>
      </c>
      <c r="F192" s="8">
        <v>60</v>
      </c>
      <c r="G192" s="8" t="str">
        <f>INDEX(编号表!$E:$E,MATCH(K192,编号表!$C:$C,0))</f>
        <v>绿色</v>
      </c>
      <c r="H192" s="8">
        <v>5</v>
      </c>
      <c r="I192" s="8" t="s">
        <v>693</v>
      </c>
      <c r="J192" s="8" t="s">
        <v>693</v>
      </c>
      <c r="K192" s="8" t="s">
        <v>196</v>
      </c>
      <c r="L192" s="8">
        <v>188</v>
      </c>
      <c r="M192" s="8">
        <v>188</v>
      </c>
      <c r="N192" s="8"/>
      <c r="O192" s="8"/>
      <c r="P192" s="8">
        <v>10</v>
      </c>
      <c r="Q192" s="8">
        <v>150000</v>
      </c>
      <c r="R192" s="8"/>
      <c r="S192" s="8"/>
      <c r="T192" s="8">
        <v>1</v>
      </c>
      <c r="U192" s="16">
        <v>40010001</v>
      </c>
      <c r="V192" s="8"/>
      <c r="X192" s="8">
        <v>11000001</v>
      </c>
      <c r="Z192" s="8"/>
      <c r="AA192" s="8" t="s">
        <v>130</v>
      </c>
      <c r="AB192" s="21">
        <v>20145</v>
      </c>
      <c r="AC192" s="8">
        <v>1</v>
      </c>
      <c r="AD192" s="8">
        <v>80</v>
      </c>
      <c r="AE192" s="8">
        <v>80</v>
      </c>
      <c r="AF192" s="8">
        <v>40</v>
      </c>
      <c r="AG192" s="8">
        <v>40</v>
      </c>
      <c r="AH192" s="8" t="s">
        <v>131</v>
      </c>
      <c r="AJ192" s="17"/>
      <c r="AL192" s="18">
        <v>255</v>
      </c>
      <c r="AM192" s="8" t="s">
        <v>132</v>
      </c>
      <c r="AN192" s="19">
        <v>1500</v>
      </c>
      <c r="AO192" s="8" t="s">
        <v>133</v>
      </c>
      <c r="AP192" s="8">
        <v>8</v>
      </c>
      <c r="AQ192" s="8" t="s">
        <v>134</v>
      </c>
      <c r="AR192" s="8">
        <v>12</v>
      </c>
      <c r="AS192" s="8" t="s">
        <v>135</v>
      </c>
      <c r="AT192" s="8">
        <v>8</v>
      </c>
      <c r="AU192" s="8" t="s">
        <v>136</v>
      </c>
      <c r="AV192" s="8">
        <v>11</v>
      </c>
      <c r="AW192" s="8" t="s">
        <v>137</v>
      </c>
      <c r="AX192" s="8">
        <v>21</v>
      </c>
      <c r="AY192" s="8" t="s">
        <v>138</v>
      </c>
      <c r="AZ192" s="8">
        <v>29</v>
      </c>
      <c r="BA192" s="8" t="s">
        <v>139</v>
      </c>
      <c r="BB192" s="8">
        <v>21</v>
      </c>
      <c r="BC192" s="8" t="s">
        <v>140</v>
      </c>
      <c r="BD192" s="8">
        <v>29</v>
      </c>
      <c r="BE192" s="8" t="s">
        <v>139</v>
      </c>
      <c r="BF192" s="8">
        <v>0</v>
      </c>
      <c r="BG192" s="8" t="s">
        <v>140</v>
      </c>
      <c r="BH192" s="8">
        <v>0</v>
      </c>
      <c r="BI192" s="8" t="s">
        <v>141</v>
      </c>
      <c r="BJ192" s="8">
        <v>100</v>
      </c>
      <c r="BK192" s="8" t="s">
        <v>142</v>
      </c>
      <c r="BL192" s="8">
        <v>120</v>
      </c>
      <c r="BM192" s="8" t="s">
        <v>143</v>
      </c>
      <c r="BN192" s="8">
        <v>600</v>
      </c>
      <c r="BQ192" s="8">
        <v>1</v>
      </c>
      <c r="BR192" s="8">
        <v>2500</v>
      </c>
      <c r="BS192" s="8">
        <v>2</v>
      </c>
      <c r="BT192" s="8">
        <v>2500</v>
      </c>
      <c r="BU192" s="8" t="s">
        <v>144</v>
      </c>
      <c r="BV192">
        <v>6</v>
      </c>
      <c r="BW192">
        <v>10</v>
      </c>
    </row>
    <row r="193" ht="16.5" customHeight="1" spans="2:75">
      <c r="B193" s="8">
        <f>60000000+INDEX(编号表!$B:$B,MATCH(J193,编号表!$A:$A,0))*10000+INDEX(编号表!$B:$B,MATCH(K193,编号表!$C:$C,0))*1000+L193</f>
        <v>60601189</v>
      </c>
      <c r="C193" s="8" t="s">
        <v>700</v>
      </c>
      <c r="D193" s="5" t="s">
        <v>698</v>
      </c>
      <c r="E193" s="5" t="s">
        <v>699</v>
      </c>
      <c r="F193" s="8">
        <v>60</v>
      </c>
      <c r="G193" s="8" t="str">
        <f>INDEX(编号表!$E:$E,MATCH(K193,编号表!$C:$C,0))</f>
        <v>白色</v>
      </c>
      <c r="H193" s="8">
        <v>5</v>
      </c>
      <c r="I193" s="8" t="s">
        <v>693</v>
      </c>
      <c r="J193" s="8" t="s">
        <v>693</v>
      </c>
      <c r="K193" s="8" t="s">
        <v>129</v>
      </c>
      <c r="L193" s="8">
        <v>189</v>
      </c>
      <c r="M193" s="8">
        <v>189</v>
      </c>
      <c r="N193" s="8"/>
      <c r="O193" s="8"/>
      <c r="P193" s="8">
        <v>10</v>
      </c>
      <c r="Q193" s="8">
        <v>150000</v>
      </c>
      <c r="R193" s="8"/>
      <c r="S193" s="8"/>
      <c r="T193" s="8">
        <v>1</v>
      </c>
      <c r="U193" s="16">
        <v>40010001</v>
      </c>
      <c r="V193" s="8"/>
      <c r="X193" s="8">
        <v>11000001</v>
      </c>
      <c r="Z193" s="8"/>
      <c r="AA193" s="8" t="s">
        <v>130</v>
      </c>
      <c r="AB193" s="21">
        <v>20145</v>
      </c>
      <c r="AC193" s="8">
        <v>1</v>
      </c>
      <c r="AD193" s="8">
        <v>80</v>
      </c>
      <c r="AE193" s="8">
        <v>80</v>
      </c>
      <c r="AF193" s="8">
        <v>40</v>
      </c>
      <c r="AG193" s="8">
        <v>40</v>
      </c>
      <c r="AH193" s="8" t="s">
        <v>131</v>
      </c>
      <c r="AJ193" s="17"/>
      <c r="AL193" s="18">
        <v>255</v>
      </c>
      <c r="AM193" s="8" t="s">
        <v>132</v>
      </c>
      <c r="AN193" s="19">
        <v>1500</v>
      </c>
      <c r="AO193" s="8" t="s">
        <v>133</v>
      </c>
      <c r="AP193" s="8">
        <v>8</v>
      </c>
      <c r="AQ193" s="8" t="s">
        <v>134</v>
      </c>
      <c r="AR193" s="8">
        <v>12</v>
      </c>
      <c r="AS193" s="8" t="s">
        <v>135</v>
      </c>
      <c r="AT193" s="8">
        <v>8</v>
      </c>
      <c r="AU193" s="8" t="s">
        <v>136</v>
      </c>
      <c r="AV193" s="8">
        <v>11</v>
      </c>
      <c r="AW193" s="8" t="s">
        <v>137</v>
      </c>
      <c r="AX193" s="8">
        <v>21</v>
      </c>
      <c r="AY193" s="8" t="s">
        <v>138</v>
      </c>
      <c r="AZ193" s="8">
        <v>29</v>
      </c>
      <c r="BA193" s="8" t="s">
        <v>139</v>
      </c>
      <c r="BB193" s="8">
        <v>21</v>
      </c>
      <c r="BC193" s="8" t="s">
        <v>140</v>
      </c>
      <c r="BD193" s="8">
        <v>29</v>
      </c>
      <c r="BE193" s="8" t="s">
        <v>139</v>
      </c>
      <c r="BF193" s="8">
        <v>0</v>
      </c>
      <c r="BG193" s="8" t="s">
        <v>140</v>
      </c>
      <c r="BH193" s="8">
        <v>0</v>
      </c>
      <c r="BI193" s="8" t="s">
        <v>141</v>
      </c>
      <c r="BJ193" s="8">
        <v>100</v>
      </c>
      <c r="BK193" s="8" t="s">
        <v>142</v>
      </c>
      <c r="BL193" s="8">
        <v>120</v>
      </c>
      <c r="BM193" s="8" t="s">
        <v>143</v>
      </c>
      <c r="BN193" s="8">
        <v>600</v>
      </c>
      <c r="BQ193" s="8">
        <v>1</v>
      </c>
      <c r="BR193" s="8">
        <v>2500</v>
      </c>
      <c r="BS193" s="8">
        <v>2</v>
      </c>
      <c r="BT193" s="8">
        <v>2500</v>
      </c>
      <c r="BU193" s="8" t="s">
        <v>144</v>
      </c>
      <c r="BV193">
        <v>6</v>
      </c>
      <c r="BW193">
        <v>10</v>
      </c>
    </row>
    <row r="194" ht="16.5" customHeight="1" spans="2:75">
      <c r="B194" s="8">
        <f>60000000+INDEX(编号表!$B:$B,MATCH(J194,编号表!$A:$A,0))*10000+INDEX(编号表!$B:$B,MATCH(K194,编号表!$C:$C,0))*1000+L194</f>
        <v>60631190</v>
      </c>
      <c r="C194" s="8" t="s">
        <v>701</v>
      </c>
      <c r="D194" s="5" t="s">
        <v>702</v>
      </c>
      <c r="E194" s="5" t="s">
        <v>703</v>
      </c>
      <c r="F194" s="8">
        <v>60</v>
      </c>
      <c r="G194" s="8" t="str">
        <f>INDEX(编号表!$E:$E,MATCH(K194,编号表!$C:$C,0))</f>
        <v>白色</v>
      </c>
      <c r="H194" s="8">
        <v>5</v>
      </c>
      <c r="I194" s="8" t="s">
        <v>704</v>
      </c>
      <c r="J194" s="8" t="s">
        <v>704</v>
      </c>
      <c r="K194" s="8" t="s">
        <v>129</v>
      </c>
      <c r="L194" s="8">
        <v>190</v>
      </c>
      <c r="M194" s="8">
        <v>190</v>
      </c>
      <c r="N194" s="8"/>
      <c r="O194" s="8"/>
      <c r="P194" s="8">
        <v>10</v>
      </c>
      <c r="Q194" s="8">
        <v>150000</v>
      </c>
      <c r="R194" s="8"/>
      <c r="S194" s="8"/>
      <c r="T194" s="8">
        <v>1</v>
      </c>
      <c r="U194" s="16">
        <v>40010001</v>
      </c>
      <c r="V194" s="8"/>
      <c r="X194" s="8">
        <v>11000247</v>
      </c>
      <c r="Z194" s="8"/>
      <c r="AA194" s="8" t="s">
        <v>130</v>
      </c>
      <c r="AB194" s="21">
        <v>20153</v>
      </c>
      <c r="AC194" s="8">
        <v>1</v>
      </c>
      <c r="AD194" s="8">
        <v>80</v>
      </c>
      <c r="AE194" s="8">
        <v>80</v>
      </c>
      <c r="AF194" s="8">
        <v>40</v>
      </c>
      <c r="AG194" s="8">
        <v>40</v>
      </c>
      <c r="AH194" s="8" t="s">
        <v>160</v>
      </c>
      <c r="AI194">
        <v>30067</v>
      </c>
      <c r="AJ194" s="17"/>
      <c r="AL194" s="18">
        <v>255</v>
      </c>
      <c r="AM194" s="8" t="s">
        <v>132</v>
      </c>
      <c r="AN194" s="19">
        <v>1500</v>
      </c>
      <c r="AO194" s="8" t="s">
        <v>133</v>
      </c>
      <c r="AP194" s="8">
        <v>8</v>
      </c>
      <c r="AQ194" s="8" t="s">
        <v>134</v>
      </c>
      <c r="AR194" s="8">
        <v>12</v>
      </c>
      <c r="AS194" s="8" t="s">
        <v>135</v>
      </c>
      <c r="AT194" s="8">
        <v>8</v>
      </c>
      <c r="AU194" s="8" t="s">
        <v>136</v>
      </c>
      <c r="AV194" s="8">
        <v>11</v>
      </c>
      <c r="AW194" s="8" t="s">
        <v>137</v>
      </c>
      <c r="AX194" s="8">
        <v>21</v>
      </c>
      <c r="AY194" s="8" t="s">
        <v>138</v>
      </c>
      <c r="AZ194" s="8">
        <v>29</v>
      </c>
      <c r="BA194" s="8" t="s">
        <v>139</v>
      </c>
      <c r="BB194" s="8">
        <v>21</v>
      </c>
      <c r="BC194" s="8" t="s">
        <v>140</v>
      </c>
      <c r="BD194" s="8">
        <v>29</v>
      </c>
      <c r="BE194" s="8" t="s">
        <v>139</v>
      </c>
      <c r="BF194" s="8">
        <v>0</v>
      </c>
      <c r="BG194" s="8" t="s">
        <v>140</v>
      </c>
      <c r="BH194" s="8">
        <v>0</v>
      </c>
      <c r="BI194" s="8" t="s">
        <v>141</v>
      </c>
      <c r="BJ194" s="8">
        <v>100</v>
      </c>
      <c r="BK194" s="8" t="s">
        <v>142</v>
      </c>
      <c r="BL194" s="8">
        <v>600</v>
      </c>
      <c r="BM194" s="8" t="s">
        <v>143</v>
      </c>
      <c r="BN194" s="8">
        <v>800</v>
      </c>
      <c r="BQ194" s="8">
        <v>1</v>
      </c>
      <c r="BR194" s="8">
        <v>2500</v>
      </c>
      <c r="BS194" s="8">
        <v>2</v>
      </c>
      <c r="BT194" s="8">
        <v>2500</v>
      </c>
      <c r="BU194" s="8" t="s">
        <v>144</v>
      </c>
      <c r="BV194">
        <v>6</v>
      </c>
      <c r="BW194">
        <v>10</v>
      </c>
    </row>
    <row r="195" ht="16.5" customHeight="1" spans="2:75">
      <c r="B195" s="8">
        <f>60000000+INDEX(编号表!$B:$B,MATCH(J195,编号表!$A:$A,0))*10000+INDEX(编号表!$B:$B,MATCH(K195,编号表!$C:$C,0))*1000+L195</f>
        <v>60632191</v>
      </c>
      <c r="C195" s="8" t="s">
        <v>705</v>
      </c>
      <c r="D195" s="5" t="s">
        <v>706</v>
      </c>
      <c r="E195" s="5" t="s">
        <v>707</v>
      </c>
      <c r="F195" s="8">
        <v>60</v>
      </c>
      <c r="G195" s="8" t="str">
        <f>INDEX(编号表!$E:$E,MATCH(K195,编号表!$C:$C,0))</f>
        <v>绿色</v>
      </c>
      <c r="H195" s="8">
        <v>5</v>
      </c>
      <c r="I195" s="8" t="s">
        <v>704</v>
      </c>
      <c r="J195" s="8" t="s">
        <v>704</v>
      </c>
      <c r="K195" s="8" t="s">
        <v>196</v>
      </c>
      <c r="L195" s="8">
        <v>191</v>
      </c>
      <c r="M195" s="8">
        <v>191</v>
      </c>
      <c r="N195" s="8"/>
      <c r="O195" s="8"/>
      <c r="P195" s="8">
        <v>10</v>
      </c>
      <c r="Q195" s="8">
        <v>150000</v>
      </c>
      <c r="R195" s="8"/>
      <c r="S195" s="8"/>
      <c r="T195" s="8">
        <v>1</v>
      </c>
      <c r="U195" s="16">
        <v>40010001</v>
      </c>
      <c r="V195" s="8"/>
      <c r="X195" s="8">
        <v>11000001</v>
      </c>
      <c r="Z195" s="8"/>
      <c r="AA195" s="8" t="s">
        <v>130</v>
      </c>
      <c r="AB195" s="21">
        <v>20154</v>
      </c>
      <c r="AC195" s="8">
        <v>1</v>
      </c>
      <c r="AD195" s="8">
        <v>80</v>
      </c>
      <c r="AE195" s="8">
        <v>80</v>
      </c>
      <c r="AF195" s="8">
        <v>40</v>
      </c>
      <c r="AG195" s="8">
        <v>40</v>
      </c>
      <c r="AH195" s="8" t="s">
        <v>131</v>
      </c>
      <c r="AJ195" s="17"/>
      <c r="AL195" s="18">
        <v>255</v>
      </c>
      <c r="AM195" s="8" t="s">
        <v>132</v>
      </c>
      <c r="AN195" s="19">
        <v>1500</v>
      </c>
      <c r="AO195" s="8" t="s">
        <v>133</v>
      </c>
      <c r="AP195" s="8">
        <v>8</v>
      </c>
      <c r="AQ195" s="8" t="s">
        <v>134</v>
      </c>
      <c r="AR195" s="8">
        <v>12</v>
      </c>
      <c r="AS195" s="8" t="s">
        <v>135</v>
      </c>
      <c r="AT195" s="8">
        <v>8</v>
      </c>
      <c r="AU195" s="8" t="s">
        <v>136</v>
      </c>
      <c r="AV195" s="8">
        <v>11</v>
      </c>
      <c r="AW195" s="8" t="s">
        <v>137</v>
      </c>
      <c r="AX195" s="8">
        <v>21</v>
      </c>
      <c r="AY195" s="8" t="s">
        <v>138</v>
      </c>
      <c r="AZ195" s="8">
        <v>29</v>
      </c>
      <c r="BA195" s="8" t="s">
        <v>139</v>
      </c>
      <c r="BB195" s="8">
        <v>21</v>
      </c>
      <c r="BC195" s="8" t="s">
        <v>140</v>
      </c>
      <c r="BD195" s="8">
        <v>29</v>
      </c>
      <c r="BE195" s="8" t="s">
        <v>139</v>
      </c>
      <c r="BF195" s="8">
        <v>0</v>
      </c>
      <c r="BG195" s="8" t="s">
        <v>140</v>
      </c>
      <c r="BH195" s="8">
        <v>0</v>
      </c>
      <c r="BI195" s="8" t="s">
        <v>141</v>
      </c>
      <c r="BJ195" s="8">
        <v>100</v>
      </c>
      <c r="BK195" s="8" t="s">
        <v>142</v>
      </c>
      <c r="BL195" s="8">
        <v>120</v>
      </c>
      <c r="BM195" s="8" t="s">
        <v>143</v>
      </c>
      <c r="BN195" s="8">
        <v>600</v>
      </c>
      <c r="BQ195" s="8">
        <v>1</v>
      </c>
      <c r="BR195" s="8">
        <v>2500</v>
      </c>
      <c r="BS195" s="8">
        <v>2</v>
      </c>
      <c r="BT195" s="8">
        <v>2500</v>
      </c>
      <c r="BU195" s="8" t="s">
        <v>144</v>
      </c>
      <c r="BV195">
        <v>6</v>
      </c>
      <c r="BW195">
        <v>10</v>
      </c>
    </row>
    <row r="196" ht="16.5" customHeight="1" spans="2:75">
      <c r="B196" s="8">
        <f>60000000+INDEX(编号表!$B:$B,MATCH(J196,编号表!$A:$A,0))*10000+INDEX(编号表!$B:$B,MATCH(K196,编号表!$C:$C,0))*1000+L196</f>
        <v>60631192</v>
      </c>
      <c r="C196" s="8" t="s">
        <v>708</v>
      </c>
      <c r="D196" s="5" t="s">
        <v>706</v>
      </c>
      <c r="E196" s="5" t="s">
        <v>707</v>
      </c>
      <c r="F196" s="8">
        <v>60</v>
      </c>
      <c r="G196" s="8" t="str">
        <f>INDEX(编号表!$E:$E,MATCH(K196,编号表!$C:$C,0))</f>
        <v>白色</v>
      </c>
      <c r="H196" s="8">
        <v>5</v>
      </c>
      <c r="I196" s="8" t="s">
        <v>704</v>
      </c>
      <c r="J196" s="8" t="s">
        <v>704</v>
      </c>
      <c r="K196" s="8" t="s">
        <v>129</v>
      </c>
      <c r="L196" s="8">
        <v>192</v>
      </c>
      <c r="M196" s="8">
        <v>192</v>
      </c>
      <c r="N196" s="8"/>
      <c r="O196" s="8"/>
      <c r="P196" s="8">
        <v>10</v>
      </c>
      <c r="Q196" s="8">
        <v>150000</v>
      </c>
      <c r="R196" s="8"/>
      <c r="S196" s="8"/>
      <c r="T196" s="8">
        <v>1</v>
      </c>
      <c r="U196" s="16">
        <v>40010001</v>
      </c>
      <c r="V196" s="8"/>
      <c r="X196" s="8">
        <v>11000001</v>
      </c>
      <c r="Z196" s="8"/>
      <c r="AA196" s="8" t="s">
        <v>130</v>
      </c>
      <c r="AB196" s="21">
        <v>20154</v>
      </c>
      <c r="AC196" s="8">
        <v>1</v>
      </c>
      <c r="AD196" s="8">
        <v>80</v>
      </c>
      <c r="AE196" s="8">
        <v>80</v>
      </c>
      <c r="AF196" s="8">
        <v>40</v>
      </c>
      <c r="AG196" s="8">
        <v>40</v>
      </c>
      <c r="AH196" s="8" t="s">
        <v>131</v>
      </c>
      <c r="AJ196" s="17"/>
      <c r="AL196" s="18">
        <v>255</v>
      </c>
      <c r="AM196" s="8" t="s">
        <v>132</v>
      </c>
      <c r="AN196" s="19">
        <v>1500</v>
      </c>
      <c r="AO196" s="8" t="s">
        <v>133</v>
      </c>
      <c r="AP196" s="8">
        <v>8</v>
      </c>
      <c r="AQ196" s="8" t="s">
        <v>134</v>
      </c>
      <c r="AR196" s="8">
        <v>12</v>
      </c>
      <c r="AS196" s="8" t="s">
        <v>135</v>
      </c>
      <c r="AT196" s="8">
        <v>8</v>
      </c>
      <c r="AU196" s="8" t="s">
        <v>136</v>
      </c>
      <c r="AV196" s="8">
        <v>11</v>
      </c>
      <c r="AW196" s="8" t="s">
        <v>137</v>
      </c>
      <c r="AX196" s="8">
        <v>21</v>
      </c>
      <c r="AY196" s="8" t="s">
        <v>138</v>
      </c>
      <c r="AZ196" s="8">
        <v>29</v>
      </c>
      <c r="BA196" s="8" t="s">
        <v>139</v>
      </c>
      <c r="BB196" s="8">
        <v>21</v>
      </c>
      <c r="BC196" s="8" t="s">
        <v>140</v>
      </c>
      <c r="BD196" s="8">
        <v>29</v>
      </c>
      <c r="BE196" s="8" t="s">
        <v>139</v>
      </c>
      <c r="BF196" s="8">
        <v>0</v>
      </c>
      <c r="BG196" s="8" t="s">
        <v>140</v>
      </c>
      <c r="BH196" s="8">
        <v>0</v>
      </c>
      <c r="BI196" s="8" t="s">
        <v>141</v>
      </c>
      <c r="BJ196" s="8">
        <v>100</v>
      </c>
      <c r="BK196" s="8" t="s">
        <v>142</v>
      </c>
      <c r="BL196" s="8">
        <v>120</v>
      </c>
      <c r="BM196" s="8" t="s">
        <v>143</v>
      </c>
      <c r="BN196" s="8">
        <v>600</v>
      </c>
      <c r="BQ196" s="8">
        <v>1</v>
      </c>
      <c r="BR196" s="8">
        <v>2500</v>
      </c>
      <c r="BS196" s="8">
        <v>2</v>
      </c>
      <c r="BT196" s="8">
        <v>2500</v>
      </c>
      <c r="BU196" s="8" t="s">
        <v>144</v>
      </c>
      <c r="BV196">
        <v>6</v>
      </c>
      <c r="BW196">
        <v>10</v>
      </c>
    </row>
    <row r="197" ht="16.5" customHeight="1" spans="2:75">
      <c r="B197" s="8">
        <f>60000000+INDEX(编号表!$B:$B,MATCH(J197,编号表!$A:$A,0))*10000+INDEX(编号表!$B:$B,MATCH(K197,编号表!$C:$C,0))*1000+L197</f>
        <v>60631193</v>
      </c>
      <c r="C197" s="8" t="s">
        <v>709</v>
      </c>
      <c r="D197" s="5" t="s">
        <v>710</v>
      </c>
      <c r="E197" s="5" t="s">
        <v>711</v>
      </c>
      <c r="F197" s="8">
        <v>60</v>
      </c>
      <c r="G197" s="8" t="str">
        <f>INDEX(编号表!$E:$E,MATCH(K197,编号表!$C:$C,0))</f>
        <v>白色</v>
      </c>
      <c r="H197" s="8">
        <v>5</v>
      </c>
      <c r="I197" s="8" t="s">
        <v>704</v>
      </c>
      <c r="J197" s="8" t="s">
        <v>704</v>
      </c>
      <c r="K197" s="8" t="s">
        <v>129</v>
      </c>
      <c r="L197" s="8">
        <v>193</v>
      </c>
      <c r="M197" s="8">
        <v>193</v>
      </c>
      <c r="N197" s="8"/>
      <c r="O197" s="8"/>
      <c r="P197" s="8">
        <v>10</v>
      </c>
      <c r="Q197" s="8">
        <v>150000</v>
      </c>
      <c r="R197" s="8"/>
      <c r="S197" s="8"/>
      <c r="T197" s="8">
        <v>1</v>
      </c>
      <c r="U197" s="16">
        <v>40010001</v>
      </c>
      <c r="V197" s="8"/>
      <c r="X197" s="8">
        <v>11000001</v>
      </c>
      <c r="Z197" s="8"/>
      <c r="AA197" s="8" t="s">
        <v>130</v>
      </c>
      <c r="AB197" s="21">
        <v>20155</v>
      </c>
      <c r="AC197" s="8">
        <v>1</v>
      </c>
      <c r="AD197" s="8">
        <v>80</v>
      </c>
      <c r="AE197" s="8">
        <v>80</v>
      </c>
      <c r="AF197" s="8">
        <v>40</v>
      </c>
      <c r="AG197" s="8">
        <v>40</v>
      </c>
      <c r="AH197" s="8" t="s">
        <v>131</v>
      </c>
      <c r="AJ197" s="17"/>
      <c r="AL197" s="18">
        <v>255</v>
      </c>
      <c r="AM197" s="8" t="s">
        <v>132</v>
      </c>
      <c r="AN197" s="19">
        <v>1500</v>
      </c>
      <c r="AO197" s="8" t="s">
        <v>133</v>
      </c>
      <c r="AP197" s="8">
        <v>8</v>
      </c>
      <c r="AQ197" s="8" t="s">
        <v>134</v>
      </c>
      <c r="AR197" s="8">
        <v>12</v>
      </c>
      <c r="AS197" s="8" t="s">
        <v>135</v>
      </c>
      <c r="AT197" s="8">
        <v>8</v>
      </c>
      <c r="AU197" s="8" t="s">
        <v>136</v>
      </c>
      <c r="AV197" s="8">
        <v>11</v>
      </c>
      <c r="AW197" s="8" t="s">
        <v>137</v>
      </c>
      <c r="AX197" s="8">
        <v>21</v>
      </c>
      <c r="AY197" s="8" t="s">
        <v>138</v>
      </c>
      <c r="AZ197" s="8">
        <v>29</v>
      </c>
      <c r="BA197" s="8" t="s">
        <v>139</v>
      </c>
      <c r="BB197" s="8">
        <v>21</v>
      </c>
      <c r="BC197" s="8" t="s">
        <v>140</v>
      </c>
      <c r="BD197" s="8">
        <v>29</v>
      </c>
      <c r="BE197" s="8" t="s">
        <v>139</v>
      </c>
      <c r="BF197" s="8">
        <v>0</v>
      </c>
      <c r="BG197" s="8" t="s">
        <v>140</v>
      </c>
      <c r="BH197" s="8">
        <v>0</v>
      </c>
      <c r="BI197" s="8" t="s">
        <v>141</v>
      </c>
      <c r="BJ197" s="8">
        <v>100</v>
      </c>
      <c r="BK197" s="8" t="s">
        <v>142</v>
      </c>
      <c r="BL197" s="8">
        <v>120</v>
      </c>
      <c r="BM197" s="8" t="s">
        <v>143</v>
      </c>
      <c r="BN197" s="8">
        <v>600</v>
      </c>
      <c r="BQ197" s="8">
        <v>1</v>
      </c>
      <c r="BR197" s="8">
        <v>2500</v>
      </c>
      <c r="BS197" s="8">
        <v>2</v>
      </c>
      <c r="BT197" s="8">
        <v>2500</v>
      </c>
      <c r="BU197" s="8" t="s">
        <v>144</v>
      </c>
      <c r="BV197">
        <v>6</v>
      </c>
      <c r="BW197">
        <v>10</v>
      </c>
    </row>
    <row r="198" ht="16.5" customHeight="1" spans="2:75">
      <c r="B198" s="8">
        <v>60661194</v>
      </c>
      <c r="C198" s="8" t="s">
        <v>712</v>
      </c>
      <c r="D198" s="5" t="s">
        <v>713</v>
      </c>
      <c r="E198" s="5" t="s">
        <v>714</v>
      </c>
      <c r="F198" s="8">
        <v>0</v>
      </c>
      <c r="G198" s="8" t="s">
        <v>715</v>
      </c>
      <c r="J198" s="8" t="s">
        <v>716</v>
      </c>
      <c r="K198" s="8" t="s">
        <v>129</v>
      </c>
      <c r="L198" s="8">
        <v>194</v>
      </c>
      <c r="M198" s="8">
        <v>194</v>
      </c>
      <c r="N198" s="8">
        <v>0</v>
      </c>
      <c r="O198" s="8"/>
      <c r="P198" s="8">
        <v>10</v>
      </c>
      <c r="Q198" s="8">
        <v>150000</v>
      </c>
      <c r="R198" s="8" t="s">
        <v>717</v>
      </c>
      <c r="S198" s="8">
        <v>0</v>
      </c>
      <c r="T198" s="8">
        <v>0</v>
      </c>
      <c r="U198" s="16">
        <v>40010001</v>
      </c>
      <c r="V198" s="8"/>
      <c r="W198" s="8"/>
      <c r="X198" s="8">
        <v>11000001</v>
      </c>
      <c r="Y198" s="8"/>
      <c r="Z198" s="8"/>
      <c r="AA198" s="8" t="s">
        <v>130</v>
      </c>
      <c r="AB198" s="21">
        <v>20166</v>
      </c>
      <c r="AC198" s="8">
        <v>1</v>
      </c>
      <c r="AD198" s="8">
        <v>80</v>
      </c>
      <c r="AE198" s="8">
        <v>80</v>
      </c>
      <c r="AF198" s="8">
        <v>40</v>
      </c>
      <c r="AG198" s="8">
        <v>40</v>
      </c>
      <c r="AH198" s="8" t="s">
        <v>131</v>
      </c>
      <c r="AI198" s="8">
        <v>0</v>
      </c>
      <c r="AJ198" s="17">
        <v>0</v>
      </c>
      <c r="AK198" s="8">
        <v>0</v>
      </c>
      <c r="AL198" s="18">
        <v>0</v>
      </c>
      <c r="AM198" s="8"/>
      <c r="AN198" s="19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>
        <v>0</v>
      </c>
      <c r="BP198" s="8" t="s">
        <v>717</v>
      </c>
      <c r="BQ198" s="8">
        <v>1</v>
      </c>
      <c r="BR198" s="8">
        <v>2500</v>
      </c>
      <c r="BS198" s="8">
        <v>2</v>
      </c>
      <c r="BT198" s="8">
        <v>2500</v>
      </c>
      <c r="BU198" s="8" t="s">
        <v>144</v>
      </c>
      <c r="BV198" t="s">
        <v>718</v>
      </c>
      <c r="BW198">
        <v>1</v>
      </c>
    </row>
    <row r="199" ht="16.5" customHeight="1" spans="2:75">
      <c r="B199" s="8">
        <v>60661195</v>
      </c>
      <c r="C199" s="8" t="s">
        <v>719</v>
      </c>
      <c r="D199" s="5" t="s">
        <v>720</v>
      </c>
      <c r="E199" s="5" t="s">
        <v>721</v>
      </c>
      <c r="F199" s="8">
        <v>0</v>
      </c>
      <c r="G199" s="8" t="s">
        <v>715</v>
      </c>
      <c r="J199" s="8" t="s">
        <v>716</v>
      </c>
      <c r="K199" s="8" t="s">
        <v>129</v>
      </c>
      <c r="L199" s="8">
        <v>195</v>
      </c>
      <c r="M199" s="8">
        <v>195</v>
      </c>
      <c r="N199" s="8">
        <v>0</v>
      </c>
      <c r="O199" s="8"/>
      <c r="P199" s="8">
        <v>10</v>
      </c>
      <c r="Q199" s="8">
        <v>150000</v>
      </c>
      <c r="R199" s="8" t="s">
        <v>717</v>
      </c>
      <c r="S199" s="8">
        <v>0</v>
      </c>
      <c r="T199" s="8">
        <v>0</v>
      </c>
      <c r="U199" s="16">
        <v>40010001</v>
      </c>
      <c r="V199" s="8"/>
      <c r="W199" s="8"/>
      <c r="X199" s="8">
        <v>11000001</v>
      </c>
      <c r="Y199" s="8"/>
      <c r="Z199" s="8"/>
      <c r="AA199" s="8" t="s">
        <v>130</v>
      </c>
      <c r="AB199" s="21">
        <v>20167</v>
      </c>
      <c r="AC199" s="8">
        <v>1</v>
      </c>
      <c r="AD199" s="8">
        <v>80</v>
      </c>
      <c r="AE199" s="8">
        <v>80</v>
      </c>
      <c r="AF199" s="8">
        <v>40</v>
      </c>
      <c r="AG199" s="8">
        <v>40</v>
      </c>
      <c r="AH199" s="8" t="s">
        <v>131</v>
      </c>
      <c r="AI199" s="8">
        <v>0</v>
      </c>
      <c r="AJ199" s="17">
        <v>0</v>
      </c>
      <c r="AK199" s="8">
        <v>0</v>
      </c>
      <c r="AL199" s="18">
        <v>0</v>
      </c>
      <c r="AM199" s="8"/>
      <c r="AN199" s="19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>
        <v>0</v>
      </c>
      <c r="BP199" s="8" t="s">
        <v>717</v>
      </c>
      <c r="BQ199" s="8">
        <v>1</v>
      </c>
      <c r="BR199" s="8">
        <v>2500</v>
      </c>
      <c r="BS199" s="8">
        <v>2</v>
      </c>
      <c r="BT199" s="8">
        <v>2500</v>
      </c>
      <c r="BU199" s="8" t="s">
        <v>144</v>
      </c>
      <c r="BV199" t="s">
        <v>718</v>
      </c>
      <c r="BW199">
        <v>1</v>
      </c>
    </row>
    <row r="200" ht="16.5" customHeight="1" spans="2:75">
      <c r="B200" s="8">
        <v>60661196</v>
      </c>
      <c r="C200" s="8" t="s">
        <v>722</v>
      </c>
      <c r="D200" s="5" t="s">
        <v>723</v>
      </c>
      <c r="E200" s="5" t="s">
        <v>724</v>
      </c>
      <c r="F200" s="8">
        <v>0</v>
      </c>
      <c r="G200" s="8" t="s">
        <v>715</v>
      </c>
      <c r="J200" s="8" t="s">
        <v>716</v>
      </c>
      <c r="K200" s="8" t="s">
        <v>129</v>
      </c>
      <c r="L200" s="8">
        <v>196</v>
      </c>
      <c r="M200" s="8">
        <v>196</v>
      </c>
      <c r="N200" s="8">
        <v>0</v>
      </c>
      <c r="O200" s="8"/>
      <c r="P200" s="8">
        <v>10</v>
      </c>
      <c r="Q200" s="8">
        <v>150000</v>
      </c>
      <c r="R200" s="8" t="s">
        <v>717</v>
      </c>
      <c r="S200" s="8">
        <v>0</v>
      </c>
      <c r="T200" s="8">
        <v>0</v>
      </c>
      <c r="U200" s="16">
        <v>40010001</v>
      </c>
      <c r="V200" s="8"/>
      <c r="W200" s="8"/>
      <c r="X200" s="8">
        <v>11000001</v>
      </c>
      <c r="Y200" s="8"/>
      <c r="Z200" s="8"/>
      <c r="AA200" s="8" t="s">
        <v>130</v>
      </c>
      <c r="AB200" s="21">
        <v>20168</v>
      </c>
      <c r="AC200" s="8">
        <v>1</v>
      </c>
      <c r="AD200" s="8">
        <v>80</v>
      </c>
      <c r="AE200" s="8">
        <v>80</v>
      </c>
      <c r="AF200" s="8">
        <v>40</v>
      </c>
      <c r="AG200" s="8">
        <v>40</v>
      </c>
      <c r="AH200" s="8" t="s">
        <v>131</v>
      </c>
      <c r="AI200" s="8">
        <v>0</v>
      </c>
      <c r="AJ200" s="17">
        <v>0</v>
      </c>
      <c r="AK200" s="8">
        <v>0</v>
      </c>
      <c r="AL200" s="18">
        <v>0</v>
      </c>
      <c r="AM200" s="8"/>
      <c r="AN200" s="19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>
        <v>0</v>
      </c>
      <c r="BP200" s="8" t="s">
        <v>717</v>
      </c>
      <c r="BQ200" s="8">
        <v>1</v>
      </c>
      <c r="BR200" s="8">
        <v>2500</v>
      </c>
      <c r="BS200" s="8">
        <v>2</v>
      </c>
      <c r="BT200" s="8">
        <v>2500</v>
      </c>
      <c r="BU200" s="8" t="s">
        <v>144</v>
      </c>
      <c r="BV200" t="s">
        <v>718</v>
      </c>
      <c r="BW200">
        <v>1</v>
      </c>
    </row>
    <row r="201" ht="16.5" customHeight="1" spans="2:75">
      <c r="B201" s="8">
        <v>60662197</v>
      </c>
      <c r="C201" s="8" t="s">
        <v>725</v>
      </c>
      <c r="D201" s="5" t="s">
        <v>723</v>
      </c>
      <c r="E201" s="5" t="s">
        <v>724</v>
      </c>
      <c r="F201" s="8">
        <v>0</v>
      </c>
      <c r="G201" s="8" t="s">
        <v>726</v>
      </c>
      <c r="J201" s="8" t="s">
        <v>716</v>
      </c>
      <c r="K201" s="8" t="s">
        <v>196</v>
      </c>
      <c r="L201" s="8">
        <v>197</v>
      </c>
      <c r="M201" s="8">
        <v>197</v>
      </c>
      <c r="N201" s="8">
        <v>0</v>
      </c>
      <c r="O201" s="8"/>
      <c r="P201" s="8">
        <v>10</v>
      </c>
      <c r="Q201" s="8">
        <v>150000</v>
      </c>
      <c r="R201" s="8" t="s">
        <v>717</v>
      </c>
      <c r="S201" s="8">
        <v>0</v>
      </c>
      <c r="T201" s="8">
        <v>0</v>
      </c>
      <c r="U201" s="16">
        <v>40010001</v>
      </c>
      <c r="V201" s="8"/>
      <c r="W201" s="8"/>
      <c r="X201" s="8">
        <v>11000001</v>
      </c>
      <c r="Y201" s="8"/>
      <c r="Z201" s="8"/>
      <c r="AA201" s="8" t="s">
        <v>130</v>
      </c>
      <c r="AB201" s="21">
        <v>20168</v>
      </c>
      <c r="AC201" s="8">
        <v>1</v>
      </c>
      <c r="AD201" s="8">
        <v>80</v>
      </c>
      <c r="AE201" s="8">
        <v>80</v>
      </c>
      <c r="AF201" s="8">
        <v>40</v>
      </c>
      <c r="AG201" s="8">
        <v>40</v>
      </c>
      <c r="AH201" s="8" t="s">
        <v>131</v>
      </c>
      <c r="AI201" s="8">
        <v>0</v>
      </c>
      <c r="AJ201" s="17">
        <v>0</v>
      </c>
      <c r="AK201" s="8">
        <v>0</v>
      </c>
      <c r="AL201" s="18">
        <v>0</v>
      </c>
      <c r="AM201" s="8"/>
      <c r="AN201" s="19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>
        <v>0</v>
      </c>
      <c r="BP201" s="8" t="s">
        <v>717</v>
      </c>
      <c r="BQ201" s="8">
        <v>1</v>
      </c>
      <c r="BR201" s="8">
        <v>2500</v>
      </c>
      <c r="BS201" s="8">
        <v>2</v>
      </c>
      <c r="BT201" s="8">
        <v>2500</v>
      </c>
      <c r="BU201" s="8" t="s">
        <v>144</v>
      </c>
      <c r="BV201" t="s">
        <v>718</v>
      </c>
      <c r="BW201">
        <v>1</v>
      </c>
    </row>
    <row r="202" ht="16.5" customHeight="1" spans="2:75">
      <c r="B202" s="8">
        <v>60671198</v>
      </c>
      <c r="C202" s="8" t="s">
        <v>727</v>
      </c>
      <c r="D202" s="5" t="s">
        <v>728</v>
      </c>
      <c r="E202" s="5" t="s">
        <v>729</v>
      </c>
      <c r="F202" s="8">
        <v>0</v>
      </c>
      <c r="G202" s="8" t="s">
        <v>715</v>
      </c>
      <c r="J202" s="8" t="s">
        <v>730</v>
      </c>
      <c r="K202" s="8" t="s">
        <v>129</v>
      </c>
      <c r="L202" s="8">
        <v>198</v>
      </c>
      <c r="M202" s="8">
        <v>198</v>
      </c>
      <c r="N202" s="8">
        <v>0</v>
      </c>
      <c r="O202" s="8"/>
      <c r="P202" s="8">
        <v>10</v>
      </c>
      <c r="Q202" s="8">
        <v>150000</v>
      </c>
      <c r="R202" s="8" t="s">
        <v>717</v>
      </c>
      <c r="S202" s="8">
        <v>0</v>
      </c>
      <c r="T202" s="8">
        <v>0</v>
      </c>
      <c r="U202" s="16">
        <v>40010001</v>
      </c>
      <c r="V202" s="8"/>
      <c r="W202" s="8"/>
      <c r="X202" s="8">
        <v>11000001</v>
      </c>
      <c r="Y202" s="8"/>
      <c r="Z202" s="8"/>
      <c r="AA202" s="8" t="s">
        <v>130</v>
      </c>
      <c r="AB202" s="21">
        <v>20169</v>
      </c>
      <c r="AC202" s="8">
        <v>1</v>
      </c>
      <c r="AD202" s="8">
        <v>80</v>
      </c>
      <c r="AE202" s="8">
        <v>80</v>
      </c>
      <c r="AF202" s="8">
        <v>40</v>
      </c>
      <c r="AG202" s="8">
        <v>40</v>
      </c>
      <c r="AH202" s="8" t="s">
        <v>131</v>
      </c>
      <c r="AI202" s="8">
        <v>0</v>
      </c>
      <c r="AJ202" s="17">
        <v>0</v>
      </c>
      <c r="AK202" s="8">
        <v>0</v>
      </c>
      <c r="AL202" s="18">
        <v>0</v>
      </c>
      <c r="AM202" s="8"/>
      <c r="AN202" s="19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>
        <v>0</v>
      </c>
      <c r="BP202" s="8" t="s">
        <v>717</v>
      </c>
      <c r="BQ202" s="8">
        <v>1</v>
      </c>
      <c r="BR202" s="8">
        <v>2500</v>
      </c>
      <c r="BS202" s="8">
        <v>2</v>
      </c>
      <c r="BT202" s="8">
        <v>2500</v>
      </c>
      <c r="BU202" s="8" t="s">
        <v>144</v>
      </c>
      <c r="BV202" t="s">
        <v>718</v>
      </c>
      <c r="BW202">
        <v>1</v>
      </c>
    </row>
    <row r="203" ht="16.5" customHeight="1" spans="2:75">
      <c r="B203" s="8">
        <v>60671199</v>
      </c>
      <c r="C203" s="8" t="s">
        <v>731</v>
      </c>
      <c r="D203" s="5" t="s">
        <v>732</v>
      </c>
      <c r="E203" s="5" t="s">
        <v>733</v>
      </c>
      <c r="F203" s="8">
        <v>0</v>
      </c>
      <c r="G203" s="8" t="s">
        <v>715</v>
      </c>
      <c r="J203" s="8" t="s">
        <v>730</v>
      </c>
      <c r="K203" s="8" t="s">
        <v>129</v>
      </c>
      <c r="L203" s="8">
        <v>199</v>
      </c>
      <c r="M203" s="8">
        <v>199</v>
      </c>
      <c r="N203" s="8">
        <v>0</v>
      </c>
      <c r="O203" s="8"/>
      <c r="P203" s="8">
        <v>10</v>
      </c>
      <c r="Q203" s="8">
        <v>150000</v>
      </c>
      <c r="R203" s="8" t="s">
        <v>717</v>
      </c>
      <c r="S203" s="8">
        <v>0</v>
      </c>
      <c r="T203" s="8">
        <v>0</v>
      </c>
      <c r="U203" s="16">
        <v>40010001</v>
      </c>
      <c r="V203" s="8"/>
      <c r="W203" s="8"/>
      <c r="X203" s="8">
        <v>11000001</v>
      </c>
      <c r="Y203" s="8"/>
      <c r="Z203" s="8"/>
      <c r="AA203" s="8" t="s">
        <v>130</v>
      </c>
      <c r="AB203" s="21">
        <v>20170</v>
      </c>
      <c r="AC203" s="8">
        <v>1</v>
      </c>
      <c r="AD203" s="8">
        <v>80</v>
      </c>
      <c r="AE203" s="8">
        <v>80</v>
      </c>
      <c r="AF203" s="8">
        <v>40</v>
      </c>
      <c r="AG203" s="8">
        <v>40</v>
      </c>
      <c r="AH203" s="8" t="s">
        <v>131</v>
      </c>
      <c r="AI203" s="8">
        <v>0</v>
      </c>
      <c r="AJ203" s="17">
        <v>0</v>
      </c>
      <c r="AK203" s="8">
        <v>0</v>
      </c>
      <c r="AL203" s="18">
        <v>0</v>
      </c>
      <c r="AM203" s="8"/>
      <c r="AN203" s="19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>
        <v>0</v>
      </c>
      <c r="BP203" s="8" t="s">
        <v>717</v>
      </c>
      <c r="BQ203" s="8">
        <v>1</v>
      </c>
      <c r="BR203" s="8">
        <v>2500</v>
      </c>
      <c r="BS203" s="8">
        <v>2</v>
      </c>
      <c r="BT203" s="8">
        <v>2500</v>
      </c>
      <c r="BU203" s="8" t="s">
        <v>144</v>
      </c>
      <c r="BV203" t="s">
        <v>718</v>
      </c>
      <c r="BW203">
        <v>1</v>
      </c>
    </row>
    <row r="204" ht="16.5" customHeight="1" spans="2:75">
      <c r="B204" s="8">
        <v>60671200</v>
      </c>
      <c r="C204" s="8" t="s">
        <v>734</v>
      </c>
      <c r="D204" s="5" t="s">
        <v>735</v>
      </c>
      <c r="E204" s="5" t="s">
        <v>736</v>
      </c>
      <c r="F204" s="8">
        <v>0</v>
      </c>
      <c r="G204" s="8" t="s">
        <v>715</v>
      </c>
      <c r="J204" s="8" t="s">
        <v>730</v>
      </c>
      <c r="K204" s="8" t="s">
        <v>129</v>
      </c>
      <c r="L204" s="8">
        <v>200</v>
      </c>
      <c r="M204" s="8">
        <v>200</v>
      </c>
      <c r="N204" s="8">
        <v>0</v>
      </c>
      <c r="O204" s="8"/>
      <c r="P204" s="8">
        <v>10</v>
      </c>
      <c r="Q204" s="8">
        <v>150000</v>
      </c>
      <c r="R204" s="8" t="s">
        <v>717</v>
      </c>
      <c r="S204" s="8">
        <v>0</v>
      </c>
      <c r="T204" s="8">
        <v>0</v>
      </c>
      <c r="U204" s="16">
        <v>40010001</v>
      </c>
      <c r="V204" s="8"/>
      <c r="W204" s="8"/>
      <c r="X204" s="8">
        <v>11000001</v>
      </c>
      <c r="Y204" s="8"/>
      <c r="Z204" s="8"/>
      <c r="AA204" s="8" t="s">
        <v>130</v>
      </c>
      <c r="AB204" s="21">
        <v>20171</v>
      </c>
      <c r="AC204" s="8">
        <v>1</v>
      </c>
      <c r="AD204" s="8">
        <v>80</v>
      </c>
      <c r="AE204" s="8">
        <v>80</v>
      </c>
      <c r="AF204" s="8">
        <v>40</v>
      </c>
      <c r="AG204" s="8">
        <v>40</v>
      </c>
      <c r="AH204" s="8" t="s">
        <v>131</v>
      </c>
      <c r="AI204" s="8">
        <v>0</v>
      </c>
      <c r="AJ204" s="17">
        <v>0</v>
      </c>
      <c r="AK204" s="8">
        <v>0</v>
      </c>
      <c r="AL204" s="18">
        <v>0</v>
      </c>
      <c r="AM204" s="8"/>
      <c r="AN204" s="19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>
        <v>0</v>
      </c>
      <c r="BP204" s="8" t="s">
        <v>717</v>
      </c>
      <c r="BQ204" s="8">
        <v>1</v>
      </c>
      <c r="BR204" s="8">
        <v>2500</v>
      </c>
      <c r="BS204" s="8">
        <v>2</v>
      </c>
      <c r="BT204" s="8">
        <v>2500</v>
      </c>
      <c r="BU204" s="8" t="s">
        <v>144</v>
      </c>
      <c r="BV204" t="s">
        <v>718</v>
      </c>
      <c r="BW204">
        <v>1</v>
      </c>
    </row>
    <row r="205" ht="16.5" customHeight="1" spans="2:75">
      <c r="B205" s="8">
        <v>60672201</v>
      </c>
      <c r="C205" s="8" t="s">
        <v>737</v>
      </c>
      <c r="D205" s="5" t="s">
        <v>735</v>
      </c>
      <c r="E205" s="5" t="s">
        <v>736</v>
      </c>
      <c r="F205" s="8">
        <v>0</v>
      </c>
      <c r="G205" s="8" t="s">
        <v>726</v>
      </c>
      <c r="J205" s="8" t="s">
        <v>730</v>
      </c>
      <c r="K205" s="8" t="s">
        <v>196</v>
      </c>
      <c r="L205" s="8">
        <v>201</v>
      </c>
      <c r="M205" s="8">
        <v>201</v>
      </c>
      <c r="N205" s="8">
        <v>0</v>
      </c>
      <c r="O205" s="8"/>
      <c r="P205" s="8">
        <v>10</v>
      </c>
      <c r="Q205" s="8">
        <v>150000</v>
      </c>
      <c r="R205" s="8" t="s">
        <v>717</v>
      </c>
      <c r="S205" s="8">
        <v>0</v>
      </c>
      <c r="T205" s="8">
        <v>0</v>
      </c>
      <c r="U205" s="16">
        <v>40010001</v>
      </c>
      <c r="V205" s="8"/>
      <c r="W205" s="8"/>
      <c r="X205" s="8">
        <v>11000001</v>
      </c>
      <c r="Y205" s="8"/>
      <c r="Z205" s="8"/>
      <c r="AA205" s="8" t="s">
        <v>130</v>
      </c>
      <c r="AB205" s="21">
        <v>20171</v>
      </c>
      <c r="AC205" s="8">
        <v>1</v>
      </c>
      <c r="AD205" s="8">
        <v>80</v>
      </c>
      <c r="AE205" s="8">
        <v>80</v>
      </c>
      <c r="AF205" s="8">
        <v>40</v>
      </c>
      <c r="AG205" s="8">
        <v>40</v>
      </c>
      <c r="AH205" s="8" t="s">
        <v>131</v>
      </c>
      <c r="AI205" s="8">
        <v>0</v>
      </c>
      <c r="AJ205" s="17">
        <v>0</v>
      </c>
      <c r="AK205" s="8">
        <v>0</v>
      </c>
      <c r="AL205" s="18">
        <v>0</v>
      </c>
      <c r="AM205" s="8"/>
      <c r="AN205" s="19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>
        <v>0</v>
      </c>
      <c r="BP205" s="8" t="s">
        <v>717</v>
      </c>
      <c r="BQ205" s="8">
        <v>1</v>
      </c>
      <c r="BR205" s="8">
        <v>2500</v>
      </c>
      <c r="BS205" s="8">
        <v>2</v>
      </c>
      <c r="BT205" s="8">
        <v>2500</v>
      </c>
      <c r="BU205" s="8" t="s">
        <v>144</v>
      </c>
      <c r="BV205" t="s">
        <v>718</v>
      </c>
      <c r="BW205">
        <v>1</v>
      </c>
    </row>
    <row r="206" ht="16.5" customHeight="1" spans="2:75">
      <c r="B206" s="8">
        <v>60681203</v>
      </c>
      <c r="C206" s="8" t="s">
        <v>738</v>
      </c>
      <c r="D206" s="5" t="s">
        <v>739</v>
      </c>
      <c r="E206" s="5" t="s">
        <v>740</v>
      </c>
      <c r="F206" s="8">
        <v>0</v>
      </c>
      <c r="G206" s="8" t="s">
        <v>715</v>
      </c>
      <c r="J206" s="8" t="s">
        <v>741</v>
      </c>
      <c r="K206" s="8" t="s">
        <v>129</v>
      </c>
      <c r="L206" s="8">
        <v>202</v>
      </c>
      <c r="M206" s="8">
        <v>202</v>
      </c>
      <c r="N206" s="8">
        <v>0</v>
      </c>
      <c r="O206" s="8"/>
      <c r="P206" s="8">
        <v>10</v>
      </c>
      <c r="Q206" s="8">
        <v>150000</v>
      </c>
      <c r="R206" s="8" t="s">
        <v>717</v>
      </c>
      <c r="S206" s="8">
        <v>0</v>
      </c>
      <c r="T206" s="8">
        <v>0</v>
      </c>
      <c r="U206" s="16">
        <v>40010001</v>
      </c>
      <c r="V206" s="8"/>
      <c r="W206" s="8"/>
      <c r="X206" s="8">
        <v>11000001</v>
      </c>
      <c r="Y206" s="8"/>
      <c r="Z206" s="8"/>
      <c r="AA206" s="8" t="s">
        <v>130</v>
      </c>
      <c r="AB206" s="21">
        <v>20173</v>
      </c>
      <c r="AC206" s="8">
        <v>1</v>
      </c>
      <c r="AD206" s="8">
        <v>80</v>
      </c>
      <c r="AE206" s="8">
        <v>80</v>
      </c>
      <c r="AF206" s="8">
        <v>40</v>
      </c>
      <c r="AG206" s="8">
        <v>40</v>
      </c>
      <c r="AH206" s="8" t="s">
        <v>131</v>
      </c>
      <c r="AI206" s="8">
        <v>0</v>
      </c>
      <c r="AJ206" s="17">
        <v>0</v>
      </c>
      <c r="AK206" s="8">
        <v>0</v>
      </c>
      <c r="AL206" s="18">
        <v>0</v>
      </c>
      <c r="AM206" s="8"/>
      <c r="AN206" s="19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>
        <v>0</v>
      </c>
      <c r="BP206" s="8" t="s">
        <v>717</v>
      </c>
      <c r="BQ206" s="8">
        <v>1</v>
      </c>
      <c r="BR206" s="8">
        <v>2500</v>
      </c>
      <c r="BS206" s="8">
        <v>2</v>
      </c>
      <c r="BT206" s="8">
        <v>2500</v>
      </c>
      <c r="BU206" s="8" t="s">
        <v>144</v>
      </c>
      <c r="BV206" t="s">
        <v>718</v>
      </c>
      <c r="BW206">
        <v>1</v>
      </c>
    </row>
    <row r="207" ht="16.5" customHeight="1" spans="2:75">
      <c r="B207" s="8">
        <v>60681204</v>
      </c>
      <c r="C207" s="8" t="s">
        <v>742</v>
      </c>
      <c r="D207" s="5" t="s">
        <v>743</v>
      </c>
      <c r="E207" s="5" t="s">
        <v>744</v>
      </c>
      <c r="F207" s="8">
        <v>0</v>
      </c>
      <c r="G207" s="8" t="s">
        <v>715</v>
      </c>
      <c r="J207" s="8" t="s">
        <v>741</v>
      </c>
      <c r="K207" s="8" t="s">
        <v>129</v>
      </c>
      <c r="L207" s="8">
        <v>203</v>
      </c>
      <c r="M207" s="8">
        <v>203</v>
      </c>
      <c r="N207" s="8">
        <v>0</v>
      </c>
      <c r="O207" s="8"/>
      <c r="P207" s="8">
        <v>10</v>
      </c>
      <c r="Q207" s="8">
        <v>150000</v>
      </c>
      <c r="R207" s="8" t="s">
        <v>717</v>
      </c>
      <c r="S207" s="8">
        <v>0</v>
      </c>
      <c r="T207" s="8">
        <v>0</v>
      </c>
      <c r="U207" s="16">
        <v>40010001</v>
      </c>
      <c r="V207" s="8"/>
      <c r="W207" s="8"/>
      <c r="X207" s="8">
        <v>11000001</v>
      </c>
      <c r="Y207" s="8"/>
      <c r="Z207" s="8"/>
      <c r="AA207" s="8" t="s">
        <v>130</v>
      </c>
      <c r="AB207" s="21">
        <v>20174</v>
      </c>
      <c r="AC207" s="8">
        <v>1</v>
      </c>
      <c r="AD207" s="8">
        <v>80</v>
      </c>
      <c r="AE207" s="8">
        <v>80</v>
      </c>
      <c r="AF207" s="8">
        <v>40</v>
      </c>
      <c r="AG207" s="8">
        <v>40</v>
      </c>
      <c r="AH207" s="8" t="s">
        <v>131</v>
      </c>
      <c r="AI207" s="8">
        <v>0</v>
      </c>
      <c r="AJ207" s="17">
        <v>0</v>
      </c>
      <c r="AK207" s="8">
        <v>0</v>
      </c>
      <c r="AL207" s="18">
        <v>0</v>
      </c>
      <c r="AM207" s="8"/>
      <c r="AN207" s="19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>
        <v>0</v>
      </c>
      <c r="BP207" s="8" t="s">
        <v>717</v>
      </c>
      <c r="BQ207" s="8">
        <v>1</v>
      </c>
      <c r="BR207" s="8">
        <v>2500</v>
      </c>
      <c r="BS207" s="8">
        <v>2</v>
      </c>
      <c r="BT207" s="8">
        <v>2500</v>
      </c>
      <c r="BU207" s="8" t="s">
        <v>144</v>
      </c>
      <c r="BV207" t="s">
        <v>718</v>
      </c>
      <c r="BW207">
        <v>1</v>
      </c>
    </row>
    <row r="208" ht="16.5" customHeight="1" spans="2:75">
      <c r="B208" s="8">
        <v>60682205</v>
      </c>
      <c r="C208" s="8" t="s">
        <v>745</v>
      </c>
      <c r="D208" s="5" t="s">
        <v>743</v>
      </c>
      <c r="E208" s="5" t="s">
        <v>744</v>
      </c>
      <c r="F208" s="8">
        <v>0</v>
      </c>
      <c r="G208" s="8" t="s">
        <v>726</v>
      </c>
      <c r="J208" s="8" t="s">
        <v>741</v>
      </c>
      <c r="K208" s="8" t="s">
        <v>196</v>
      </c>
      <c r="L208" s="8">
        <v>204</v>
      </c>
      <c r="M208" s="8">
        <v>204</v>
      </c>
      <c r="N208" s="8">
        <v>0</v>
      </c>
      <c r="O208" s="8"/>
      <c r="P208" s="8">
        <v>10</v>
      </c>
      <c r="Q208" s="8">
        <v>150000</v>
      </c>
      <c r="R208" s="8" t="s">
        <v>717</v>
      </c>
      <c r="S208" s="8">
        <v>0</v>
      </c>
      <c r="T208" s="8">
        <v>0</v>
      </c>
      <c r="U208" s="16">
        <v>40010001</v>
      </c>
      <c r="V208" s="8"/>
      <c r="W208" s="8"/>
      <c r="X208" s="8">
        <v>11000001</v>
      </c>
      <c r="Y208" s="8"/>
      <c r="Z208" s="8"/>
      <c r="AA208" s="8" t="s">
        <v>130</v>
      </c>
      <c r="AB208" s="21">
        <v>20174</v>
      </c>
      <c r="AC208" s="8">
        <v>1</v>
      </c>
      <c r="AD208" s="8">
        <v>80</v>
      </c>
      <c r="AE208" s="8">
        <v>80</v>
      </c>
      <c r="AF208" s="8">
        <v>40</v>
      </c>
      <c r="AG208" s="8">
        <v>40</v>
      </c>
      <c r="AH208" s="8" t="s">
        <v>131</v>
      </c>
      <c r="AI208" s="8">
        <v>0</v>
      </c>
      <c r="AJ208" s="17">
        <v>0</v>
      </c>
      <c r="AK208" s="8">
        <v>0</v>
      </c>
      <c r="AL208" s="18">
        <v>0</v>
      </c>
      <c r="AM208" s="8"/>
      <c r="AN208" s="19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>
        <v>0</v>
      </c>
      <c r="BP208" s="8" t="s">
        <v>717</v>
      </c>
      <c r="BQ208" s="8">
        <v>1</v>
      </c>
      <c r="BR208" s="8">
        <v>2500</v>
      </c>
      <c r="BS208" s="8">
        <v>2</v>
      </c>
      <c r="BT208" s="8">
        <v>2500</v>
      </c>
      <c r="BU208" s="8" t="s">
        <v>144</v>
      </c>
      <c r="BV208" t="s">
        <v>718</v>
      </c>
      <c r="BW208">
        <v>1</v>
      </c>
    </row>
    <row r="209" ht="16.5" customHeight="1" spans="2:75">
      <c r="B209" s="8">
        <v>60684206</v>
      </c>
      <c r="C209" s="8" t="s">
        <v>746</v>
      </c>
      <c r="D209" s="5" t="s">
        <v>747</v>
      </c>
      <c r="E209" s="5" t="s">
        <v>748</v>
      </c>
      <c r="F209" s="8">
        <v>0</v>
      </c>
      <c r="G209" s="8" t="s">
        <v>749</v>
      </c>
      <c r="J209" s="8" t="s">
        <v>741</v>
      </c>
      <c r="K209" s="8" t="s">
        <v>246</v>
      </c>
      <c r="L209" s="8">
        <v>205</v>
      </c>
      <c r="M209" s="8">
        <v>205</v>
      </c>
      <c r="N209" s="8">
        <v>0</v>
      </c>
      <c r="O209" s="8"/>
      <c r="P209" s="8">
        <v>10</v>
      </c>
      <c r="Q209" s="8">
        <v>150000</v>
      </c>
      <c r="R209" s="8" t="s">
        <v>717</v>
      </c>
      <c r="S209" s="8">
        <v>0</v>
      </c>
      <c r="T209" s="8">
        <v>0</v>
      </c>
      <c r="U209" s="16">
        <v>40010001</v>
      </c>
      <c r="V209" s="8"/>
      <c r="W209" s="8"/>
      <c r="X209" s="8">
        <v>11000001</v>
      </c>
      <c r="Y209" s="8"/>
      <c r="Z209" s="8"/>
      <c r="AA209" s="8" t="s">
        <v>130</v>
      </c>
      <c r="AB209" s="21">
        <v>20172</v>
      </c>
      <c r="AC209" s="8">
        <v>1</v>
      </c>
      <c r="AD209" s="8">
        <v>80</v>
      </c>
      <c r="AE209" s="8">
        <v>80</v>
      </c>
      <c r="AF209" s="8">
        <v>40</v>
      </c>
      <c r="AG209" s="8">
        <v>40</v>
      </c>
      <c r="AH209" s="8" t="s">
        <v>131</v>
      </c>
      <c r="AI209" s="8">
        <v>0</v>
      </c>
      <c r="AJ209" s="17">
        <v>0</v>
      </c>
      <c r="AK209" s="8">
        <v>0</v>
      </c>
      <c r="AL209" s="18">
        <v>0</v>
      </c>
      <c r="AM209" s="8"/>
      <c r="AN209" s="19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>
        <v>0</v>
      </c>
      <c r="BP209" s="8" t="s">
        <v>717</v>
      </c>
      <c r="BQ209" s="8">
        <v>1</v>
      </c>
      <c r="BR209" s="8">
        <v>2500</v>
      </c>
      <c r="BS209" s="8">
        <v>2</v>
      </c>
      <c r="BT209" s="8">
        <v>2500</v>
      </c>
      <c r="BU209" s="8" t="s">
        <v>144</v>
      </c>
      <c r="BV209" t="s">
        <v>718</v>
      </c>
      <c r="BW209">
        <v>1</v>
      </c>
    </row>
    <row r="210" ht="16.5" customHeight="1" spans="2:75">
      <c r="B210" s="8">
        <v>60691207</v>
      </c>
      <c r="C210" s="8" t="s">
        <v>750</v>
      </c>
      <c r="D210" s="5" t="s">
        <v>751</v>
      </c>
      <c r="E210" s="5" t="s">
        <v>752</v>
      </c>
      <c r="F210" s="8">
        <v>0</v>
      </c>
      <c r="G210" s="8" t="s">
        <v>715</v>
      </c>
      <c r="J210" s="8" t="s">
        <v>753</v>
      </c>
      <c r="K210" s="8" t="s">
        <v>129</v>
      </c>
      <c r="L210" s="8">
        <v>206</v>
      </c>
      <c r="M210" s="8">
        <v>206</v>
      </c>
      <c r="N210" s="8">
        <v>0</v>
      </c>
      <c r="O210" s="8"/>
      <c r="P210" s="8">
        <v>10</v>
      </c>
      <c r="Q210" s="8">
        <v>150000</v>
      </c>
      <c r="R210" s="8" t="s">
        <v>717</v>
      </c>
      <c r="S210" s="8">
        <v>0</v>
      </c>
      <c r="T210" s="8">
        <v>0</v>
      </c>
      <c r="U210" s="16">
        <v>40010001</v>
      </c>
      <c r="V210" s="8"/>
      <c r="W210" s="8"/>
      <c r="X210" s="8">
        <v>11000001</v>
      </c>
      <c r="Y210" s="8"/>
      <c r="Z210" s="8"/>
      <c r="AA210" s="8" t="s">
        <v>130</v>
      </c>
      <c r="AB210" s="21">
        <v>20175</v>
      </c>
      <c r="AC210" s="8">
        <v>1</v>
      </c>
      <c r="AD210" s="8">
        <v>80</v>
      </c>
      <c r="AE210" s="8">
        <v>80</v>
      </c>
      <c r="AF210" s="8">
        <v>40</v>
      </c>
      <c r="AG210" s="8">
        <v>40</v>
      </c>
      <c r="AH210" s="8" t="s">
        <v>131</v>
      </c>
      <c r="AI210" s="8">
        <v>0</v>
      </c>
      <c r="AJ210" s="17">
        <v>0</v>
      </c>
      <c r="AK210" s="8">
        <v>0</v>
      </c>
      <c r="AL210" s="18">
        <v>0</v>
      </c>
      <c r="AM210" s="8"/>
      <c r="AN210" s="19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>
        <v>0</v>
      </c>
      <c r="BP210" s="8" t="s">
        <v>717</v>
      </c>
      <c r="BQ210" s="8">
        <v>1</v>
      </c>
      <c r="BR210" s="8">
        <v>2500</v>
      </c>
      <c r="BS210" s="8">
        <v>2</v>
      </c>
      <c r="BT210" s="8">
        <v>2500</v>
      </c>
      <c r="BU210" s="8" t="s">
        <v>144</v>
      </c>
      <c r="BV210" t="s">
        <v>718</v>
      </c>
      <c r="BW210">
        <v>1</v>
      </c>
    </row>
    <row r="211" ht="16.5" customHeight="1" spans="2:75">
      <c r="B211" s="8">
        <v>60701208</v>
      </c>
      <c r="C211" s="8" t="s">
        <v>754</v>
      </c>
      <c r="D211" s="5" t="s">
        <v>755</v>
      </c>
      <c r="E211" s="5" t="s">
        <v>756</v>
      </c>
      <c r="F211" s="8">
        <v>0</v>
      </c>
      <c r="G211" s="8" t="s">
        <v>715</v>
      </c>
      <c r="J211" s="8" t="s">
        <v>757</v>
      </c>
      <c r="K211" s="8" t="s">
        <v>129</v>
      </c>
      <c r="L211" s="8">
        <v>207</v>
      </c>
      <c r="M211" s="8">
        <v>207</v>
      </c>
      <c r="N211" s="8">
        <v>0</v>
      </c>
      <c r="O211" s="8"/>
      <c r="P211" s="8">
        <v>10</v>
      </c>
      <c r="Q211" s="8">
        <v>150000</v>
      </c>
      <c r="R211" s="8" t="s">
        <v>717</v>
      </c>
      <c r="S211" s="8">
        <v>0</v>
      </c>
      <c r="T211" s="8">
        <v>0</v>
      </c>
      <c r="U211" s="16">
        <v>40010001</v>
      </c>
      <c r="V211" s="8"/>
      <c r="W211" s="8"/>
      <c r="X211" s="8">
        <v>11000001</v>
      </c>
      <c r="Y211" s="8"/>
      <c r="Z211" s="8"/>
      <c r="AA211" s="8" t="s">
        <v>130</v>
      </c>
      <c r="AB211" s="21">
        <v>20176</v>
      </c>
      <c r="AC211" s="8">
        <v>1</v>
      </c>
      <c r="AD211" s="8">
        <v>80</v>
      </c>
      <c r="AE211" s="8">
        <v>80</v>
      </c>
      <c r="AF211" s="8">
        <v>40</v>
      </c>
      <c r="AG211" s="8">
        <v>40</v>
      </c>
      <c r="AH211" s="8" t="s">
        <v>131</v>
      </c>
      <c r="AI211" s="8">
        <v>0</v>
      </c>
      <c r="AJ211" s="17">
        <v>0</v>
      </c>
      <c r="AK211" s="8">
        <v>0</v>
      </c>
      <c r="AL211" s="18">
        <v>0</v>
      </c>
      <c r="AM211" s="8"/>
      <c r="AN211" s="19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>
        <v>0</v>
      </c>
      <c r="BP211" s="8" t="s">
        <v>717</v>
      </c>
      <c r="BQ211" s="8">
        <v>1</v>
      </c>
      <c r="BR211" s="8">
        <v>2500</v>
      </c>
      <c r="BS211" s="8">
        <v>2</v>
      </c>
      <c r="BT211" s="8">
        <v>2500</v>
      </c>
      <c r="BU211" s="8" t="s">
        <v>144</v>
      </c>
      <c r="BV211" t="s">
        <v>718</v>
      </c>
      <c r="BW211">
        <v>1</v>
      </c>
    </row>
    <row r="212" ht="16.5" customHeight="1" spans="2:75">
      <c r="B212" s="8">
        <v>60711209</v>
      </c>
      <c r="C212" s="8" t="s">
        <v>758</v>
      </c>
      <c r="D212" s="5" t="s">
        <v>759</v>
      </c>
      <c r="E212" s="5" t="s">
        <v>760</v>
      </c>
      <c r="F212" s="8">
        <v>0</v>
      </c>
      <c r="G212" s="8" t="s">
        <v>715</v>
      </c>
      <c r="J212" s="8" t="s">
        <v>761</v>
      </c>
      <c r="K212" s="8" t="s">
        <v>129</v>
      </c>
      <c r="L212" s="8">
        <v>208</v>
      </c>
      <c r="M212" s="8">
        <v>208</v>
      </c>
      <c r="N212" s="8">
        <v>0</v>
      </c>
      <c r="O212" s="8"/>
      <c r="P212" s="8">
        <v>10</v>
      </c>
      <c r="Q212" s="8">
        <v>150000</v>
      </c>
      <c r="R212" s="8" t="s">
        <v>717</v>
      </c>
      <c r="S212" s="8">
        <v>0</v>
      </c>
      <c r="T212" s="8">
        <v>0</v>
      </c>
      <c r="U212" s="16">
        <v>40010001</v>
      </c>
      <c r="V212" s="8"/>
      <c r="W212" s="8"/>
      <c r="X212" s="8">
        <v>11000001</v>
      </c>
      <c r="Y212" s="8"/>
      <c r="Z212" s="8"/>
      <c r="AA212" s="8" t="s">
        <v>130</v>
      </c>
      <c r="AB212" s="21">
        <v>20177</v>
      </c>
      <c r="AC212" s="8">
        <v>1</v>
      </c>
      <c r="AD212" s="8">
        <v>80</v>
      </c>
      <c r="AE212" s="8">
        <v>80</v>
      </c>
      <c r="AF212" s="8">
        <v>40</v>
      </c>
      <c r="AG212" s="8">
        <v>40</v>
      </c>
      <c r="AH212" s="8" t="s">
        <v>131</v>
      </c>
      <c r="AI212" s="8">
        <v>0</v>
      </c>
      <c r="AJ212" s="17">
        <v>0</v>
      </c>
      <c r="AK212" s="8">
        <v>0</v>
      </c>
      <c r="AL212" s="18">
        <v>0</v>
      </c>
      <c r="AM212" s="8"/>
      <c r="AN212" s="19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>
        <v>0</v>
      </c>
      <c r="BP212" s="8" t="s">
        <v>717</v>
      </c>
      <c r="BQ212" s="8">
        <v>1</v>
      </c>
      <c r="BR212" s="8">
        <v>2500</v>
      </c>
      <c r="BS212" s="8">
        <v>2</v>
      </c>
      <c r="BT212" s="8">
        <v>2500</v>
      </c>
      <c r="BU212" s="8" t="s">
        <v>144</v>
      </c>
      <c r="BV212" t="s">
        <v>718</v>
      </c>
      <c r="BW212">
        <v>1</v>
      </c>
    </row>
    <row r="213" ht="16.5" customHeight="1" spans="2:75">
      <c r="B213" s="8">
        <v>60711211</v>
      </c>
      <c r="C213" s="8" t="s">
        <v>762</v>
      </c>
      <c r="D213" s="5" t="s">
        <v>763</v>
      </c>
      <c r="E213" s="5" t="s">
        <v>764</v>
      </c>
      <c r="F213" s="8">
        <v>0</v>
      </c>
      <c r="G213" s="8" t="s">
        <v>715</v>
      </c>
      <c r="J213" s="8" t="s">
        <v>761</v>
      </c>
      <c r="K213" s="8" t="s">
        <v>129</v>
      </c>
      <c r="L213" s="8">
        <v>209</v>
      </c>
      <c r="M213" s="8">
        <v>209</v>
      </c>
      <c r="N213" s="8">
        <v>0</v>
      </c>
      <c r="O213" s="8"/>
      <c r="P213" s="8">
        <v>10</v>
      </c>
      <c r="Q213" s="8">
        <v>150000</v>
      </c>
      <c r="R213" s="8" t="s">
        <v>717</v>
      </c>
      <c r="S213" s="8">
        <v>0</v>
      </c>
      <c r="T213" s="8">
        <v>0</v>
      </c>
      <c r="U213" s="16">
        <v>40010001</v>
      </c>
      <c r="V213" s="8"/>
      <c r="W213" s="8"/>
      <c r="X213" s="8">
        <v>11000001</v>
      </c>
      <c r="Y213" s="8"/>
      <c r="Z213" s="8"/>
      <c r="AA213" s="8" t="s">
        <v>130</v>
      </c>
      <c r="AB213" s="21">
        <v>20179</v>
      </c>
      <c r="AC213" s="8">
        <v>1</v>
      </c>
      <c r="AD213" s="8">
        <v>80</v>
      </c>
      <c r="AE213" s="8">
        <v>80</v>
      </c>
      <c r="AF213" s="8">
        <v>40</v>
      </c>
      <c r="AG213" s="8">
        <v>40</v>
      </c>
      <c r="AH213" s="8" t="s">
        <v>131</v>
      </c>
      <c r="AI213" s="8">
        <v>0</v>
      </c>
      <c r="AJ213" s="17">
        <v>0</v>
      </c>
      <c r="AK213" s="8">
        <v>0</v>
      </c>
      <c r="AL213" s="18">
        <v>0</v>
      </c>
      <c r="AM213" s="8"/>
      <c r="AN213" s="19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>
        <v>0</v>
      </c>
      <c r="BP213" s="8" t="s">
        <v>717</v>
      </c>
      <c r="BQ213" s="8">
        <v>1</v>
      </c>
      <c r="BR213" s="8">
        <v>2500</v>
      </c>
      <c r="BS213" s="8">
        <v>2</v>
      </c>
      <c r="BT213" s="8">
        <v>2500</v>
      </c>
      <c r="BU213" s="8" t="s">
        <v>144</v>
      </c>
      <c r="BV213" t="s">
        <v>718</v>
      </c>
      <c r="BW213">
        <v>1</v>
      </c>
    </row>
    <row r="214" ht="16.5" customHeight="1" spans="2:75">
      <c r="B214" s="8">
        <v>60712212</v>
      </c>
      <c r="C214" s="8" t="s">
        <v>765</v>
      </c>
      <c r="D214" s="5" t="s">
        <v>763</v>
      </c>
      <c r="E214" s="5" t="s">
        <v>764</v>
      </c>
      <c r="F214" s="8">
        <v>0</v>
      </c>
      <c r="G214" s="8" t="s">
        <v>726</v>
      </c>
      <c r="J214" s="8" t="s">
        <v>761</v>
      </c>
      <c r="K214" s="8" t="s">
        <v>196</v>
      </c>
      <c r="L214" s="8">
        <v>210</v>
      </c>
      <c r="M214" s="8">
        <v>210</v>
      </c>
      <c r="N214" s="8">
        <v>0</v>
      </c>
      <c r="O214" s="8"/>
      <c r="P214" s="8">
        <v>10</v>
      </c>
      <c r="Q214" s="8">
        <v>150000</v>
      </c>
      <c r="R214" s="8" t="s">
        <v>717</v>
      </c>
      <c r="S214" s="8">
        <v>0</v>
      </c>
      <c r="T214" s="8">
        <v>0</v>
      </c>
      <c r="U214" s="16">
        <v>40010001</v>
      </c>
      <c r="V214" s="8"/>
      <c r="W214" s="8"/>
      <c r="X214" s="8">
        <v>11000001</v>
      </c>
      <c r="Y214" s="8"/>
      <c r="Z214" s="8"/>
      <c r="AA214" s="8" t="s">
        <v>130</v>
      </c>
      <c r="AB214" s="21">
        <v>20179</v>
      </c>
      <c r="AC214" s="8">
        <v>1</v>
      </c>
      <c r="AD214" s="8">
        <v>80</v>
      </c>
      <c r="AE214" s="8">
        <v>80</v>
      </c>
      <c r="AF214" s="8">
        <v>40</v>
      </c>
      <c r="AG214" s="8">
        <v>40</v>
      </c>
      <c r="AH214" s="8" t="s">
        <v>131</v>
      </c>
      <c r="AI214" s="8">
        <v>0</v>
      </c>
      <c r="AJ214" s="17">
        <v>0</v>
      </c>
      <c r="AK214" s="8">
        <v>0</v>
      </c>
      <c r="AL214" s="18">
        <v>0</v>
      </c>
      <c r="AM214" s="8"/>
      <c r="AN214" s="19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>
        <v>0</v>
      </c>
      <c r="BP214" s="8" t="s">
        <v>717</v>
      </c>
      <c r="BQ214" s="8">
        <v>1</v>
      </c>
      <c r="BR214" s="8">
        <v>2500</v>
      </c>
      <c r="BS214" s="8">
        <v>2</v>
      </c>
      <c r="BT214" s="8">
        <v>2500</v>
      </c>
      <c r="BU214" s="8" t="s">
        <v>144</v>
      </c>
      <c r="BV214" t="s">
        <v>718</v>
      </c>
      <c r="BW214">
        <v>1</v>
      </c>
    </row>
    <row r="215" ht="16.5" customHeight="1" spans="2:75">
      <c r="B215" s="8">
        <v>60714213</v>
      </c>
      <c r="C215" s="8" t="s">
        <v>766</v>
      </c>
      <c r="D215" s="5" t="s">
        <v>767</v>
      </c>
      <c r="E215" s="5" t="s">
        <v>768</v>
      </c>
      <c r="F215" s="8">
        <v>0</v>
      </c>
      <c r="G215" s="8" t="s">
        <v>749</v>
      </c>
      <c r="J215" s="8" t="s">
        <v>761</v>
      </c>
      <c r="K215" s="8" t="s">
        <v>246</v>
      </c>
      <c r="L215" s="8">
        <v>211</v>
      </c>
      <c r="M215" s="8">
        <v>211</v>
      </c>
      <c r="N215" s="8">
        <v>0</v>
      </c>
      <c r="O215" s="8"/>
      <c r="P215" s="8">
        <v>10</v>
      </c>
      <c r="Q215" s="8">
        <v>150000</v>
      </c>
      <c r="R215" s="8" t="s">
        <v>717</v>
      </c>
      <c r="S215" s="8">
        <v>0</v>
      </c>
      <c r="T215" s="8">
        <v>0</v>
      </c>
      <c r="U215" s="16">
        <v>40010001</v>
      </c>
      <c r="V215" s="8"/>
      <c r="W215" s="8"/>
      <c r="X215" s="8">
        <v>11000001</v>
      </c>
      <c r="Y215" s="8"/>
      <c r="Z215" s="8"/>
      <c r="AA215" s="8" t="s">
        <v>130</v>
      </c>
      <c r="AB215" s="21">
        <v>20178</v>
      </c>
      <c r="AC215" s="8">
        <v>1</v>
      </c>
      <c r="AD215" s="8">
        <v>80</v>
      </c>
      <c r="AE215" s="8">
        <v>80</v>
      </c>
      <c r="AF215" s="8">
        <v>40</v>
      </c>
      <c r="AG215" s="8">
        <v>40</v>
      </c>
      <c r="AH215" s="8" t="s">
        <v>131</v>
      </c>
      <c r="AI215" s="8">
        <v>0</v>
      </c>
      <c r="AJ215" s="17">
        <v>0</v>
      </c>
      <c r="AK215" s="8">
        <v>0</v>
      </c>
      <c r="AL215" s="18">
        <v>0</v>
      </c>
      <c r="AM215" s="8"/>
      <c r="AN215" s="19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>
        <v>0</v>
      </c>
      <c r="BP215" s="8" t="s">
        <v>717</v>
      </c>
      <c r="BQ215" s="8">
        <v>1</v>
      </c>
      <c r="BR215" s="8">
        <v>2500</v>
      </c>
      <c r="BS215" s="8">
        <v>2</v>
      </c>
      <c r="BT215" s="8">
        <v>2500</v>
      </c>
      <c r="BU215" s="8" t="s">
        <v>144</v>
      </c>
      <c r="BV215" t="s">
        <v>718</v>
      </c>
      <c r="BW215">
        <v>1</v>
      </c>
    </row>
    <row r="216" ht="16.5" customHeight="1" spans="2:75">
      <c r="B216" s="8">
        <v>60721214</v>
      </c>
      <c r="C216" s="8" t="s">
        <v>769</v>
      </c>
      <c r="D216" s="5" t="s">
        <v>770</v>
      </c>
      <c r="E216" s="5" t="s">
        <v>771</v>
      </c>
      <c r="F216" s="8">
        <v>0</v>
      </c>
      <c r="G216" s="8" t="s">
        <v>715</v>
      </c>
      <c r="J216" s="8" t="s">
        <v>772</v>
      </c>
      <c r="K216" s="8" t="s">
        <v>129</v>
      </c>
      <c r="L216" s="8">
        <v>212</v>
      </c>
      <c r="M216" s="8">
        <v>212</v>
      </c>
      <c r="N216" s="8">
        <v>0</v>
      </c>
      <c r="O216" s="8"/>
      <c r="P216" s="8">
        <v>10</v>
      </c>
      <c r="Q216" s="8">
        <v>150000</v>
      </c>
      <c r="R216" s="8" t="s">
        <v>717</v>
      </c>
      <c r="S216" s="8">
        <v>0</v>
      </c>
      <c r="T216" s="8">
        <v>0</v>
      </c>
      <c r="U216" s="16">
        <v>40010001</v>
      </c>
      <c r="V216" s="8"/>
      <c r="W216" s="8"/>
      <c r="X216" s="8">
        <v>11000001</v>
      </c>
      <c r="Y216" s="8"/>
      <c r="Z216" s="8"/>
      <c r="AA216" s="8" t="s">
        <v>130</v>
      </c>
      <c r="AB216" s="21">
        <v>20180</v>
      </c>
      <c r="AC216" s="8">
        <v>1</v>
      </c>
      <c r="AD216" s="8">
        <v>80</v>
      </c>
      <c r="AE216" s="8">
        <v>80</v>
      </c>
      <c r="AF216" s="8">
        <v>40</v>
      </c>
      <c r="AG216" s="8">
        <v>40</v>
      </c>
      <c r="AH216" s="8" t="s">
        <v>131</v>
      </c>
      <c r="AI216" s="8">
        <v>0</v>
      </c>
      <c r="AJ216" s="17">
        <v>0</v>
      </c>
      <c r="AK216" s="8">
        <v>0</v>
      </c>
      <c r="AL216" s="18">
        <v>0</v>
      </c>
      <c r="AM216" s="8"/>
      <c r="AN216" s="19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>
        <v>0</v>
      </c>
      <c r="BP216" s="8" t="s">
        <v>717</v>
      </c>
      <c r="BQ216" s="8">
        <v>1</v>
      </c>
      <c r="BR216" s="8">
        <v>2500</v>
      </c>
      <c r="BS216" s="8">
        <v>2</v>
      </c>
      <c r="BT216" s="8">
        <v>2500</v>
      </c>
      <c r="BU216" s="8" t="s">
        <v>144</v>
      </c>
      <c r="BV216" t="s">
        <v>718</v>
      </c>
      <c r="BW216">
        <v>1</v>
      </c>
    </row>
    <row r="217" ht="16.5" customHeight="1" spans="2:75">
      <c r="B217" s="8">
        <v>60721215</v>
      </c>
      <c r="C217" s="8" t="s">
        <v>773</v>
      </c>
      <c r="D217" s="5" t="s">
        <v>774</v>
      </c>
      <c r="E217" s="5" t="s">
        <v>775</v>
      </c>
      <c r="F217" s="8">
        <v>0</v>
      </c>
      <c r="G217" s="8" t="s">
        <v>715</v>
      </c>
      <c r="J217" s="8" t="s">
        <v>772</v>
      </c>
      <c r="K217" s="8" t="s">
        <v>129</v>
      </c>
      <c r="L217" s="8">
        <v>213</v>
      </c>
      <c r="M217" s="8">
        <v>213</v>
      </c>
      <c r="N217" s="8">
        <v>0</v>
      </c>
      <c r="O217" s="8"/>
      <c r="P217" s="8">
        <v>10</v>
      </c>
      <c r="Q217" s="8">
        <v>150000</v>
      </c>
      <c r="R217" s="8" t="s">
        <v>717</v>
      </c>
      <c r="S217" s="8">
        <v>0</v>
      </c>
      <c r="T217" s="8">
        <v>0</v>
      </c>
      <c r="U217" s="16">
        <v>40010001</v>
      </c>
      <c r="V217" s="8"/>
      <c r="W217" s="8"/>
      <c r="X217" s="8">
        <v>11000001</v>
      </c>
      <c r="Y217" s="8"/>
      <c r="Z217" s="8"/>
      <c r="AA217" s="8" t="s">
        <v>130</v>
      </c>
      <c r="AB217" s="21">
        <v>20181</v>
      </c>
      <c r="AC217" s="8">
        <v>1</v>
      </c>
      <c r="AD217" s="8">
        <v>80</v>
      </c>
      <c r="AE217" s="8">
        <v>80</v>
      </c>
      <c r="AF217" s="8">
        <v>40</v>
      </c>
      <c r="AG217" s="8">
        <v>40</v>
      </c>
      <c r="AH217" s="8" t="s">
        <v>131</v>
      </c>
      <c r="AI217" s="8">
        <v>0</v>
      </c>
      <c r="AJ217" s="17">
        <v>0</v>
      </c>
      <c r="AK217" s="8">
        <v>0</v>
      </c>
      <c r="AL217" s="18">
        <v>0</v>
      </c>
      <c r="AM217" s="8"/>
      <c r="AN217" s="19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>
        <v>0</v>
      </c>
      <c r="BP217" s="8" t="s">
        <v>717</v>
      </c>
      <c r="BQ217" s="8">
        <v>1</v>
      </c>
      <c r="BR217" s="8">
        <v>2500</v>
      </c>
      <c r="BS217" s="8">
        <v>2</v>
      </c>
      <c r="BT217" s="8">
        <v>2500</v>
      </c>
      <c r="BU217" s="8" t="s">
        <v>144</v>
      </c>
      <c r="BV217" t="s">
        <v>718</v>
      </c>
      <c r="BW217">
        <v>1</v>
      </c>
    </row>
    <row r="218" ht="16.5" customHeight="1" spans="2:75">
      <c r="B218" s="8">
        <v>60721216</v>
      </c>
      <c r="C218" s="8" t="s">
        <v>776</v>
      </c>
      <c r="D218" s="5" t="s">
        <v>777</v>
      </c>
      <c r="E218" s="5" t="s">
        <v>778</v>
      </c>
      <c r="F218" s="8">
        <v>0</v>
      </c>
      <c r="G218" s="8" t="s">
        <v>715</v>
      </c>
      <c r="J218" s="8" t="s">
        <v>772</v>
      </c>
      <c r="K218" s="8" t="s">
        <v>129</v>
      </c>
      <c r="L218" s="8">
        <v>214</v>
      </c>
      <c r="M218" s="8">
        <v>214</v>
      </c>
      <c r="N218" s="8">
        <v>0</v>
      </c>
      <c r="O218" s="8"/>
      <c r="P218" s="8">
        <v>10</v>
      </c>
      <c r="Q218" s="8">
        <v>150000</v>
      </c>
      <c r="R218" s="8" t="s">
        <v>717</v>
      </c>
      <c r="S218" s="8">
        <v>0</v>
      </c>
      <c r="T218" s="8">
        <v>0</v>
      </c>
      <c r="U218" s="16">
        <v>40010001</v>
      </c>
      <c r="V218" s="8"/>
      <c r="W218" s="8"/>
      <c r="X218" s="8">
        <v>11000001</v>
      </c>
      <c r="Y218" s="8"/>
      <c r="Z218" s="8"/>
      <c r="AA218" s="8" t="s">
        <v>130</v>
      </c>
      <c r="AB218" s="21">
        <v>20182</v>
      </c>
      <c r="AC218" s="8">
        <v>1</v>
      </c>
      <c r="AD218" s="8">
        <v>80</v>
      </c>
      <c r="AE218" s="8">
        <v>80</v>
      </c>
      <c r="AF218" s="8">
        <v>40</v>
      </c>
      <c r="AG218" s="8">
        <v>40</v>
      </c>
      <c r="AH218" s="8" t="s">
        <v>131</v>
      </c>
      <c r="AI218" s="8">
        <v>0</v>
      </c>
      <c r="AJ218" s="17">
        <v>0</v>
      </c>
      <c r="AK218" s="8">
        <v>0</v>
      </c>
      <c r="AL218" s="18">
        <v>0</v>
      </c>
      <c r="AM218" s="8"/>
      <c r="AN218" s="19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>
        <v>0</v>
      </c>
      <c r="BP218" s="8" t="s">
        <v>717</v>
      </c>
      <c r="BQ218" s="8">
        <v>1</v>
      </c>
      <c r="BR218" s="8">
        <v>2500</v>
      </c>
      <c r="BS218" s="8">
        <v>2</v>
      </c>
      <c r="BT218" s="8">
        <v>2500</v>
      </c>
      <c r="BU218" s="8" t="s">
        <v>144</v>
      </c>
      <c r="BV218" t="s">
        <v>718</v>
      </c>
      <c r="BW218">
        <v>1</v>
      </c>
    </row>
    <row r="219" ht="16.5" customHeight="1" spans="2:75">
      <c r="B219" s="8">
        <v>60722217</v>
      </c>
      <c r="C219" s="8" t="s">
        <v>779</v>
      </c>
      <c r="D219" s="5" t="s">
        <v>770</v>
      </c>
      <c r="E219" s="5" t="s">
        <v>771</v>
      </c>
      <c r="F219" s="8">
        <v>0</v>
      </c>
      <c r="G219" s="8" t="s">
        <v>726</v>
      </c>
      <c r="J219" s="8" t="s">
        <v>772</v>
      </c>
      <c r="K219" s="8" t="s">
        <v>196</v>
      </c>
      <c r="L219" s="8">
        <v>215</v>
      </c>
      <c r="M219" s="8">
        <v>215</v>
      </c>
      <c r="N219" s="8">
        <v>0</v>
      </c>
      <c r="O219" s="8"/>
      <c r="P219" s="8">
        <v>10</v>
      </c>
      <c r="Q219" s="8">
        <v>150000</v>
      </c>
      <c r="R219" s="8" t="s">
        <v>717</v>
      </c>
      <c r="S219" s="8">
        <v>0</v>
      </c>
      <c r="T219" s="8">
        <v>0</v>
      </c>
      <c r="U219" s="16">
        <v>40010001</v>
      </c>
      <c r="V219" s="8"/>
      <c r="W219" s="8"/>
      <c r="X219" s="8">
        <v>11000001</v>
      </c>
      <c r="Y219" s="8"/>
      <c r="Z219" s="8"/>
      <c r="AA219" s="8" t="s">
        <v>130</v>
      </c>
      <c r="AB219" s="21">
        <v>20180</v>
      </c>
      <c r="AC219" s="8">
        <v>1</v>
      </c>
      <c r="AD219" s="8">
        <v>80</v>
      </c>
      <c r="AE219" s="8">
        <v>80</v>
      </c>
      <c r="AF219" s="8">
        <v>40</v>
      </c>
      <c r="AG219" s="8">
        <v>40</v>
      </c>
      <c r="AH219" s="8" t="s">
        <v>131</v>
      </c>
      <c r="AI219" s="8">
        <v>0</v>
      </c>
      <c r="AJ219" s="17">
        <v>0</v>
      </c>
      <c r="AK219" s="8">
        <v>0</v>
      </c>
      <c r="AL219" s="18">
        <v>0</v>
      </c>
      <c r="AM219" s="8"/>
      <c r="AN219" s="19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>
        <v>0</v>
      </c>
      <c r="BP219" s="8" t="s">
        <v>717</v>
      </c>
      <c r="BQ219" s="8">
        <v>1</v>
      </c>
      <c r="BR219" s="8">
        <v>2500</v>
      </c>
      <c r="BS219" s="8">
        <v>2</v>
      </c>
      <c r="BT219" s="8">
        <v>2500</v>
      </c>
      <c r="BU219" s="8" t="s">
        <v>144</v>
      </c>
      <c r="BV219" t="s">
        <v>718</v>
      </c>
      <c r="BW219">
        <v>1</v>
      </c>
    </row>
    <row r="220" ht="16.5" customHeight="1" spans="2:75">
      <c r="B220" s="8">
        <v>60731219</v>
      </c>
      <c r="C220" s="8" t="s">
        <v>780</v>
      </c>
      <c r="D220" s="5" t="s">
        <v>781</v>
      </c>
      <c r="E220" s="5" t="s">
        <v>782</v>
      </c>
      <c r="F220" s="8">
        <v>0</v>
      </c>
      <c r="G220" s="8" t="s">
        <v>715</v>
      </c>
      <c r="J220" s="8" t="s">
        <v>783</v>
      </c>
      <c r="K220" s="8" t="s">
        <v>129</v>
      </c>
      <c r="L220" s="8">
        <v>216</v>
      </c>
      <c r="M220" s="8">
        <v>216</v>
      </c>
      <c r="N220" s="8">
        <v>0</v>
      </c>
      <c r="O220" s="8"/>
      <c r="P220" s="8">
        <v>10</v>
      </c>
      <c r="Q220" s="8">
        <v>150000</v>
      </c>
      <c r="R220" s="8" t="s">
        <v>717</v>
      </c>
      <c r="S220" s="8">
        <v>0</v>
      </c>
      <c r="T220" s="8">
        <v>0</v>
      </c>
      <c r="U220" s="16">
        <v>40010001</v>
      </c>
      <c r="V220" s="8"/>
      <c r="W220" s="8"/>
      <c r="X220" s="8">
        <v>11000001</v>
      </c>
      <c r="Y220" s="8"/>
      <c r="Z220" s="8"/>
      <c r="AA220" s="8" t="s">
        <v>130</v>
      </c>
      <c r="AB220" s="21">
        <v>20184</v>
      </c>
      <c r="AC220" s="8">
        <v>1</v>
      </c>
      <c r="AD220" s="8">
        <v>80</v>
      </c>
      <c r="AE220" s="8">
        <v>80</v>
      </c>
      <c r="AF220" s="8">
        <v>40</v>
      </c>
      <c r="AG220" s="8">
        <v>40</v>
      </c>
      <c r="AH220" s="8" t="s">
        <v>131</v>
      </c>
      <c r="AI220" s="8">
        <v>0</v>
      </c>
      <c r="AJ220" s="17">
        <v>0</v>
      </c>
      <c r="AK220" s="8">
        <v>0</v>
      </c>
      <c r="AL220" s="18">
        <v>0</v>
      </c>
      <c r="AM220" s="8"/>
      <c r="AN220" s="19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>
        <v>0</v>
      </c>
      <c r="BP220" s="8" t="s">
        <v>717</v>
      </c>
      <c r="BQ220" s="8">
        <v>1</v>
      </c>
      <c r="BR220" s="8">
        <v>2500</v>
      </c>
      <c r="BS220" s="8">
        <v>2</v>
      </c>
      <c r="BT220" s="8">
        <v>2500</v>
      </c>
      <c r="BU220" s="8" t="s">
        <v>144</v>
      </c>
      <c r="BV220" t="s">
        <v>718</v>
      </c>
      <c r="BW220">
        <v>1</v>
      </c>
    </row>
    <row r="221" ht="16.5" customHeight="1" spans="2:75">
      <c r="B221" s="8">
        <v>60731220</v>
      </c>
      <c r="C221" s="8" t="s">
        <v>784</v>
      </c>
      <c r="D221" s="5" t="s">
        <v>785</v>
      </c>
      <c r="E221" s="5" t="s">
        <v>786</v>
      </c>
      <c r="F221" s="8">
        <v>0</v>
      </c>
      <c r="G221" s="8" t="s">
        <v>715</v>
      </c>
      <c r="J221" s="8" t="s">
        <v>783</v>
      </c>
      <c r="K221" s="8" t="s">
        <v>129</v>
      </c>
      <c r="L221" s="8">
        <v>217</v>
      </c>
      <c r="M221" s="8">
        <v>217</v>
      </c>
      <c r="N221" s="8">
        <v>0</v>
      </c>
      <c r="O221" s="8"/>
      <c r="P221" s="8">
        <v>10</v>
      </c>
      <c r="Q221" s="8">
        <v>150000</v>
      </c>
      <c r="R221" s="8" t="s">
        <v>717</v>
      </c>
      <c r="S221" s="8">
        <v>0</v>
      </c>
      <c r="T221" s="8">
        <v>0</v>
      </c>
      <c r="U221" s="16">
        <v>40010001</v>
      </c>
      <c r="V221" s="8"/>
      <c r="W221" s="8"/>
      <c r="X221" s="8">
        <v>11000001</v>
      </c>
      <c r="Y221" s="8"/>
      <c r="Z221" s="8"/>
      <c r="AA221" s="8" t="s">
        <v>130</v>
      </c>
      <c r="AB221" s="21">
        <v>20185</v>
      </c>
      <c r="AC221" s="8">
        <v>1</v>
      </c>
      <c r="AD221" s="8">
        <v>80</v>
      </c>
      <c r="AE221" s="8">
        <v>80</v>
      </c>
      <c r="AF221" s="8">
        <v>40</v>
      </c>
      <c r="AG221" s="8">
        <v>40</v>
      </c>
      <c r="AH221" s="8" t="s">
        <v>131</v>
      </c>
      <c r="AI221" s="8">
        <v>0</v>
      </c>
      <c r="AJ221" s="17">
        <v>0</v>
      </c>
      <c r="AK221" s="8">
        <v>0</v>
      </c>
      <c r="AL221" s="18">
        <v>0</v>
      </c>
      <c r="AM221" s="8"/>
      <c r="AN221" s="19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>
        <v>0</v>
      </c>
      <c r="BP221" s="8" t="s">
        <v>717</v>
      </c>
      <c r="BQ221" s="8">
        <v>1</v>
      </c>
      <c r="BR221" s="8">
        <v>2500</v>
      </c>
      <c r="BS221" s="8">
        <v>2</v>
      </c>
      <c r="BT221" s="8">
        <v>2500</v>
      </c>
      <c r="BU221" s="8" t="s">
        <v>144</v>
      </c>
      <c r="BV221" t="s">
        <v>718</v>
      </c>
      <c r="BW221">
        <v>1</v>
      </c>
    </row>
    <row r="222" ht="16.5" customHeight="1" spans="2:75">
      <c r="B222" s="8">
        <v>60732221</v>
      </c>
      <c r="C222" s="8" t="s">
        <v>787</v>
      </c>
      <c r="D222" s="5" t="s">
        <v>781</v>
      </c>
      <c r="E222" s="5" t="s">
        <v>782</v>
      </c>
      <c r="F222" s="8">
        <v>0</v>
      </c>
      <c r="G222" s="8" t="s">
        <v>726</v>
      </c>
      <c r="J222" s="8" t="s">
        <v>783</v>
      </c>
      <c r="K222" s="8" t="s">
        <v>196</v>
      </c>
      <c r="L222" s="8">
        <v>218</v>
      </c>
      <c r="M222" s="8">
        <v>218</v>
      </c>
      <c r="N222" s="8">
        <v>0</v>
      </c>
      <c r="O222" s="8"/>
      <c r="P222" s="8">
        <v>10</v>
      </c>
      <c r="Q222" s="8">
        <v>150000</v>
      </c>
      <c r="R222" s="8" t="s">
        <v>717</v>
      </c>
      <c r="S222" s="8">
        <v>0</v>
      </c>
      <c r="T222" s="8">
        <v>0</v>
      </c>
      <c r="U222" s="16">
        <v>40010001</v>
      </c>
      <c r="V222" s="8"/>
      <c r="W222" s="8"/>
      <c r="X222" s="8">
        <v>11000001</v>
      </c>
      <c r="Y222" s="8"/>
      <c r="Z222" s="8"/>
      <c r="AA222" s="8" t="s">
        <v>130</v>
      </c>
      <c r="AB222" s="21">
        <v>20184</v>
      </c>
      <c r="AC222" s="8">
        <v>1</v>
      </c>
      <c r="AD222" s="8">
        <v>80</v>
      </c>
      <c r="AE222" s="8">
        <v>80</v>
      </c>
      <c r="AF222" s="8">
        <v>40</v>
      </c>
      <c r="AG222" s="8">
        <v>40</v>
      </c>
      <c r="AH222" s="8" t="s">
        <v>131</v>
      </c>
      <c r="AI222" s="8">
        <v>0</v>
      </c>
      <c r="AJ222" s="17">
        <v>0</v>
      </c>
      <c r="AK222" s="8">
        <v>0</v>
      </c>
      <c r="AL222" s="18">
        <v>0</v>
      </c>
      <c r="AM222" s="8"/>
      <c r="AN222" s="19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>
        <v>0</v>
      </c>
      <c r="BP222" s="8" t="s">
        <v>717</v>
      </c>
      <c r="BQ222" s="8">
        <v>1</v>
      </c>
      <c r="BR222" s="8">
        <v>2500</v>
      </c>
      <c r="BS222" s="8">
        <v>2</v>
      </c>
      <c r="BT222" s="8">
        <v>2500</v>
      </c>
      <c r="BU222" s="8" t="s">
        <v>144</v>
      </c>
      <c r="BV222" t="s">
        <v>718</v>
      </c>
      <c r="BW222">
        <v>1</v>
      </c>
    </row>
    <row r="223" ht="16.5" customHeight="1" spans="2:75">
      <c r="B223" s="8">
        <v>60734222</v>
      </c>
      <c r="C223" s="8" t="s">
        <v>788</v>
      </c>
      <c r="D223" s="5" t="s">
        <v>789</v>
      </c>
      <c r="E223" s="5" t="s">
        <v>790</v>
      </c>
      <c r="F223" s="8">
        <v>0</v>
      </c>
      <c r="G223" s="8" t="s">
        <v>749</v>
      </c>
      <c r="J223" s="8" t="s">
        <v>783</v>
      </c>
      <c r="K223" s="8" t="s">
        <v>246</v>
      </c>
      <c r="L223" s="8">
        <v>219</v>
      </c>
      <c r="M223" s="8">
        <v>219</v>
      </c>
      <c r="N223" s="8">
        <v>0</v>
      </c>
      <c r="O223" s="8"/>
      <c r="P223" s="8">
        <v>10</v>
      </c>
      <c r="Q223" s="8">
        <v>150000</v>
      </c>
      <c r="R223" s="8" t="s">
        <v>717</v>
      </c>
      <c r="S223" s="8">
        <v>0</v>
      </c>
      <c r="T223" s="8">
        <v>0</v>
      </c>
      <c r="U223" s="16">
        <v>40010001</v>
      </c>
      <c r="V223" s="8"/>
      <c r="W223" s="8"/>
      <c r="X223" s="8">
        <v>11000001</v>
      </c>
      <c r="Y223" s="8"/>
      <c r="Z223" s="8"/>
      <c r="AA223" s="8" t="s">
        <v>130</v>
      </c>
      <c r="AB223" s="21">
        <v>20183</v>
      </c>
      <c r="AC223" s="8">
        <v>1</v>
      </c>
      <c r="AD223" s="8">
        <v>80</v>
      </c>
      <c r="AE223" s="8">
        <v>80</v>
      </c>
      <c r="AF223" s="8">
        <v>40</v>
      </c>
      <c r="AG223" s="8">
        <v>40</v>
      </c>
      <c r="AH223" s="8" t="s">
        <v>131</v>
      </c>
      <c r="AI223" s="8">
        <v>0</v>
      </c>
      <c r="AJ223" s="17">
        <v>0</v>
      </c>
      <c r="AK223" s="8">
        <v>0</v>
      </c>
      <c r="AL223" s="18">
        <v>0</v>
      </c>
      <c r="AM223" s="8"/>
      <c r="AN223" s="19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>
        <v>0</v>
      </c>
      <c r="BP223" s="8" t="s">
        <v>717</v>
      </c>
      <c r="BQ223" s="8">
        <v>1</v>
      </c>
      <c r="BR223" s="8">
        <v>2500</v>
      </c>
      <c r="BS223" s="8">
        <v>2</v>
      </c>
      <c r="BT223" s="8">
        <v>2500</v>
      </c>
      <c r="BU223" s="8" t="s">
        <v>144</v>
      </c>
      <c r="BV223" t="s">
        <v>718</v>
      </c>
      <c r="BW223">
        <v>1</v>
      </c>
    </row>
    <row r="224" s="8" customFormat="1" spans="2:75">
      <c r="AB224" s="11"/>
    </row>
    <row r="225" s="8" customFormat="1" spans="28:28">
      <c r="AB225" s="11"/>
    </row>
    <row r="226" s="8" customFormat="1" spans="28:28">
      <c r="AB226" s="11"/>
    </row>
    <row r="227" s="8" customFormat="1" spans="28:28">
      <c r="AB227" s="11"/>
    </row>
    <row r="228" s="8" customFormat="1" spans="28:28">
      <c r="AB228" s="11"/>
    </row>
    <row r="229" s="8" customFormat="1" spans="28:28">
      <c r="AB229" s="11"/>
    </row>
    <row r="230" s="8" customFormat="1" spans="28:28">
      <c r="AB230" s="11"/>
    </row>
    <row r="231" s="8" customFormat="1" spans="28:28">
      <c r="AB231" s="11"/>
    </row>
    <row r="232" s="8" customFormat="1" spans="28:28">
      <c r="AB232" s="11"/>
    </row>
    <row r="233" s="8" customFormat="1" spans="28:28">
      <c r="AB233" s="11"/>
    </row>
    <row r="234" s="8" customFormat="1" spans="28:28">
      <c r="AB234" s="11"/>
    </row>
    <row r="235" s="8" customFormat="1" spans="28:28">
      <c r="AB235" s="11"/>
    </row>
    <row r="236" s="8" customFormat="1" spans="28:28">
      <c r="AB236" s="11"/>
    </row>
    <row r="237" s="8" customFormat="1" spans="28:28">
      <c r="AB237" s="11"/>
    </row>
    <row r="238" s="8" customFormat="1" spans="28:28">
      <c r="AB238" s="11"/>
    </row>
    <row r="239" s="8" customFormat="1" spans="28:28">
      <c r="AB239" s="11"/>
    </row>
    <row r="240" s="8" customFormat="1" spans="28:28">
      <c r="AB240" s="11"/>
    </row>
    <row r="241" s="8" customFormat="1" spans="28:28">
      <c r="AB241" s="11"/>
    </row>
    <row r="242" s="8" customFormat="1" spans="28:28">
      <c r="AB242" s="11"/>
    </row>
    <row r="243" s="8" customFormat="1" spans="28:28">
      <c r="AB243" s="11"/>
    </row>
    <row r="244" s="8" customFormat="1" spans="28:28">
      <c r="AB244" s="11"/>
    </row>
    <row r="245" s="8" customFormat="1" spans="28:28">
      <c r="AB245" s="11"/>
    </row>
    <row r="246" s="8" customFormat="1" spans="28:28">
      <c r="AB246" s="11"/>
    </row>
    <row r="247" s="8" customFormat="1" spans="28:28">
      <c r="AB247" s="11"/>
    </row>
    <row r="248" s="8" customFormat="1" spans="28:28">
      <c r="AB248" s="11"/>
    </row>
    <row r="249" s="8" customFormat="1" spans="28:28">
      <c r="AB249" s="11"/>
    </row>
    <row r="250" s="8" customFormat="1" spans="28:28">
      <c r="AB250" s="11"/>
    </row>
    <row r="251" s="8" customFormat="1" spans="28:28">
      <c r="AB251" s="11"/>
    </row>
    <row r="252" s="8" customFormat="1" spans="28:28">
      <c r="AB252" s="11"/>
    </row>
    <row r="253" s="8" customFormat="1" spans="28:28">
      <c r="AB253" s="11"/>
    </row>
    <row r="254" s="8" customFormat="1" spans="28:28">
      <c r="AB254" s="11"/>
    </row>
    <row r="255" s="8" customFormat="1" spans="28:28">
      <c r="AB255" s="11"/>
    </row>
    <row r="256" s="8" customFormat="1" spans="28:28">
      <c r="AB256" s="11"/>
    </row>
    <row r="257" s="8" customFormat="1" spans="28:28">
      <c r="AB257" s="11"/>
    </row>
    <row r="258" s="8" customFormat="1" spans="28:28">
      <c r="AB258" s="11"/>
    </row>
    <row r="259" s="8" customFormat="1" spans="28:28">
      <c r="AB259" s="11"/>
    </row>
    <row r="260" s="8" customFormat="1" spans="28:28">
      <c r="AB260" s="11"/>
    </row>
    <row r="261" s="8" customFormat="1" spans="28:28">
      <c r="AB261" s="11"/>
    </row>
    <row r="262" s="8" customFormat="1" spans="28:28">
      <c r="AB262" s="11"/>
    </row>
    <row r="263" s="8" customFormat="1" spans="28:28">
      <c r="AB263" s="11"/>
    </row>
    <row r="264" s="8" customFormat="1" spans="28:28">
      <c r="AB264" s="11"/>
    </row>
    <row r="265" s="8" customFormat="1" spans="28:28">
      <c r="AB265" s="11"/>
    </row>
    <row r="266" s="8" customFormat="1" spans="28:28">
      <c r="AB266" s="11"/>
    </row>
    <row r="267" s="8" customFormat="1" spans="28:28">
      <c r="AB267" s="11"/>
    </row>
    <row r="268" s="8" customFormat="1" spans="28:28">
      <c r="AB268" s="11"/>
    </row>
    <row r="269" s="8" customFormat="1" spans="28:28">
      <c r="AB269" s="11"/>
    </row>
    <row r="270" s="8" customFormat="1" spans="28:28">
      <c r="AB270" s="11"/>
    </row>
    <row r="271" s="8" customFormat="1" spans="28:28">
      <c r="AB271" s="11"/>
    </row>
    <row r="272" s="8" customFormat="1" spans="28:28">
      <c r="AB272" s="11"/>
    </row>
    <row r="273" s="8" customFormat="1" spans="28:28">
      <c r="AB273" s="11"/>
    </row>
  </sheetData>
  <autoFilter xmlns:etc="http://www.wps.cn/officeDocument/2017/etCustomData" ref="A4:BW302" etc:filterBottomFollowUsedRange="0">
    <extLst/>
  </autoFilter>
  <mergeCells count="8">
    <mergeCell ref="U1:W1"/>
    <mergeCell ref="X1:Z1"/>
    <mergeCell ref="AM1:BN1"/>
    <mergeCell ref="U2:W2"/>
    <mergeCell ref="X2:Z2"/>
    <mergeCell ref="AM2:BN2"/>
    <mergeCell ref="U3:W3"/>
    <mergeCell ref="X3:Z3"/>
  </mergeCells>
  <conditionalFormatting sqref="T3">
    <cfRule type="duplicateValues" dxfId="0" priority="925"/>
    <cfRule type="duplicateValues" dxfId="1" priority="926"/>
  </conditionalFormatting>
  <conditionalFormatting sqref="T4">
    <cfRule type="duplicateValues" dxfId="0" priority="922"/>
    <cfRule type="duplicateValues" dxfId="1" priority="923"/>
  </conditionalFormatting>
  <conditionalFormatting sqref="U4">
    <cfRule type="expression" dxfId="2" priority="918">
      <formula>AND(#REF!&lt;&gt;"",COUNTIF($A:$A,#REF!)&gt;1)</formula>
    </cfRule>
    <cfRule type="duplicateValues" dxfId="0" priority="931"/>
    <cfRule type="duplicateValues" dxfId="1" priority="932"/>
  </conditionalFormatting>
  <conditionalFormatting sqref="U9">
    <cfRule type="duplicateValues" dxfId="0" priority="1074"/>
    <cfRule type="duplicateValues" dxfId="1" priority="1075"/>
  </conditionalFormatting>
  <conditionalFormatting sqref="T10">
    <cfRule type="expression" dxfId="2" priority="1076">
      <formula>AND(T11&lt;&gt;"",COUNTIF($A:$A,T11)&gt;1)</formula>
    </cfRule>
  </conditionalFormatting>
  <conditionalFormatting sqref="U10">
    <cfRule type="duplicateValues" dxfId="0" priority="1078"/>
    <cfRule type="duplicateValues" dxfId="1" priority="1079"/>
  </conditionalFormatting>
  <conditionalFormatting sqref="U16">
    <cfRule type="duplicateValues" dxfId="0" priority="1087"/>
    <cfRule type="duplicateValues" dxfId="1" priority="1088"/>
  </conditionalFormatting>
  <conditionalFormatting sqref="U17">
    <cfRule type="duplicateValues" dxfId="0" priority="1070"/>
    <cfRule type="duplicateValues" dxfId="1" priority="1071"/>
  </conditionalFormatting>
  <conditionalFormatting sqref="A18">
    <cfRule type="duplicateValues" dxfId="1" priority="894"/>
  </conditionalFormatting>
  <conditionalFormatting sqref="B18">
    <cfRule type="duplicateValues" dxfId="1" priority="898"/>
  </conditionalFormatting>
  <conditionalFormatting sqref="T18">
    <cfRule type="duplicateValues" dxfId="0" priority="886"/>
    <cfRule type="duplicateValues" dxfId="1" priority="890"/>
  </conditionalFormatting>
  <conditionalFormatting sqref="U18">
    <cfRule type="duplicateValues" dxfId="0" priority="910"/>
    <cfRule type="duplicateValues" dxfId="1" priority="914"/>
  </conditionalFormatting>
  <conditionalFormatting sqref="A19">
    <cfRule type="duplicateValues" dxfId="1" priority="893"/>
  </conditionalFormatting>
  <conditionalFormatting sqref="B19">
    <cfRule type="duplicateValues" dxfId="1" priority="897"/>
  </conditionalFormatting>
  <conditionalFormatting sqref="T19">
    <cfRule type="duplicateValues" dxfId="0" priority="885"/>
    <cfRule type="duplicateValues" dxfId="1" priority="889"/>
  </conditionalFormatting>
  <conditionalFormatting sqref="U19">
    <cfRule type="duplicateValues" dxfId="0" priority="909"/>
    <cfRule type="duplicateValues" dxfId="1" priority="913"/>
  </conditionalFormatting>
  <conditionalFormatting sqref="A20">
    <cfRule type="duplicateValues" dxfId="1" priority="892"/>
  </conditionalFormatting>
  <conditionalFormatting sqref="B20">
    <cfRule type="duplicateValues" dxfId="1" priority="896"/>
  </conditionalFormatting>
  <conditionalFormatting sqref="T20">
    <cfRule type="duplicateValues" dxfId="0" priority="884"/>
    <cfRule type="duplicateValues" dxfId="1" priority="888"/>
  </conditionalFormatting>
  <conditionalFormatting sqref="U20">
    <cfRule type="duplicateValues" dxfId="0" priority="908"/>
    <cfRule type="duplicateValues" dxfId="1" priority="912"/>
  </conditionalFormatting>
  <conditionalFormatting sqref="A21">
    <cfRule type="duplicateValues" dxfId="1" priority="891"/>
  </conditionalFormatting>
  <conditionalFormatting sqref="B21">
    <cfRule type="duplicateValues" dxfId="1" priority="895"/>
  </conditionalFormatting>
  <conditionalFormatting sqref="T21">
    <cfRule type="duplicateValues" dxfId="0" priority="883"/>
    <cfRule type="duplicateValues" dxfId="1" priority="887"/>
  </conditionalFormatting>
  <conditionalFormatting sqref="U21">
    <cfRule type="duplicateValues" dxfId="0" priority="907"/>
    <cfRule type="duplicateValues" dxfId="1" priority="911"/>
  </conditionalFormatting>
  <conditionalFormatting sqref="A22">
    <cfRule type="duplicateValues" dxfId="1" priority="877"/>
  </conditionalFormatting>
  <conditionalFormatting sqref="B22">
    <cfRule type="duplicateValues" dxfId="1" priority="878"/>
  </conditionalFormatting>
  <conditionalFormatting sqref="T22">
    <cfRule type="duplicateValues" dxfId="0" priority="875"/>
    <cfRule type="duplicateValues" dxfId="1" priority="876"/>
    <cfRule type="expression" dxfId="2" priority="879">
      <formula>AND(#REF!&lt;&gt;"",COUNTIF($A:$A,#REF!)&gt;1)</formula>
    </cfRule>
  </conditionalFormatting>
  <conditionalFormatting sqref="U22">
    <cfRule type="duplicateValues" dxfId="0" priority="881"/>
    <cfRule type="duplicateValues" dxfId="1" priority="882"/>
  </conditionalFormatting>
  <conditionalFormatting sqref="A23">
    <cfRule type="duplicateValues" dxfId="1" priority="849"/>
  </conditionalFormatting>
  <conditionalFormatting sqref="B23">
    <cfRule type="duplicateValues" dxfId="1" priority="854"/>
  </conditionalFormatting>
  <conditionalFormatting sqref="T23">
    <cfRule type="duplicateValues" dxfId="0" priority="839"/>
    <cfRule type="duplicateValues" dxfId="1" priority="844"/>
  </conditionalFormatting>
  <conditionalFormatting sqref="U23">
    <cfRule type="duplicateValues" dxfId="0" priority="869"/>
    <cfRule type="duplicateValues" dxfId="1" priority="874"/>
  </conditionalFormatting>
  <conditionalFormatting sqref="A24">
    <cfRule type="duplicateValues" dxfId="1" priority="848"/>
  </conditionalFormatting>
  <conditionalFormatting sqref="B24">
    <cfRule type="duplicateValues" dxfId="1" priority="853"/>
  </conditionalFormatting>
  <conditionalFormatting sqref="T24">
    <cfRule type="duplicateValues" dxfId="0" priority="838"/>
    <cfRule type="duplicateValues" dxfId="1" priority="843"/>
  </conditionalFormatting>
  <conditionalFormatting sqref="U24">
    <cfRule type="duplicateValues" dxfId="0" priority="868"/>
    <cfRule type="duplicateValues" dxfId="1" priority="873"/>
  </conditionalFormatting>
  <conditionalFormatting sqref="A25">
    <cfRule type="duplicateValues" dxfId="1" priority="847"/>
  </conditionalFormatting>
  <conditionalFormatting sqref="B25">
    <cfRule type="duplicateValues" dxfId="1" priority="852"/>
  </conditionalFormatting>
  <conditionalFormatting sqref="T25">
    <cfRule type="duplicateValues" dxfId="0" priority="837"/>
    <cfRule type="duplicateValues" dxfId="1" priority="842"/>
  </conditionalFormatting>
  <conditionalFormatting sqref="U25">
    <cfRule type="duplicateValues" dxfId="0" priority="867"/>
    <cfRule type="duplicateValues" dxfId="1" priority="872"/>
  </conditionalFormatting>
  <conditionalFormatting sqref="A26">
    <cfRule type="duplicateValues" dxfId="1" priority="846"/>
  </conditionalFormatting>
  <conditionalFormatting sqref="B26">
    <cfRule type="duplicateValues" dxfId="1" priority="851"/>
  </conditionalFormatting>
  <conditionalFormatting sqref="T26">
    <cfRule type="duplicateValues" dxfId="0" priority="836"/>
    <cfRule type="duplicateValues" dxfId="1" priority="841"/>
  </conditionalFormatting>
  <conditionalFormatting sqref="U26">
    <cfRule type="duplicateValues" dxfId="0" priority="866"/>
    <cfRule type="duplicateValues" dxfId="1" priority="871"/>
  </conditionalFormatting>
  <conditionalFormatting sqref="A27">
    <cfRule type="duplicateValues" dxfId="1" priority="845"/>
  </conditionalFormatting>
  <conditionalFormatting sqref="B27">
    <cfRule type="duplicateValues" dxfId="1" priority="850"/>
  </conditionalFormatting>
  <conditionalFormatting sqref="T27">
    <cfRule type="duplicateValues" dxfId="0" priority="835"/>
    <cfRule type="duplicateValues" dxfId="1" priority="840"/>
  </conditionalFormatting>
  <conditionalFormatting sqref="U27">
    <cfRule type="duplicateValues" dxfId="0" priority="865"/>
    <cfRule type="duplicateValues" dxfId="1" priority="870"/>
  </conditionalFormatting>
  <conditionalFormatting sqref="A28">
    <cfRule type="duplicateValues" dxfId="1" priority="829"/>
  </conditionalFormatting>
  <conditionalFormatting sqref="B28">
    <cfRule type="duplicateValues" dxfId="1" priority="830"/>
  </conditionalFormatting>
  <conditionalFormatting sqref="T28">
    <cfRule type="duplicateValues" dxfId="0" priority="827"/>
    <cfRule type="duplicateValues" dxfId="1" priority="828"/>
    <cfRule type="expression" dxfId="2" priority="831">
      <formula>AND(#REF!&lt;&gt;"",COUNTIF($A:$A,#REF!)&gt;1)</formula>
    </cfRule>
  </conditionalFormatting>
  <conditionalFormatting sqref="U28">
    <cfRule type="duplicateValues" dxfId="0" priority="833"/>
    <cfRule type="duplicateValues" dxfId="1" priority="834"/>
  </conditionalFormatting>
  <conditionalFormatting sqref="A29">
    <cfRule type="duplicateValues" dxfId="1" priority="771"/>
  </conditionalFormatting>
  <conditionalFormatting sqref="B29">
    <cfRule type="duplicateValues" dxfId="1" priority="782"/>
  </conditionalFormatting>
  <conditionalFormatting sqref="T29">
    <cfRule type="duplicateValues" dxfId="0" priority="749"/>
    <cfRule type="duplicateValues" dxfId="1" priority="760"/>
  </conditionalFormatting>
  <conditionalFormatting sqref="U29">
    <cfRule type="duplicateValues" dxfId="0" priority="815"/>
    <cfRule type="duplicateValues" dxfId="1" priority="826"/>
  </conditionalFormatting>
  <conditionalFormatting sqref="A30">
    <cfRule type="duplicateValues" dxfId="1" priority="770"/>
  </conditionalFormatting>
  <conditionalFormatting sqref="B30">
    <cfRule type="duplicateValues" dxfId="1" priority="781"/>
  </conditionalFormatting>
  <conditionalFormatting sqref="T30">
    <cfRule type="duplicateValues" dxfId="0" priority="748"/>
    <cfRule type="duplicateValues" dxfId="1" priority="759"/>
  </conditionalFormatting>
  <conditionalFormatting sqref="U30">
    <cfRule type="duplicateValues" dxfId="0" priority="814"/>
    <cfRule type="duplicateValues" dxfId="1" priority="825"/>
  </conditionalFormatting>
  <conditionalFormatting sqref="A31">
    <cfRule type="duplicateValues" dxfId="1" priority="769"/>
  </conditionalFormatting>
  <conditionalFormatting sqref="B31">
    <cfRule type="duplicateValues" dxfId="1" priority="780"/>
  </conditionalFormatting>
  <conditionalFormatting sqref="T31">
    <cfRule type="duplicateValues" dxfId="0" priority="747"/>
    <cfRule type="duplicateValues" dxfId="1" priority="758"/>
  </conditionalFormatting>
  <conditionalFormatting sqref="U31">
    <cfRule type="duplicateValues" dxfId="0" priority="813"/>
    <cfRule type="duplicateValues" dxfId="1" priority="824"/>
  </conditionalFormatting>
  <conditionalFormatting sqref="A32">
    <cfRule type="duplicateValues" dxfId="1" priority="768"/>
  </conditionalFormatting>
  <conditionalFormatting sqref="B32">
    <cfRule type="duplicateValues" dxfId="1" priority="779"/>
  </conditionalFormatting>
  <conditionalFormatting sqref="T32">
    <cfRule type="duplicateValues" dxfId="0" priority="746"/>
    <cfRule type="duplicateValues" dxfId="1" priority="757"/>
  </conditionalFormatting>
  <conditionalFormatting sqref="U32">
    <cfRule type="duplicateValues" dxfId="0" priority="812"/>
    <cfRule type="duplicateValues" dxfId="1" priority="823"/>
  </conditionalFormatting>
  <conditionalFormatting sqref="A33">
    <cfRule type="duplicateValues" dxfId="1" priority="767"/>
  </conditionalFormatting>
  <conditionalFormatting sqref="B33">
    <cfRule type="duplicateValues" dxfId="1" priority="778"/>
  </conditionalFormatting>
  <conditionalFormatting sqref="T33">
    <cfRule type="duplicateValues" dxfId="0" priority="745"/>
    <cfRule type="duplicateValues" dxfId="1" priority="756"/>
  </conditionalFormatting>
  <conditionalFormatting sqref="U33">
    <cfRule type="duplicateValues" dxfId="0" priority="811"/>
    <cfRule type="duplicateValues" dxfId="1" priority="822"/>
  </conditionalFormatting>
  <conditionalFormatting sqref="A34">
    <cfRule type="duplicateValues" dxfId="1" priority="766"/>
  </conditionalFormatting>
  <conditionalFormatting sqref="B34">
    <cfRule type="duplicateValues" dxfId="1" priority="777"/>
  </conditionalFormatting>
  <conditionalFormatting sqref="T34">
    <cfRule type="duplicateValues" dxfId="0" priority="744"/>
    <cfRule type="duplicateValues" dxfId="1" priority="755"/>
  </conditionalFormatting>
  <conditionalFormatting sqref="U34">
    <cfRule type="duplicateValues" dxfId="0" priority="810"/>
    <cfRule type="duplicateValues" dxfId="1" priority="821"/>
  </conditionalFormatting>
  <conditionalFormatting sqref="A35">
    <cfRule type="duplicateValues" dxfId="1" priority="765"/>
  </conditionalFormatting>
  <conditionalFormatting sqref="B35">
    <cfRule type="duplicateValues" dxfId="1" priority="776"/>
  </conditionalFormatting>
  <conditionalFormatting sqref="T35">
    <cfRule type="duplicateValues" dxfId="0" priority="743"/>
    <cfRule type="duplicateValues" dxfId="1" priority="754"/>
  </conditionalFormatting>
  <conditionalFormatting sqref="U35">
    <cfRule type="duplicateValues" dxfId="0" priority="809"/>
    <cfRule type="duplicateValues" dxfId="1" priority="820"/>
  </conditionalFormatting>
  <conditionalFormatting sqref="A36">
    <cfRule type="duplicateValues" dxfId="1" priority="764"/>
  </conditionalFormatting>
  <conditionalFormatting sqref="B36">
    <cfRule type="duplicateValues" dxfId="1" priority="775"/>
  </conditionalFormatting>
  <conditionalFormatting sqref="T36">
    <cfRule type="duplicateValues" dxfId="0" priority="742"/>
    <cfRule type="duplicateValues" dxfId="1" priority="753"/>
  </conditionalFormatting>
  <conditionalFormatting sqref="U36">
    <cfRule type="duplicateValues" dxfId="0" priority="808"/>
    <cfRule type="duplicateValues" dxfId="1" priority="819"/>
  </conditionalFormatting>
  <conditionalFormatting sqref="A37">
    <cfRule type="duplicateValues" dxfId="1" priority="763"/>
  </conditionalFormatting>
  <conditionalFormatting sqref="B37">
    <cfRule type="duplicateValues" dxfId="1" priority="774"/>
  </conditionalFormatting>
  <conditionalFormatting sqref="T37">
    <cfRule type="duplicateValues" dxfId="0" priority="741"/>
    <cfRule type="duplicateValues" dxfId="1" priority="752"/>
  </conditionalFormatting>
  <conditionalFormatting sqref="U37">
    <cfRule type="duplicateValues" dxfId="0" priority="807"/>
    <cfRule type="duplicateValues" dxfId="1" priority="818"/>
  </conditionalFormatting>
  <conditionalFormatting sqref="A38">
    <cfRule type="duplicateValues" dxfId="1" priority="762"/>
  </conditionalFormatting>
  <conditionalFormatting sqref="B38">
    <cfRule type="duplicateValues" dxfId="1" priority="773"/>
  </conditionalFormatting>
  <conditionalFormatting sqref="T38">
    <cfRule type="duplicateValues" dxfId="0" priority="740"/>
    <cfRule type="duplicateValues" dxfId="1" priority="751"/>
  </conditionalFormatting>
  <conditionalFormatting sqref="U38">
    <cfRule type="duplicateValues" dxfId="0" priority="806"/>
    <cfRule type="duplicateValues" dxfId="1" priority="817"/>
  </conditionalFormatting>
  <conditionalFormatting sqref="A39">
    <cfRule type="duplicateValues" dxfId="1" priority="761"/>
  </conditionalFormatting>
  <conditionalFormatting sqref="B39">
    <cfRule type="duplicateValues" dxfId="1" priority="772"/>
  </conditionalFormatting>
  <conditionalFormatting sqref="T39">
    <cfRule type="duplicateValues" dxfId="0" priority="739"/>
    <cfRule type="duplicateValues" dxfId="1" priority="750"/>
  </conditionalFormatting>
  <conditionalFormatting sqref="U39">
    <cfRule type="duplicateValues" dxfId="0" priority="805"/>
    <cfRule type="duplicateValues" dxfId="1" priority="816"/>
  </conditionalFormatting>
  <conditionalFormatting sqref="A40">
    <cfRule type="duplicateValues" dxfId="1" priority="733"/>
  </conditionalFormatting>
  <conditionalFormatting sqref="B40">
    <cfRule type="duplicateValues" dxfId="1" priority="734"/>
  </conditionalFormatting>
  <conditionalFormatting sqref="T40">
    <cfRule type="duplicateValues" dxfId="0" priority="731"/>
    <cfRule type="duplicateValues" dxfId="1" priority="732"/>
    <cfRule type="expression" dxfId="2" priority="735">
      <formula>AND(#REF!&lt;&gt;"",COUNTIF($A:$A,#REF!)&gt;1)</formula>
    </cfRule>
  </conditionalFormatting>
  <conditionalFormatting sqref="U40">
    <cfRule type="duplicateValues" dxfId="0" priority="737"/>
    <cfRule type="duplicateValues" dxfId="1" priority="738"/>
  </conditionalFormatting>
  <conditionalFormatting sqref="A41">
    <cfRule type="duplicateValues" dxfId="1" priority="690"/>
  </conditionalFormatting>
  <conditionalFormatting sqref="B41">
    <cfRule type="duplicateValues" dxfId="1" priority="698"/>
  </conditionalFormatting>
  <conditionalFormatting sqref="T41">
    <cfRule type="duplicateValues" dxfId="0" priority="674"/>
    <cfRule type="duplicateValues" dxfId="1" priority="682"/>
  </conditionalFormatting>
  <conditionalFormatting sqref="U41">
    <cfRule type="duplicateValues" dxfId="0" priority="722"/>
    <cfRule type="duplicateValues" dxfId="1" priority="730"/>
  </conditionalFormatting>
  <conditionalFormatting sqref="A42">
    <cfRule type="duplicateValues" dxfId="1" priority="689"/>
  </conditionalFormatting>
  <conditionalFormatting sqref="B42">
    <cfRule type="duplicateValues" dxfId="1" priority="697"/>
  </conditionalFormatting>
  <conditionalFormatting sqref="T42">
    <cfRule type="duplicateValues" dxfId="0" priority="673"/>
    <cfRule type="duplicateValues" dxfId="1" priority="681"/>
  </conditionalFormatting>
  <conditionalFormatting sqref="U42">
    <cfRule type="duplicateValues" dxfId="0" priority="721"/>
    <cfRule type="duplicateValues" dxfId="1" priority="729"/>
  </conditionalFormatting>
  <conditionalFormatting sqref="A43">
    <cfRule type="duplicateValues" dxfId="1" priority="688"/>
  </conditionalFormatting>
  <conditionalFormatting sqref="B43">
    <cfRule type="duplicateValues" dxfId="1" priority="696"/>
  </conditionalFormatting>
  <conditionalFormatting sqref="T43">
    <cfRule type="duplicateValues" dxfId="0" priority="672"/>
    <cfRule type="duplicateValues" dxfId="1" priority="680"/>
  </conditionalFormatting>
  <conditionalFormatting sqref="U43">
    <cfRule type="duplicateValues" dxfId="0" priority="720"/>
    <cfRule type="duplicateValues" dxfId="1" priority="728"/>
  </conditionalFormatting>
  <conditionalFormatting sqref="A44">
    <cfRule type="duplicateValues" dxfId="1" priority="687"/>
  </conditionalFormatting>
  <conditionalFormatting sqref="B44">
    <cfRule type="duplicateValues" dxfId="1" priority="695"/>
  </conditionalFormatting>
  <conditionalFormatting sqref="T44">
    <cfRule type="duplicateValues" dxfId="0" priority="671"/>
    <cfRule type="duplicateValues" dxfId="1" priority="679"/>
  </conditionalFormatting>
  <conditionalFormatting sqref="U44">
    <cfRule type="duplicateValues" dxfId="0" priority="719"/>
    <cfRule type="duplicateValues" dxfId="1" priority="727"/>
  </conditionalFormatting>
  <conditionalFormatting sqref="A45">
    <cfRule type="duplicateValues" dxfId="1" priority="686"/>
  </conditionalFormatting>
  <conditionalFormatting sqref="B45">
    <cfRule type="duplicateValues" dxfId="1" priority="694"/>
  </conditionalFormatting>
  <conditionalFormatting sqref="T45">
    <cfRule type="duplicateValues" dxfId="0" priority="670"/>
    <cfRule type="duplicateValues" dxfId="1" priority="678"/>
  </conditionalFormatting>
  <conditionalFormatting sqref="U45">
    <cfRule type="duplicateValues" dxfId="0" priority="718"/>
    <cfRule type="duplicateValues" dxfId="1" priority="726"/>
  </conditionalFormatting>
  <conditionalFormatting sqref="A46">
    <cfRule type="duplicateValues" dxfId="1" priority="685"/>
  </conditionalFormatting>
  <conditionalFormatting sqref="B46">
    <cfRule type="duplicateValues" dxfId="1" priority="693"/>
  </conditionalFormatting>
  <conditionalFormatting sqref="T46">
    <cfRule type="duplicateValues" dxfId="0" priority="669"/>
    <cfRule type="duplicateValues" dxfId="1" priority="677"/>
  </conditionalFormatting>
  <conditionalFormatting sqref="U46">
    <cfRule type="duplicateValues" dxfId="0" priority="717"/>
    <cfRule type="duplicateValues" dxfId="1" priority="725"/>
  </conditionalFormatting>
  <conditionalFormatting sqref="A47">
    <cfRule type="duplicateValues" dxfId="1" priority="684"/>
  </conditionalFormatting>
  <conditionalFormatting sqref="B47">
    <cfRule type="duplicateValues" dxfId="1" priority="692"/>
  </conditionalFormatting>
  <conditionalFormatting sqref="T47">
    <cfRule type="duplicateValues" dxfId="0" priority="668"/>
    <cfRule type="duplicateValues" dxfId="1" priority="676"/>
  </conditionalFormatting>
  <conditionalFormatting sqref="U47">
    <cfRule type="duplicateValues" dxfId="0" priority="716"/>
    <cfRule type="duplicateValues" dxfId="1" priority="724"/>
  </conditionalFormatting>
  <conditionalFormatting sqref="A48">
    <cfRule type="duplicateValues" dxfId="1" priority="683"/>
  </conditionalFormatting>
  <conditionalFormatting sqref="B48">
    <cfRule type="duplicateValues" dxfId="1" priority="691"/>
  </conditionalFormatting>
  <conditionalFormatting sqref="T48">
    <cfRule type="duplicateValues" dxfId="0" priority="667"/>
    <cfRule type="duplicateValues" dxfId="1" priority="675"/>
  </conditionalFormatting>
  <conditionalFormatting sqref="U48">
    <cfRule type="duplicateValues" dxfId="0" priority="715"/>
    <cfRule type="duplicateValues" dxfId="1" priority="723"/>
  </conditionalFormatting>
  <conditionalFormatting sqref="A49">
    <cfRule type="duplicateValues" dxfId="1" priority="631"/>
  </conditionalFormatting>
  <conditionalFormatting sqref="B49">
    <cfRule type="duplicateValues" dxfId="1" priority="638"/>
  </conditionalFormatting>
  <conditionalFormatting sqref="T49">
    <cfRule type="duplicateValues" dxfId="0" priority="617"/>
    <cfRule type="duplicateValues" dxfId="1" priority="624"/>
  </conditionalFormatting>
  <conditionalFormatting sqref="U49">
    <cfRule type="duplicateValues" dxfId="0" priority="659"/>
    <cfRule type="duplicateValues" dxfId="1" priority="666"/>
  </conditionalFormatting>
  <conditionalFormatting sqref="A50">
    <cfRule type="duplicateValues" dxfId="1" priority="630"/>
  </conditionalFormatting>
  <conditionalFormatting sqref="B50">
    <cfRule type="duplicateValues" dxfId="1" priority="637"/>
  </conditionalFormatting>
  <conditionalFormatting sqref="T50">
    <cfRule type="duplicateValues" dxfId="0" priority="616"/>
    <cfRule type="duplicateValues" dxfId="1" priority="623"/>
  </conditionalFormatting>
  <conditionalFormatting sqref="U50">
    <cfRule type="duplicateValues" dxfId="0" priority="658"/>
    <cfRule type="duplicateValues" dxfId="1" priority="665"/>
  </conditionalFormatting>
  <conditionalFormatting sqref="A51">
    <cfRule type="duplicateValues" dxfId="1" priority="629"/>
  </conditionalFormatting>
  <conditionalFormatting sqref="B51">
    <cfRule type="duplicateValues" dxfId="1" priority="636"/>
  </conditionalFormatting>
  <conditionalFormatting sqref="T51">
    <cfRule type="duplicateValues" dxfId="0" priority="615"/>
    <cfRule type="duplicateValues" dxfId="1" priority="622"/>
  </conditionalFormatting>
  <conditionalFormatting sqref="U51">
    <cfRule type="duplicateValues" dxfId="0" priority="657"/>
    <cfRule type="duplicateValues" dxfId="1" priority="664"/>
  </conditionalFormatting>
  <conditionalFormatting sqref="A52">
    <cfRule type="duplicateValues" dxfId="1" priority="628"/>
  </conditionalFormatting>
  <conditionalFormatting sqref="B52">
    <cfRule type="duplicateValues" dxfId="1" priority="635"/>
  </conditionalFormatting>
  <conditionalFormatting sqref="T52">
    <cfRule type="duplicateValues" dxfId="0" priority="614"/>
    <cfRule type="duplicateValues" dxfId="1" priority="621"/>
  </conditionalFormatting>
  <conditionalFormatting sqref="U52">
    <cfRule type="duplicateValues" dxfId="0" priority="656"/>
    <cfRule type="duplicateValues" dxfId="1" priority="663"/>
  </conditionalFormatting>
  <conditionalFormatting sqref="A53">
    <cfRule type="duplicateValues" dxfId="1" priority="627"/>
  </conditionalFormatting>
  <conditionalFormatting sqref="B53">
    <cfRule type="duplicateValues" dxfId="1" priority="634"/>
  </conditionalFormatting>
  <conditionalFormatting sqref="T53">
    <cfRule type="duplicateValues" dxfId="0" priority="613"/>
    <cfRule type="duplicateValues" dxfId="1" priority="620"/>
  </conditionalFormatting>
  <conditionalFormatting sqref="U53">
    <cfRule type="duplicateValues" dxfId="0" priority="655"/>
    <cfRule type="duplicateValues" dxfId="1" priority="662"/>
  </conditionalFormatting>
  <conditionalFormatting sqref="A54">
    <cfRule type="duplicateValues" dxfId="1" priority="626"/>
  </conditionalFormatting>
  <conditionalFormatting sqref="B54">
    <cfRule type="duplicateValues" dxfId="1" priority="633"/>
  </conditionalFormatting>
  <conditionalFormatting sqref="T54">
    <cfRule type="duplicateValues" dxfId="0" priority="612"/>
    <cfRule type="duplicateValues" dxfId="1" priority="619"/>
  </conditionalFormatting>
  <conditionalFormatting sqref="U54">
    <cfRule type="duplicateValues" dxfId="0" priority="654"/>
    <cfRule type="duplicateValues" dxfId="1" priority="661"/>
  </conditionalFormatting>
  <conditionalFormatting sqref="A55">
    <cfRule type="duplicateValues" dxfId="1" priority="625"/>
  </conditionalFormatting>
  <conditionalFormatting sqref="B55">
    <cfRule type="duplicateValues" dxfId="1" priority="632"/>
  </conditionalFormatting>
  <conditionalFormatting sqref="T55">
    <cfRule type="duplicateValues" dxfId="0" priority="611"/>
    <cfRule type="duplicateValues" dxfId="1" priority="618"/>
  </conditionalFormatting>
  <conditionalFormatting sqref="U55">
    <cfRule type="duplicateValues" dxfId="0" priority="653"/>
    <cfRule type="duplicateValues" dxfId="1" priority="660"/>
  </conditionalFormatting>
  <conditionalFormatting sqref="A56">
    <cfRule type="duplicateValues" dxfId="1" priority="605"/>
  </conditionalFormatting>
  <conditionalFormatting sqref="B56">
    <cfRule type="duplicateValues" dxfId="1" priority="606"/>
  </conditionalFormatting>
  <conditionalFormatting sqref="T56">
    <cfRule type="duplicateValues" dxfId="0" priority="603"/>
    <cfRule type="duplicateValues" dxfId="1" priority="604"/>
    <cfRule type="expression" dxfId="2" priority="607">
      <formula>AND(#REF!&lt;&gt;"",COUNTIF($A:$A,#REF!)&gt;1)</formula>
    </cfRule>
  </conditionalFormatting>
  <conditionalFormatting sqref="U56">
    <cfRule type="duplicateValues" dxfId="0" priority="609"/>
    <cfRule type="duplicateValues" dxfId="1" priority="610"/>
  </conditionalFormatting>
  <conditionalFormatting sqref="A57">
    <cfRule type="duplicateValues" dxfId="1" priority="532"/>
  </conditionalFormatting>
  <conditionalFormatting sqref="B57">
    <cfRule type="duplicateValues" dxfId="1" priority="546"/>
  </conditionalFormatting>
  <conditionalFormatting sqref="T57">
    <cfRule type="duplicateValues" dxfId="0" priority="504"/>
    <cfRule type="duplicateValues" dxfId="1" priority="518"/>
  </conditionalFormatting>
  <conditionalFormatting sqref="U57">
    <cfRule type="duplicateValues" dxfId="0" priority="588"/>
    <cfRule type="duplicateValues" dxfId="1" priority="602"/>
  </conditionalFormatting>
  <conditionalFormatting sqref="A58">
    <cfRule type="duplicateValues" dxfId="1" priority="531"/>
  </conditionalFormatting>
  <conditionalFormatting sqref="B58">
    <cfRule type="duplicateValues" dxfId="1" priority="545"/>
  </conditionalFormatting>
  <conditionalFormatting sqref="T58">
    <cfRule type="duplicateValues" dxfId="0" priority="503"/>
    <cfRule type="duplicateValues" dxfId="1" priority="517"/>
  </conditionalFormatting>
  <conditionalFormatting sqref="U58">
    <cfRule type="duplicateValues" dxfId="0" priority="587"/>
    <cfRule type="duplicateValues" dxfId="1" priority="601"/>
  </conditionalFormatting>
  <conditionalFormatting sqref="A59">
    <cfRule type="duplicateValues" dxfId="1" priority="529"/>
  </conditionalFormatting>
  <conditionalFormatting sqref="B59">
    <cfRule type="duplicateValues" dxfId="1" priority="543"/>
  </conditionalFormatting>
  <conditionalFormatting sqref="T59">
    <cfRule type="duplicateValues" dxfId="0" priority="501"/>
    <cfRule type="duplicateValues" dxfId="1" priority="515"/>
  </conditionalFormatting>
  <conditionalFormatting sqref="U59">
    <cfRule type="duplicateValues" dxfId="0" priority="585"/>
    <cfRule type="duplicateValues" dxfId="1" priority="599"/>
  </conditionalFormatting>
  <conditionalFormatting sqref="A60">
    <cfRule type="duplicateValues" dxfId="1" priority="528"/>
  </conditionalFormatting>
  <conditionalFormatting sqref="B60">
    <cfRule type="duplicateValues" dxfId="1" priority="542"/>
  </conditionalFormatting>
  <conditionalFormatting sqref="T60">
    <cfRule type="duplicateValues" dxfId="0" priority="500"/>
    <cfRule type="duplicateValues" dxfId="1" priority="514"/>
  </conditionalFormatting>
  <conditionalFormatting sqref="U60">
    <cfRule type="duplicateValues" dxfId="0" priority="584"/>
    <cfRule type="duplicateValues" dxfId="1" priority="598"/>
  </conditionalFormatting>
  <conditionalFormatting sqref="A61">
    <cfRule type="duplicateValues" dxfId="1" priority="527"/>
  </conditionalFormatting>
  <conditionalFormatting sqref="B61">
    <cfRule type="duplicateValues" dxfId="1" priority="541"/>
  </conditionalFormatting>
  <conditionalFormatting sqref="T61">
    <cfRule type="duplicateValues" dxfId="0" priority="499"/>
    <cfRule type="duplicateValues" dxfId="1" priority="513"/>
  </conditionalFormatting>
  <conditionalFormatting sqref="U61">
    <cfRule type="duplicateValues" dxfId="0" priority="583"/>
    <cfRule type="duplicateValues" dxfId="1" priority="597"/>
  </conditionalFormatting>
  <conditionalFormatting sqref="A62">
    <cfRule type="duplicateValues" dxfId="1" priority="526"/>
  </conditionalFormatting>
  <conditionalFormatting sqref="B62">
    <cfRule type="duplicateValues" dxfId="1" priority="540"/>
  </conditionalFormatting>
  <conditionalFormatting sqref="T62">
    <cfRule type="duplicateValues" dxfId="0" priority="498"/>
    <cfRule type="duplicateValues" dxfId="1" priority="512"/>
  </conditionalFormatting>
  <conditionalFormatting sqref="U62">
    <cfRule type="duplicateValues" dxfId="0" priority="582"/>
    <cfRule type="duplicateValues" dxfId="1" priority="596"/>
  </conditionalFormatting>
  <conditionalFormatting sqref="A63">
    <cfRule type="duplicateValues" dxfId="1" priority="525"/>
  </conditionalFormatting>
  <conditionalFormatting sqref="B63">
    <cfRule type="duplicateValues" dxfId="1" priority="539"/>
  </conditionalFormatting>
  <conditionalFormatting sqref="T63">
    <cfRule type="duplicateValues" dxfId="0" priority="497"/>
    <cfRule type="duplicateValues" dxfId="1" priority="511"/>
  </conditionalFormatting>
  <conditionalFormatting sqref="U63">
    <cfRule type="duplicateValues" dxfId="0" priority="581"/>
    <cfRule type="duplicateValues" dxfId="1" priority="595"/>
  </conditionalFormatting>
  <conditionalFormatting sqref="A64">
    <cfRule type="duplicateValues" dxfId="1" priority="524"/>
  </conditionalFormatting>
  <conditionalFormatting sqref="B64">
    <cfRule type="duplicateValues" dxfId="1" priority="538"/>
  </conditionalFormatting>
  <conditionalFormatting sqref="T64">
    <cfRule type="duplicateValues" dxfId="0" priority="496"/>
    <cfRule type="duplicateValues" dxfId="1" priority="510"/>
  </conditionalFormatting>
  <conditionalFormatting sqref="U64">
    <cfRule type="duplicateValues" dxfId="0" priority="580"/>
    <cfRule type="duplicateValues" dxfId="1" priority="594"/>
  </conditionalFormatting>
  <conditionalFormatting sqref="A65">
    <cfRule type="duplicateValues" dxfId="1" priority="523"/>
  </conditionalFormatting>
  <conditionalFormatting sqref="B65">
    <cfRule type="duplicateValues" dxfId="1" priority="537"/>
  </conditionalFormatting>
  <conditionalFormatting sqref="T65">
    <cfRule type="duplicateValues" dxfId="0" priority="495"/>
    <cfRule type="duplicateValues" dxfId="1" priority="509"/>
  </conditionalFormatting>
  <conditionalFormatting sqref="U65">
    <cfRule type="duplicateValues" dxfId="0" priority="579"/>
    <cfRule type="duplicateValues" dxfId="1" priority="593"/>
  </conditionalFormatting>
  <conditionalFormatting sqref="A66">
    <cfRule type="duplicateValues" dxfId="1" priority="522"/>
  </conditionalFormatting>
  <conditionalFormatting sqref="B66">
    <cfRule type="duplicateValues" dxfId="1" priority="536"/>
  </conditionalFormatting>
  <conditionalFormatting sqref="T66">
    <cfRule type="duplicateValues" dxfId="0" priority="494"/>
    <cfRule type="duplicateValues" dxfId="1" priority="508"/>
  </conditionalFormatting>
  <conditionalFormatting sqref="U66">
    <cfRule type="duplicateValues" dxfId="0" priority="578"/>
    <cfRule type="duplicateValues" dxfId="1" priority="592"/>
  </conditionalFormatting>
  <conditionalFormatting sqref="A67">
    <cfRule type="duplicateValues" dxfId="1" priority="521"/>
  </conditionalFormatting>
  <conditionalFormatting sqref="B67">
    <cfRule type="duplicateValues" dxfId="1" priority="535"/>
  </conditionalFormatting>
  <conditionalFormatting sqref="T67">
    <cfRule type="duplicateValues" dxfId="0" priority="493"/>
    <cfRule type="duplicateValues" dxfId="1" priority="507"/>
  </conditionalFormatting>
  <conditionalFormatting sqref="U67">
    <cfRule type="duplicateValues" dxfId="0" priority="577"/>
    <cfRule type="duplicateValues" dxfId="1" priority="591"/>
  </conditionalFormatting>
  <conditionalFormatting sqref="A68">
    <cfRule type="duplicateValues" dxfId="1" priority="520"/>
  </conditionalFormatting>
  <conditionalFormatting sqref="B68">
    <cfRule type="duplicateValues" dxfId="1" priority="534"/>
  </conditionalFormatting>
  <conditionalFormatting sqref="T68">
    <cfRule type="duplicateValues" dxfId="0" priority="492"/>
    <cfRule type="duplicateValues" dxfId="1" priority="506"/>
  </conditionalFormatting>
  <conditionalFormatting sqref="U68">
    <cfRule type="duplicateValues" dxfId="0" priority="576"/>
    <cfRule type="duplicateValues" dxfId="1" priority="590"/>
  </conditionalFormatting>
  <conditionalFormatting sqref="A69">
    <cfRule type="duplicateValues" dxfId="1" priority="389"/>
  </conditionalFormatting>
  <conditionalFormatting sqref="B69">
    <cfRule type="duplicateValues" dxfId="1" priority="390"/>
  </conditionalFormatting>
  <conditionalFormatting sqref="T69">
    <cfRule type="duplicateValues" dxfId="0" priority="387"/>
    <cfRule type="duplicateValues" dxfId="1" priority="388"/>
    <cfRule type="expression" dxfId="2" priority="391">
      <formula>AND(#REF!&lt;&gt;"",COUNTIF($A:$A,#REF!)&gt;1)</formula>
    </cfRule>
  </conditionalFormatting>
  <conditionalFormatting sqref="U69">
    <cfRule type="duplicateValues" dxfId="0" priority="393"/>
    <cfRule type="duplicateValues" dxfId="1" priority="394"/>
  </conditionalFormatting>
  <conditionalFormatting sqref="A70">
    <cfRule type="duplicateValues" dxfId="1" priority="430"/>
  </conditionalFormatting>
  <conditionalFormatting sqref="B70">
    <cfRule type="duplicateValues" dxfId="1" priority="442"/>
  </conditionalFormatting>
  <conditionalFormatting sqref="T70">
    <cfRule type="duplicateValues" dxfId="0" priority="406"/>
    <cfRule type="duplicateValues" dxfId="1" priority="418"/>
  </conditionalFormatting>
  <conditionalFormatting sqref="U70">
    <cfRule type="duplicateValues" dxfId="0" priority="478"/>
    <cfRule type="duplicateValues" dxfId="1" priority="490"/>
  </conditionalFormatting>
  <conditionalFormatting sqref="A71">
    <cfRule type="duplicateValues" dxfId="1" priority="428"/>
  </conditionalFormatting>
  <conditionalFormatting sqref="B71">
    <cfRule type="duplicateValues" dxfId="1" priority="440"/>
  </conditionalFormatting>
  <conditionalFormatting sqref="T71">
    <cfRule type="duplicateValues" dxfId="0" priority="404"/>
    <cfRule type="duplicateValues" dxfId="1" priority="416"/>
  </conditionalFormatting>
  <conditionalFormatting sqref="U71">
    <cfRule type="duplicateValues" dxfId="0" priority="476"/>
    <cfRule type="duplicateValues" dxfId="1" priority="488"/>
  </conditionalFormatting>
  <conditionalFormatting sqref="A72">
    <cfRule type="duplicateValues" dxfId="1" priority="427"/>
  </conditionalFormatting>
  <conditionalFormatting sqref="B72">
    <cfRule type="duplicateValues" dxfId="1" priority="439"/>
  </conditionalFormatting>
  <conditionalFormatting sqref="T72">
    <cfRule type="duplicateValues" dxfId="0" priority="403"/>
    <cfRule type="duplicateValues" dxfId="1" priority="415"/>
  </conditionalFormatting>
  <conditionalFormatting sqref="U72">
    <cfRule type="duplicateValues" dxfId="0" priority="475"/>
    <cfRule type="duplicateValues" dxfId="1" priority="487"/>
  </conditionalFormatting>
  <conditionalFormatting sqref="A73">
    <cfRule type="duplicateValues" dxfId="1" priority="426"/>
  </conditionalFormatting>
  <conditionalFormatting sqref="B73">
    <cfRule type="duplicateValues" dxfId="1" priority="438"/>
  </conditionalFormatting>
  <conditionalFormatting sqref="T73">
    <cfRule type="duplicateValues" dxfId="0" priority="402"/>
    <cfRule type="duplicateValues" dxfId="1" priority="414"/>
  </conditionalFormatting>
  <conditionalFormatting sqref="U73">
    <cfRule type="duplicateValues" dxfId="0" priority="474"/>
    <cfRule type="duplicateValues" dxfId="1" priority="486"/>
  </conditionalFormatting>
  <conditionalFormatting sqref="A74">
    <cfRule type="duplicateValues" dxfId="1" priority="425"/>
  </conditionalFormatting>
  <conditionalFormatting sqref="B74">
    <cfRule type="duplicateValues" dxfId="1" priority="437"/>
  </conditionalFormatting>
  <conditionalFormatting sqref="T74">
    <cfRule type="duplicateValues" dxfId="0" priority="401"/>
    <cfRule type="duplicateValues" dxfId="1" priority="413"/>
  </conditionalFormatting>
  <conditionalFormatting sqref="U74">
    <cfRule type="duplicateValues" dxfId="0" priority="473"/>
    <cfRule type="duplicateValues" dxfId="1" priority="485"/>
  </conditionalFormatting>
  <conditionalFormatting sqref="A75">
    <cfRule type="duplicateValues" dxfId="1" priority="424"/>
  </conditionalFormatting>
  <conditionalFormatting sqref="B75">
    <cfRule type="duplicateValues" dxfId="1" priority="436"/>
  </conditionalFormatting>
  <conditionalFormatting sqref="T75">
    <cfRule type="duplicateValues" dxfId="0" priority="400"/>
    <cfRule type="duplicateValues" dxfId="1" priority="412"/>
  </conditionalFormatting>
  <conditionalFormatting sqref="U75">
    <cfRule type="duplicateValues" dxfId="0" priority="472"/>
    <cfRule type="duplicateValues" dxfId="1" priority="484"/>
  </conditionalFormatting>
  <conditionalFormatting sqref="A76">
    <cfRule type="duplicateValues" dxfId="1" priority="423"/>
  </conditionalFormatting>
  <conditionalFormatting sqref="B76">
    <cfRule type="duplicateValues" dxfId="1" priority="435"/>
  </conditionalFormatting>
  <conditionalFormatting sqref="T76">
    <cfRule type="duplicateValues" dxfId="0" priority="399"/>
    <cfRule type="duplicateValues" dxfId="1" priority="411"/>
  </conditionalFormatting>
  <conditionalFormatting sqref="U76">
    <cfRule type="duplicateValues" dxfId="0" priority="471"/>
    <cfRule type="duplicateValues" dxfId="1" priority="483"/>
  </conditionalFormatting>
  <conditionalFormatting sqref="A77">
    <cfRule type="duplicateValues" dxfId="1" priority="422"/>
  </conditionalFormatting>
  <conditionalFormatting sqref="B77">
    <cfRule type="duplicateValues" dxfId="1" priority="434"/>
  </conditionalFormatting>
  <conditionalFormatting sqref="T77">
    <cfRule type="duplicateValues" dxfId="0" priority="398"/>
    <cfRule type="duplicateValues" dxfId="1" priority="410"/>
  </conditionalFormatting>
  <conditionalFormatting sqref="U77">
    <cfRule type="duplicateValues" dxfId="0" priority="470"/>
    <cfRule type="duplicateValues" dxfId="1" priority="482"/>
  </conditionalFormatting>
  <conditionalFormatting sqref="A78">
    <cfRule type="duplicateValues" dxfId="1" priority="421"/>
  </conditionalFormatting>
  <conditionalFormatting sqref="B78">
    <cfRule type="duplicateValues" dxfId="1" priority="433"/>
  </conditionalFormatting>
  <conditionalFormatting sqref="T78">
    <cfRule type="duplicateValues" dxfId="0" priority="397"/>
    <cfRule type="duplicateValues" dxfId="1" priority="409"/>
  </conditionalFormatting>
  <conditionalFormatting sqref="U78">
    <cfRule type="duplicateValues" dxfId="0" priority="469"/>
    <cfRule type="duplicateValues" dxfId="1" priority="481"/>
  </conditionalFormatting>
  <conditionalFormatting sqref="A79">
    <cfRule type="duplicateValues" dxfId="1" priority="420"/>
  </conditionalFormatting>
  <conditionalFormatting sqref="B79">
    <cfRule type="duplicateValues" dxfId="1" priority="432"/>
  </conditionalFormatting>
  <conditionalFormatting sqref="T79">
    <cfRule type="duplicateValues" dxfId="0" priority="396"/>
    <cfRule type="duplicateValues" dxfId="1" priority="408"/>
  </conditionalFormatting>
  <conditionalFormatting sqref="U79">
    <cfRule type="duplicateValues" dxfId="0" priority="468"/>
    <cfRule type="duplicateValues" dxfId="1" priority="480"/>
  </conditionalFormatting>
  <conditionalFormatting sqref="A80">
    <cfRule type="duplicateValues" dxfId="1" priority="419"/>
  </conditionalFormatting>
  <conditionalFormatting sqref="B80">
    <cfRule type="duplicateValues" dxfId="1" priority="431"/>
  </conditionalFormatting>
  <conditionalFormatting sqref="T80">
    <cfRule type="duplicateValues" dxfId="0" priority="395"/>
    <cfRule type="duplicateValues" dxfId="1" priority="407"/>
  </conditionalFormatting>
  <conditionalFormatting sqref="U80">
    <cfRule type="duplicateValues" dxfId="0" priority="467"/>
    <cfRule type="duplicateValues" dxfId="1" priority="479"/>
  </conditionalFormatting>
  <conditionalFormatting sqref="A81">
    <cfRule type="duplicateValues" dxfId="1" priority="345"/>
  </conditionalFormatting>
  <conditionalFormatting sqref="B81">
    <cfRule type="duplicateValues" dxfId="1" priority="353"/>
  </conditionalFormatting>
  <conditionalFormatting sqref="T81">
    <cfRule type="duplicateValues" dxfId="0" priority="329"/>
    <cfRule type="duplicateValues" dxfId="1" priority="337"/>
  </conditionalFormatting>
  <conditionalFormatting sqref="U81">
    <cfRule type="duplicateValues" dxfId="0" priority="377"/>
    <cfRule type="duplicateValues" dxfId="1" priority="385"/>
  </conditionalFormatting>
  <conditionalFormatting sqref="A82">
    <cfRule type="duplicateValues" dxfId="1" priority="344"/>
  </conditionalFormatting>
  <conditionalFormatting sqref="B82">
    <cfRule type="duplicateValues" dxfId="1" priority="352"/>
  </conditionalFormatting>
  <conditionalFormatting sqref="T82">
    <cfRule type="duplicateValues" dxfId="0" priority="328"/>
    <cfRule type="duplicateValues" dxfId="1" priority="336"/>
  </conditionalFormatting>
  <conditionalFormatting sqref="U82">
    <cfRule type="duplicateValues" dxfId="0" priority="376"/>
    <cfRule type="duplicateValues" dxfId="1" priority="384"/>
  </conditionalFormatting>
  <conditionalFormatting sqref="A83">
    <cfRule type="duplicateValues" dxfId="1" priority="343"/>
  </conditionalFormatting>
  <conditionalFormatting sqref="B83">
    <cfRule type="duplicateValues" dxfId="1" priority="351"/>
  </conditionalFormatting>
  <conditionalFormatting sqref="T83">
    <cfRule type="duplicateValues" dxfId="0" priority="327"/>
    <cfRule type="duplicateValues" dxfId="1" priority="335"/>
  </conditionalFormatting>
  <conditionalFormatting sqref="U83">
    <cfRule type="duplicateValues" dxfId="0" priority="375"/>
    <cfRule type="duplicateValues" dxfId="1" priority="383"/>
  </conditionalFormatting>
  <conditionalFormatting sqref="A84">
    <cfRule type="duplicateValues" dxfId="1" priority="342"/>
  </conditionalFormatting>
  <conditionalFormatting sqref="B84">
    <cfRule type="duplicateValues" dxfId="1" priority="350"/>
  </conditionalFormatting>
  <conditionalFormatting sqref="T84">
    <cfRule type="duplicateValues" dxfId="0" priority="326"/>
    <cfRule type="duplicateValues" dxfId="1" priority="334"/>
  </conditionalFormatting>
  <conditionalFormatting sqref="U84">
    <cfRule type="duplicateValues" dxfId="0" priority="374"/>
    <cfRule type="duplicateValues" dxfId="1" priority="382"/>
  </conditionalFormatting>
  <conditionalFormatting sqref="A85">
    <cfRule type="duplicateValues" dxfId="1" priority="341"/>
  </conditionalFormatting>
  <conditionalFormatting sqref="B85">
    <cfRule type="duplicateValues" dxfId="1" priority="349"/>
  </conditionalFormatting>
  <conditionalFormatting sqref="T85">
    <cfRule type="duplicateValues" dxfId="0" priority="325"/>
    <cfRule type="duplicateValues" dxfId="1" priority="333"/>
  </conditionalFormatting>
  <conditionalFormatting sqref="U85">
    <cfRule type="duplicateValues" dxfId="0" priority="373"/>
    <cfRule type="duplicateValues" dxfId="1" priority="381"/>
  </conditionalFormatting>
  <conditionalFormatting sqref="A86">
    <cfRule type="duplicateValues" dxfId="1" priority="340"/>
  </conditionalFormatting>
  <conditionalFormatting sqref="B86">
    <cfRule type="duplicateValues" dxfId="1" priority="348"/>
  </conditionalFormatting>
  <conditionalFormatting sqref="T86">
    <cfRule type="duplicateValues" dxfId="0" priority="324"/>
    <cfRule type="duplicateValues" dxfId="1" priority="332"/>
  </conditionalFormatting>
  <conditionalFormatting sqref="U86">
    <cfRule type="duplicateValues" dxfId="0" priority="372"/>
    <cfRule type="duplicateValues" dxfId="1" priority="380"/>
  </conditionalFormatting>
  <conditionalFormatting sqref="A87">
    <cfRule type="duplicateValues" dxfId="1" priority="339"/>
  </conditionalFormatting>
  <conditionalFormatting sqref="B87">
    <cfRule type="duplicateValues" dxfId="1" priority="347"/>
  </conditionalFormatting>
  <conditionalFormatting sqref="T87">
    <cfRule type="duplicateValues" dxfId="0" priority="323"/>
    <cfRule type="duplicateValues" dxfId="1" priority="331"/>
  </conditionalFormatting>
  <conditionalFormatting sqref="U87">
    <cfRule type="duplicateValues" dxfId="0" priority="371"/>
    <cfRule type="duplicateValues" dxfId="1" priority="379"/>
  </conditionalFormatting>
  <conditionalFormatting sqref="A88">
    <cfRule type="duplicateValues" dxfId="1" priority="317"/>
  </conditionalFormatting>
  <conditionalFormatting sqref="B88">
    <cfRule type="duplicateValues" dxfId="1" priority="318"/>
  </conditionalFormatting>
  <conditionalFormatting sqref="T88">
    <cfRule type="duplicateValues" dxfId="0" priority="315"/>
    <cfRule type="duplicateValues" dxfId="1" priority="316"/>
  </conditionalFormatting>
  <conditionalFormatting sqref="T88:U88">
    <cfRule type="expression" dxfId="2" priority="319">
      <formula>AND(#REF!&lt;&gt;"",COUNTIF($A:$A,#REF!)&gt;1)</formula>
    </cfRule>
  </conditionalFormatting>
  <conditionalFormatting sqref="U88">
    <cfRule type="duplicateValues" dxfId="0" priority="321"/>
    <cfRule type="duplicateValues" dxfId="1" priority="322"/>
  </conditionalFormatting>
  <conditionalFormatting sqref="A89">
    <cfRule type="duplicateValues" dxfId="1" priority="301"/>
  </conditionalFormatting>
  <conditionalFormatting sqref="B89">
    <cfRule type="duplicateValues" dxfId="1" priority="302"/>
  </conditionalFormatting>
  <conditionalFormatting sqref="T89">
    <cfRule type="duplicateValues" dxfId="0" priority="299"/>
    <cfRule type="duplicateValues" dxfId="1" priority="300"/>
  </conditionalFormatting>
  <conditionalFormatting sqref="T89:U89">
    <cfRule type="expression" dxfId="2" priority="303">
      <formula>AND(#REF!&lt;&gt;"",COUNTIF($A:$A,#REF!)&gt;1)</formula>
    </cfRule>
  </conditionalFormatting>
  <conditionalFormatting sqref="U89">
    <cfRule type="duplicateValues" dxfId="0" priority="305"/>
    <cfRule type="duplicateValues" dxfId="1" priority="306"/>
  </conditionalFormatting>
  <conditionalFormatting sqref="A90">
    <cfRule type="duplicateValues" dxfId="1" priority="213"/>
  </conditionalFormatting>
  <conditionalFormatting sqref="B90">
    <cfRule type="duplicateValues" dxfId="1" priority="230"/>
  </conditionalFormatting>
  <conditionalFormatting sqref="T90">
    <cfRule type="duplicateValues" dxfId="0" priority="179"/>
    <cfRule type="duplicateValues" dxfId="1" priority="196"/>
  </conditionalFormatting>
  <conditionalFormatting sqref="U90">
    <cfRule type="duplicateValues" dxfId="0" priority="281"/>
    <cfRule type="duplicateValues" dxfId="1" priority="298"/>
  </conditionalFormatting>
  <conditionalFormatting sqref="A91">
    <cfRule type="duplicateValues" dxfId="1" priority="212"/>
  </conditionalFormatting>
  <conditionalFormatting sqref="B91">
    <cfRule type="duplicateValues" dxfId="1" priority="229"/>
  </conditionalFormatting>
  <conditionalFormatting sqref="T91">
    <cfRule type="duplicateValues" dxfId="0" priority="178"/>
    <cfRule type="duplicateValues" dxfId="1" priority="195"/>
  </conditionalFormatting>
  <conditionalFormatting sqref="U91">
    <cfRule type="duplicateValues" dxfId="0" priority="280"/>
    <cfRule type="duplicateValues" dxfId="1" priority="297"/>
  </conditionalFormatting>
  <conditionalFormatting sqref="A92">
    <cfRule type="duplicateValues" dxfId="1" priority="211"/>
  </conditionalFormatting>
  <conditionalFormatting sqref="B92">
    <cfRule type="duplicateValues" dxfId="1" priority="228"/>
  </conditionalFormatting>
  <conditionalFormatting sqref="T92">
    <cfRule type="duplicateValues" dxfId="0" priority="177"/>
    <cfRule type="duplicateValues" dxfId="1" priority="194"/>
  </conditionalFormatting>
  <conditionalFormatting sqref="U92">
    <cfRule type="duplicateValues" dxfId="0" priority="279"/>
    <cfRule type="duplicateValues" dxfId="1" priority="296"/>
  </conditionalFormatting>
  <conditionalFormatting sqref="A93">
    <cfRule type="duplicateValues" dxfId="1" priority="210"/>
  </conditionalFormatting>
  <conditionalFormatting sqref="B93">
    <cfRule type="duplicateValues" dxfId="1" priority="227"/>
  </conditionalFormatting>
  <conditionalFormatting sqref="T93">
    <cfRule type="duplicateValues" dxfId="0" priority="176"/>
    <cfRule type="duplicateValues" dxfId="1" priority="193"/>
  </conditionalFormatting>
  <conditionalFormatting sqref="U93">
    <cfRule type="duplicateValues" dxfId="0" priority="278"/>
    <cfRule type="duplicateValues" dxfId="1" priority="295"/>
  </conditionalFormatting>
  <conditionalFormatting sqref="A94">
    <cfRule type="duplicateValues" dxfId="1" priority="209"/>
  </conditionalFormatting>
  <conditionalFormatting sqref="B94">
    <cfRule type="duplicateValues" dxfId="1" priority="226"/>
  </conditionalFormatting>
  <conditionalFormatting sqref="T94">
    <cfRule type="duplicateValues" dxfId="0" priority="175"/>
    <cfRule type="duplicateValues" dxfId="1" priority="192"/>
  </conditionalFormatting>
  <conditionalFormatting sqref="U94">
    <cfRule type="duplicateValues" dxfId="0" priority="277"/>
    <cfRule type="duplicateValues" dxfId="1" priority="294"/>
  </conditionalFormatting>
  <conditionalFormatting sqref="A95">
    <cfRule type="duplicateValues" dxfId="1" priority="208"/>
  </conditionalFormatting>
  <conditionalFormatting sqref="B95">
    <cfRule type="duplicateValues" dxfId="1" priority="225"/>
  </conditionalFormatting>
  <conditionalFormatting sqref="T95">
    <cfRule type="duplicateValues" dxfId="0" priority="174"/>
    <cfRule type="duplicateValues" dxfId="1" priority="191"/>
  </conditionalFormatting>
  <conditionalFormatting sqref="U95">
    <cfRule type="duplicateValues" dxfId="0" priority="276"/>
    <cfRule type="duplicateValues" dxfId="1" priority="293"/>
  </conditionalFormatting>
  <conditionalFormatting sqref="A96">
    <cfRule type="duplicateValues" dxfId="1" priority="207"/>
  </conditionalFormatting>
  <conditionalFormatting sqref="B96">
    <cfRule type="duplicateValues" dxfId="1" priority="224"/>
  </conditionalFormatting>
  <conditionalFormatting sqref="T96">
    <cfRule type="duplicateValues" dxfId="0" priority="173"/>
    <cfRule type="duplicateValues" dxfId="1" priority="190"/>
  </conditionalFormatting>
  <conditionalFormatting sqref="U96">
    <cfRule type="duplicateValues" dxfId="0" priority="275"/>
    <cfRule type="duplicateValues" dxfId="1" priority="292"/>
  </conditionalFormatting>
  <conditionalFormatting sqref="A97">
    <cfRule type="duplicateValues" dxfId="1" priority="206"/>
  </conditionalFormatting>
  <conditionalFormatting sqref="B97">
    <cfRule type="duplicateValues" dxfId="1" priority="223"/>
  </conditionalFormatting>
  <conditionalFormatting sqref="T97">
    <cfRule type="duplicateValues" dxfId="0" priority="172"/>
    <cfRule type="duplicateValues" dxfId="1" priority="189"/>
  </conditionalFormatting>
  <conditionalFormatting sqref="U97">
    <cfRule type="duplicateValues" dxfId="0" priority="274"/>
    <cfRule type="duplicateValues" dxfId="1" priority="291"/>
  </conditionalFormatting>
  <conditionalFormatting sqref="A98">
    <cfRule type="duplicateValues" dxfId="1" priority="205"/>
  </conditionalFormatting>
  <conditionalFormatting sqref="B98">
    <cfRule type="duplicateValues" dxfId="1" priority="222"/>
  </conditionalFormatting>
  <conditionalFormatting sqref="T98">
    <cfRule type="duplicateValues" dxfId="0" priority="171"/>
    <cfRule type="duplicateValues" dxfId="1" priority="188"/>
  </conditionalFormatting>
  <conditionalFormatting sqref="U98">
    <cfRule type="duplicateValues" dxfId="0" priority="273"/>
    <cfRule type="duplicateValues" dxfId="1" priority="290"/>
  </conditionalFormatting>
  <conditionalFormatting sqref="A99">
    <cfRule type="duplicateValues" dxfId="1" priority="204"/>
  </conditionalFormatting>
  <conditionalFormatting sqref="B99">
    <cfRule type="duplicateValues" dxfId="1" priority="221"/>
  </conditionalFormatting>
  <conditionalFormatting sqref="T99">
    <cfRule type="duplicateValues" dxfId="0" priority="170"/>
    <cfRule type="duplicateValues" dxfId="1" priority="187"/>
  </conditionalFormatting>
  <conditionalFormatting sqref="U99">
    <cfRule type="duplicateValues" dxfId="0" priority="272"/>
    <cfRule type="duplicateValues" dxfId="1" priority="289"/>
  </conditionalFormatting>
  <conditionalFormatting sqref="A100">
    <cfRule type="duplicateValues" dxfId="1" priority="203"/>
  </conditionalFormatting>
  <conditionalFormatting sqref="B100">
    <cfRule type="duplicateValues" dxfId="1" priority="220"/>
  </conditionalFormatting>
  <conditionalFormatting sqref="T100">
    <cfRule type="duplicateValues" dxfId="0" priority="169"/>
    <cfRule type="duplicateValues" dxfId="1" priority="186"/>
  </conditionalFormatting>
  <conditionalFormatting sqref="U100">
    <cfRule type="duplicateValues" dxfId="0" priority="271"/>
    <cfRule type="duplicateValues" dxfId="1" priority="288"/>
  </conditionalFormatting>
  <conditionalFormatting sqref="A101">
    <cfRule type="duplicateValues" dxfId="1" priority="202"/>
  </conditionalFormatting>
  <conditionalFormatting sqref="B101">
    <cfRule type="duplicateValues" dxfId="1" priority="219"/>
  </conditionalFormatting>
  <conditionalFormatting sqref="T101">
    <cfRule type="duplicateValues" dxfId="0" priority="168"/>
    <cfRule type="duplicateValues" dxfId="1" priority="185"/>
  </conditionalFormatting>
  <conditionalFormatting sqref="U101">
    <cfRule type="duplicateValues" dxfId="0" priority="270"/>
    <cfRule type="duplicateValues" dxfId="1" priority="287"/>
  </conditionalFormatting>
  <conditionalFormatting sqref="A102">
    <cfRule type="duplicateValues" dxfId="1" priority="201"/>
  </conditionalFormatting>
  <conditionalFormatting sqref="B102">
    <cfRule type="duplicateValues" dxfId="1" priority="218"/>
  </conditionalFormatting>
  <conditionalFormatting sqref="T102">
    <cfRule type="duplicateValues" dxfId="0" priority="167"/>
    <cfRule type="duplicateValues" dxfId="1" priority="184"/>
  </conditionalFormatting>
  <conditionalFormatting sqref="U102">
    <cfRule type="duplicateValues" dxfId="0" priority="269"/>
    <cfRule type="duplicateValues" dxfId="1" priority="286"/>
  </conditionalFormatting>
  <conditionalFormatting sqref="A103">
    <cfRule type="duplicateValues" dxfId="1" priority="200"/>
  </conditionalFormatting>
  <conditionalFormatting sqref="B103">
    <cfRule type="duplicateValues" dxfId="1" priority="217"/>
  </conditionalFormatting>
  <conditionalFormatting sqref="T103">
    <cfRule type="duplicateValues" dxfId="0" priority="166"/>
    <cfRule type="duplicateValues" dxfId="1" priority="183"/>
  </conditionalFormatting>
  <conditionalFormatting sqref="U103">
    <cfRule type="duplicateValues" dxfId="0" priority="268"/>
    <cfRule type="duplicateValues" dxfId="1" priority="285"/>
  </conditionalFormatting>
  <conditionalFormatting sqref="A104">
    <cfRule type="duplicateValues" dxfId="1" priority="199"/>
  </conditionalFormatting>
  <conditionalFormatting sqref="B104">
    <cfRule type="duplicateValues" dxfId="1" priority="216"/>
  </conditionalFormatting>
  <conditionalFormatting sqref="T104">
    <cfRule type="duplicateValues" dxfId="0" priority="165"/>
    <cfRule type="duplicateValues" dxfId="1" priority="182"/>
  </conditionalFormatting>
  <conditionalFormatting sqref="U104">
    <cfRule type="duplicateValues" dxfId="0" priority="267"/>
    <cfRule type="duplicateValues" dxfId="1" priority="284"/>
  </conditionalFormatting>
  <conditionalFormatting sqref="A105">
    <cfRule type="duplicateValues" dxfId="1" priority="198"/>
  </conditionalFormatting>
  <conditionalFormatting sqref="B105">
    <cfRule type="duplicateValues" dxfId="1" priority="215"/>
  </conditionalFormatting>
  <conditionalFormatting sqref="T105">
    <cfRule type="duplicateValues" dxfId="0" priority="164"/>
    <cfRule type="duplicateValues" dxfId="1" priority="181"/>
  </conditionalFormatting>
  <conditionalFormatting sqref="U105">
    <cfRule type="duplicateValues" dxfId="0" priority="266"/>
    <cfRule type="duplicateValues" dxfId="1" priority="283"/>
  </conditionalFormatting>
  <conditionalFormatting sqref="A106">
    <cfRule type="duplicateValues" dxfId="1" priority="197"/>
  </conditionalFormatting>
  <conditionalFormatting sqref="B106">
    <cfRule type="duplicateValues" dxfId="1" priority="214"/>
  </conditionalFormatting>
  <conditionalFormatting sqref="T106">
    <cfRule type="duplicateValues" dxfId="0" priority="163"/>
    <cfRule type="duplicateValues" dxfId="1" priority="180"/>
  </conditionalFormatting>
  <conditionalFormatting sqref="U106">
    <cfRule type="duplicateValues" dxfId="0" priority="265"/>
    <cfRule type="duplicateValues" dxfId="1" priority="282"/>
  </conditionalFormatting>
  <conditionalFormatting sqref="A107">
    <cfRule type="duplicateValues" dxfId="1" priority="117"/>
  </conditionalFormatting>
  <conditionalFormatting sqref="B107">
    <cfRule type="duplicateValues" dxfId="1" priority="126"/>
  </conditionalFormatting>
  <conditionalFormatting sqref="T107">
    <cfRule type="duplicateValues" dxfId="0" priority="99"/>
    <cfRule type="duplicateValues" dxfId="1" priority="108"/>
  </conditionalFormatting>
  <conditionalFormatting sqref="U107">
    <cfRule type="duplicateValues" dxfId="0" priority="153"/>
    <cfRule type="duplicateValues" dxfId="1" priority="162"/>
  </conditionalFormatting>
  <conditionalFormatting sqref="A108">
    <cfRule type="duplicateValues" dxfId="1" priority="116"/>
  </conditionalFormatting>
  <conditionalFormatting sqref="B108">
    <cfRule type="duplicateValues" dxfId="1" priority="125"/>
  </conditionalFormatting>
  <conditionalFormatting sqref="T108">
    <cfRule type="duplicateValues" dxfId="0" priority="98"/>
    <cfRule type="duplicateValues" dxfId="1" priority="107"/>
  </conditionalFormatting>
  <conditionalFormatting sqref="U108">
    <cfRule type="duplicateValues" dxfId="0" priority="152"/>
    <cfRule type="duplicateValues" dxfId="1" priority="161"/>
  </conditionalFormatting>
  <conditionalFormatting sqref="A109">
    <cfRule type="duplicateValues" dxfId="1" priority="115"/>
  </conditionalFormatting>
  <conditionalFormatting sqref="B109">
    <cfRule type="duplicateValues" dxfId="1" priority="124"/>
  </conditionalFormatting>
  <conditionalFormatting sqref="T109">
    <cfRule type="duplicateValues" dxfId="0" priority="97"/>
    <cfRule type="duplicateValues" dxfId="1" priority="106"/>
  </conditionalFormatting>
  <conditionalFormatting sqref="U109">
    <cfRule type="duplicateValues" dxfId="0" priority="151"/>
    <cfRule type="duplicateValues" dxfId="1" priority="160"/>
  </conditionalFormatting>
  <conditionalFormatting sqref="A110">
    <cfRule type="duplicateValues" dxfId="1" priority="114"/>
  </conditionalFormatting>
  <conditionalFormatting sqref="B110">
    <cfRule type="duplicateValues" dxfId="1" priority="123"/>
  </conditionalFormatting>
  <conditionalFormatting sqref="T110">
    <cfRule type="duplicateValues" dxfId="0" priority="96"/>
    <cfRule type="duplicateValues" dxfId="1" priority="105"/>
  </conditionalFormatting>
  <conditionalFormatting sqref="U110">
    <cfRule type="duplicateValues" dxfId="0" priority="150"/>
    <cfRule type="duplicateValues" dxfId="1" priority="159"/>
  </conditionalFormatting>
  <conditionalFormatting sqref="A111">
    <cfRule type="duplicateValues" dxfId="1" priority="113"/>
  </conditionalFormatting>
  <conditionalFormatting sqref="B111">
    <cfRule type="duplicateValues" dxfId="1" priority="122"/>
  </conditionalFormatting>
  <conditionalFormatting sqref="T111">
    <cfRule type="duplicateValues" dxfId="0" priority="95"/>
    <cfRule type="duplicateValues" dxfId="1" priority="104"/>
  </conditionalFormatting>
  <conditionalFormatting sqref="U111">
    <cfRule type="duplicateValues" dxfId="0" priority="149"/>
    <cfRule type="duplicateValues" dxfId="1" priority="158"/>
  </conditionalFormatting>
  <conditionalFormatting sqref="A112">
    <cfRule type="duplicateValues" dxfId="1" priority="112"/>
  </conditionalFormatting>
  <conditionalFormatting sqref="B112">
    <cfRule type="duplicateValues" dxfId="1" priority="121"/>
  </conditionalFormatting>
  <conditionalFormatting sqref="T112">
    <cfRule type="duplicateValues" dxfId="0" priority="94"/>
    <cfRule type="duplicateValues" dxfId="1" priority="103"/>
  </conditionalFormatting>
  <conditionalFormatting sqref="U112">
    <cfRule type="duplicateValues" dxfId="0" priority="148"/>
    <cfRule type="duplicateValues" dxfId="1" priority="157"/>
  </conditionalFormatting>
  <conditionalFormatting sqref="A113">
    <cfRule type="duplicateValues" dxfId="1" priority="111"/>
  </conditionalFormatting>
  <conditionalFormatting sqref="B113">
    <cfRule type="duplicateValues" dxfId="1" priority="120"/>
  </conditionalFormatting>
  <conditionalFormatting sqref="T113">
    <cfRule type="duplicateValues" dxfId="0" priority="93"/>
    <cfRule type="duplicateValues" dxfId="1" priority="102"/>
  </conditionalFormatting>
  <conditionalFormatting sqref="U113">
    <cfRule type="duplicateValues" dxfId="0" priority="147"/>
    <cfRule type="duplicateValues" dxfId="1" priority="156"/>
  </conditionalFormatting>
  <conditionalFormatting sqref="A114">
    <cfRule type="duplicateValues" dxfId="1" priority="110"/>
  </conditionalFormatting>
  <conditionalFormatting sqref="B114">
    <cfRule type="duplicateValues" dxfId="1" priority="119"/>
  </conditionalFormatting>
  <conditionalFormatting sqref="T114">
    <cfRule type="duplicateValues" dxfId="0" priority="92"/>
    <cfRule type="duplicateValues" dxfId="1" priority="101"/>
  </conditionalFormatting>
  <conditionalFormatting sqref="U114">
    <cfRule type="duplicateValues" dxfId="0" priority="146"/>
    <cfRule type="duplicateValues" dxfId="1" priority="155"/>
  </conditionalFormatting>
  <conditionalFormatting sqref="A115">
    <cfRule type="duplicateValues" dxfId="1" priority="109"/>
  </conditionalFormatting>
  <conditionalFormatting sqref="B115">
    <cfRule type="duplicateValues" dxfId="1" priority="118"/>
  </conditionalFormatting>
  <conditionalFormatting sqref="T115">
    <cfRule type="duplicateValues" dxfId="0" priority="91"/>
    <cfRule type="duplicateValues" dxfId="1" priority="100"/>
  </conditionalFormatting>
  <conditionalFormatting sqref="U115">
    <cfRule type="duplicateValues" dxfId="0" priority="145"/>
    <cfRule type="duplicateValues" dxfId="1" priority="154"/>
  </conditionalFormatting>
  <conditionalFormatting sqref="A116">
    <cfRule type="duplicateValues" dxfId="1" priority="70"/>
  </conditionalFormatting>
  <conditionalFormatting sqref="B116">
    <cfRule type="duplicateValues" dxfId="1" priority="74"/>
  </conditionalFormatting>
  <conditionalFormatting sqref="T116">
    <cfRule type="duplicateValues" dxfId="0" priority="62"/>
    <cfRule type="duplicateValues" dxfId="1" priority="66"/>
  </conditionalFormatting>
  <conditionalFormatting sqref="U116">
    <cfRule type="duplicateValues" dxfId="0" priority="86"/>
    <cfRule type="duplicateValues" dxfId="1" priority="90"/>
  </conditionalFormatting>
  <conditionalFormatting sqref="A117">
    <cfRule type="duplicateValues" dxfId="1" priority="69"/>
  </conditionalFormatting>
  <conditionalFormatting sqref="B117">
    <cfRule type="duplicateValues" dxfId="1" priority="73"/>
  </conditionalFormatting>
  <conditionalFormatting sqref="T117">
    <cfRule type="duplicateValues" dxfId="0" priority="61"/>
    <cfRule type="duplicateValues" dxfId="1" priority="65"/>
  </conditionalFormatting>
  <conditionalFormatting sqref="U117">
    <cfRule type="duplicateValues" dxfId="0" priority="85"/>
    <cfRule type="duplicateValues" dxfId="1" priority="89"/>
  </conditionalFormatting>
  <conditionalFormatting sqref="A118">
    <cfRule type="duplicateValues" dxfId="1" priority="68"/>
  </conditionalFormatting>
  <conditionalFormatting sqref="B118">
    <cfRule type="duplicateValues" dxfId="1" priority="72"/>
  </conditionalFormatting>
  <conditionalFormatting sqref="T118">
    <cfRule type="duplicateValues" dxfId="0" priority="60"/>
    <cfRule type="duplicateValues" dxfId="1" priority="64"/>
  </conditionalFormatting>
  <conditionalFormatting sqref="U118">
    <cfRule type="duplicateValues" dxfId="0" priority="84"/>
    <cfRule type="duplicateValues" dxfId="1" priority="88"/>
  </conditionalFormatting>
  <conditionalFormatting sqref="A119">
    <cfRule type="duplicateValues" dxfId="1" priority="67"/>
  </conditionalFormatting>
  <conditionalFormatting sqref="B119">
    <cfRule type="duplicateValues" dxfId="1" priority="71"/>
  </conditionalFormatting>
  <conditionalFormatting sqref="T119">
    <cfRule type="duplicateValues" dxfId="0" priority="59"/>
    <cfRule type="duplicateValues" dxfId="1" priority="63"/>
  </conditionalFormatting>
  <conditionalFormatting sqref="U119">
    <cfRule type="duplicateValues" dxfId="0" priority="83"/>
    <cfRule type="duplicateValues" dxfId="1" priority="87"/>
  </conditionalFormatting>
  <conditionalFormatting sqref="A198">
    <cfRule type="duplicateValues" dxfId="1" priority="29"/>
  </conditionalFormatting>
  <conditionalFormatting sqref="B198">
    <cfRule type="duplicateValues" dxfId="1" priority="58"/>
  </conditionalFormatting>
  <conditionalFormatting sqref="A199">
    <cfRule type="duplicateValues" dxfId="1" priority="28"/>
  </conditionalFormatting>
  <conditionalFormatting sqref="B199">
    <cfRule type="duplicateValues" dxfId="1" priority="57"/>
  </conditionalFormatting>
  <conditionalFormatting sqref="A200">
    <cfRule type="duplicateValues" dxfId="1" priority="27"/>
  </conditionalFormatting>
  <conditionalFormatting sqref="B200">
    <cfRule type="duplicateValues" dxfId="1" priority="56"/>
  </conditionalFormatting>
  <conditionalFormatting sqref="A201">
    <cfRule type="duplicateValues" dxfId="1" priority="26"/>
  </conditionalFormatting>
  <conditionalFormatting sqref="B201">
    <cfRule type="duplicateValues" dxfId="1" priority="55"/>
  </conditionalFormatting>
  <conditionalFormatting sqref="A202">
    <cfRule type="duplicateValues" dxfId="1" priority="25"/>
  </conditionalFormatting>
  <conditionalFormatting sqref="B202">
    <cfRule type="duplicateValues" dxfId="1" priority="54"/>
  </conditionalFormatting>
  <conditionalFormatting sqref="A203">
    <cfRule type="duplicateValues" dxfId="1" priority="24"/>
  </conditionalFormatting>
  <conditionalFormatting sqref="B203">
    <cfRule type="duplicateValues" dxfId="1" priority="53"/>
  </conditionalFormatting>
  <conditionalFormatting sqref="A204">
    <cfRule type="duplicateValues" dxfId="1" priority="23"/>
  </conditionalFormatting>
  <conditionalFormatting sqref="B204">
    <cfRule type="duplicateValues" dxfId="1" priority="52"/>
  </conditionalFormatting>
  <conditionalFormatting sqref="A205">
    <cfRule type="duplicateValues" dxfId="1" priority="22"/>
  </conditionalFormatting>
  <conditionalFormatting sqref="B205">
    <cfRule type="duplicateValues" dxfId="1" priority="51"/>
  </conditionalFormatting>
  <conditionalFormatting sqref="A206">
    <cfRule type="duplicateValues" dxfId="1" priority="20"/>
  </conditionalFormatting>
  <conditionalFormatting sqref="B206">
    <cfRule type="duplicateValues" dxfId="1" priority="49"/>
  </conditionalFormatting>
  <conditionalFormatting sqref="A207">
    <cfRule type="duplicateValues" dxfId="1" priority="19"/>
  </conditionalFormatting>
  <conditionalFormatting sqref="B207">
    <cfRule type="duplicateValues" dxfId="1" priority="48"/>
  </conditionalFormatting>
  <conditionalFormatting sqref="A208">
    <cfRule type="duplicateValues" dxfId="1" priority="18"/>
  </conditionalFormatting>
  <conditionalFormatting sqref="B208">
    <cfRule type="duplicateValues" dxfId="1" priority="47"/>
  </conditionalFormatting>
  <conditionalFormatting sqref="A209">
    <cfRule type="duplicateValues" dxfId="1" priority="17"/>
  </conditionalFormatting>
  <conditionalFormatting sqref="B209">
    <cfRule type="duplicateValues" dxfId="1" priority="46"/>
  </conditionalFormatting>
  <conditionalFormatting sqref="A210">
    <cfRule type="duplicateValues" dxfId="1" priority="16"/>
  </conditionalFormatting>
  <conditionalFormatting sqref="B210">
    <cfRule type="duplicateValues" dxfId="1" priority="45"/>
  </conditionalFormatting>
  <conditionalFormatting sqref="A211">
    <cfRule type="duplicateValues" dxfId="1" priority="15"/>
  </conditionalFormatting>
  <conditionalFormatting sqref="B211">
    <cfRule type="duplicateValues" dxfId="1" priority="44"/>
  </conditionalFormatting>
  <conditionalFormatting sqref="A212">
    <cfRule type="duplicateValues" dxfId="1" priority="14"/>
  </conditionalFormatting>
  <conditionalFormatting sqref="B212">
    <cfRule type="duplicateValues" dxfId="1" priority="43"/>
  </conditionalFormatting>
  <conditionalFormatting sqref="A213">
    <cfRule type="duplicateValues" dxfId="1" priority="12"/>
  </conditionalFormatting>
  <conditionalFormatting sqref="B213">
    <cfRule type="duplicateValues" dxfId="1" priority="41"/>
  </conditionalFormatting>
  <conditionalFormatting sqref="A214">
    <cfRule type="duplicateValues" dxfId="1" priority="11"/>
  </conditionalFormatting>
  <conditionalFormatting sqref="B214">
    <cfRule type="duplicateValues" dxfId="1" priority="40"/>
  </conditionalFormatting>
  <conditionalFormatting sqref="A215">
    <cfRule type="duplicateValues" dxfId="1" priority="10"/>
  </conditionalFormatting>
  <conditionalFormatting sqref="B215">
    <cfRule type="duplicateValues" dxfId="1" priority="39"/>
  </conditionalFormatting>
  <conditionalFormatting sqref="A216">
    <cfRule type="duplicateValues" dxfId="1" priority="9"/>
  </conditionalFormatting>
  <conditionalFormatting sqref="B216">
    <cfRule type="duplicateValues" dxfId="1" priority="38"/>
  </conditionalFormatting>
  <conditionalFormatting sqref="A217">
    <cfRule type="duplicateValues" dxfId="1" priority="8"/>
  </conditionalFormatting>
  <conditionalFormatting sqref="B217">
    <cfRule type="duplicateValues" dxfId="1" priority="37"/>
  </conditionalFormatting>
  <conditionalFormatting sqref="A218">
    <cfRule type="duplicateValues" dxfId="1" priority="7"/>
  </conditionalFormatting>
  <conditionalFormatting sqref="B218">
    <cfRule type="duplicateValues" dxfId="1" priority="36"/>
  </conditionalFormatting>
  <conditionalFormatting sqref="A219">
    <cfRule type="duplicateValues" dxfId="1" priority="6"/>
  </conditionalFormatting>
  <conditionalFormatting sqref="B219">
    <cfRule type="duplicateValues" dxfId="1" priority="35"/>
  </conditionalFormatting>
  <conditionalFormatting sqref="A220">
    <cfRule type="duplicateValues" dxfId="1" priority="4"/>
  </conditionalFormatting>
  <conditionalFormatting sqref="B220">
    <cfRule type="duplicateValues" dxfId="1" priority="33"/>
  </conditionalFormatting>
  <conditionalFormatting sqref="A221">
    <cfRule type="duplicateValues" dxfId="1" priority="3"/>
  </conditionalFormatting>
  <conditionalFormatting sqref="B221">
    <cfRule type="duplicateValues" dxfId="1" priority="32"/>
  </conditionalFormatting>
  <conditionalFormatting sqref="A222">
    <cfRule type="duplicateValues" dxfId="1" priority="2"/>
  </conditionalFormatting>
  <conditionalFormatting sqref="B222">
    <cfRule type="duplicateValues" dxfId="1" priority="31"/>
  </conditionalFormatting>
  <conditionalFormatting sqref="A223">
    <cfRule type="duplicateValues" dxfId="1" priority="1"/>
  </conditionalFormatting>
  <conditionalFormatting sqref="B223">
    <cfRule type="duplicateValues" dxfId="1" priority="30"/>
  </conditionalFormatting>
  <conditionalFormatting sqref="A3:A4">
    <cfRule type="duplicateValues" dxfId="1" priority="933"/>
  </conditionalFormatting>
  <conditionalFormatting sqref="B3:B4">
    <cfRule type="duplicateValues" dxfId="1" priority="934"/>
  </conditionalFormatting>
  <conditionalFormatting sqref="T3:T4">
    <cfRule type="expression" dxfId="2" priority="921">
      <formula>AND(#REF!&lt;&gt;"",COUNTIF($A:$A,#REF!)&gt;1)</formula>
    </cfRule>
  </conditionalFormatting>
  <conditionalFormatting sqref="T5:T17">
    <cfRule type="duplicateValues" dxfId="0" priority="973"/>
    <cfRule type="duplicateValues" dxfId="1" priority="974"/>
  </conditionalFormatting>
  <conditionalFormatting sqref="T8:T9">
    <cfRule type="expression" dxfId="2" priority="1072">
      <formula>AND(#REF!&lt;&gt;"",COUNTIF($A:$A,#REF!)&gt;1)</formula>
    </cfRule>
  </conditionalFormatting>
  <conditionalFormatting sqref="T15:T17">
    <cfRule type="expression" dxfId="2" priority="1065">
      <formula>AND(#REF!&lt;&gt;"",COUNTIF($A:$A,#REF!)&gt;1)</formula>
    </cfRule>
  </conditionalFormatting>
  <conditionalFormatting sqref="T18:T21">
    <cfRule type="expression" dxfId="2" priority="899">
      <formula>AND(#REF!&lt;&gt;"",COUNTIF($A:$A,#REF!)&gt;1)</formula>
    </cfRule>
  </conditionalFormatting>
  <conditionalFormatting sqref="T23:T27">
    <cfRule type="expression" dxfId="2" priority="855">
      <formula>AND(#REF!&lt;&gt;"",COUNTIF($A:$A,#REF!)&gt;1)</formula>
    </cfRule>
  </conditionalFormatting>
  <conditionalFormatting sqref="T29:T39">
    <cfRule type="expression" dxfId="2" priority="783">
      <formula>AND(#REF!&lt;&gt;"",COUNTIF($A:$A,#REF!)&gt;1)</formula>
    </cfRule>
  </conditionalFormatting>
  <conditionalFormatting sqref="T41:T48">
    <cfRule type="expression" dxfId="2" priority="699">
      <formula>AND(#REF!&lt;&gt;"",COUNTIF($A:$A,#REF!)&gt;1)</formula>
    </cfRule>
  </conditionalFormatting>
  <conditionalFormatting sqref="T49:T55">
    <cfRule type="expression" dxfId="2" priority="639">
      <formula>AND(#REF!&lt;&gt;"",COUNTIF($A:$A,#REF!)&gt;1)</formula>
    </cfRule>
  </conditionalFormatting>
  <conditionalFormatting sqref="T57:T68">
    <cfRule type="expression" dxfId="2" priority="548">
      <formula>AND(#REF!&lt;&gt;"",COUNTIF($A:$A,#REF!)&gt;1)</formula>
    </cfRule>
  </conditionalFormatting>
  <conditionalFormatting sqref="U9:U10">
    <cfRule type="expression" dxfId="2" priority="1073">
      <formula>AND(#REF!&lt;&gt;"",COUNTIF($A:$A,#REF!)&gt;1)</formula>
    </cfRule>
  </conditionalFormatting>
  <conditionalFormatting sqref="U16:U69">
    <cfRule type="expression" dxfId="2" priority="392">
      <formula>AND(#REF!&lt;&gt;"",COUNTIF($A:$A,#REF!)&gt;1)</formula>
    </cfRule>
  </conditionalFormatting>
  <conditionalFormatting sqref="A1:A2 A5:A17 A120:A197 A224:A273 A303:A1048576">
    <cfRule type="duplicateValues" dxfId="1" priority="1052"/>
  </conditionalFormatting>
  <conditionalFormatting sqref="B1:B2 B5:B17 B120:B197 B224:B273 B303:B1048576">
    <cfRule type="duplicateValues" dxfId="1" priority="1053"/>
  </conditionalFormatting>
  <conditionalFormatting sqref="T5:T7 T11:T14">
    <cfRule type="expression" dxfId="2" priority="972">
      <formula>AND(T7&lt;&gt;"",COUNTIF($A:$A,T7)&gt;1)</formula>
    </cfRule>
  </conditionalFormatting>
  <conditionalFormatting sqref="U5:U8 U11:U15">
    <cfRule type="expression" dxfId="2" priority="915">
      <formula>AND(U6&lt;&gt;"",COUNTIF($A:$A,U6)&gt;1)</formula>
    </cfRule>
    <cfRule type="duplicateValues" dxfId="0" priority="916"/>
    <cfRule type="duplicateValues" dxfId="1" priority="917"/>
  </conditionalFormatting>
  <conditionalFormatting sqref="T70:U80">
    <cfRule type="expression" dxfId="2" priority="443">
      <formula>AND(#REF!&lt;&gt;"",COUNTIF($A:$A,#REF!)&gt;1)</formula>
    </cfRule>
  </conditionalFormatting>
  <conditionalFormatting sqref="T81:U87">
    <cfRule type="expression" dxfId="2" priority="355">
      <formula>AND(#REF!&lt;&gt;"",COUNTIF($A:$A,#REF!)&gt;1)</formula>
    </cfRule>
  </conditionalFormatting>
  <conditionalFormatting sqref="T90:U106">
    <cfRule type="expression" dxfId="2" priority="231">
      <formula>AND(#REF!&lt;&gt;"",COUNTIF($A:$A,#REF!)&gt;1)</formula>
    </cfRule>
  </conditionalFormatting>
  <conditionalFormatting sqref="T107:U115">
    <cfRule type="expression" dxfId="2" priority="127">
      <formula>AND(#REF!&lt;&gt;"",COUNTIF($A:$A,#REF!)&gt;1)</formula>
    </cfRule>
  </conditionalFormatting>
  <conditionalFormatting sqref="T116:U119">
    <cfRule type="expression" dxfId="2" priority="75">
      <formula>AND(#REF!&lt;&gt;"",COUNTIF($A:$A,#REF!)&gt;1)</formula>
    </cfRule>
  </conditionalFormatting>
  <dataValidations count="1">
    <dataValidation type="whole" operator="between" allowBlank="1" showInputMessage="1" showErrorMessage="1" sqref="T4:U119">
      <formula1>40000001</formula1>
      <formula2>49999999</formula2>
    </dataValidation>
  </dataValidations>
  <pageMargins left="0.699306" right="0.69930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0"/>
  <sheetViews>
    <sheetView topLeftCell="A52" workbookViewId="0">
      <selection activeCell="A20" sqref="A20:A27"/>
    </sheetView>
  </sheetViews>
  <sheetFormatPr defaultColWidth="15.5462962962963" defaultRowHeight="13.2"/>
  <cols>
    <col min="1" max="1" width="12.3611111111111" style="8" customWidth="1"/>
    <col min="2" max="4" width="8.17592592592593" style="8" customWidth="1"/>
    <col min="5" max="5" width="12.3611111111111" style="8" customWidth="1"/>
    <col min="6" max="7" width="15.5462962962963" style="8" customWidth="1"/>
    <col min="8" max="8" width="60.0925925925926" style="8" customWidth="1"/>
    <col min="9" max="9" width="15.5462962962963" style="8" customWidth="1"/>
    <col min="10" max="16384" width="15.5462962962963" style="8"/>
  </cols>
  <sheetData>
    <row r="1" spans="1:10">
      <c r="A1" s="8" t="s">
        <v>791</v>
      </c>
      <c r="B1" s="8" t="s">
        <v>792</v>
      </c>
      <c r="C1" s="8" t="s">
        <v>60</v>
      </c>
      <c r="D1" s="8" t="s">
        <v>792</v>
      </c>
      <c r="E1" s="8" t="s">
        <v>793</v>
      </c>
      <c r="J1" s="8" t="s">
        <v>794</v>
      </c>
    </row>
    <row r="2" spans="1:10">
      <c r="A2" s="8" t="s">
        <v>128</v>
      </c>
      <c r="B2" s="8">
        <v>1</v>
      </c>
      <c r="C2" s="8" t="s">
        <v>129</v>
      </c>
      <c r="D2" s="8">
        <v>1</v>
      </c>
      <c r="E2" s="8" t="s">
        <v>715</v>
      </c>
      <c r="J2" s="8" t="s">
        <v>795</v>
      </c>
    </row>
    <row r="3" spans="1:10">
      <c r="A3" s="8" t="s">
        <v>185</v>
      </c>
      <c r="B3" s="8">
        <v>2</v>
      </c>
      <c r="C3" s="8" t="s">
        <v>196</v>
      </c>
      <c r="D3" s="8">
        <v>2</v>
      </c>
      <c r="E3" s="8" t="s">
        <v>726</v>
      </c>
      <c r="G3" s="8" t="s">
        <v>796</v>
      </c>
      <c r="J3" s="8" t="s">
        <v>797</v>
      </c>
    </row>
    <row r="4" spans="1:10">
      <c r="A4" s="8" t="s">
        <v>200</v>
      </c>
      <c r="B4" s="8">
        <v>3</v>
      </c>
      <c r="C4" s="8" t="s">
        <v>798</v>
      </c>
      <c r="D4" s="8">
        <v>3</v>
      </c>
      <c r="E4" s="8" t="s">
        <v>799</v>
      </c>
      <c r="G4" s="8" t="s">
        <v>800</v>
      </c>
      <c r="H4" s="11" t="s">
        <v>801</v>
      </c>
      <c r="J4" s="8" t="s">
        <v>802</v>
      </c>
    </row>
    <row r="5" spans="1:10">
      <c r="A5" s="8" t="s">
        <v>217</v>
      </c>
      <c r="B5" s="8">
        <v>4</v>
      </c>
      <c r="C5" s="8" t="s">
        <v>246</v>
      </c>
      <c r="D5" s="8">
        <v>4</v>
      </c>
      <c r="E5" s="8" t="s">
        <v>749</v>
      </c>
      <c r="G5" s="8" t="s">
        <v>803</v>
      </c>
      <c r="H5" s="12" t="s">
        <v>804</v>
      </c>
      <c r="J5" s="8" t="s">
        <v>805</v>
      </c>
    </row>
    <row r="6" spans="1:10">
      <c r="A6" s="8" t="s">
        <v>232</v>
      </c>
      <c r="B6" s="8">
        <v>5</v>
      </c>
      <c r="C6" s="8" t="s">
        <v>806</v>
      </c>
      <c r="D6" s="8">
        <v>5</v>
      </c>
      <c r="E6" s="8" t="s">
        <v>807</v>
      </c>
      <c r="G6" s="8" t="s">
        <v>808</v>
      </c>
      <c r="J6" s="8" t="s">
        <v>809</v>
      </c>
    </row>
    <row r="7" spans="1:10">
      <c r="A7" s="8" t="s">
        <v>249</v>
      </c>
      <c r="B7" s="8">
        <v>6</v>
      </c>
      <c r="C7" s="8" t="s">
        <v>810</v>
      </c>
      <c r="D7" s="8">
        <v>6</v>
      </c>
      <c r="E7" s="8" t="s">
        <v>749</v>
      </c>
      <c r="G7" s="8" t="s">
        <v>811</v>
      </c>
      <c r="J7" s="8" t="s">
        <v>812</v>
      </c>
    </row>
    <row r="8" spans="1:10">
      <c r="A8" s="8" t="s">
        <v>256</v>
      </c>
      <c r="B8" s="8">
        <v>7</v>
      </c>
      <c r="C8" s="8" t="s">
        <v>813</v>
      </c>
      <c r="D8" s="8">
        <v>7</v>
      </c>
      <c r="E8" s="8" t="s">
        <v>749</v>
      </c>
      <c r="G8" s="8" t="s">
        <v>814</v>
      </c>
      <c r="H8" s="8" t="s">
        <v>815</v>
      </c>
      <c r="J8" s="8" t="s">
        <v>816</v>
      </c>
    </row>
    <row r="9" spans="1:10">
      <c r="A9" s="8" t="s">
        <v>264</v>
      </c>
      <c r="B9" s="8">
        <v>8</v>
      </c>
      <c r="D9" s="8">
        <v>8</v>
      </c>
      <c r="G9" s="8" t="s">
        <v>817</v>
      </c>
      <c r="H9" s="13" t="s">
        <v>818</v>
      </c>
      <c r="J9" s="8" t="s">
        <v>819</v>
      </c>
    </row>
    <row r="10" spans="1:10">
      <c r="A10" s="8" t="s">
        <v>278</v>
      </c>
      <c r="B10" s="8">
        <v>9</v>
      </c>
      <c r="D10" s="8">
        <v>9</v>
      </c>
      <c r="G10" s="8" t="s">
        <v>820</v>
      </c>
      <c r="J10" s="8" t="s">
        <v>821</v>
      </c>
    </row>
    <row r="11" spans="1:10">
      <c r="A11" s="8" t="s">
        <v>822</v>
      </c>
      <c r="B11" s="8">
        <v>10</v>
      </c>
      <c r="D11" s="8">
        <v>10</v>
      </c>
      <c r="G11" s="8" t="s">
        <v>823</v>
      </c>
      <c r="J11" s="8" t="s">
        <v>824</v>
      </c>
    </row>
    <row r="12" spans="1:10">
      <c r="A12" s="8" t="s">
        <v>302</v>
      </c>
      <c r="B12" s="8">
        <v>11</v>
      </c>
      <c r="D12" s="8">
        <v>11</v>
      </c>
      <c r="J12" s="8" t="s">
        <v>825</v>
      </c>
    </row>
    <row r="13" spans="1:10">
      <c r="A13" s="8" t="s">
        <v>319</v>
      </c>
      <c r="B13" s="8">
        <v>12</v>
      </c>
    </row>
    <row r="14" spans="1:10">
      <c r="A14" s="8" t="s">
        <v>333</v>
      </c>
      <c r="B14" s="8">
        <v>13</v>
      </c>
    </row>
    <row r="15" spans="1:10">
      <c r="A15" s="8" t="s">
        <v>347</v>
      </c>
      <c r="B15" s="8">
        <v>14</v>
      </c>
    </row>
    <row r="16" spans="1:10">
      <c r="A16" s="8" t="s">
        <v>355</v>
      </c>
      <c r="B16" s="8">
        <v>15</v>
      </c>
    </row>
    <row r="17" spans="1:7">
      <c r="A17" s="8" t="s">
        <v>362</v>
      </c>
      <c r="B17" s="8">
        <v>16</v>
      </c>
      <c r="F17" s="8" t="s">
        <v>826</v>
      </c>
      <c r="G17" s="8" t="s">
        <v>827</v>
      </c>
    </row>
    <row r="18" spans="1:7">
      <c r="A18" s="8" t="s">
        <v>376</v>
      </c>
      <c r="B18" s="8">
        <v>17</v>
      </c>
      <c r="G18" s="8" t="s">
        <v>828</v>
      </c>
    </row>
    <row r="19" spans="1:7">
      <c r="A19" s="8" t="s">
        <v>292</v>
      </c>
      <c r="B19" s="8">
        <v>18</v>
      </c>
    </row>
    <row r="20" spans="1:7">
      <c r="A20" s="8" t="s">
        <v>400</v>
      </c>
      <c r="B20" s="8">
        <v>19</v>
      </c>
      <c r="F20" s="8" t="s">
        <v>829</v>
      </c>
    </row>
    <row r="21" spans="1:7">
      <c r="A21" s="8" t="s">
        <v>414</v>
      </c>
      <c r="B21" s="8">
        <v>20</v>
      </c>
      <c r="F21" s="8" t="s">
        <v>830</v>
      </c>
    </row>
    <row r="22" spans="1:7">
      <c r="A22" s="8" t="s">
        <v>428</v>
      </c>
      <c r="B22" s="8">
        <v>21</v>
      </c>
      <c r="F22" s="8" t="s">
        <v>831</v>
      </c>
    </row>
    <row r="23" spans="1:7">
      <c r="A23" s="8" t="s">
        <v>439</v>
      </c>
      <c r="B23" s="8">
        <v>22</v>
      </c>
      <c r="F23" s="8" t="s">
        <v>832</v>
      </c>
    </row>
    <row r="24" spans="1:7">
      <c r="A24" s="8" t="s">
        <v>446</v>
      </c>
      <c r="B24" s="8">
        <v>23</v>
      </c>
    </row>
    <row r="25" spans="1:7">
      <c r="A25" s="8" t="s">
        <v>453</v>
      </c>
      <c r="B25" s="8">
        <v>24</v>
      </c>
      <c r="F25" s="14" t="s">
        <v>833</v>
      </c>
    </row>
    <row r="26" spans="1:7">
      <c r="A26" s="8" t="s">
        <v>464</v>
      </c>
      <c r="B26" s="8">
        <v>25</v>
      </c>
    </row>
    <row r="27" spans="1:7">
      <c r="A27" s="8" t="s">
        <v>389</v>
      </c>
      <c r="B27" s="8">
        <v>26</v>
      </c>
    </row>
    <row r="28" spans="1:7">
      <c r="A28" s="8" t="s">
        <v>834</v>
      </c>
      <c r="B28" s="8">
        <v>27</v>
      </c>
    </row>
    <row r="29" spans="1:7">
      <c r="A29" s="8" t="s">
        <v>835</v>
      </c>
      <c r="B29" s="8">
        <v>28</v>
      </c>
    </row>
    <row r="30" spans="1:7">
      <c r="A30" s="8" t="s">
        <v>836</v>
      </c>
      <c r="B30" s="8">
        <v>29</v>
      </c>
    </row>
    <row r="31" spans="1:7">
      <c r="A31" s="8" t="s">
        <v>837</v>
      </c>
      <c r="B31" s="8">
        <v>30</v>
      </c>
    </row>
    <row r="32" spans="1:7">
      <c r="A32" s="8" t="s">
        <v>838</v>
      </c>
      <c r="B32" s="8">
        <v>31</v>
      </c>
    </row>
    <row r="33" spans="1:2">
      <c r="A33" s="8" t="s">
        <v>839</v>
      </c>
      <c r="B33" s="8">
        <v>32</v>
      </c>
    </row>
    <row r="34" spans="1:2">
      <c r="A34" s="8" t="s">
        <v>840</v>
      </c>
      <c r="B34" s="8">
        <v>33</v>
      </c>
    </row>
    <row r="35" spans="1:2">
      <c r="A35" s="8" t="s">
        <v>841</v>
      </c>
      <c r="B35" s="8">
        <v>34</v>
      </c>
    </row>
    <row r="36" spans="1:2">
      <c r="A36" s="8" t="s">
        <v>842</v>
      </c>
      <c r="B36" s="8">
        <v>35</v>
      </c>
    </row>
    <row r="37" spans="1:2">
      <c r="A37" s="8" t="s">
        <v>843</v>
      </c>
      <c r="B37" s="8">
        <v>36</v>
      </c>
    </row>
    <row r="38" spans="1:2">
      <c r="A38" s="8" t="s">
        <v>844</v>
      </c>
      <c r="B38" s="8">
        <v>37</v>
      </c>
    </row>
    <row r="39" spans="1:2">
      <c r="A39" s="8" t="s">
        <v>845</v>
      </c>
      <c r="B39" s="8">
        <v>38</v>
      </c>
    </row>
    <row r="40" spans="1:2">
      <c r="A40" s="8" t="s">
        <v>846</v>
      </c>
      <c r="B40" s="8">
        <v>39</v>
      </c>
    </row>
    <row r="41" spans="1:2">
      <c r="A41" s="8" t="s">
        <v>847</v>
      </c>
      <c r="B41" s="8">
        <v>40</v>
      </c>
    </row>
    <row r="42" spans="1:2">
      <c r="B42" s="8">
        <v>41</v>
      </c>
    </row>
    <row r="43" ht="14.4" spans="1:2">
      <c r="A43" t="s">
        <v>475</v>
      </c>
      <c r="B43" s="8">
        <v>42</v>
      </c>
    </row>
    <row r="44" ht="14.4" spans="1:2">
      <c r="A44" t="s">
        <v>488</v>
      </c>
      <c r="B44" s="8">
        <v>43</v>
      </c>
    </row>
    <row r="45" ht="14.4" spans="1:2">
      <c r="A45" t="s">
        <v>501</v>
      </c>
      <c r="B45" s="8">
        <v>44</v>
      </c>
    </row>
    <row r="46" ht="14.4" spans="1:2">
      <c r="A46" t="s">
        <v>514</v>
      </c>
      <c r="B46" s="8">
        <v>45</v>
      </c>
    </row>
    <row r="47" ht="14.4" spans="1:2">
      <c r="A47" t="s">
        <v>518</v>
      </c>
      <c r="B47" s="8">
        <v>46</v>
      </c>
    </row>
    <row r="48" ht="14.4" spans="1:2">
      <c r="A48" t="s">
        <v>522</v>
      </c>
      <c r="B48" s="8">
        <v>47</v>
      </c>
    </row>
    <row r="49" ht="14.4" spans="1:2">
      <c r="A49" t="s">
        <v>532</v>
      </c>
      <c r="B49" s="8">
        <v>48</v>
      </c>
    </row>
    <row r="50" ht="14.4" spans="1:2">
      <c r="A50" t="s">
        <v>542</v>
      </c>
      <c r="B50" s="8">
        <v>49</v>
      </c>
    </row>
    <row r="51" ht="14.4" spans="1:2">
      <c r="A51" t="s">
        <v>848</v>
      </c>
      <c r="B51" s="8">
        <v>50</v>
      </c>
    </row>
    <row r="52" ht="14.4" spans="1:2">
      <c r="A52" t="s">
        <v>552</v>
      </c>
      <c r="B52" s="8">
        <v>51</v>
      </c>
    </row>
    <row r="53" ht="14.4" spans="1:2">
      <c r="A53" t="s">
        <v>562</v>
      </c>
      <c r="B53" s="8">
        <v>52</v>
      </c>
    </row>
    <row r="54" ht="14.4" spans="1:2">
      <c r="A54" t="s">
        <v>572</v>
      </c>
      <c r="B54" s="8">
        <v>53</v>
      </c>
    </row>
    <row r="55" ht="14.4" spans="1:2">
      <c r="A55" t="s">
        <v>585</v>
      </c>
      <c r="B55" s="8">
        <v>54</v>
      </c>
    </row>
    <row r="56" ht="14.4" spans="1:2">
      <c r="A56" t="s">
        <v>589</v>
      </c>
      <c r="B56" s="8">
        <v>55</v>
      </c>
    </row>
    <row r="57" ht="14.4" spans="1:2">
      <c r="A57" t="s">
        <v>593</v>
      </c>
      <c r="B57" s="8">
        <v>56</v>
      </c>
    </row>
    <row r="58" ht="14.4" spans="1:2">
      <c r="A58" t="s">
        <v>606</v>
      </c>
      <c r="B58" s="8">
        <v>57</v>
      </c>
    </row>
    <row r="59" ht="14.4" spans="1:2">
      <c r="A59" t="s">
        <v>619</v>
      </c>
      <c r="B59" s="8">
        <v>58</v>
      </c>
    </row>
    <row r="60" ht="14.4" spans="1:2">
      <c r="A60" t="s">
        <v>681</v>
      </c>
      <c r="B60" s="8">
        <v>59</v>
      </c>
    </row>
    <row r="61" ht="14.4" spans="1:2">
      <c r="A61" t="s">
        <v>693</v>
      </c>
      <c r="B61" s="8">
        <v>60</v>
      </c>
    </row>
    <row r="62" ht="14.4" spans="1:2">
      <c r="A62" t="s">
        <v>657</v>
      </c>
      <c r="B62" s="8">
        <v>61</v>
      </c>
    </row>
    <row r="63" ht="14.4" spans="1:2">
      <c r="A63" t="s">
        <v>668</v>
      </c>
      <c r="B63" s="8">
        <v>62</v>
      </c>
    </row>
    <row r="64" ht="14.4" spans="1:2">
      <c r="A64" t="s">
        <v>704</v>
      </c>
      <c r="B64" s="8">
        <v>63</v>
      </c>
    </row>
    <row r="65" ht="14.4" spans="1:3">
      <c r="A65" t="s">
        <v>629</v>
      </c>
      <c r="B65" s="8">
        <v>64</v>
      </c>
    </row>
    <row r="66" ht="14.4" spans="1:3">
      <c r="A66" t="s">
        <v>643</v>
      </c>
      <c r="B66" s="8">
        <v>65</v>
      </c>
    </row>
    <row r="73" spans="1:3">
      <c r="C73" s="8" t="s">
        <v>849</v>
      </c>
    </row>
    <row r="74" spans="1:3">
      <c r="C74" s="8" t="s">
        <v>850</v>
      </c>
    </row>
    <row r="75" spans="1:3">
      <c r="C75" s="8" t="s">
        <v>851</v>
      </c>
    </row>
    <row r="76" spans="1:3">
      <c r="C76" s="8" t="s">
        <v>852</v>
      </c>
    </row>
    <row r="77" spans="1:3">
      <c r="C77" s="8" t="s">
        <v>853</v>
      </c>
    </row>
    <row r="78" spans="1:3">
      <c r="C78" s="8" t="s">
        <v>854</v>
      </c>
    </row>
    <row r="79" spans="1:3">
      <c r="C79" s="8" t="s">
        <v>855</v>
      </c>
    </row>
    <row r="80" spans="1:3">
      <c r="C80" s="8" t="s">
        <v>856</v>
      </c>
    </row>
    <row r="81" spans="3:3">
      <c r="C81" s="8" t="s">
        <v>857</v>
      </c>
    </row>
    <row r="82" spans="3:3">
      <c r="C82" s="8" t="s">
        <v>858</v>
      </c>
    </row>
    <row r="83" spans="3:3">
      <c r="C83" s="8" t="s">
        <v>859</v>
      </c>
    </row>
    <row r="84" spans="3:3">
      <c r="C84" s="8" t="s">
        <v>860</v>
      </c>
    </row>
    <row r="85" spans="3:3">
      <c r="C85" s="8" t="s">
        <v>861</v>
      </c>
    </row>
    <row r="98" spans="3:3">
      <c r="C98" s="8" t="s">
        <v>862</v>
      </c>
    </row>
    <row r="102" spans="3:3">
      <c r="C102" s="8" t="s">
        <v>863</v>
      </c>
    </row>
    <row r="103" spans="3:3">
      <c r="C103" s="8" t="s">
        <v>864</v>
      </c>
    </row>
    <row r="113" spans="3:4">
      <c r="C113" s="8" t="s">
        <v>865</v>
      </c>
      <c r="D113" s="8" t="s">
        <v>866</v>
      </c>
    </row>
    <row r="114" spans="3:4">
      <c r="C114" s="8" t="s">
        <v>867</v>
      </c>
      <c r="D114" s="8" t="s">
        <v>868</v>
      </c>
    </row>
    <row r="115" spans="3:4">
      <c r="C115" s="8" t="s">
        <v>869</v>
      </c>
      <c r="D115" s="8" t="s">
        <v>870</v>
      </c>
    </row>
    <row r="116" spans="3:4">
      <c r="C116" s="8" t="s">
        <v>871</v>
      </c>
      <c r="D116" s="8" t="s">
        <v>872</v>
      </c>
    </row>
    <row r="117" spans="3:4">
      <c r="C117" s="8" t="s">
        <v>873</v>
      </c>
      <c r="D117" s="8" t="s">
        <v>874</v>
      </c>
    </row>
    <row r="118" spans="3:4">
      <c r="C118" s="8" t="s">
        <v>875</v>
      </c>
      <c r="D118" s="8" t="s">
        <v>876</v>
      </c>
    </row>
    <row r="119" spans="3:4">
      <c r="C119" s="8" t="s">
        <v>877</v>
      </c>
      <c r="D119" s="8" t="s">
        <v>878</v>
      </c>
    </row>
    <row r="120" spans="3:4">
      <c r="C120" s="8" t="s">
        <v>879</v>
      </c>
    </row>
  </sheetData>
  <mergeCells count="2">
    <mergeCell ref="H5:H7"/>
    <mergeCell ref="H9:H11"/>
  </mergeCells>
  <pageMargins left="0.699306" right="0.69930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1"/>
  <sheetViews>
    <sheetView workbookViewId="0">
      <selection activeCell="K25" sqref="K25"/>
    </sheetView>
  </sheetViews>
  <sheetFormatPr defaultColWidth="9" defaultRowHeight="14.4"/>
  <cols>
    <col min="1" max="1" width="18.5462962962963" style="4" customWidth="1"/>
    <col min="3" max="3" width="3" style="4" customWidth="1"/>
    <col min="5" max="5" width="14.6296296296296" style="5" customWidth="1"/>
    <col min="6" max="6" width="19.5462962962963" style="4" customWidth="1"/>
    <col min="8" max="8" width="11.3611111111111" style="4" customWidth="1"/>
    <col min="11" max="11" width="13.6296296296296" style="4" customWidth="1"/>
  </cols>
  <sheetData>
    <row r="1" spans="1:18">
      <c r="A1" s="6" t="s">
        <v>880</v>
      </c>
      <c r="C1" s="6"/>
      <c r="E1" s="7" t="s">
        <v>881</v>
      </c>
      <c r="F1" s="8" t="s">
        <v>882</v>
      </c>
      <c r="H1" s="8" t="s">
        <v>883</v>
      </c>
      <c r="K1" t="s">
        <v>884</v>
      </c>
      <c r="N1" t="s">
        <v>885</v>
      </c>
      <c r="O1" t="s">
        <v>886</v>
      </c>
      <c r="Q1" t="s">
        <v>887</v>
      </c>
      <c r="R1" t="s">
        <v>888</v>
      </c>
    </row>
    <row r="2" spans="1:18">
      <c r="A2" s="6" t="s">
        <v>60</v>
      </c>
      <c r="C2" s="6"/>
      <c r="E2" s="7" t="s">
        <v>889</v>
      </c>
      <c r="F2" s="8" t="s">
        <v>890</v>
      </c>
      <c r="H2" s="8" t="s">
        <v>891</v>
      </c>
      <c r="K2" t="s">
        <v>892</v>
      </c>
      <c r="N2">
        <v>1</v>
      </c>
      <c r="O2" t="s">
        <v>726</v>
      </c>
      <c r="Q2" s="9" t="s">
        <v>893</v>
      </c>
      <c r="R2" s="9" t="s">
        <v>894</v>
      </c>
    </row>
    <row r="3" spans="1:18">
      <c r="A3" s="8" t="s">
        <v>895</v>
      </c>
      <c r="C3" s="8" t="s">
        <v>896</v>
      </c>
      <c r="E3" s="7" t="s">
        <v>897</v>
      </c>
      <c r="F3" s="8" t="s">
        <v>898</v>
      </c>
      <c r="H3" s="8" t="s">
        <v>899</v>
      </c>
      <c r="K3" t="s">
        <v>900</v>
      </c>
      <c r="N3">
        <v>2</v>
      </c>
      <c r="O3" t="s">
        <v>726</v>
      </c>
      <c r="Q3" s="10" t="s">
        <v>901</v>
      </c>
      <c r="R3" s="10" t="s">
        <v>902</v>
      </c>
    </row>
    <row r="4" spans="1:18">
      <c r="A4" s="8" t="s">
        <v>903</v>
      </c>
      <c r="C4" s="8" t="s">
        <v>904</v>
      </c>
      <c r="E4" s="7" t="s">
        <v>905</v>
      </c>
      <c r="F4" s="8" t="s">
        <v>906</v>
      </c>
      <c r="H4" s="8" t="s">
        <v>907</v>
      </c>
      <c r="K4" t="s">
        <v>908</v>
      </c>
      <c r="N4">
        <v>3</v>
      </c>
      <c r="O4" t="s">
        <v>726</v>
      </c>
      <c r="Q4" s="9" t="s">
        <v>909</v>
      </c>
      <c r="R4" s="9" t="s">
        <v>910</v>
      </c>
    </row>
    <row r="5" spans="1:18">
      <c r="A5" s="8" t="s">
        <v>911</v>
      </c>
      <c r="E5" s="7" t="s">
        <v>912</v>
      </c>
      <c r="F5" s="8" t="s">
        <v>913</v>
      </c>
      <c r="H5" s="8" t="s">
        <v>914</v>
      </c>
      <c r="N5">
        <v>4</v>
      </c>
      <c r="O5" t="s">
        <v>726</v>
      </c>
      <c r="Q5" s="9" t="s">
        <v>915</v>
      </c>
      <c r="R5" s="9" t="s">
        <v>916</v>
      </c>
    </row>
    <row r="6" spans="1:18">
      <c r="A6" s="8" t="s">
        <v>917</v>
      </c>
      <c r="E6" s="7" t="s">
        <v>918</v>
      </c>
      <c r="F6" s="8" t="s">
        <v>919</v>
      </c>
      <c r="H6" s="8" t="s">
        <v>920</v>
      </c>
      <c r="N6">
        <v>5</v>
      </c>
      <c r="O6" t="s">
        <v>726</v>
      </c>
    </row>
    <row r="7" spans="1:18">
      <c r="A7" s="8" t="s">
        <v>921</v>
      </c>
      <c r="E7" s="7" t="s">
        <v>922</v>
      </c>
      <c r="H7" s="8" t="s">
        <v>923</v>
      </c>
      <c r="N7">
        <v>6</v>
      </c>
      <c r="O7" t="s">
        <v>726</v>
      </c>
    </row>
    <row r="8" spans="1:18">
      <c r="E8" s="7" t="s">
        <v>924</v>
      </c>
      <c r="H8" s="8" t="s">
        <v>925</v>
      </c>
      <c r="N8">
        <v>7</v>
      </c>
      <c r="O8" t="s">
        <v>726</v>
      </c>
    </row>
    <row r="9" spans="1:18">
      <c r="E9" s="7" t="s">
        <v>926</v>
      </c>
      <c r="H9" s="8" t="s">
        <v>927</v>
      </c>
      <c r="N9">
        <v>8</v>
      </c>
      <c r="O9" t="s">
        <v>726</v>
      </c>
    </row>
    <row r="10" spans="1:18">
      <c r="E10" s="7" t="s">
        <v>928</v>
      </c>
      <c r="N10">
        <v>9</v>
      </c>
      <c r="O10" t="s">
        <v>726</v>
      </c>
    </row>
    <row r="11" spans="1:18">
      <c r="N11">
        <v>10</v>
      </c>
      <c r="O11" t="s">
        <v>726</v>
      </c>
    </row>
    <row r="12" spans="1:18">
      <c r="N12">
        <v>11</v>
      </c>
      <c r="O12" t="s">
        <v>726</v>
      </c>
    </row>
    <row r="13" spans="1:18">
      <c r="N13">
        <v>12</v>
      </c>
      <c r="O13" t="s">
        <v>726</v>
      </c>
    </row>
    <row r="14" spans="1:18">
      <c r="N14">
        <v>13</v>
      </c>
      <c r="O14" t="s">
        <v>726</v>
      </c>
    </row>
    <row r="15" spans="1:18">
      <c r="N15">
        <v>14</v>
      </c>
      <c r="O15" t="s">
        <v>726</v>
      </c>
    </row>
    <row r="16" spans="1:18">
      <c r="N16">
        <v>15</v>
      </c>
      <c r="O16" t="s">
        <v>929</v>
      </c>
    </row>
    <row r="17" spans="1:15">
      <c r="N17">
        <v>16</v>
      </c>
      <c r="O17" t="s">
        <v>929</v>
      </c>
    </row>
    <row r="18" spans="1:15">
      <c r="N18">
        <v>17</v>
      </c>
      <c r="O18" t="s">
        <v>929</v>
      </c>
    </row>
    <row r="19" spans="1:15">
      <c r="N19">
        <v>18</v>
      </c>
      <c r="O19" t="s">
        <v>929</v>
      </c>
    </row>
    <row r="20" spans="1:15">
      <c r="N20">
        <v>19</v>
      </c>
      <c r="O20" t="s">
        <v>929</v>
      </c>
    </row>
    <row r="21" spans="1:15">
      <c r="A21" s="8" t="s">
        <v>930</v>
      </c>
      <c r="N21">
        <v>20</v>
      </c>
      <c r="O21" t="s">
        <v>929</v>
      </c>
    </row>
    <row r="22" spans="1:15">
      <c r="A22" s="8" t="s">
        <v>931</v>
      </c>
      <c r="N22">
        <v>21</v>
      </c>
      <c r="O22" t="s">
        <v>929</v>
      </c>
    </row>
    <row r="23" spans="1:15">
      <c r="A23" s="8" t="s">
        <v>932</v>
      </c>
      <c r="N23">
        <v>22</v>
      </c>
      <c r="O23" t="s">
        <v>929</v>
      </c>
    </row>
    <row r="24" spans="1:15">
      <c r="A24" s="8" t="s">
        <v>933</v>
      </c>
      <c r="N24">
        <v>23</v>
      </c>
      <c r="O24" t="s">
        <v>929</v>
      </c>
    </row>
    <row r="25" spans="1:15">
      <c r="A25" s="8" t="s">
        <v>934</v>
      </c>
      <c r="N25">
        <v>24</v>
      </c>
      <c r="O25" t="s">
        <v>929</v>
      </c>
    </row>
    <row r="26" spans="1:15">
      <c r="A26" s="8" t="s">
        <v>935</v>
      </c>
      <c r="N26">
        <v>25</v>
      </c>
      <c r="O26" t="s">
        <v>929</v>
      </c>
    </row>
    <row r="27" spans="1:15">
      <c r="A27" s="8" t="s">
        <v>936</v>
      </c>
      <c r="N27">
        <v>26</v>
      </c>
      <c r="O27" t="s">
        <v>929</v>
      </c>
    </row>
    <row r="28" spans="1:15">
      <c r="A28" s="8" t="s">
        <v>937</v>
      </c>
      <c r="N28">
        <v>27</v>
      </c>
      <c r="O28" t="s">
        <v>929</v>
      </c>
    </row>
    <row r="29" spans="1:15">
      <c r="A29" s="8" t="s">
        <v>938</v>
      </c>
      <c r="N29">
        <v>28</v>
      </c>
      <c r="O29" t="s">
        <v>799</v>
      </c>
    </row>
    <row r="30" spans="1:15">
      <c r="N30">
        <v>29</v>
      </c>
      <c r="O30" t="s">
        <v>799</v>
      </c>
    </row>
    <row r="31" spans="1:15">
      <c r="N31">
        <v>30</v>
      </c>
      <c r="O31" t="s">
        <v>799</v>
      </c>
    </row>
    <row r="32" spans="1:15">
      <c r="N32">
        <v>31</v>
      </c>
      <c r="O32" t="s">
        <v>799</v>
      </c>
    </row>
    <row r="33" spans="14:15">
      <c r="N33">
        <v>32</v>
      </c>
      <c r="O33" t="s">
        <v>799</v>
      </c>
    </row>
    <row r="34" spans="14:15">
      <c r="N34">
        <v>33</v>
      </c>
      <c r="O34" t="s">
        <v>799</v>
      </c>
    </row>
    <row r="35" spans="14:15">
      <c r="N35">
        <v>34</v>
      </c>
      <c r="O35" t="s">
        <v>799</v>
      </c>
    </row>
    <row r="36" spans="14:15">
      <c r="N36">
        <v>35</v>
      </c>
      <c r="O36" t="s">
        <v>799</v>
      </c>
    </row>
    <row r="37" spans="14:15">
      <c r="N37">
        <v>36</v>
      </c>
      <c r="O37" t="s">
        <v>799</v>
      </c>
    </row>
    <row r="38" spans="14:15">
      <c r="N38">
        <v>37</v>
      </c>
      <c r="O38" t="s">
        <v>799</v>
      </c>
    </row>
    <row r="39" spans="14:15">
      <c r="N39">
        <v>38</v>
      </c>
      <c r="O39" t="s">
        <v>799</v>
      </c>
    </row>
    <row r="40" spans="14:15">
      <c r="N40">
        <v>39</v>
      </c>
      <c r="O40" t="s">
        <v>799</v>
      </c>
    </row>
    <row r="41" spans="14:15">
      <c r="N41">
        <v>40</v>
      </c>
      <c r="O41" t="s">
        <v>799</v>
      </c>
    </row>
    <row r="42" spans="14:15">
      <c r="N42">
        <v>41</v>
      </c>
      <c r="O42" t="s">
        <v>799</v>
      </c>
    </row>
    <row r="43" spans="14:15">
      <c r="N43">
        <v>42</v>
      </c>
      <c r="O43" t="s">
        <v>799</v>
      </c>
    </row>
    <row r="44" spans="14:15">
      <c r="N44">
        <v>43</v>
      </c>
      <c r="O44" t="s">
        <v>799</v>
      </c>
    </row>
    <row r="45" spans="14:15">
      <c r="N45">
        <v>44</v>
      </c>
      <c r="O45" t="s">
        <v>799</v>
      </c>
    </row>
    <row r="46" spans="14:15">
      <c r="N46">
        <v>45</v>
      </c>
      <c r="O46" t="s">
        <v>799</v>
      </c>
    </row>
    <row r="47" spans="14:15">
      <c r="N47">
        <v>46</v>
      </c>
      <c r="O47" t="s">
        <v>799</v>
      </c>
    </row>
    <row r="48" spans="14:15">
      <c r="N48">
        <v>47</v>
      </c>
      <c r="O48" t="s">
        <v>799</v>
      </c>
    </row>
    <row r="49" spans="14:15">
      <c r="N49">
        <v>48</v>
      </c>
      <c r="O49" t="s">
        <v>799</v>
      </c>
    </row>
    <row r="50" spans="14:15">
      <c r="N50">
        <v>49</v>
      </c>
      <c r="O50" t="s">
        <v>799</v>
      </c>
    </row>
    <row r="51" spans="14:15">
      <c r="N51">
        <v>50</v>
      </c>
      <c r="O51" t="s">
        <v>799</v>
      </c>
    </row>
    <row r="52" spans="14:15">
      <c r="N52">
        <v>51</v>
      </c>
      <c r="O52" t="s">
        <v>799</v>
      </c>
    </row>
    <row r="53" spans="14:15">
      <c r="N53">
        <v>52</v>
      </c>
      <c r="O53" t="s">
        <v>799</v>
      </c>
    </row>
    <row r="54" spans="14:15">
      <c r="N54">
        <v>53</v>
      </c>
      <c r="O54" t="s">
        <v>799</v>
      </c>
    </row>
    <row r="55" spans="14:15">
      <c r="N55">
        <v>54</v>
      </c>
      <c r="O55" t="s">
        <v>799</v>
      </c>
    </row>
    <row r="56" spans="14:15">
      <c r="N56">
        <v>55</v>
      </c>
      <c r="O56" t="s">
        <v>799</v>
      </c>
    </row>
    <row r="57" spans="14:15">
      <c r="N57">
        <v>56</v>
      </c>
      <c r="O57" t="s">
        <v>799</v>
      </c>
    </row>
    <row r="58" spans="14:15">
      <c r="N58">
        <v>57</v>
      </c>
      <c r="O58" t="s">
        <v>799</v>
      </c>
    </row>
    <row r="59" spans="14:15">
      <c r="N59">
        <v>58</v>
      </c>
      <c r="O59" t="s">
        <v>799</v>
      </c>
    </row>
    <row r="60" spans="14:15">
      <c r="N60">
        <v>59</v>
      </c>
      <c r="O60" t="s">
        <v>799</v>
      </c>
    </row>
    <row r="61" spans="14:15">
      <c r="N61">
        <v>60</v>
      </c>
      <c r="O61" t="s">
        <v>799</v>
      </c>
    </row>
    <row r="62" spans="14:15">
      <c r="N62">
        <v>61</v>
      </c>
      <c r="O62" t="s">
        <v>799</v>
      </c>
    </row>
    <row r="63" spans="14:15">
      <c r="N63">
        <v>62</v>
      </c>
      <c r="O63" t="s">
        <v>799</v>
      </c>
    </row>
    <row r="64" spans="14:15">
      <c r="N64">
        <v>63</v>
      </c>
      <c r="O64" t="s">
        <v>799</v>
      </c>
    </row>
    <row r="65" spans="14:15">
      <c r="N65">
        <v>64</v>
      </c>
      <c r="O65" t="s">
        <v>799</v>
      </c>
    </row>
    <row r="66" spans="14:15">
      <c r="N66">
        <v>65</v>
      </c>
      <c r="O66" t="s">
        <v>799</v>
      </c>
    </row>
    <row r="67" spans="14:15">
      <c r="N67">
        <v>66</v>
      </c>
      <c r="O67" t="s">
        <v>799</v>
      </c>
    </row>
    <row r="68" spans="14:15">
      <c r="N68">
        <v>67</v>
      </c>
      <c r="O68" t="s">
        <v>799</v>
      </c>
    </row>
    <row r="69" spans="14:15">
      <c r="N69">
        <v>68</v>
      </c>
      <c r="O69" t="s">
        <v>799</v>
      </c>
    </row>
    <row r="70" spans="14:15">
      <c r="N70">
        <v>69</v>
      </c>
      <c r="O70" t="s">
        <v>799</v>
      </c>
    </row>
    <row r="71" spans="14:15">
      <c r="N71">
        <v>70</v>
      </c>
      <c r="O71" t="s">
        <v>799</v>
      </c>
    </row>
    <row r="72" spans="14:15">
      <c r="N72">
        <v>71</v>
      </c>
      <c r="O72" t="s">
        <v>799</v>
      </c>
    </row>
    <row r="73" spans="14:15">
      <c r="N73">
        <v>72</v>
      </c>
      <c r="O73" t="s">
        <v>799</v>
      </c>
    </row>
    <row r="74" spans="14:15">
      <c r="N74">
        <v>73</v>
      </c>
      <c r="O74" t="s">
        <v>799</v>
      </c>
    </row>
    <row r="75" spans="14:15">
      <c r="N75">
        <v>74</v>
      </c>
      <c r="O75" t="s">
        <v>799</v>
      </c>
    </row>
    <row r="76" spans="14:15">
      <c r="N76">
        <v>75</v>
      </c>
      <c r="O76" t="s">
        <v>799</v>
      </c>
    </row>
    <row r="77" spans="14:15">
      <c r="N77">
        <v>76</v>
      </c>
      <c r="O77" t="s">
        <v>799</v>
      </c>
    </row>
    <row r="78" spans="14:15">
      <c r="N78">
        <v>77</v>
      </c>
      <c r="O78" t="s">
        <v>799</v>
      </c>
    </row>
    <row r="79" spans="14:15">
      <c r="N79">
        <v>78</v>
      </c>
      <c r="O79" t="s">
        <v>799</v>
      </c>
    </row>
    <row r="80" spans="14:15">
      <c r="N80">
        <v>79</v>
      </c>
      <c r="O80" t="s">
        <v>799</v>
      </c>
    </row>
    <row r="81" spans="14:15">
      <c r="N81">
        <v>80</v>
      </c>
      <c r="O81" t="s">
        <v>799</v>
      </c>
    </row>
    <row r="82" spans="14:15">
      <c r="N82">
        <v>81</v>
      </c>
      <c r="O82" t="s">
        <v>799</v>
      </c>
    </row>
    <row r="83" spans="14:15">
      <c r="N83">
        <v>82</v>
      </c>
      <c r="O83" t="s">
        <v>799</v>
      </c>
    </row>
    <row r="84" spans="14:15">
      <c r="N84">
        <v>83</v>
      </c>
      <c r="O84" t="s">
        <v>799</v>
      </c>
    </row>
    <row r="85" spans="14:15">
      <c r="N85">
        <v>84</v>
      </c>
      <c r="O85" t="s">
        <v>799</v>
      </c>
    </row>
    <row r="86" spans="14:15">
      <c r="N86">
        <v>85</v>
      </c>
      <c r="O86" t="s">
        <v>799</v>
      </c>
    </row>
    <row r="87" spans="14:15">
      <c r="N87">
        <v>86</v>
      </c>
      <c r="O87" t="s">
        <v>799</v>
      </c>
    </row>
    <row r="88" spans="14:15">
      <c r="N88">
        <v>87</v>
      </c>
      <c r="O88" t="s">
        <v>799</v>
      </c>
    </row>
    <row r="89" spans="14:15">
      <c r="N89">
        <v>88</v>
      </c>
      <c r="O89" t="s">
        <v>799</v>
      </c>
    </row>
    <row r="90" spans="14:15">
      <c r="N90">
        <v>89</v>
      </c>
      <c r="O90" t="s">
        <v>799</v>
      </c>
    </row>
    <row r="91" spans="14:15">
      <c r="N91">
        <v>90</v>
      </c>
      <c r="O91" t="s">
        <v>799</v>
      </c>
    </row>
    <row r="92" spans="14:15">
      <c r="N92">
        <v>91</v>
      </c>
      <c r="O92" t="s">
        <v>799</v>
      </c>
    </row>
    <row r="93" spans="14:15">
      <c r="N93">
        <v>92</v>
      </c>
      <c r="O93" t="s">
        <v>799</v>
      </c>
    </row>
    <row r="94" spans="14:15">
      <c r="N94">
        <v>93</v>
      </c>
      <c r="O94" t="s">
        <v>799</v>
      </c>
    </row>
    <row r="95" spans="14:15">
      <c r="N95">
        <v>94</v>
      </c>
      <c r="O95" t="s">
        <v>799</v>
      </c>
    </row>
    <row r="96" spans="14:15">
      <c r="N96">
        <v>95</v>
      </c>
      <c r="O96" t="s">
        <v>799</v>
      </c>
    </row>
    <row r="97" spans="14:15">
      <c r="N97">
        <v>96</v>
      </c>
      <c r="O97" t="s">
        <v>799</v>
      </c>
    </row>
    <row r="98" spans="14:15">
      <c r="N98">
        <v>97</v>
      </c>
      <c r="O98" t="s">
        <v>799</v>
      </c>
    </row>
    <row r="99" spans="14:15">
      <c r="N99">
        <v>98</v>
      </c>
      <c r="O99" t="s">
        <v>799</v>
      </c>
    </row>
    <row r="100" spans="14:15">
      <c r="N100">
        <v>99</v>
      </c>
      <c r="O100" t="s">
        <v>799</v>
      </c>
    </row>
    <row r="101" spans="14:15">
      <c r="N101">
        <v>100</v>
      </c>
      <c r="O101" t="s">
        <v>799</v>
      </c>
    </row>
    <row r="102" spans="14:15">
      <c r="N102">
        <v>101</v>
      </c>
      <c r="O102" t="s">
        <v>749</v>
      </c>
    </row>
    <row r="103" spans="14:15">
      <c r="N103">
        <v>102</v>
      </c>
      <c r="O103" t="s">
        <v>749</v>
      </c>
    </row>
    <row r="104" spans="14:15">
      <c r="N104">
        <v>103</v>
      </c>
      <c r="O104" t="s">
        <v>749</v>
      </c>
    </row>
    <row r="105" spans="14:15">
      <c r="N105">
        <v>104</v>
      </c>
      <c r="O105" t="s">
        <v>749</v>
      </c>
    </row>
    <row r="106" spans="14:15">
      <c r="N106">
        <v>105</v>
      </c>
      <c r="O106" t="s">
        <v>749</v>
      </c>
    </row>
    <row r="107" spans="14:15">
      <c r="N107">
        <v>106</v>
      </c>
      <c r="O107" t="s">
        <v>749</v>
      </c>
    </row>
    <row r="108" spans="14:15">
      <c r="N108">
        <v>107</v>
      </c>
      <c r="O108" t="s">
        <v>749</v>
      </c>
    </row>
    <row r="109" spans="14:15">
      <c r="N109">
        <v>108</v>
      </c>
      <c r="O109" t="s">
        <v>749</v>
      </c>
    </row>
    <row r="110" spans="14:15">
      <c r="N110">
        <v>109</v>
      </c>
      <c r="O110" t="s">
        <v>749</v>
      </c>
    </row>
    <row r="111" spans="14:15">
      <c r="N111">
        <v>110</v>
      </c>
      <c r="O111" t="s">
        <v>749</v>
      </c>
    </row>
    <row r="112" spans="14:15">
      <c r="N112">
        <v>111</v>
      </c>
      <c r="O112" t="s">
        <v>749</v>
      </c>
    </row>
    <row r="113" spans="14:15">
      <c r="N113">
        <v>112</v>
      </c>
      <c r="O113" t="s">
        <v>749</v>
      </c>
    </row>
    <row r="114" spans="14:15">
      <c r="N114">
        <v>113</v>
      </c>
      <c r="O114" t="s">
        <v>749</v>
      </c>
    </row>
    <row r="115" spans="14:15">
      <c r="N115">
        <v>114</v>
      </c>
      <c r="O115" t="s">
        <v>749</v>
      </c>
    </row>
    <row r="116" spans="14:15">
      <c r="N116">
        <v>115</v>
      </c>
      <c r="O116" t="s">
        <v>749</v>
      </c>
    </row>
    <row r="117" spans="14:15">
      <c r="N117">
        <v>116</v>
      </c>
      <c r="O117" t="s">
        <v>749</v>
      </c>
    </row>
    <row r="118" spans="14:15">
      <c r="N118">
        <v>117</v>
      </c>
      <c r="O118" t="s">
        <v>749</v>
      </c>
    </row>
    <row r="119" spans="14:15">
      <c r="N119">
        <v>118</v>
      </c>
      <c r="O119" t="s">
        <v>749</v>
      </c>
    </row>
    <row r="120" spans="14:15">
      <c r="N120">
        <v>119</v>
      </c>
      <c r="O120" t="s">
        <v>749</v>
      </c>
    </row>
    <row r="121" spans="14:15">
      <c r="N121">
        <v>120</v>
      </c>
      <c r="O121" t="s">
        <v>749</v>
      </c>
    </row>
    <row r="122" spans="14:15">
      <c r="N122">
        <v>121</v>
      </c>
      <c r="O122" t="s">
        <v>749</v>
      </c>
    </row>
    <row r="123" spans="14:15">
      <c r="N123">
        <v>122</v>
      </c>
      <c r="O123" t="s">
        <v>749</v>
      </c>
    </row>
    <row r="124" spans="14:15">
      <c r="N124">
        <v>123</v>
      </c>
      <c r="O124" t="s">
        <v>749</v>
      </c>
    </row>
    <row r="125" spans="14:15">
      <c r="N125">
        <v>124</v>
      </c>
      <c r="O125" t="s">
        <v>749</v>
      </c>
    </row>
    <row r="126" spans="14:15">
      <c r="N126">
        <v>125</v>
      </c>
      <c r="O126" t="s">
        <v>749</v>
      </c>
    </row>
    <row r="127" spans="14:15">
      <c r="N127">
        <v>126</v>
      </c>
      <c r="O127" t="s">
        <v>749</v>
      </c>
    </row>
    <row r="128" spans="14:15">
      <c r="N128">
        <v>127</v>
      </c>
      <c r="O128" t="s">
        <v>749</v>
      </c>
    </row>
    <row r="129" spans="14:15">
      <c r="N129">
        <v>128</v>
      </c>
      <c r="O129" t="s">
        <v>749</v>
      </c>
    </row>
    <row r="130" spans="14:15">
      <c r="N130">
        <v>129</v>
      </c>
      <c r="O130" t="s">
        <v>749</v>
      </c>
    </row>
    <row r="131" spans="14:15">
      <c r="N131">
        <v>130</v>
      </c>
      <c r="O131" t="s">
        <v>749</v>
      </c>
    </row>
    <row r="132" spans="14:15">
      <c r="N132">
        <v>131</v>
      </c>
      <c r="O132" t="s">
        <v>807</v>
      </c>
    </row>
    <row r="133" spans="14:15">
      <c r="N133">
        <v>132</v>
      </c>
      <c r="O133" t="s">
        <v>807</v>
      </c>
    </row>
    <row r="134" spans="14:15">
      <c r="N134">
        <v>133</v>
      </c>
      <c r="O134" t="s">
        <v>807</v>
      </c>
    </row>
    <row r="135" spans="14:15">
      <c r="N135">
        <v>134</v>
      </c>
      <c r="O135" t="s">
        <v>807</v>
      </c>
    </row>
    <row r="136" spans="14:15">
      <c r="N136">
        <v>135</v>
      </c>
      <c r="O136" t="s">
        <v>807</v>
      </c>
    </row>
    <row r="137" spans="14:15">
      <c r="N137">
        <v>136</v>
      </c>
      <c r="O137" t="s">
        <v>807</v>
      </c>
    </row>
    <row r="138" spans="14:15">
      <c r="N138">
        <v>137</v>
      </c>
      <c r="O138" t="s">
        <v>807</v>
      </c>
    </row>
    <row r="139" spans="14:15">
      <c r="N139">
        <v>138</v>
      </c>
      <c r="O139" t="s">
        <v>807</v>
      </c>
    </row>
    <row r="140" spans="14:15">
      <c r="N140">
        <v>139</v>
      </c>
      <c r="O140" t="s">
        <v>807</v>
      </c>
    </row>
    <row r="141" spans="14:15">
      <c r="N141">
        <v>140</v>
      </c>
      <c r="O141" t="s">
        <v>807</v>
      </c>
    </row>
    <row r="142" spans="14:15">
      <c r="N142">
        <v>141</v>
      </c>
      <c r="O142" t="s">
        <v>807</v>
      </c>
    </row>
    <row r="143" spans="14:15">
      <c r="N143">
        <v>142</v>
      </c>
      <c r="O143" t="s">
        <v>807</v>
      </c>
    </row>
    <row r="144" spans="14:15">
      <c r="N144">
        <v>143</v>
      </c>
      <c r="O144" t="s">
        <v>807</v>
      </c>
    </row>
    <row r="145" spans="14:15">
      <c r="N145">
        <v>144</v>
      </c>
      <c r="O145" t="s">
        <v>807</v>
      </c>
    </row>
    <row r="146" spans="14:15">
      <c r="N146">
        <v>145</v>
      </c>
      <c r="O146" t="s">
        <v>807</v>
      </c>
    </row>
    <row r="147" spans="14:15">
      <c r="N147">
        <v>146</v>
      </c>
      <c r="O147" t="s">
        <v>807</v>
      </c>
    </row>
    <row r="148" spans="14:15">
      <c r="N148">
        <v>147</v>
      </c>
      <c r="O148" t="s">
        <v>807</v>
      </c>
    </row>
    <row r="149" spans="14:15">
      <c r="N149">
        <v>148</v>
      </c>
      <c r="O149" t="s">
        <v>807</v>
      </c>
    </row>
    <row r="150" spans="14:15">
      <c r="N150">
        <v>149</v>
      </c>
      <c r="O150" t="s">
        <v>807</v>
      </c>
    </row>
    <row r="151" spans="14:15">
      <c r="N151">
        <v>150</v>
      </c>
      <c r="O151" t="s">
        <v>807</v>
      </c>
    </row>
    <row r="152" spans="14:15">
      <c r="N152">
        <v>151</v>
      </c>
      <c r="O152" t="s">
        <v>807</v>
      </c>
    </row>
    <row r="153" spans="14:15">
      <c r="N153">
        <v>152</v>
      </c>
      <c r="O153" t="s">
        <v>807</v>
      </c>
    </row>
    <row r="154" spans="14:15">
      <c r="N154">
        <v>153</v>
      </c>
      <c r="O154" t="s">
        <v>807</v>
      </c>
    </row>
    <row r="155" spans="14:15">
      <c r="N155">
        <v>154</v>
      </c>
      <c r="O155" t="s">
        <v>807</v>
      </c>
    </row>
    <row r="156" spans="14:15">
      <c r="N156">
        <v>155</v>
      </c>
      <c r="O156" t="s">
        <v>807</v>
      </c>
    </row>
    <row r="157" spans="14:15">
      <c r="N157">
        <v>156</v>
      </c>
      <c r="O157" t="s">
        <v>807</v>
      </c>
    </row>
    <row r="158" spans="14:15">
      <c r="N158">
        <v>157</v>
      </c>
      <c r="O158" t="s">
        <v>807</v>
      </c>
    </row>
    <row r="159" spans="14:15">
      <c r="N159">
        <v>158</v>
      </c>
      <c r="O159" t="s">
        <v>807</v>
      </c>
    </row>
    <row r="160" spans="14:15">
      <c r="N160">
        <v>159</v>
      </c>
      <c r="O160" t="s">
        <v>807</v>
      </c>
    </row>
    <row r="161" spans="14:15">
      <c r="N161">
        <v>160</v>
      </c>
      <c r="O161" t="s">
        <v>807</v>
      </c>
    </row>
  </sheetData>
  <conditionalFormatting sqref="Q2:R5">
    <cfRule type="expression" dxfId="3" priority="1">
      <formula>$F1=1</formula>
    </cfRule>
  </conditionalFormatting>
  <pageMargins left="0.699306" right="0.69930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版本变更"/>
  <dimension ref="A1:B42"/>
  <sheetViews>
    <sheetView topLeftCell="A3" workbookViewId="0">
      <selection activeCell="B34" sqref="B34"/>
    </sheetView>
  </sheetViews>
  <sheetFormatPr defaultColWidth="14" defaultRowHeight="18" customHeight="1" outlineLevelCol="1"/>
  <cols>
    <col min="1" max="1" width="14" style="1" customWidth="1"/>
    <col min="2" max="2" width="142.722222222222" style="1" customWidth="1"/>
    <col min="3" max="3" width="14" style="1" customWidth="1"/>
    <col min="4" max="16384" width="14" style="1"/>
  </cols>
  <sheetData>
    <row r="1" ht="15.6" spans="1:2">
      <c r="A1" s="1" t="s">
        <v>939</v>
      </c>
      <c r="B1" s="1" t="s">
        <v>940</v>
      </c>
    </row>
    <row r="2" ht="36" customHeight="1" spans="1:2">
      <c r="A2" s="2" t="s">
        <v>941</v>
      </c>
      <c r="B2" s="3" t="s">
        <v>942</v>
      </c>
    </row>
    <row r="3" ht="38" customHeight="1" spans="1:2">
      <c r="A3" s="2" t="s">
        <v>943</v>
      </c>
      <c r="B3" s="2" t="s">
        <v>944</v>
      </c>
    </row>
    <row r="4" ht="37" customHeight="1" spans="1:2">
      <c r="A4" s="2" t="s">
        <v>945</v>
      </c>
      <c r="B4" s="2" t="s">
        <v>946</v>
      </c>
    </row>
    <row r="5" ht="15.6" spans="1:2">
      <c r="A5" s="2" t="s">
        <v>947</v>
      </c>
      <c r="B5" s="1" t="s">
        <v>948</v>
      </c>
    </row>
    <row r="6" ht="15.6" spans="1:2">
      <c r="A6" s="2" t="s">
        <v>949</v>
      </c>
      <c r="B6" s="1" t="s">
        <v>950</v>
      </c>
    </row>
    <row r="7" ht="15.6" spans="1:2">
      <c r="A7" s="2" t="s">
        <v>951</v>
      </c>
      <c r="B7" s="1" t="s">
        <v>952</v>
      </c>
    </row>
    <row r="8" ht="15.6" spans="1:2">
      <c r="A8" s="2" t="s">
        <v>953</v>
      </c>
      <c r="B8" s="1" t="s">
        <v>954</v>
      </c>
    </row>
    <row r="9" ht="15.6" spans="1:2">
      <c r="A9" s="2" t="s">
        <v>955</v>
      </c>
      <c r="B9" s="1" t="s">
        <v>956</v>
      </c>
    </row>
    <row r="10" ht="15.6" spans="1:2">
      <c r="A10" s="2" t="s">
        <v>957</v>
      </c>
      <c r="B10" s="1" t="s">
        <v>958</v>
      </c>
    </row>
    <row r="11" ht="15.6" spans="1:2">
      <c r="A11" s="2" t="s">
        <v>959</v>
      </c>
      <c r="B11" s="1" t="s">
        <v>960</v>
      </c>
    </row>
    <row r="12" ht="15.6" spans="1:2">
      <c r="A12" s="2" t="s">
        <v>961</v>
      </c>
      <c r="B12" s="1" t="s">
        <v>962</v>
      </c>
    </row>
    <row r="13" ht="15.6" spans="1:2">
      <c r="A13" s="2" t="s">
        <v>963</v>
      </c>
      <c r="B13" s="1" t="s">
        <v>964</v>
      </c>
    </row>
    <row r="14" ht="15.6" spans="1:2">
      <c r="A14" s="2" t="s">
        <v>965</v>
      </c>
      <c r="B14" s="1" t="s">
        <v>966</v>
      </c>
    </row>
    <row r="15" ht="15.6" spans="1:2">
      <c r="A15" s="2" t="s">
        <v>967</v>
      </c>
      <c r="B15" s="1" t="s">
        <v>968</v>
      </c>
    </row>
    <row r="16" ht="15.6" spans="1:2">
      <c r="A16" s="2" t="s">
        <v>969</v>
      </c>
      <c r="B16" s="1" t="s">
        <v>970</v>
      </c>
    </row>
    <row r="17" ht="15.6" spans="1:2">
      <c r="A17" s="2" t="s">
        <v>971</v>
      </c>
      <c r="B17" s="1" t="s">
        <v>972</v>
      </c>
    </row>
    <row r="18" ht="15.6" spans="1:2">
      <c r="A18" s="2" t="s">
        <v>973</v>
      </c>
      <c r="B18" s="1" t="s">
        <v>974</v>
      </c>
    </row>
    <row r="19" ht="15.6" spans="1:2">
      <c r="A19" s="2" t="s">
        <v>975</v>
      </c>
    </row>
    <row r="20" ht="15.6" spans="1:2">
      <c r="A20" s="2" t="s">
        <v>976</v>
      </c>
    </row>
    <row r="21" ht="15.6" spans="1:2">
      <c r="A21" s="2" t="s">
        <v>977</v>
      </c>
    </row>
    <row r="22" ht="15.6" spans="1:2">
      <c r="A22" s="2" t="s">
        <v>978</v>
      </c>
    </row>
    <row r="23" ht="15.6" spans="1:2">
      <c r="A23" s="2" t="s">
        <v>979</v>
      </c>
    </row>
    <row r="24" ht="15.6" spans="1:2">
      <c r="A24" s="2" t="s">
        <v>980</v>
      </c>
    </row>
    <row r="25" ht="15.6" spans="1:2">
      <c r="A25" s="2" t="s">
        <v>981</v>
      </c>
      <c r="B25" s="1" t="s">
        <v>982</v>
      </c>
    </row>
    <row r="26" ht="15.6" spans="1:2">
      <c r="A26" s="2" t="s">
        <v>983</v>
      </c>
      <c r="B26" s="1" t="s">
        <v>984</v>
      </c>
    </row>
    <row r="27" ht="15.6" spans="1:2">
      <c r="A27" s="2" t="s">
        <v>985</v>
      </c>
      <c r="B27" s="1" t="s">
        <v>986</v>
      </c>
    </row>
    <row r="28" ht="59" customHeight="1" spans="1:2">
      <c r="A28" s="2" t="s">
        <v>987</v>
      </c>
      <c r="B28" s="2" t="s">
        <v>988</v>
      </c>
    </row>
    <row r="29" ht="15.6" spans="1:2">
      <c r="A29" s="2" t="s">
        <v>989</v>
      </c>
      <c r="B29" s="1" t="s">
        <v>990</v>
      </c>
    </row>
    <row r="30" ht="15.6" spans="1:2">
      <c r="A30" s="2" t="s">
        <v>991</v>
      </c>
      <c r="B30" s="1" t="s">
        <v>992</v>
      </c>
    </row>
    <row r="31" ht="15.6" spans="1:2">
      <c r="A31" s="2" t="s">
        <v>993</v>
      </c>
      <c r="B31" s="2" t="s">
        <v>994</v>
      </c>
    </row>
    <row r="32" ht="15.6" spans="1:2">
      <c r="A32" s="2" t="s">
        <v>995</v>
      </c>
      <c r="B32" s="1" t="s">
        <v>996</v>
      </c>
    </row>
    <row r="33" ht="15.6" spans="1:2">
      <c r="A33" s="2" t="s">
        <v>997</v>
      </c>
      <c r="B33" s="1" t="s">
        <v>998</v>
      </c>
    </row>
    <row r="34" ht="15.6" spans="1:2">
      <c r="A34" s="2" t="s">
        <v>999</v>
      </c>
    </row>
    <row r="35" ht="15.6" spans="1:2">
      <c r="A35" s="2" t="s">
        <v>1000</v>
      </c>
    </row>
    <row r="36" ht="15.6" spans="1:2">
      <c r="A36" s="2" t="s">
        <v>1001</v>
      </c>
    </row>
    <row r="37" ht="15.6" spans="1:2">
      <c r="A37" s="2" t="s">
        <v>1002</v>
      </c>
    </row>
    <row r="38" ht="15.6" spans="1:2">
      <c r="A38" s="2" t="s">
        <v>1003</v>
      </c>
    </row>
    <row r="39" ht="15.6" spans="1:2">
      <c r="A39" s="2" t="s">
        <v>1004</v>
      </c>
    </row>
    <row r="40" ht="15.6" spans="1:2">
      <c r="A40" s="2" t="s">
        <v>1005</v>
      </c>
    </row>
    <row r="41" ht="15.6" spans="1:2">
      <c r="A41" s="2"/>
    </row>
    <row r="42" ht="15.6" spans="1:2">
      <c r="A42" s="2"/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S540"/>
  <sheetViews>
    <sheetView workbookViewId="0">
      <selection activeCell="J29" sqref="J29"/>
    </sheetView>
  </sheetViews>
  <sheetFormatPr defaultColWidth="9" defaultRowHeight="14.4"/>
  <sheetData>
    <row r="1" spans="6:19">
      <c r="F1" t="s">
        <v>124</v>
      </c>
      <c r="G1" t="s">
        <v>1006</v>
      </c>
      <c r="R1" t="s">
        <v>1007</v>
      </c>
      <c r="S1" t="s">
        <v>1006</v>
      </c>
    </row>
    <row r="2" spans="6:19">
      <c r="F2" t="s">
        <v>145</v>
      </c>
      <c r="G2" t="s">
        <v>1008</v>
      </c>
      <c r="R2" t="s">
        <v>1009</v>
      </c>
      <c r="S2" t="s">
        <v>1006</v>
      </c>
    </row>
    <row r="3" spans="6:19">
      <c r="F3" t="s">
        <v>148</v>
      </c>
      <c r="G3" t="s">
        <v>1008</v>
      </c>
      <c r="R3" t="s">
        <v>1010</v>
      </c>
      <c r="S3" t="s">
        <v>1006</v>
      </c>
    </row>
    <row r="4" spans="6:19">
      <c r="F4" t="s">
        <v>151</v>
      </c>
      <c r="G4" t="s">
        <v>1008</v>
      </c>
      <c r="R4" t="s">
        <v>1011</v>
      </c>
      <c r="S4" t="s">
        <v>1006</v>
      </c>
    </row>
    <row r="5" spans="6:19">
      <c r="F5" t="s">
        <v>154</v>
      </c>
      <c r="G5" t="s">
        <v>1008</v>
      </c>
      <c r="R5" t="s">
        <v>1012</v>
      </c>
      <c r="S5" t="s">
        <v>1006</v>
      </c>
    </row>
    <row r="6" spans="6:19">
      <c r="F6" t="s">
        <v>157</v>
      </c>
      <c r="G6" t="s">
        <v>1008</v>
      </c>
      <c r="R6" t="s">
        <v>1013</v>
      </c>
      <c r="S6" t="s">
        <v>1006</v>
      </c>
    </row>
    <row r="7" spans="6:19">
      <c r="F7" t="s">
        <v>161</v>
      </c>
      <c r="G7" t="s">
        <v>1008</v>
      </c>
      <c r="R7" t="s">
        <v>1014</v>
      </c>
      <c r="S7" t="s">
        <v>1006</v>
      </c>
    </row>
    <row r="8" spans="6:19">
      <c r="F8" t="s">
        <v>164</v>
      </c>
      <c r="G8" t="s">
        <v>1008</v>
      </c>
      <c r="R8" t="s">
        <v>1015</v>
      </c>
      <c r="S8" t="s">
        <v>1006</v>
      </c>
    </row>
    <row r="9" spans="6:19">
      <c r="F9" t="s">
        <v>167</v>
      </c>
      <c r="G9" t="s">
        <v>1008</v>
      </c>
      <c r="R9" t="s">
        <v>1016</v>
      </c>
      <c r="S9" t="s">
        <v>1006</v>
      </c>
    </row>
    <row r="10" spans="6:19">
      <c r="F10" t="s">
        <v>170</v>
      </c>
      <c r="G10" t="s">
        <v>1008</v>
      </c>
      <c r="R10" t="s">
        <v>1017</v>
      </c>
      <c r="S10" t="s">
        <v>1006</v>
      </c>
    </row>
    <row r="11" spans="6:19">
      <c r="F11" t="s">
        <v>173</v>
      </c>
      <c r="G11" t="s">
        <v>1008</v>
      </c>
      <c r="R11" t="s">
        <v>1018</v>
      </c>
      <c r="S11" t="s">
        <v>1006</v>
      </c>
    </row>
    <row r="12" spans="6:19">
      <c r="F12" t="s">
        <v>176</v>
      </c>
      <c r="G12" t="s">
        <v>1008</v>
      </c>
      <c r="R12" t="s">
        <v>1019</v>
      </c>
      <c r="S12" t="s">
        <v>1006</v>
      </c>
    </row>
    <row r="13" spans="6:19">
      <c r="F13" t="s">
        <v>179</v>
      </c>
      <c r="G13" t="s">
        <v>1006</v>
      </c>
      <c r="R13" t="s">
        <v>1020</v>
      </c>
      <c r="S13" t="s">
        <v>1006</v>
      </c>
    </row>
    <row r="14" spans="6:19">
      <c r="F14" t="s">
        <v>182</v>
      </c>
      <c r="G14" t="s">
        <v>1008</v>
      </c>
      <c r="R14" t="s">
        <v>1021</v>
      </c>
      <c r="S14" t="s">
        <v>1006</v>
      </c>
    </row>
    <row r="15" spans="6:19">
      <c r="F15" t="s">
        <v>186</v>
      </c>
      <c r="G15" t="s">
        <v>1006</v>
      </c>
      <c r="R15" t="s">
        <v>1022</v>
      </c>
      <c r="S15" t="s">
        <v>1006</v>
      </c>
    </row>
    <row r="16" spans="6:19">
      <c r="F16" t="s">
        <v>189</v>
      </c>
      <c r="G16" t="s">
        <v>1008</v>
      </c>
      <c r="R16" t="s">
        <v>1023</v>
      </c>
      <c r="S16" t="s">
        <v>1006</v>
      </c>
    </row>
    <row r="17" spans="6:19">
      <c r="F17" t="s">
        <v>192</v>
      </c>
      <c r="G17" t="s">
        <v>1006</v>
      </c>
      <c r="R17" t="s">
        <v>1024</v>
      </c>
      <c r="S17" t="s">
        <v>1006</v>
      </c>
    </row>
    <row r="18" spans="6:19">
      <c r="F18" t="s">
        <v>195</v>
      </c>
      <c r="G18" t="s">
        <v>1008</v>
      </c>
      <c r="R18" t="s">
        <v>1025</v>
      </c>
      <c r="S18" t="s">
        <v>1006</v>
      </c>
    </row>
    <row r="19" spans="6:19">
      <c r="F19" t="s">
        <v>197</v>
      </c>
      <c r="G19" t="s">
        <v>1008</v>
      </c>
      <c r="R19" t="s">
        <v>1026</v>
      </c>
      <c r="S19" t="s">
        <v>1006</v>
      </c>
    </row>
    <row r="20" spans="6:19">
      <c r="F20" t="s">
        <v>201</v>
      </c>
      <c r="G20" t="s">
        <v>1006</v>
      </c>
      <c r="R20" t="s">
        <v>1027</v>
      </c>
      <c r="S20" t="s">
        <v>1006</v>
      </c>
    </row>
    <row r="21" spans="6:19">
      <c r="F21" t="s">
        <v>204</v>
      </c>
      <c r="G21" t="s">
        <v>1008</v>
      </c>
    </row>
    <row r="22" spans="6:19">
      <c r="F22" t="s">
        <v>207</v>
      </c>
      <c r="G22" t="s">
        <v>1008</v>
      </c>
    </row>
    <row r="23" spans="6:19">
      <c r="F23" t="s">
        <v>210</v>
      </c>
      <c r="G23" t="s">
        <v>1006</v>
      </c>
    </row>
    <row r="24" spans="6:19">
      <c r="F24" t="s">
        <v>213</v>
      </c>
      <c r="G24" t="s">
        <v>1008</v>
      </c>
    </row>
    <row r="25" spans="6:19">
      <c r="F25" t="s">
        <v>214</v>
      </c>
      <c r="G25" t="s">
        <v>1008</v>
      </c>
    </row>
    <row r="26" spans="6:19">
      <c r="F26" t="s">
        <v>218</v>
      </c>
      <c r="G26" t="s">
        <v>1008</v>
      </c>
    </row>
    <row r="27" spans="6:19">
      <c r="F27" t="s">
        <v>221</v>
      </c>
      <c r="G27" t="s">
        <v>1006</v>
      </c>
    </row>
    <row r="28" spans="6:19">
      <c r="F28" t="s">
        <v>224</v>
      </c>
      <c r="G28" t="s">
        <v>1008</v>
      </c>
    </row>
    <row r="29" spans="6:19">
      <c r="F29" t="s">
        <v>227</v>
      </c>
      <c r="G29" t="s">
        <v>1006</v>
      </c>
    </row>
    <row r="30" spans="6:19">
      <c r="F30" t="s">
        <v>228</v>
      </c>
      <c r="G30" t="s">
        <v>1008</v>
      </c>
    </row>
    <row r="31" spans="6:19">
      <c r="F31" t="s">
        <v>229</v>
      </c>
      <c r="G31" t="s">
        <v>1008</v>
      </c>
    </row>
    <row r="32" spans="6:19">
      <c r="F32" t="s">
        <v>233</v>
      </c>
      <c r="G32" t="s">
        <v>1008</v>
      </c>
    </row>
    <row r="33" spans="6:7">
      <c r="F33" t="s">
        <v>236</v>
      </c>
      <c r="G33" t="s">
        <v>1006</v>
      </c>
    </row>
    <row r="34" spans="6:7">
      <c r="F34" t="s">
        <v>239</v>
      </c>
      <c r="G34" t="s">
        <v>1006</v>
      </c>
    </row>
    <row r="35" spans="6:7">
      <c r="F35" t="s">
        <v>242</v>
      </c>
      <c r="G35" t="s">
        <v>1008</v>
      </c>
    </row>
    <row r="36" spans="6:7">
      <c r="F36" t="s">
        <v>243</v>
      </c>
      <c r="G36" t="s">
        <v>1006</v>
      </c>
    </row>
    <row r="37" spans="6:7">
      <c r="F37" t="s">
        <v>247</v>
      </c>
      <c r="G37" t="s">
        <v>1008</v>
      </c>
    </row>
    <row r="38" spans="6:7">
      <c r="F38" t="s">
        <v>250</v>
      </c>
      <c r="G38" t="s">
        <v>1006</v>
      </c>
    </row>
    <row r="39" spans="6:7">
      <c r="F39" t="s">
        <v>252</v>
      </c>
      <c r="G39" t="s">
        <v>1008</v>
      </c>
    </row>
    <row r="40" spans="6:7">
      <c r="F40" t="s">
        <v>254</v>
      </c>
      <c r="G40" t="s">
        <v>1008</v>
      </c>
    </row>
    <row r="41" spans="6:7">
      <c r="F41" t="s">
        <v>257</v>
      </c>
      <c r="G41" t="s">
        <v>1008</v>
      </c>
    </row>
    <row r="42" spans="6:7">
      <c r="F42" t="s">
        <v>259</v>
      </c>
      <c r="G42" t="s">
        <v>1008</v>
      </c>
    </row>
    <row r="43" spans="6:7">
      <c r="F43" t="s">
        <v>261</v>
      </c>
      <c r="G43" t="s">
        <v>1008</v>
      </c>
    </row>
    <row r="44" spans="6:7">
      <c r="F44" t="s">
        <v>265</v>
      </c>
      <c r="G44" t="s">
        <v>1008</v>
      </c>
    </row>
    <row r="45" spans="6:7">
      <c r="F45" t="s">
        <v>268</v>
      </c>
      <c r="G45" t="s">
        <v>1008</v>
      </c>
    </row>
    <row r="46" spans="6:7">
      <c r="F46" t="s">
        <v>271</v>
      </c>
      <c r="G46" t="s">
        <v>1008</v>
      </c>
    </row>
    <row r="47" spans="6:7">
      <c r="F47" t="s">
        <v>272</v>
      </c>
      <c r="G47" t="s">
        <v>1008</v>
      </c>
    </row>
    <row r="48" spans="6:7">
      <c r="F48" t="s">
        <v>275</v>
      </c>
      <c r="G48" t="s">
        <v>1008</v>
      </c>
    </row>
    <row r="49" spans="6:7">
      <c r="F49" t="s">
        <v>279</v>
      </c>
      <c r="G49" t="s">
        <v>1008</v>
      </c>
    </row>
    <row r="50" spans="6:7">
      <c r="F50" t="s">
        <v>282</v>
      </c>
      <c r="G50" t="s">
        <v>1008</v>
      </c>
    </row>
    <row r="51" spans="6:7">
      <c r="F51" t="s">
        <v>285</v>
      </c>
      <c r="G51" t="s">
        <v>1008</v>
      </c>
    </row>
    <row r="52" spans="6:7">
      <c r="F52" t="s">
        <v>288</v>
      </c>
      <c r="G52" t="s">
        <v>1008</v>
      </c>
    </row>
    <row r="53" spans="6:7">
      <c r="F53" t="s">
        <v>289</v>
      </c>
      <c r="G53" t="s">
        <v>1008</v>
      </c>
    </row>
    <row r="54" spans="6:7">
      <c r="F54" t="s">
        <v>293</v>
      </c>
      <c r="G54" t="s">
        <v>1008</v>
      </c>
    </row>
    <row r="55" spans="6:7">
      <c r="F55" t="s">
        <v>296</v>
      </c>
      <c r="G55" t="s">
        <v>1008</v>
      </c>
    </row>
    <row r="56" spans="6:7">
      <c r="F56" t="s">
        <v>299</v>
      </c>
      <c r="G56" t="s">
        <v>1008</v>
      </c>
    </row>
    <row r="57" spans="6:7">
      <c r="F57" t="s">
        <v>303</v>
      </c>
      <c r="G57" t="s">
        <v>1008</v>
      </c>
    </row>
    <row r="58" spans="6:7">
      <c r="F58" t="s">
        <v>306</v>
      </c>
      <c r="G58" t="s">
        <v>1008</v>
      </c>
    </row>
    <row r="59" spans="6:7">
      <c r="F59" t="s">
        <v>309</v>
      </c>
      <c r="G59" t="s">
        <v>1008</v>
      </c>
    </row>
    <row r="60" spans="6:7">
      <c r="F60" t="s">
        <v>312</v>
      </c>
      <c r="G60" t="s">
        <v>1008</v>
      </c>
    </row>
    <row r="61" spans="6:7">
      <c r="F61" t="s">
        <v>315</v>
      </c>
      <c r="G61" t="s">
        <v>1008</v>
      </c>
    </row>
    <row r="62" spans="6:7">
      <c r="F62" t="s">
        <v>316</v>
      </c>
      <c r="G62" t="s">
        <v>1008</v>
      </c>
    </row>
    <row r="63" spans="6:7">
      <c r="F63" t="s">
        <v>320</v>
      </c>
      <c r="G63" t="s">
        <v>1008</v>
      </c>
    </row>
    <row r="64" spans="6:7">
      <c r="F64" t="s">
        <v>323</v>
      </c>
      <c r="G64" t="s">
        <v>1008</v>
      </c>
    </row>
    <row r="65" spans="6:7">
      <c r="F65" t="s">
        <v>326</v>
      </c>
      <c r="G65" t="s">
        <v>1008</v>
      </c>
    </row>
    <row r="66" spans="6:7">
      <c r="F66" t="s">
        <v>329</v>
      </c>
      <c r="G66" t="s">
        <v>1008</v>
      </c>
    </row>
    <row r="67" spans="6:7">
      <c r="F67" t="s">
        <v>330</v>
      </c>
      <c r="G67" t="s">
        <v>1008</v>
      </c>
    </row>
    <row r="68" spans="6:7">
      <c r="F68" t="s">
        <v>334</v>
      </c>
      <c r="G68" t="s">
        <v>1008</v>
      </c>
    </row>
    <row r="69" spans="6:7">
      <c r="F69" t="s">
        <v>337</v>
      </c>
      <c r="G69" t="s">
        <v>1008</v>
      </c>
    </row>
    <row r="70" spans="6:7">
      <c r="F70" t="s">
        <v>340</v>
      </c>
      <c r="G70" t="s">
        <v>1008</v>
      </c>
    </row>
    <row r="71" spans="6:7">
      <c r="F71" t="s">
        <v>341</v>
      </c>
      <c r="G71" t="s">
        <v>1008</v>
      </c>
    </row>
    <row r="72" spans="6:7">
      <c r="F72" t="s">
        <v>344</v>
      </c>
      <c r="G72" t="s">
        <v>1008</v>
      </c>
    </row>
    <row r="73" spans="6:7">
      <c r="F73" t="s">
        <v>348</v>
      </c>
      <c r="G73" t="s">
        <v>1008</v>
      </c>
    </row>
    <row r="74" spans="6:7">
      <c r="F74" t="s">
        <v>350</v>
      </c>
      <c r="G74" t="s">
        <v>1008</v>
      </c>
    </row>
    <row r="75" spans="6:7">
      <c r="F75" t="s">
        <v>352</v>
      </c>
      <c r="G75" t="s">
        <v>1008</v>
      </c>
    </row>
    <row r="76" spans="6:7">
      <c r="F76" t="s">
        <v>356</v>
      </c>
      <c r="G76" t="s">
        <v>1008</v>
      </c>
    </row>
    <row r="77" spans="6:7">
      <c r="F77" t="s">
        <v>359</v>
      </c>
      <c r="G77" t="s">
        <v>1008</v>
      </c>
    </row>
    <row r="78" spans="6:7">
      <c r="F78" t="s">
        <v>363</v>
      </c>
      <c r="G78" t="s">
        <v>1008</v>
      </c>
    </row>
    <row r="79" spans="6:7">
      <c r="F79" t="s">
        <v>366</v>
      </c>
      <c r="G79" t="s">
        <v>1008</v>
      </c>
    </row>
    <row r="80" spans="6:7">
      <c r="F80" t="s">
        <v>369</v>
      </c>
      <c r="G80" t="s">
        <v>1008</v>
      </c>
    </row>
    <row r="81" spans="6:7">
      <c r="F81" t="s">
        <v>372</v>
      </c>
      <c r="G81" t="s">
        <v>1008</v>
      </c>
    </row>
    <row r="82" spans="6:7">
      <c r="F82" t="s">
        <v>373</v>
      </c>
      <c r="G82" t="s">
        <v>1006</v>
      </c>
    </row>
    <row r="83" spans="6:7">
      <c r="F83" t="s">
        <v>377</v>
      </c>
      <c r="G83" t="s">
        <v>1008</v>
      </c>
    </row>
    <row r="84" spans="6:7">
      <c r="F84" t="s">
        <v>380</v>
      </c>
      <c r="G84" t="s">
        <v>1008</v>
      </c>
    </row>
    <row r="85" spans="6:7">
      <c r="F85" t="s">
        <v>383</v>
      </c>
      <c r="G85" t="s">
        <v>1008</v>
      </c>
    </row>
    <row r="86" spans="6:7">
      <c r="F86" t="s">
        <v>386</v>
      </c>
      <c r="G86" t="s">
        <v>1008</v>
      </c>
    </row>
    <row r="87" spans="6:7">
      <c r="F87" t="s">
        <v>390</v>
      </c>
      <c r="G87" t="s">
        <v>1008</v>
      </c>
    </row>
    <row r="88" spans="6:7">
      <c r="F88" t="s">
        <v>393</v>
      </c>
      <c r="G88" t="s">
        <v>1008</v>
      </c>
    </row>
    <row r="89" spans="6:7">
      <c r="F89" t="s">
        <v>394</v>
      </c>
      <c r="G89" t="s">
        <v>1008</v>
      </c>
    </row>
    <row r="90" spans="6:7">
      <c r="F90" t="s">
        <v>397</v>
      </c>
      <c r="G90" t="s">
        <v>1008</v>
      </c>
    </row>
    <row r="91" spans="6:7">
      <c r="F91" t="s">
        <v>401</v>
      </c>
      <c r="G91" t="s">
        <v>1006</v>
      </c>
    </row>
    <row r="92" spans="6:7">
      <c r="F92" t="s">
        <v>404</v>
      </c>
      <c r="G92" t="s">
        <v>1008</v>
      </c>
    </row>
    <row r="93" spans="6:7">
      <c r="F93" t="s">
        <v>407</v>
      </c>
      <c r="G93" t="s">
        <v>1008</v>
      </c>
    </row>
    <row r="94" spans="6:7">
      <c r="F94" t="s">
        <v>410</v>
      </c>
      <c r="G94" t="s">
        <v>1008</v>
      </c>
    </row>
    <row r="95" spans="6:7">
      <c r="F95" t="s">
        <v>411</v>
      </c>
      <c r="G95" t="s">
        <v>1008</v>
      </c>
    </row>
    <row r="96" spans="6:7">
      <c r="F96" t="s">
        <v>415</v>
      </c>
      <c r="G96" t="s">
        <v>1008</v>
      </c>
    </row>
    <row r="97" spans="6:7">
      <c r="F97" t="s">
        <v>418</v>
      </c>
      <c r="G97" t="s">
        <v>1008</v>
      </c>
    </row>
    <row r="98" spans="6:7">
      <c r="F98" t="s">
        <v>421</v>
      </c>
      <c r="G98" t="s">
        <v>1008</v>
      </c>
    </row>
    <row r="99" spans="6:7">
      <c r="F99" t="s">
        <v>422</v>
      </c>
      <c r="G99" t="s">
        <v>1008</v>
      </c>
    </row>
    <row r="100" spans="6:7">
      <c r="F100" t="s">
        <v>425</v>
      </c>
      <c r="G100" t="s">
        <v>1008</v>
      </c>
    </row>
    <row r="101" spans="6:7">
      <c r="F101" t="s">
        <v>429</v>
      </c>
      <c r="G101" t="s">
        <v>1008</v>
      </c>
    </row>
    <row r="102" spans="6:7">
      <c r="F102" t="s">
        <v>432</v>
      </c>
      <c r="G102" t="s">
        <v>1008</v>
      </c>
    </row>
    <row r="103" spans="6:7">
      <c r="F103" t="s">
        <v>433</v>
      </c>
      <c r="G103" t="s">
        <v>1008</v>
      </c>
    </row>
    <row r="104" spans="6:7">
      <c r="F104" t="s">
        <v>436</v>
      </c>
      <c r="G104" t="s">
        <v>1008</v>
      </c>
    </row>
    <row r="105" spans="6:7">
      <c r="F105" t="s">
        <v>440</v>
      </c>
      <c r="G105" t="s">
        <v>1008</v>
      </c>
    </row>
    <row r="106" spans="6:7">
      <c r="F106" t="s">
        <v>443</v>
      </c>
      <c r="G106" t="s">
        <v>1006</v>
      </c>
    </row>
    <row r="107" spans="6:7">
      <c r="F107" t="s">
        <v>447</v>
      </c>
      <c r="G107" t="s">
        <v>1006</v>
      </c>
    </row>
    <row r="108" spans="6:7">
      <c r="F108" t="s">
        <v>450</v>
      </c>
      <c r="G108" t="s">
        <v>1008</v>
      </c>
    </row>
    <row r="109" spans="6:7">
      <c r="F109" t="s">
        <v>454</v>
      </c>
      <c r="G109" t="s">
        <v>1008</v>
      </c>
    </row>
    <row r="110" spans="6:7">
      <c r="F110" t="s">
        <v>457</v>
      </c>
      <c r="G110" t="s">
        <v>1008</v>
      </c>
    </row>
    <row r="111" spans="6:7">
      <c r="F111" t="s">
        <v>460</v>
      </c>
      <c r="G111" t="s">
        <v>1008</v>
      </c>
    </row>
    <row r="112" spans="6:7">
      <c r="F112" t="s">
        <v>461</v>
      </c>
      <c r="G112" t="s">
        <v>1008</v>
      </c>
    </row>
    <row r="113" spans="6:7">
      <c r="F113" t="s">
        <v>465</v>
      </c>
      <c r="G113" t="s">
        <v>1008</v>
      </c>
    </row>
    <row r="114" spans="6:7">
      <c r="F114" t="s">
        <v>468</v>
      </c>
      <c r="G114" t="s">
        <v>1008</v>
      </c>
    </row>
    <row r="115" spans="6:7">
      <c r="F115" t="s">
        <v>469</v>
      </c>
      <c r="G115" t="s">
        <v>1008</v>
      </c>
    </row>
    <row r="116" spans="6:7">
      <c r="F116" t="s">
        <v>472</v>
      </c>
      <c r="G116" t="s">
        <v>1008</v>
      </c>
    </row>
    <row r="117" spans="6:7">
      <c r="F117" t="s">
        <v>476</v>
      </c>
      <c r="G117" t="s">
        <v>1008</v>
      </c>
    </row>
    <row r="118" spans="6:7">
      <c r="F118" t="s">
        <v>479</v>
      </c>
      <c r="G118" t="s">
        <v>1008</v>
      </c>
    </row>
    <row r="119" spans="6:7">
      <c r="F119" t="s">
        <v>482</v>
      </c>
      <c r="G119" t="s">
        <v>1008</v>
      </c>
    </row>
    <row r="120" spans="6:7">
      <c r="F120" t="s">
        <v>485</v>
      </c>
      <c r="G120" t="s">
        <v>1006</v>
      </c>
    </row>
    <row r="121" spans="6:7">
      <c r="F121" t="s">
        <v>489</v>
      </c>
      <c r="G121" t="s">
        <v>1008</v>
      </c>
    </row>
    <row r="122" spans="6:7">
      <c r="F122" t="s">
        <v>492</v>
      </c>
      <c r="G122" t="s">
        <v>1006</v>
      </c>
    </row>
    <row r="123" spans="6:7">
      <c r="F123" t="s">
        <v>495</v>
      </c>
      <c r="G123" t="s">
        <v>1008</v>
      </c>
    </row>
    <row r="124" spans="6:7">
      <c r="F124" t="s">
        <v>498</v>
      </c>
      <c r="G124" t="s">
        <v>1008</v>
      </c>
    </row>
    <row r="125" spans="6:7">
      <c r="F125" t="s">
        <v>502</v>
      </c>
      <c r="G125" t="s">
        <v>1008</v>
      </c>
    </row>
    <row r="126" spans="6:7">
      <c r="F126" t="s">
        <v>505</v>
      </c>
      <c r="G126" t="s">
        <v>1008</v>
      </c>
    </row>
    <row r="127" spans="6:7">
      <c r="F127" t="s">
        <v>508</v>
      </c>
      <c r="G127" t="s">
        <v>1008</v>
      </c>
    </row>
    <row r="128" spans="6:7">
      <c r="F128" t="s">
        <v>511</v>
      </c>
      <c r="G128" t="s">
        <v>1006</v>
      </c>
    </row>
    <row r="129" spans="6:7">
      <c r="F129" t="s">
        <v>515</v>
      </c>
      <c r="G129" t="s">
        <v>1008</v>
      </c>
    </row>
    <row r="130" spans="6:7">
      <c r="F130" t="s">
        <v>519</v>
      </c>
      <c r="G130" t="s">
        <v>1008</v>
      </c>
    </row>
    <row r="131" spans="6:7">
      <c r="F131" t="s">
        <v>523</v>
      </c>
      <c r="G131" t="s">
        <v>1008</v>
      </c>
    </row>
    <row r="132" spans="6:7">
      <c r="F132" t="s">
        <v>526</v>
      </c>
      <c r="G132" t="s">
        <v>1008</v>
      </c>
    </row>
    <row r="133" spans="6:7">
      <c r="F133" t="s">
        <v>529</v>
      </c>
      <c r="G133" t="s">
        <v>1006</v>
      </c>
    </row>
    <row r="134" spans="6:7">
      <c r="F134" t="s">
        <v>533</v>
      </c>
      <c r="G134" t="s">
        <v>1008</v>
      </c>
    </row>
    <row r="135" spans="6:7">
      <c r="F135" t="s">
        <v>536</v>
      </c>
      <c r="G135" t="s">
        <v>1008</v>
      </c>
    </row>
    <row r="136" spans="6:7">
      <c r="F136" t="s">
        <v>539</v>
      </c>
      <c r="G136" t="s">
        <v>1008</v>
      </c>
    </row>
    <row r="137" spans="6:7">
      <c r="F137" t="s">
        <v>543</v>
      </c>
      <c r="G137" t="s">
        <v>1008</v>
      </c>
    </row>
    <row r="138" spans="6:7">
      <c r="F138" t="s">
        <v>546</v>
      </c>
      <c r="G138" t="s">
        <v>1008</v>
      </c>
    </row>
    <row r="139" spans="6:7">
      <c r="F139" t="s">
        <v>549</v>
      </c>
      <c r="G139" t="s">
        <v>1008</v>
      </c>
    </row>
    <row r="140" spans="6:7">
      <c r="F140" t="s">
        <v>553</v>
      </c>
      <c r="G140" t="s">
        <v>1008</v>
      </c>
    </row>
    <row r="141" spans="6:7">
      <c r="F141" t="s">
        <v>556</v>
      </c>
      <c r="G141" t="s">
        <v>1008</v>
      </c>
    </row>
    <row r="142" spans="6:7">
      <c r="F142" t="s">
        <v>559</v>
      </c>
      <c r="G142" t="s">
        <v>1008</v>
      </c>
    </row>
    <row r="143" spans="6:7">
      <c r="F143" t="s">
        <v>563</v>
      </c>
      <c r="G143" t="s">
        <v>1008</v>
      </c>
    </row>
    <row r="144" spans="6:7">
      <c r="F144" t="s">
        <v>566</v>
      </c>
      <c r="G144" t="s">
        <v>1008</v>
      </c>
    </row>
    <row r="145" spans="6:7">
      <c r="F145" t="s">
        <v>569</v>
      </c>
      <c r="G145" t="s">
        <v>1008</v>
      </c>
    </row>
    <row r="146" spans="6:7">
      <c r="F146" t="s">
        <v>573</v>
      </c>
      <c r="G146" t="s">
        <v>1008</v>
      </c>
    </row>
    <row r="147" spans="6:7">
      <c r="F147" t="s">
        <v>576</v>
      </c>
      <c r="G147" t="s">
        <v>1008</v>
      </c>
    </row>
    <row r="148" spans="6:7">
      <c r="F148" t="s">
        <v>579</v>
      </c>
      <c r="G148" t="s">
        <v>1008</v>
      </c>
    </row>
    <row r="149" spans="6:7">
      <c r="F149" t="s">
        <v>582</v>
      </c>
      <c r="G149" t="s">
        <v>1008</v>
      </c>
    </row>
    <row r="150" spans="6:7">
      <c r="F150" t="s">
        <v>586</v>
      </c>
      <c r="G150" t="s">
        <v>1008</v>
      </c>
    </row>
    <row r="151" spans="6:7">
      <c r="F151" t="s">
        <v>590</v>
      </c>
      <c r="G151" t="s">
        <v>1008</v>
      </c>
    </row>
    <row r="152" spans="6:7">
      <c r="F152" t="s">
        <v>594</v>
      </c>
      <c r="G152" t="s">
        <v>1008</v>
      </c>
    </row>
    <row r="153" spans="6:7">
      <c r="F153" t="s">
        <v>597</v>
      </c>
      <c r="G153" t="s">
        <v>1008</v>
      </c>
    </row>
    <row r="154" spans="6:7">
      <c r="F154" t="s">
        <v>600</v>
      </c>
      <c r="G154" t="s">
        <v>1008</v>
      </c>
    </row>
    <row r="155" spans="6:7">
      <c r="F155" t="s">
        <v>603</v>
      </c>
      <c r="G155" t="s">
        <v>1008</v>
      </c>
    </row>
    <row r="156" spans="6:7">
      <c r="F156" t="s">
        <v>607</v>
      </c>
      <c r="G156" t="s">
        <v>1008</v>
      </c>
    </row>
    <row r="157" spans="6:7">
      <c r="F157" t="s">
        <v>610</v>
      </c>
      <c r="G157" t="s">
        <v>1008</v>
      </c>
    </row>
    <row r="158" spans="6:7">
      <c r="F158" t="s">
        <v>613</v>
      </c>
      <c r="G158" t="s">
        <v>1008</v>
      </c>
    </row>
    <row r="159" spans="6:7">
      <c r="F159" t="s">
        <v>616</v>
      </c>
      <c r="G159" t="s">
        <v>1008</v>
      </c>
    </row>
    <row r="160" spans="6:7">
      <c r="F160" t="s">
        <v>620</v>
      </c>
      <c r="G160" t="s">
        <v>1008</v>
      </c>
    </row>
    <row r="161" spans="6:7">
      <c r="F161" t="s">
        <v>623</v>
      </c>
      <c r="G161" t="s">
        <v>1008</v>
      </c>
    </row>
    <row r="162" spans="6:7">
      <c r="F162" t="s">
        <v>626</v>
      </c>
      <c r="G162" t="s">
        <v>1008</v>
      </c>
    </row>
    <row r="163" spans="6:7">
      <c r="F163" t="s">
        <v>630</v>
      </c>
      <c r="G163" t="s">
        <v>1008</v>
      </c>
    </row>
    <row r="164" spans="6:7">
      <c r="F164" t="s">
        <v>633</v>
      </c>
      <c r="G164" t="s">
        <v>1008</v>
      </c>
    </row>
    <row r="165" spans="6:7">
      <c r="F165" t="s">
        <v>635</v>
      </c>
      <c r="G165" t="s">
        <v>1008</v>
      </c>
    </row>
    <row r="166" spans="6:7">
      <c r="F166" t="s">
        <v>637</v>
      </c>
      <c r="G166" t="s">
        <v>1008</v>
      </c>
    </row>
    <row r="167" spans="6:7">
      <c r="F167" t="s">
        <v>640</v>
      </c>
      <c r="G167" t="s">
        <v>1008</v>
      </c>
    </row>
    <row r="168" spans="6:7">
      <c r="F168" t="s">
        <v>644</v>
      </c>
      <c r="G168" t="s">
        <v>1008</v>
      </c>
    </row>
    <row r="169" spans="6:7">
      <c r="F169" t="s">
        <v>645</v>
      </c>
      <c r="G169" t="s">
        <v>1008</v>
      </c>
    </row>
    <row r="170" spans="6:7">
      <c r="F170" t="s">
        <v>648</v>
      </c>
      <c r="G170" t="s">
        <v>1008</v>
      </c>
    </row>
    <row r="171" spans="6:7">
      <c r="F171" t="s">
        <v>651</v>
      </c>
      <c r="G171" t="s">
        <v>1008</v>
      </c>
    </row>
    <row r="172" spans="6:7">
      <c r="F172" t="s">
        <v>654</v>
      </c>
      <c r="G172" t="s">
        <v>1008</v>
      </c>
    </row>
    <row r="173" spans="6:7">
      <c r="F173" t="s">
        <v>658</v>
      </c>
      <c r="G173" t="s">
        <v>1008</v>
      </c>
    </row>
    <row r="174" spans="6:7">
      <c r="F174" t="s">
        <v>661</v>
      </c>
      <c r="G174" t="s">
        <v>1008</v>
      </c>
    </row>
    <row r="175" spans="6:7">
      <c r="F175" t="s">
        <v>664</v>
      </c>
      <c r="G175" t="s">
        <v>1008</v>
      </c>
    </row>
    <row r="176" spans="6:7">
      <c r="F176" t="s">
        <v>665</v>
      </c>
      <c r="G176" t="s">
        <v>1008</v>
      </c>
    </row>
    <row r="177" spans="6:7">
      <c r="F177" t="s">
        <v>669</v>
      </c>
      <c r="G177" t="s">
        <v>1008</v>
      </c>
    </row>
    <row r="178" spans="6:7">
      <c r="F178" t="s">
        <v>672</v>
      </c>
      <c r="G178" t="s">
        <v>1008</v>
      </c>
    </row>
    <row r="179" spans="6:7">
      <c r="F179" t="s">
        <v>673</v>
      </c>
      <c r="G179" t="s">
        <v>1008</v>
      </c>
    </row>
    <row r="180" spans="6:7">
      <c r="F180" t="s">
        <v>676</v>
      </c>
      <c r="G180" t="s">
        <v>1008</v>
      </c>
    </row>
    <row r="181" spans="6:7">
      <c r="F181" t="s">
        <v>679</v>
      </c>
      <c r="G181" t="s">
        <v>1008</v>
      </c>
    </row>
    <row r="182" spans="6:7">
      <c r="F182" t="s">
        <v>682</v>
      </c>
      <c r="G182" t="s">
        <v>1008</v>
      </c>
    </row>
    <row r="183" spans="6:7">
      <c r="F183" t="s">
        <v>683</v>
      </c>
      <c r="G183" t="s">
        <v>1008</v>
      </c>
    </row>
    <row r="184" spans="6:7">
      <c r="F184" t="s">
        <v>686</v>
      </c>
      <c r="G184" t="s">
        <v>1008</v>
      </c>
    </row>
    <row r="185" spans="6:7">
      <c r="F185" t="s">
        <v>687</v>
      </c>
      <c r="G185" t="s">
        <v>1008</v>
      </c>
    </row>
    <row r="186" spans="6:7">
      <c r="F186" t="s">
        <v>690</v>
      </c>
      <c r="G186" t="s">
        <v>1008</v>
      </c>
    </row>
    <row r="187" spans="6:7">
      <c r="F187" t="s">
        <v>694</v>
      </c>
      <c r="G187" t="s">
        <v>1008</v>
      </c>
    </row>
    <row r="188" spans="6:7">
      <c r="F188" t="s">
        <v>697</v>
      </c>
      <c r="G188" t="s">
        <v>1008</v>
      </c>
    </row>
    <row r="189" spans="6:7">
      <c r="F189" t="s">
        <v>700</v>
      </c>
      <c r="G189" t="s">
        <v>1008</v>
      </c>
    </row>
    <row r="190" spans="6:7">
      <c r="F190" t="s">
        <v>701</v>
      </c>
      <c r="G190" t="s">
        <v>1008</v>
      </c>
    </row>
    <row r="191" spans="6:7">
      <c r="F191" t="s">
        <v>705</v>
      </c>
      <c r="G191" t="s">
        <v>1008</v>
      </c>
    </row>
    <row r="192" spans="6:7">
      <c r="F192" t="s">
        <v>708</v>
      </c>
      <c r="G192" t="s">
        <v>1008</v>
      </c>
    </row>
    <row r="193" spans="6:7">
      <c r="F193" t="s">
        <v>709</v>
      </c>
      <c r="G193" t="s">
        <v>1008</v>
      </c>
    </row>
    <row r="194" spans="6:7">
      <c r="F194" t="s">
        <v>712</v>
      </c>
      <c r="G194" t="s">
        <v>1008</v>
      </c>
    </row>
    <row r="195" spans="6:7">
      <c r="F195" t="s">
        <v>719</v>
      </c>
      <c r="G195" t="s">
        <v>1008</v>
      </c>
    </row>
    <row r="196" spans="6:7">
      <c r="F196" t="s">
        <v>722</v>
      </c>
      <c r="G196" t="s">
        <v>1008</v>
      </c>
    </row>
    <row r="197" spans="6:7">
      <c r="F197" t="s">
        <v>725</v>
      </c>
      <c r="G197" t="s">
        <v>1008</v>
      </c>
    </row>
    <row r="198" spans="6:7">
      <c r="F198" t="s">
        <v>727</v>
      </c>
      <c r="G198" t="s">
        <v>1008</v>
      </c>
    </row>
    <row r="199" spans="6:7">
      <c r="F199" t="s">
        <v>731</v>
      </c>
      <c r="G199" t="s">
        <v>1008</v>
      </c>
    </row>
    <row r="200" spans="6:7">
      <c r="F200" t="s">
        <v>734</v>
      </c>
      <c r="G200" t="s">
        <v>1008</v>
      </c>
    </row>
    <row r="201" spans="6:7">
      <c r="F201" t="s">
        <v>737</v>
      </c>
      <c r="G201" t="s">
        <v>1008</v>
      </c>
    </row>
    <row r="202" spans="6:7">
      <c r="F202" t="s">
        <v>738</v>
      </c>
      <c r="G202" t="s">
        <v>1008</v>
      </c>
    </row>
    <row r="203" spans="6:7">
      <c r="F203" t="s">
        <v>742</v>
      </c>
      <c r="G203" t="s">
        <v>1008</v>
      </c>
    </row>
    <row r="204" spans="6:7">
      <c r="F204" t="s">
        <v>745</v>
      </c>
      <c r="G204" t="s">
        <v>1008</v>
      </c>
    </row>
    <row r="205" spans="6:7">
      <c r="F205" t="s">
        <v>746</v>
      </c>
      <c r="G205" t="s">
        <v>1008</v>
      </c>
    </row>
    <row r="206" spans="6:7">
      <c r="F206" t="s">
        <v>750</v>
      </c>
      <c r="G206" t="s">
        <v>1008</v>
      </c>
    </row>
    <row r="207" spans="6:7">
      <c r="F207" t="s">
        <v>754</v>
      </c>
      <c r="G207" t="s">
        <v>1008</v>
      </c>
    </row>
    <row r="208" spans="6:7">
      <c r="F208" t="s">
        <v>758</v>
      </c>
      <c r="G208" t="s">
        <v>1008</v>
      </c>
    </row>
    <row r="209" spans="6:7">
      <c r="F209" t="s">
        <v>762</v>
      </c>
      <c r="G209" t="s">
        <v>1008</v>
      </c>
    </row>
    <row r="210" spans="6:7">
      <c r="F210" t="s">
        <v>765</v>
      </c>
      <c r="G210" t="s">
        <v>1008</v>
      </c>
    </row>
    <row r="211" spans="6:7">
      <c r="F211" t="s">
        <v>766</v>
      </c>
      <c r="G211" t="s">
        <v>1008</v>
      </c>
    </row>
    <row r="212" spans="6:7">
      <c r="F212" t="s">
        <v>769</v>
      </c>
      <c r="G212" t="s">
        <v>1008</v>
      </c>
    </row>
    <row r="213" spans="6:7">
      <c r="F213" t="s">
        <v>773</v>
      </c>
      <c r="G213" t="s">
        <v>1008</v>
      </c>
    </row>
    <row r="214" spans="6:7">
      <c r="F214" t="s">
        <v>776</v>
      </c>
      <c r="G214" t="s">
        <v>1008</v>
      </c>
    </row>
    <row r="215" spans="6:7">
      <c r="F215" t="s">
        <v>779</v>
      </c>
      <c r="G215" t="s">
        <v>1008</v>
      </c>
    </row>
    <row r="216" spans="6:7">
      <c r="F216" t="s">
        <v>780</v>
      </c>
      <c r="G216" t="s">
        <v>1008</v>
      </c>
    </row>
    <row r="217" spans="6:7">
      <c r="F217" t="s">
        <v>784</v>
      </c>
      <c r="G217" t="s">
        <v>1008</v>
      </c>
    </row>
    <row r="218" spans="6:7">
      <c r="F218" t="s">
        <v>787</v>
      </c>
      <c r="G218" t="s">
        <v>1008</v>
      </c>
    </row>
    <row r="219" spans="6:7">
      <c r="F219" t="s">
        <v>788</v>
      </c>
      <c r="G219" t="s">
        <v>1008</v>
      </c>
    </row>
    <row r="220" spans="6:7">
      <c r="F220" t="s">
        <v>1028</v>
      </c>
      <c r="G220" t="s">
        <v>1008</v>
      </c>
    </row>
    <row r="221" spans="6:7">
      <c r="F221" t="s">
        <v>1029</v>
      </c>
      <c r="G221" t="s">
        <v>1008</v>
      </c>
    </row>
    <row r="222" spans="6:7">
      <c r="F222" t="s">
        <v>1030</v>
      </c>
      <c r="G222" t="s">
        <v>1008</v>
      </c>
    </row>
    <row r="223" spans="6:7">
      <c r="F223" t="s">
        <v>1031</v>
      </c>
      <c r="G223" t="s">
        <v>1008</v>
      </c>
    </row>
    <row r="224" spans="6:7">
      <c r="F224" t="s">
        <v>1032</v>
      </c>
      <c r="G224" t="s">
        <v>1008</v>
      </c>
    </row>
    <row r="225" spans="6:7">
      <c r="F225" t="s">
        <v>1033</v>
      </c>
      <c r="G225" t="s">
        <v>1008</v>
      </c>
    </row>
    <row r="226" spans="6:7">
      <c r="F226" t="s">
        <v>1034</v>
      </c>
      <c r="G226" t="s">
        <v>1008</v>
      </c>
    </row>
    <row r="227" spans="6:7">
      <c r="F227" t="s">
        <v>1035</v>
      </c>
      <c r="G227" t="s">
        <v>1008</v>
      </c>
    </row>
    <row r="228" spans="6:7">
      <c r="F228" t="s">
        <v>1036</v>
      </c>
      <c r="G228" t="s">
        <v>1008</v>
      </c>
    </row>
    <row r="229" spans="6:7">
      <c r="F229" t="s">
        <v>1037</v>
      </c>
      <c r="G229" t="s">
        <v>1008</v>
      </c>
    </row>
    <row r="230" spans="6:7">
      <c r="F230" t="s">
        <v>1038</v>
      </c>
      <c r="G230" t="s">
        <v>1008</v>
      </c>
    </row>
    <row r="231" spans="6:7">
      <c r="F231" t="s">
        <v>1039</v>
      </c>
      <c r="G231" t="s">
        <v>1008</v>
      </c>
    </row>
    <row r="232" spans="6:7">
      <c r="F232" t="s">
        <v>1040</v>
      </c>
      <c r="G232" t="s">
        <v>1008</v>
      </c>
    </row>
    <row r="233" spans="6:7">
      <c r="F233" t="s">
        <v>1041</v>
      </c>
      <c r="G233" t="s">
        <v>1008</v>
      </c>
    </row>
    <row r="234" spans="6:7">
      <c r="F234" t="s">
        <v>1042</v>
      </c>
      <c r="G234" t="s">
        <v>1008</v>
      </c>
    </row>
    <row r="235" spans="6:7">
      <c r="F235" t="s">
        <v>1043</v>
      </c>
      <c r="G235" t="s">
        <v>1008</v>
      </c>
    </row>
    <row r="236" spans="6:7">
      <c r="F236" t="s">
        <v>1044</v>
      </c>
      <c r="G236" t="s">
        <v>1008</v>
      </c>
    </row>
    <row r="237" spans="6:7">
      <c r="F237" t="s">
        <v>1045</v>
      </c>
      <c r="G237" t="s">
        <v>1008</v>
      </c>
    </row>
    <row r="238" spans="6:7">
      <c r="F238" t="s">
        <v>1046</v>
      </c>
      <c r="G238" t="s">
        <v>1008</v>
      </c>
    </row>
    <row r="239" spans="6:7">
      <c r="F239" t="s">
        <v>1047</v>
      </c>
      <c r="G239" t="s">
        <v>1008</v>
      </c>
    </row>
    <row r="240" spans="6:7">
      <c r="F240" t="s">
        <v>1048</v>
      </c>
      <c r="G240" t="s">
        <v>1008</v>
      </c>
    </row>
    <row r="241" spans="6:7">
      <c r="F241" t="s">
        <v>1049</v>
      </c>
      <c r="G241" t="s">
        <v>1008</v>
      </c>
    </row>
    <row r="242" spans="6:7">
      <c r="F242" t="s">
        <v>1050</v>
      </c>
      <c r="G242" t="s">
        <v>1008</v>
      </c>
    </row>
    <row r="243" spans="6:7">
      <c r="F243" t="s">
        <v>1051</v>
      </c>
      <c r="G243" t="s">
        <v>1008</v>
      </c>
    </row>
    <row r="244" spans="6:7">
      <c r="F244" t="s">
        <v>1052</v>
      </c>
      <c r="G244" t="s">
        <v>1008</v>
      </c>
    </row>
    <row r="245" spans="6:7">
      <c r="F245" t="s">
        <v>1053</v>
      </c>
      <c r="G245" t="s">
        <v>1008</v>
      </c>
    </row>
    <row r="246" spans="6:7">
      <c r="F246" t="s">
        <v>1054</v>
      </c>
      <c r="G246" t="s">
        <v>1008</v>
      </c>
    </row>
    <row r="247" spans="6:7">
      <c r="F247" t="s">
        <v>1055</v>
      </c>
      <c r="G247" t="s">
        <v>1008</v>
      </c>
    </row>
    <row r="248" spans="6:7">
      <c r="F248" t="s">
        <v>1056</v>
      </c>
      <c r="G248" t="s">
        <v>1008</v>
      </c>
    </row>
    <row r="249" spans="6:7">
      <c r="F249" t="s">
        <v>1057</v>
      </c>
      <c r="G249" t="s">
        <v>1008</v>
      </c>
    </row>
    <row r="250" spans="6:7">
      <c r="F250" t="s">
        <v>1058</v>
      </c>
      <c r="G250" t="s">
        <v>1008</v>
      </c>
    </row>
    <row r="251" spans="6:7">
      <c r="F251" t="s">
        <v>1059</v>
      </c>
      <c r="G251" t="s">
        <v>1008</v>
      </c>
    </row>
    <row r="252" spans="6:7">
      <c r="F252" t="s">
        <v>1060</v>
      </c>
      <c r="G252" t="s">
        <v>1008</v>
      </c>
    </row>
    <row r="253" spans="6:7">
      <c r="F253" t="s">
        <v>1061</v>
      </c>
      <c r="G253" t="s">
        <v>1008</v>
      </c>
    </row>
    <row r="254" spans="6:7">
      <c r="F254" t="s">
        <v>1062</v>
      </c>
      <c r="G254" t="s">
        <v>1008</v>
      </c>
    </row>
    <row r="255" spans="6:7">
      <c r="F255" t="s">
        <v>1063</v>
      </c>
      <c r="G255" t="s">
        <v>1008</v>
      </c>
    </row>
    <row r="256" spans="6:7">
      <c r="F256" t="s">
        <v>1064</v>
      </c>
      <c r="G256" t="s">
        <v>1008</v>
      </c>
    </row>
    <row r="257" spans="6:7">
      <c r="F257" t="s">
        <v>1065</v>
      </c>
      <c r="G257" t="s">
        <v>1008</v>
      </c>
    </row>
    <row r="258" spans="6:7">
      <c r="F258" t="s">
        <v>1066</v>
      </c>
      <c r="G258" t="s">
        <v>1008</v>
      </c>
    </row>
    <row r="259" spans="6:7">
      <c r="F259" t="s">
        <v>1067</v>
      </c>
      <c r="G259" t="s">
        <v>1008</v>
      </c>
    </row>
    <row r="260" spans="6:7">
      <c r="F260" t="s">
        <v>1068</v>
      </c>
      <c r="G260" t="s">
        <v>1008</v>
      </c>
    </row>
    <row r="261" spans="6:7">
      <c r="F261" t="s">
        <v>1069</v>
      </c>
      <c r="G261" t="s">
        <v>1008</v>
      </c>
    </row>
    <row r="262" spans="6:7">
      <c r="F262" t="s">
        <v>1070</v>
      </c>
      <c r="G262" t="s">
        <v>1008</v>
      </c>
    </row>
    <row r="263" spans="6:7">
      <c r="F263" t="s">
        <v>1071</v>
      </c>
      <c r="G263" t="s">
        <v>1008</v>
      </c>
    </row>
    <row r="264" spans="6:7">
      <c r="F264" t="s">
        <v>1072</v>
      </c>
      <c r="G264" t="s">
        <v>1008</v>
      </c>
    </row>
    <row r="265" spans="6:7">
      <c r="F265" t="s">
        <v>1073</v>
      </c>
      <c r="G265" t="s">
        <v>1008</v>
      </c>
    </row>
    <row r="266" spans="6:7">
      <c r="F266" t="s">
        <v>1074</v>
      </c>
      <c r="G266" t="s">
        <v>1008</v>
      </c>
    </row>
    <row r="267" spans="6:7">
      <c r="F267" t="s">
        <v>1075</v>
      </c>
      <c r="G267" t="s">
        <v>1008</v>
      </c>
    </row>
    <row r="268" spans="6:7">
      <c r="F268" t="s">
        <v>1076</v>
      </c>
      <c r="G268" t="s">
        <v>1008</v>
      </c>
    </row>
    <row r="269" spans="6:7">
      <c r="F269" t="s">
        <v>1077</v>
      </c>
      <c r="G269" t="s">
        <v>1008</v>
      </c>
    </row>
    <row r="270" spans="6:7">
      <c r="F270" t="s">
        <v>1078</v>
      </c>
      <c r="G270" t="s">
        <v>1008</v>
      </c>
    </row>
    <row r="271" spans="6:7">
      <c r="F271" t="s">
        <v>1079</v>
      </c>
      <c r="G271" t="s">
        <v>1008</v>
      </c>
    </row>
    <row r="272" spans="6:7">
      <c r="F272" t="s">
        <v>1080</v>
      </c>
      <c r="G272" t="s">
        <v>1008</v>
      </c>
    </row>
    <row r="273" spans="6:7">
      <c r="F273" t="s">
        <v>1081</v>
      </c>
      <c r="G273" t="s">
        <v>1008</v>
      </c>
    </row>
    <row r="274" spans="6:7">
      <c r="F274" t="s">
        <v>1082</v>
      </c>
      <c r="G274" t="s">
        <v>1008</v>
      </c>
    </row>
    <row r="275" spans="6:7">
      <c r="F275" t="s">
        <v>1083</v>
      </c>
      <c r="G275" t="s">
        <v>1008</v>
      </c>
    </row>
    <row r="276" spans="6:7">
      <c r="F276" t="s">
        <v>1084</v>
      </c>
      <c r="G276" t="s">
        <v>1008</v>
      </c>
    </row>
    <row r="277" spans="6:7">
      <c r="F277" t="s">
        <v>1085</v>
      </c>
      <c r="G277" t="s">
        <v>1008</v>
      </c>
    </row>
    <row r="278" spans="6:7">
      <c r="F278" t="s">
        <v>1086</v>
      </c>
      <c r="G278" t="s">
        <v>1008</v>
      </c>
    </row>
    <row r="279" spans="6:7">
      <c r="F279" t="s">
        <v>1087</v>
      </c>
      <c r="G279" t="s">
        <v>1008</v>
      </c>
    </row>
    <row r="280" spans="6:7">
      <c r="F280" t="s">
        <v>1088</v>
      </c>
      <c r="G280" t="s">
        <v>1008</v>
      </c>
    </row>
    <row r="281" spans="6:7">
      <c r="F281" t="s">
        <v>1089</v>
      </c>
      <c r="G281" t="s">
        <v>1008</v>
      </c>
    </row>
    <row r="282" spans="6:7">
      <c r="F282" t="s">
        <v>1090</v>
      </c>
      <c r="G282" t="s">
        <v>1008</v>
      </c>
    </row>
    <row r="283" spans="6:7">
      <c r="F283" t="s">
        <v>1091</v>
      </c>
      <c r="G283" t="s">
        <v>1008</v>
      </c>
    </row>
    <row r="284" spans="6:7">
      <c r="F284" t="s">
        <v>1092</v>
      </c>
      <c r="G284" t="s">
        <v>1008</v>
      </c>
    </row>
    <row r="285" spans="6:7">
      <c r="F285" t="s">
        <v>1093</v>
      </c>
      <c r="G285" t="s">
        <v>1008</v>
      </c>
    </row>
    <row r="286" spans="6:7">
      <c r="F286" t="s">
        <v>1094</v>
      </c>
      <c r="G286" t="s">
        <v>1008</v>
      </c>
    </row>
    <row r="287" spans="6:7">
      <c r="F287" t="s">
        <v>1095</v>
      </c>
      <c r="G287" t="s">
        <v>1008</v>
      </c>
    </row>
    <row r="288" spans="6:7">
      <c r="F288" t="s">
        <v>1096</v>
      </c>
      <c r="G288" t="s">
        <v>1008</v>
      </c>
    </row>
    <row r="289" spans="6:7">
      <c r="F289" t="s">
        <v>1097</v>
      </c>
      <c r="G289" t="s">
        <v>1008</v>
      </c>
    </row>
    <row r="290" spans="6:7">
      <c r="F290" t="s">
        <v>1098</v>
      </c>
      <c r="G290" t="s">
        <v>1008</v>
      </c>
    </row>
    <row r="291" spans="6:7">
      <c r="F291" t="s">
        <v>1099</v>
      </c>
      <c r="G291" t="s">
        <v>1008</v>
      </c>
    </row>
    <row r="292" spans="6:7">
      <c r="F292" t="s">
        <v>1100</v>
      </c>
      <c r="G292" t="s">
        <v>1008</v>
      </c>
    </row>
    <row r="293" spans="6:7">
      <c r="F293" t="s">
        <v>1101</v>
      </c>
      <c r="G293" t="s">
        <v>1008</v>
      </c>
    </row>
    <row r="294" spans="6:7">
      <c r="F294" t="s">
        <v>1102</v>
      </c>
      <c r="G294" t="s">
        <v>1008</v>
      </c>
    </row>
    <row r="295" spans="6:7">
      <c r="F295" t="s">
        <v>1103</v>
      </c>
      <c r="G295" t="s">
        <v>1008</v>
      </c>
    </row>
    <row r="296" spans="6:7">
      <c r="F296" t="s">
        <v>1104</v>
      </c>
      <c r="G296" t="s">
        <v>1008</v>
      </c>
    </row>
    <row r="297" spans="6:7">
      <c r="F297" t="s">
        <v>1105</v>
      </c>
      <c r="G297" t="s">
        <v>1008</v>
      </c>
    </row>
    <row r="298" spans="6:7">
      <c r="F298" t="s">
        <v>1106</v>
      </c>
      <c r="G298" t="s">
        <v>1008</v>
      </c>
    </row>
    <row r="299" spans="6:7">
      <c r="F299" t="s">
        <v>1107</v>
      </c>
      <c r="G299" t="s">
        <v>1008</v>
      </c>
    </row>
    <row r="300" spans="6:7">
      <c r="F300" t="s">
        <v>1108</v>
      </c>
      <c r="G300" t="s">
        <v>1008</v>
      </c>
    </row>
    <row r="301" spans="6:7">
      <c r="F301" t="s">
        <v>1109</v>
      </c>
      <c r="G301" t="s">
        <v>1008</v>
      </c>
    </row>
    <row r="302" spans="6:7">
      <c r="F302" t="s">
        <v>1110</v>
      </c>
      <c r="G302" t="s">
        <v>1008</v>
      </c>
    </row>
    <row r="303" spans="6:7">
      <c r="F303" t="s">
        <v>1111</v>
      </c>
      <c r="G303" t="s">
        <v>1008</v>
      </c>
    </row>
    <row r="304" spans="6:7">
      <c r="F304" t="s">
        <v>1112</v>
      </c>
      <c r="G304" t="s">
        <v>1008</v>
      </c>
    </row>
    <row r="305" spans="6:7">
      <c r="F305" t="s">
        <v>1113</v>
      </c>
      <c r="G305" t="s">
        <v>1008</v>
      </c>
    </row>
    <row r="306" spans="6:7">
      <c r="F306" t="s">
        <v>1114</v>
      </c>
      <c r="G306" t="s">
        <v>1008</v>
      </c>
    </row>
    <row r="307" spans="6:7">
      <c r="F307" t="s">
        <v>1115</v>
      </c>
      <c r="G307" t="s">
        <v>1008</v>
      </c>
    </row>
    <row r="308" spans="6:7">
      <c r="F308" t="s">
        <v>1116</v>
      </c>
      <c r="G308" t="s">
        <v>1008</v>
      </c>
    </row>
    <row r="309" spans="6:7">
      <c r="F309" t="s">
        <v>1117</v>
      </c>
      <c r="G309" t="s">
        <v>1008</v>
      </c>
    </row>
    <row r="310" spans="6:7">
      <c r="F310" t="s">
        <v>1118</v>
      </c>
      <c r="G310" t="s">
        <v>1008</v>
      </c>
    </row>
    <row r="311" spans="6:7">
      <c r="F311" t="s">
        <v>1119</v>
      </c>
      <c r="G311" t="s">
        <v>1008</v>
      </c>
    </row>
    <row r="312" spans="6:7">
      <c r="F312" t="s">
        <v>1120</v>
      </c>
      <c r="G312" t="s">
        <v>1008</v>
      </c>
    </row>
    <row r="313" spans="6:7">
      <c r="F313" t="s">
        <v>1121</v>
      </c>
      <c r="G313" t="s">
        <v>1008</v>
      </c>
    </row>
    <row r="314" spans="6:7">
      <c r="F314" t="s">
        <v>1122</v>
      </c>
      <c r="G314" t="s">
        <v>1008</v>
      </c>
    </row>
    <row r="315" spans="6:7">
      <c r="F315" t="s">
        <v>1123</v>
      </c>
      <c r="G315" t="s">
        <v>1008</v>
      </c>
    </row>
    <row r="316" spans="6:7">
      <c r="F316" t="s">
        <v>1124</v>
      </c>
      <c r="G316" t="s">
        <v>1008</v>
      </c>
    </row>
    <row r="317" spans="6:7">
      <c r="F317" t="s">
        <v>1125</v>
      </c>
      <c r="G317" t="s">
        <v>1008</v>
      </c>
    </row>
    <row r="318" spans="6:7">
      <c r="F318" t="s">
        <v>1126</v>
      </c>
      <c r="G318" t="s">
        <v>1008</v>
      </c>
    </row>
    <row r="319" spans="6:7">
      <c r="F319" t="s">
        <v>1127</v>
      </c>
      <c r="G319" t="s">
        <v>1008</v>
      </c>
    </row>
    <row r="320" spans="6:7">
      <c r="F320" t="s">
        <v>1128</v>
      </c>
      <c r="G320" t="s">
        <v>1008</v>
      </c>
    </row>
    <row r="321" spans="6:7">
      <c r="F321" t="s">
        <v>1129</v>
      </c>
      <c r="G321" t="s">
        <v>1008</v>
      </c>
    </row>
    <row r="322" spans="6:7">
      <c r="F322" t="s">
        <v>1130</v>
      </c>
      <c r="G322" t="s">
        <v>1008</v>
      </c>
    </row>
    <row r="323" spans="6:7">
      <c r="F323" t="s">
        <v>1131</v>
      </c>
      <c r="G323" t="s">
        <v>1008</v>
      </c>
    </row>
    <row r="324" spans="6:7">
      <c r="F324" t="s">
        <v>1132</v>
      </c>
      <c r="G324" t="s">
        <v>1008</v>
      </c>
    </row>
    <row r="325" spans="6:7">
      <c r="F325" t="s">
        <v>1133</v>
      </c>
      <c r="G325" t="s">
        <v>1008</v>
      </c>
    </row>
    <row r="326" spans="6:7">
      <c r="F326" t="s">
        <v>1134</v>
      </c>
      <c r="G326" t="s">
        <v>1008</v>
      </c>
    </row>
    <row r="327" spans="6:7">
      <c r="F327" t="s">
        <v>1135</v>
      </c>
      <c r="G327" t="s">
        <v>1008</v>
      </c>
    </row>
    <row r="328" spans="6:7">
      <c r="F328" t="s">
        <v>1136</v>
      </c>
      <c r="G328" t="s">
        <v>1008</v>
      </c>
    </row>
    <row r="329" spans="6:7">
      <c r="F329" t="s">
        <v>1137</v>
      </c>
      <c r="G329" t="s">
        <v>1008</v>
      </c>
    </row>
    <row r="330" spans="6:7">
      <c r="F330" t="s">
        <v>1138</v>
      </c>
      <c r="G330" t="s">
        <v>1008</v>
      </c>
    </row>
    <row r="331" spans="6:7">
      <c r="F331" t="s">
        <v>1139</v>
      </c>
      <c r="G331" t="s">
        <v>1008</v>
      </c>
    </row>
    <row r="332" spans="6:7">
      <c r="F332" t="s">
        <v>1140</v>
      </c>
      <c r="G332" t="s">
        <v>1008</v>
      </c>
    </row>
    <row r="333" spans="6:7">
      <c r="F333" t="s">
        <v>1141</v>
      </c>
      <c r="G333" t="s">
        <v>1008</v>
      </c>
    </row>
    <row r="334" spans="6:7">
      <c r="F334" t="s">
        <v>1142</v>
      </c>
      <c r="G334" t="s">
        <v>1008</v>
      </c>
    </row>
    <row r="335" spans="6:7">
      <c r="F335" t="s">
        <v>1143</v>
      </c>
      <c r="G335" t="s">
        <v>1008</v>
      </c>
    </row>
    <row r="336" spans="6:7">
      <c r="F336" t="s">
        <v>1144</v>
      </c>
      <c r="G336" t="s">
        <v>1008</v>
      </c>
    </row>
    <row r="337" spans="6:7">
      <c r="F337" t="s">
        <v>1145</v>
      </c>
      <c r="G337" t="s">
        <v>1008</v>
      </c>
    </row>
    <row r="338" spans="6:7">
      <c r="F338" t="s">
        <v>1146</v>
      </c>
      <c r="G338" t="s">
        <v>1008</v>
      </c>
    </row>
    <row r="339" spans="6:7">
      <c r="F339" t="s">
        <v>1147</v>
      </c>
      <c r="G339" t="s">
        <v>1008</v>
      </c>
    </row>
    <row r="340" spans="6:7">
      <c r="F340" t="s">
        <v>1148</v>
      </c>
      <c r="G340" t="s">
        <v>1008</v>
      </c>
    </row>
    <row r="341" spans="6:7">
      <c r="F341" t="s">
        <v>1149</v>
      </c>
      <c r="G341" t="s">
        <v>1008</v>
      </c>
    </row>
    <row r="342" spans="6:7">
      <c r="F342" t="s">
        <v>1150</v>
      </c>
      <c r="G342" t="s">
        <v>1008</v>
      </c>
    </row>
    <row r="343" spans="6:7">
      <c r="F343" t="s">
        <v>1151</v>
      </c>
      <c r="G343" t="s">
        <v>1008</v>
      </c>
    </row>
    <row r="344" spans="6:7">
      <c r="F344" t="s">
        <v>1152</v>
      </c>
      <c r="G344" t="s">
        <v>1008</v>
      </c>
    </row>
    <row r="345" spans="6:7">
      <c r="F345" t="s">
        <v>1153</v>
      </c>
      <c r="G345" t="s">
        <v>1008</v>
      </c>
    </row>
    <row r="346" spans="6:7">
      <c r="F346" t="s">
        <v>1154</v>
      </c>
      <c r="G346" t="s">
        <v>1008</v>
      </c>
    </row>
    <row r="347" spans="6:7">
      <c r="F347" t="s">
        <v>1155</v>
      </c>
      <c r="G347" t="s">
        <v>1008</v>
      </c>
    </row>
    <row r="348" spans="6:7">
      <c r="F348" t="s">
        <v>1156</v>
      </c>
      <c r="G348" t="s">
        <v>1008</v>
      </c>
    </row>
    <row r="349" spans="6:7">
      <c r="F349" t="s">
        <v>1157</v>
      </c>
      <c r="G349" t="s">
        <v>1008</v>
      </c>
    </row>
    <row r="350" spans="6:7">
      <c r="F350" t="s">
        <v>1158</v>
      </c>
      <c r="G350" t="s">
        <v>1008</v>
      </c>
    </row>
    <row r="351" spans="6:7">
      <c r="F351" t="s">
        <v>1159</v>
      </c>
      <c r="G351" t="s">
        <v>1008</v>
      </c>
    </row>
    <row r="352" spans="6:7">
      <c r="F352" t="s">
        <v>1160</v>
      </c>
      <c r="G352" t="s">
        <v>1008</v>
      </c>
    </row>
    <row r="353" spans="6:7">
      <c r="F353" t="s">
        <v>1161</v>
      </c>
      <c r="G353" t="s">
        <v>1008</v>
      </c>
    </row>
    <row r="354" spans="6:7">
      <c r="F354" t="s">
        <v>1162</v>
      </c>
      <c r="G354" t="s">
        <v>1008</v>
      </c>
    </row>
    <row r="355" spans="6:7">
      <c r="F355" t="s">
        <v>1163</v>
      </c>
      <c r="G355" t="s">
        <v>1008</v>
      </c>
    </row>
    <row r="356" spans="6:7">
      <c r="F356" t="s">
        <v>1164</v>
      </c>
      <c r="G356" t="s">
        <v>1008</v>
      </c>
    </row>
    <row r="357" spans="6:7">
      <c r="F357" t="s">
        <v>1165</v>
      </c>
      <c r="G357" t="s">
        <v>1008</v>
      </c>
    </row>
    <row r="358" spans="6:7">
      <c r="F358" t="s">
        <v>1166</v>
      </c>
      <c r="G358" t="s">
        <v>1008</v>
      </c>
    </row>
    <row r="359" spans="6:7">
      <c r="F359" t="s">
        <v>1167</v>
      </c>
      <c r="G359" t="s">
        <v>1008</v>
      </c>
    </row>
    <row r="360" spans="6:7">
      <c r="F360" t="s">
        <v>1168</v>
      </c>
      <c r="G360" t="s">
        <v>1008</v>
      </c>
    </row>
    <row r="361" spans="6:7">
      <c r="F361" t="s">
        <v>1169</v>
      </c>
      <c r="G361" t="s">
        <v>1008</v>
      </c>
    </row>
    <row r="362" spans="6:7">
      <c r="F362" t="s">
        <v>1170</v>
      </c>
      <c r="G362" t="s">
        <v>1008</v>
      </c>
    </row>
    <row r="363" spans="6:7">
      <c r="F363" t="s">
        <v>1171</v>
      </c>
      <c r="G363" t="s">
        <v>1008</v>
      </c>
    </row>
    <row r="364" spans="6:7">
      <c r="F364" t="s">
        <v>1172</v>
      </c>
      <c r="G364" t="s">
        <v>1008</v>
      </c>
    </row>
    <row r="365" spans="6:7">
      <c r="F365" t="s">
        <v>1173</v>
      </c>
      <c r="G365" t="s">
        <v>1008</v>
      </c>
    </row>
    <row r="366" spans="6:7">
      <c r="F366" t="s">
        <v>1174</v>
      </c>
      <c r="G366" t="s">
        <v>1008</v>
      </c>
    </row>
    <row r="367" spans="6:7">
      <c r="F367" t="s">
        <v>1175</v>
      </c>
      <c r="G367" t="s">
        <v>1008</v>
      </c>
    </row>
    <row r="368" spans="6:7">
      <c r="F368" t="s">
        <v>1176</v>
      </c>
      <c r="G368" t="s">
        <v>1008</v>
      </c>
    </row>
    <row r="369" spans="6:7">
      <c r="F369" t="s">
        <v>1177</v>
      </c>
      <c r="G369" t="s">
        <v>1008</v>
      </c>
    </row>
    <row r="370" spans="6:7">
      <c r="F370" t="s">
        <v>1178</v>
      </c>
      <c r="G370" t="s">
        <v>1008</v>
      </c>
    </row>
    <row r="371" spans="6:7">
      <c r="F371" t="s">
        <v>1179</v>
      </c>
      <c r="G371" t="s">
        <v>1008</v>
      </c>
    </row>
    <row r="372" spans="6:7">
      <c r="F372" t="s">
        <v>1180</v>
      </c>
      <c r="G372" t="s">
        <v>1008</v>
      </c>
    </row>
    <row r="373" spans="6:7">
      <c r="F373" t="s">
        <v>1181</v>
      </c>
      <c r="G373" t="s">
        <v>1008</v>
      </c>
    </row>
    <row r="374" spans="6:7">
      <c r="F374" t="s">
        <v>1182</v>
      </c>
      <c r="G374" t="s">
        <v>1008</v>
      </c>
    </row>
    <row r="375" spans="6:7">
      <c r="F375" t="s">
        <v>1183</v>
      </c>
      <c r="G375" t="s">
        <v>1008</v>
      </c>
    </row>
    <row r="376" spans="6:7">
      <c r="F376" t="s">
        <v>1184</v>
      </c>
      <c r="G376" t="s">
        <v>1008</v>
      </c>
    </row>
    <row r="377" spans="6:7">
      <c r="F377" t="s">
        <v>1185</v>
      </c>
      <c r="G377" t="s">
        <v>1008</v>
      </c>
    </row>
    <row r="378" spans="6:7">
      <c r="F378" t="s">
        <v>1186</v>
      </c>
      <c r="G378" t="s">
        <v>1008</v>
      </c>
    </row>
    <row r="379" spans="6:7">
      <c r="F379" t="s">
        <v>1187</v>
      </c>
      <c r="G379" t="s">
        <v>1008</v>
      </c>
    </row>
    <row r="380" spans="6:7">
      <c r="F380" t="s">
        <v>1188</v>
      </c>
      <c r="G380" t="s">
        <v>1008</v>
      </c>
    </row>
    <row r="381" spans="6:7">
      <c r="F381" t="s">
        <v>1189</v>
      </c>
      <c r="G381" t="s">
        <v>1008</v>
      </c>
    </row>
    <row r="382" spans="6:7">
      <c r="F382" t="s">
        <v>1190</v>
      </c>
      <c r="G382" t="s">
        <v>1008</v>
      </c>
    </row>
    <row r="383" spans="6:7">
      <c r="F383" t="s">
        <v>1191</v>
      </c>
      <c r="G383" t="s">
        <v>1008</v>
      </c>
    </row>
    <row r="384" spans="6:7">
      <c r="F384" t="s">
        <v>1192</v>
      </c>
      <c r="G384" t="s">
        <v>1008</v>
      </c>
    </row>
    <row r="385" spans="6:7">
      <c r="F385" t="s">
        <v>1193</v>
      </c>
      <c r="G385" t="s">
        <v>1008</v>
      </c>
    </row>
    <row r="386" spans="6:7">
      <c r="F386" t="s">
        <v>1194</v>
      </c>
      <c r="G386" t="s">
        <v>1008</v>
      </c>
    </row>
    <row r="387" spans="6:7">
      <c r="F387" t="s">
        <v>1195</v>
      </c>
      <c r="G387" t="s">
        <v>1008</v>
      </c>
    </row>
    <row r="388" spans="6:7">
      <c r="F388" t="s">
        <v>1196</v>
      </c>
      <c r="G388" t="s">
        <v>1008</v>
      </c>
    </row>
    <row r="389" spans="6:7">
      <c r="F389" t="s">
        <v>1197</v>
      </c>
      <c r="G389" t="s">
        <v>1008</v>
      </c>
    </row>
    <row r="390" spans="6:7">
      <c r="F390" t="s">
        <v>1198</v>
      </c>
      <c r="G390" t="s">
        <v>1008</v>
      </c>
    </row>
    <row r="391" spans="6:7">
      <c r="F391" t="s">
        <v>1199</v>
      </c>
      <c r="G391" t="s">
        <v>1008</v>
      </c>
    </row>
    <row r="392" spans="6:7">
      <c r="F392" t="s">
        <v>1200</v>
      </c>
      <c r="G392" t="s">
        <v>1008</v>
      </c>
    </row>
    <row r="393" spans="6:7">
      <c r="F393" t="s">
        <v>1201</v>
      </c>
      <c r="G393" t="s">
        <v>1008</v>
      </c>
    </row>
    <row r="394" spans="6:7">
      <c r="F394" t="s">
        <v>1202</v>
      </c>
      <c r="G394" t="s">
        <v>1008</v>
      </c>
    </row>
    <row r="395" spans="6:7">
      <c r="F395" t="s">
        <v>1203</v>
      </c>
      <c r="G395" t="s">
        <v>1008</v>
      </c>
    </row>
    <row r="396" spans="6:7">
      <c r="F396" t="s">
        <v>1204</v>
      </c>
      <c r="G396" t="s">
        <v>1008</v>
      </c>
    </row>
    <row r="397" spans="6:7">
      <c r="F397" t="s">
        <v>1205</v>
      </c>
      <c r="G397" t="s">
        <v>1008</v>
      </c>
    </row>
    <row r="398" spans="6:7">
      <c r="F398" t="s">
        <v>1206</v>
      </c>
      <c r="G398" t="s">
        <v>1008</v>
      </c>
    </row>
    <row r="399" spans="6:7">
      <c r="F399" t="s">
        <v>1207</v>
      </c>
      <c r="G399" t="s">
        <v>1008</v>
      </c>
    </row>
    <row r="400" spans="6:7">
      <c r="F400" t="s">
        <v>1208</v>
      </c>
      <c r="G400" t="s">
        <v>1008</v>
      </c>
    </row>
    <row r="401" spans="6:7">
      <c r="F401" t="s">
        <v>1209</v>
      </c>
      <c r="G401" t="s">
        <v>1008</v>
      </c>
    </row>
    <row r="402" spans="6:7">
      <c r="F402" t="s">
        <v>1210</v>
      </c>
      <c r="G402" t="s">
        <v>1008</v>
      </c>
    </row>
    <row r="403" spans="6:7">
      <c r="F403" t="s">
        <v>1211</v>
      </c>
      <c r="G403" t="s">
        <v>1008</v>
      </c>
    </row>
    <row r="404" spans="6:7">
      <c r="F404" t="s">
        <v>1212</v>
      </c>
      <c r="G404" t="s">
        <v>1008</v>
      </c>
    </row>
    <row r="405" spans="6:7">
      <c r="F405" t="s">
        <v>1213</v>
      </c>
      <c r="G405" t="s">
        <v>1008</v>
      </c>
    </row>
    <row r="406" spans="6:7">
      <c r="F406" t="s">
        <v>1214</v>
      </c>
      <c r="G406" t="s">
        <v>1008</v>
      </c>
    </row>
    <row r="407" spans="6:7">
      <c r="F407" t="s">
        <v>1215</v>
      </c>
      <c r="G407" t="s">
        <v>1008</v>
      </c>
    </row>
    <row r="408" spans="6:7">
      <c r="F408" t="s">
        <v>1216</v>
      </c>
      <c r="G408" t="s">
        <v>1008</v>
      </c>
    </row>
    <row r="409" spans="6:7">
      <c r="F409" t="s">
        <v>1217</v>
      </c>
      <c r="G409" t="s">
        <v>1008</v>
      </c>
    </row>
    <row r="410" spans="6:7">
      <c r="F410" t="s">
        <v>1218</v>
      </c>
      <c r="G410" t="s">
        <v>1008</v>
      </c>
    </row>
    <row r="411" spans="6:7">
      <c r="F411" t="s">
        <v>1219</v>
      </c>
      <c r="G411" t="s">
        <v>1008</v>
      </c>
    </row>
    <row r="412" spans="6:7">
      <c r="F412" t="s">
        <v>1220</v>
      </c>
      <c r="G412" t="s">
        <v>1008</v>
      </c>
    </row>
    <row r="413" spans="6:7">
      <c r="F413" t="s">
        <v>1221</v>
      </c>
      <c r="G413" t="s">
        <v>1008</v>
      </c>
    </row>
    <row r="414" spans="6:7">
      <c r="F414" t="s">
        <v>1222</v>
      </c>
      <c r="G414" t="s">
        <v>1008</v>
      </c>
    </row>
    <row r="415" spans="6:7">
      <c r="F415" t="s">
        <v>1223</v>
      </c>
      <c r="G415" t="s">
        <v>1008</v>
      </c>
    </row>
    <row r="416" spans="6:7">
      <c r="F416" t="s">
        <v>1224</v>
      </c>
      <c r="G416" t="s">
        <v>1008</v>
      </c>
    </row>
    <row r="417" spans="6:7">
      <c r="F417" t="s">
        <v>1225</v>
      </c>
      <c r="G417" t="s">
        <v>1008</v>
      </c>
    </row>
    <row r="418" spans="6:7">
      <c r="F418" t="s">
        <v>1226</v>
      </c>
      <c r="G418" t="s">
        <v>1008</v>
      </c>
    </row>
    <row r="419" spans="6:7">
      <c r="F419" t="s">
        <v>1227</v>
      </c>
      <c r="G419" t="s">
        <v>1008</v>
      </c>
    </row>
    <row r="420" spans="6:7">
      <c r="F420" t="s">
        <v>1228</v>
      </c>
      <c r="G420" t="s">
        <v>1008</v>
      </c>
    </row>
    <row r="421" spans="6:7">
      <c r="F421" t="s">
        <v>1229</v>
      </c>
      <c r="G421" t="s">
        <v>1008</v>
      </c>
    </row>
    <row r="422" spans="6:7">
      <c r="F422" t="s">
        <v>1230</v>
      </c>
      <c r="G422" t="s">
        <v>1008</v>
      </c>
    </row>
    <row r="423" spans="6:7">
      <c r="F423" t="s">
        <v>1231</v>
      </c>
      <c r="G423" t="s">
        <v>1008</v>
      </c>
    </row>
    <row r="424" spans="6:7">
      <c r="F424" t="s">
        <v>1232</v>
      </c>
      <c r="G424" t="s">
        <v>1008</v>
      </c>
    </row>
    <row r="425" spans="6:7">
      <c r="F425" t="s">
        <v>1233</v>
      </c>
      <c r="G425" t="s">
        <v>1008</v>
      </c>
    </row>
    <row r="426" spans="6:7">
      <c r="F426" t="s">
        <v>1234</v>
      </c>
      <c r="G426" t="s">
        <v>1008</v>
      </c>
    </row>
    <row r="427" spans="6:7">
      <c r="F427" t="s">
        <v>1235</v>
      </c>
      <c r="G427" t="s">
        <v>1008</v>
      </c>
    </row>
    <row r="428" spans="6:7">
      <c r="F428" t="s">
        <v>1236</v>
      </c>
      <c r="G428" t="s">
        <v>1008</v>
      </c>
    </row>
    <row r="429" spans="6:7">
      <c r="F429" t="s">
        <v>1237</v>
      </c>
      <c r="G429" t="s">
        <v>1008</v>
      </c>
    </row>
    <row r="430" spans="6:7">
      <c r="F430" t="s">
        <v>1238</v>
      </c>
      <c r="G430" t="s">
        <v>1008</v>
      </c>
    </row>
    <row r="431" spans="6:7">
      <c r="F431" t="s">
        <v>1239</v>
      </c>
      <c r="G431" t="s">
        <v>1008</v>
      </c>
    </row>
    <row r="432" spans="6:7">
      <c r="F432" t="s">
        <v>1240</v>
      </c>
      <c r="G432" t="s">
        <v>1008</v>
      </c>
    </row>
    <row r="433" spans="6:7">
      <c r="F433" t="s">
        <v>1241</v>
      </c>
      <c r="G433" t="s">
        <v>1008</v>
      </c>
    </row>
    <row r="434" spans="6:7">
      <c r="F434" t="s">
        <v>1242</v>
      </c>
      <c r="G434" t="s">
        <v>1008</v>
      </c>
    </row>
    <row r="435" spans="6:7">
      <c r="F435" t="s">
        <v>1243</v>
      </c>
      <c r="G435" t="s">
        <v>1008</v>
      </c>
    </row>
    <row r="436" spans="6:7">
      <c r="F436" t="s">
        <v>1244</v>
      </c>
      <c r="G436" t="s">
        <v>1008</v>
      </c>
    </row>
    <row r="437" spans="6:7">
      <c r="F437" t="s">
        <v>1245</v>
      </c>
      <c r="G437" t="s">
        <v>1008</v>
      </c>
    </row>
    <row r="438" spans="6:7">
      <c r="F438" t="s">
        <v>1246</v>
      </c>
      <c r="G438" t="s">
        <v>1008</v>
      </c>
    </row>
    <row r="439" spans="6:7">
      <c r="F439" t="s">
        <v>1247</v>
      </c>
      <c r="G439" t="s">
        <v>1008</v>
      </c>
    </row>
    <row r="440" spans="6:7">
      <c r="F440" t="s">
        <v>1248</v>
      </c>
      <c r="G440" t="s">
        <v>1008</v>
      </c>
    </row>
    <row r="441" spans="6:7">
      <c r="F441" t="s">
        <v>1249</v>
      </c>
      <c r="G441" t="s">
        <v>1008</v>
      </c>
    </row>
    <row r="442" spans="6:7">
      <c r="F442" t="s">
        <v>1250</v>
      </c>
      <c r="G442" t="s">
        <v>1008</v>
      </c>
    </row>
    <row r="443" spans="6:7">
      <c r="F443" t="s">
        <v>1251</v>
      </c>
      <c r="G443" t="s">
        <v>1008</v>
      </c>
    </row>
    <row r="444" spans="6:7">
      <c r="F444" t="s">
        <v>1252</v>
      </c>
      <c r="G444" t="s">
        <v>1008</v>
      </c>
    </row>
    <row r="445" spans="6:7">
      <c r="F445" t="s">
        <v>1253</v>
      </c>
      <c r="G445" t="s">
        <v>1008</v>
      </c>
    </row>
    <row r="446" spans="6:7">
      <c r="F446" t="s">
        <v>1254</v>
      </c>
      <c r="G446" t="s">
        <v>1008</v>
      </c>
    </row>
    <row r="447" spans="6:7">
      <c r="F447" t="s">
        <v>1255</v>
      </c>
      <c r="G447" t="s">
        <v>1008</v>
      </c>
    </row>
    <row r="448" spans="6:7">
      <c r="F448" t="s">
        <v>1256</v>
      </c>
      <c r="G448" t="s">
        <v>1008</v>
      </c>
    </row>
    <row r="449" spans="6:7">
      <c r="F449" t="s">
        <v>1257</v>
      </c>
      <c r="G449" t="s">
        <v>1008</v>
      </c>
    </row>
    <row r="450" spans="6:7">
      <c r="F450" t="s">
        <v>1258</v>
      </c>
      <c r="G450" t="s">
        <v>1008</v>
      </c>
    </row>
    <row r="451" spans="6:7">
      <c r="F451" t="s">
        <v>1259</v>
      </c>
      <c r="G451" t="s">
        <v>1008</v>
      </c>
    </row>
    <row r="452" spans="6:7">
      <c r="F452" t="s">
        <v>1260</v>
      </c>
      <c r="G452" t="s">
        <v>1008</v>
      </c>
    </row>
    <row r="453" spans="6:7">
      <c r="F453" t="s">
        <v>1261</v>
      </c>
      <c r="G453" t="s">
        <v>1008</v>
      </c>
    </row>
    <row r="454" spans="6:7">
      <c r="F454" t="s">
        <v>1262</v>
      </c>
      <c r="G454" t="s">
        <v>1008</v>
      </c>
    </row>
    <row r="455" spans="6:7">
      <c r="F455" t="s">
        <v>1263</v>
      </c>
      <c r="G455" t="s">
        <v>1008</v>
      </c>
    </row>
    <row r="456" spans="6:7">
      <c r="F456" t="s">
        <v>1264</v>
      </c>
      <c r="G456" t="s">
        <v>1008</v>
      </c>
    </row>
    <row r="457" spans="6:7">
      <c r="F457" t="s">
        <v>1265</v>
      </c>
      <c r="G457" t="s">
        <v>1008</v>
      </c>
    </row>
    <row r="458" spans="6:7">
      <c r="F458" t="s">
        <v>1266</v>
      </c>
      <c r="G458" t="s">
        <v>1008</v>
      </c>
    </row>
    <row r="459" spans="6:7">
      <c r="F459" t="s">
        <v>1267</v>
      </c>
      <c r="G459" t="s">
        <v>1008</v>
      </c>
    </row>
    <row r="460" spans="6:7">
      <c r="F460" t="s">
        <v>1268</v>
      </c>
      <c r="G460" t="s">
        <v>1008</v>
      </c>
    </row>
    <row r="461" spans="6:7">
      <c r="F461" t="s">
        <v>1269</v>
      </c>
      <c r="G461" t="s">
        <v>1008</v>
      </c>
    </row>
    <row r="462" spans="6:7">
      <c r="F462" t="s">
        <v>1270</v>
      </c>
      <c r="G462" t="s">
        <v>1008</v>
      </c>
    </row>
    <row r="463" spans="6:7">
      <c r="F463" t="s">
        <v>1271</v>
      </c>
      <c r="G463" t="s">
        <v>1008</v>
      </c>
    </row>
    <row r="464" spans="6:7">
      <c r="F464" t="s">
        <v>1272</v>
      </c>
      <c r="G464" t="s">
        <v>1008</v>
      </c>
    </row>
    <row r="465" spans="6:7">
      <c r="F465" t="s">
        <v>1273</v>
      </c>
      <c r="G465" t="s">
        <v>1008</v>
      </c>
    </row>
    <row r="466" spans="6:7">
      <c r="F466" t="s">
        <v>1274</v>
      </c>
      <c r="G466" t="s">
        <v>1008</v>
      </c>
    </row>
    <row r="467" spans="6:7">
      <c r="F467" t="s">
        <v>1275</v>
      </c>
      <c r="G467" t="s">
        <v>1008</v>
      </c>
    </row>
    <row r="468" spans="6:7">
      <c r="F468" t="s">
        <v>1276</v>
      </c>
      <c r="G468" t="s">
        <v>1008</v>
      </c>
    </row>
    <row r="469" spans="6:7">
      <c r="F469" t="s">
        <v>1277</v>
      </c>
      <c r="G469" t="s">
        <v>1008</v>
      </c>
    </row>
    <row r="470" spans="6:7">
      <c r="F470" t="s">
        <v>1278</v>
      </c>
      <c r="G470" t="s">
        <v>1008</v>
      </c>
    </row>
    <row r="471" spans="6:7">
      <c r="F471" t="s">
        <v>1279</v>
      </c>
      <c r="G471" t="s">
        <v>1008</v>
      </c>
    </row>
    <row r="472" spans="6:7">
      <c r="F472" t="s">
        <v>1280</v>
      </c>
      <c r="G472" t="s">
        <v>1008</v>
      </c>
    </row>
    <row r="473" spans="6:7">
      <c r="F473" t="s">
        <v>1281</v>
      </c>
      <c r="G473" t="s">
        <v>1008</v>
      </c>
    </row>
    <row r="474" spans="6:7">
      <c r="F474" t="s">
        <v>1282</v>
      </c>
      <c r="G474" t="s">
        <v>1008</v>
      </c>
    </row>
    <row r="475" spans="6:7">
      <c r="F475" t="s">
        <v>1283</v>
      </c>
      <c r="G475" t="s">
        <v>1008</v>
      </c>
    </row>
    <row r="476" spans="6:7">
      <c r="F476" t="s">
        <v>1284</v>
      </c>
      <c r="G476" t="s">
        <v>1008</v>
      </c>
    </row>
    <row r="477" spans="6:7">
      <c r="F477" t="s">
        <v>1285</v>
      </c>
      <c r="G477" t="s">
        <v>1008</v>
      </c>
    </row>
    <row r="478" spans="6:7">
      <c r="F478" t="s">
        <v>1286</v>
      </c>
      <c r="G478" t="s">
        <v>1008</v>
      </c>
    </row>
    <row r="479" spans="6:7">
      <c r="F479" t="s">
        <v>1287</v>
      </c>
      <c r="G479" t="s">
        <v>1008</v>
      </c>
    </row>
    <row r="480" spans="6:7">
      <c r="F480" t="s">
        <v>1288</v>
      </c>
      <c r="G480" t="s">
        <v>1008</v>
      </c>
    </row>
    <row r="481" spans="6:7">
      <c r="F481" t="s">
        <v>1289</v>
      </c>
      <c r="G481" t="s">
        <v>1008</v>
      </c>
    </row>
    <row r="482" spans="6:7">
      <c r="F482" t="s">
        <v>1290</v>
      </c>
      <c r="G482" t="s">
        <v>1008</v>
      </c>
    </row>
    <row r="483" spans="6:7">
      <c r="F483" t="s">
        <v>1291</v>
      </c>
      <c r="G483" t="s">
        <v>1008</v>
      </c>
    </row>
    <row r="484" spans="6:7">
      <c r="F484" t="s">
        <v>1292</v>
      </c>
      <c r="G484" t="s">
        <v>1008</v>
      </c>
    </row>
    <row r="485" spans="6:7">
      <c r="F485" t="s">
        <v>1293</v>
      </c>
      <c r="G485" t="s">
        <v>1008</v>
      </c>
    </row>
    <row r="486" spans="6:7">
      <c r="F486" t="s">
        <v>1294</v>
      </c>
      <c r="G486" t="s">
        <v>1008</v>
      </c>
    </row>
    <row r="487" spans="6:7">
      <c r="F487" t="s">
        <v>1295</v>
      </c>
      <c r="G487" t="s">
        <v>1008</v>
      </c>
    </row>
    <row r="488" spans="6:7">
      <c r="F488" t="s">
        <v>1296</v>
      </c>
      <c r="G488" t="s">
        <v>1008</v>
      </c>
    </row>
    <row r="489" spans="6:7">
      <c r="F489" t="s">
        <v>1297</v>
      </c>
      <c r="G489" t="s">
        <v>1008</v>
      </c>
    </row>
    <row r="490" spans="6:7">
      <c r="F490" t="s">
        <v>1298</v>
      </c>
      <c r="G490" t="s">
        <v>1008</v>
      </c>
    </row>
    <row r="491" spans="6:7">
      <c r="F491" t="s">
        <v>1299</v>
      </c>
      <c r="G491" t="s">
        <v>1008</v>
      </c>
    </row>
    <row r="492" spans="6:7">
      <c r="F492" t="s">
        <v>1300</v>
      </c>
      <c r="G492" t="s">
        <v>1008</v>
      </c>
    </row>
    <row r="493" spans="6:7">
      <c r="F493" t="s">
        <v>1301</v>
      </c>
      <c r="G493" t="s">
        <v>1008</v>
      </c>
    </row>
    <row r="494" spans="6:7">
      <c r="F494" t="s">
        <v>1302</v>
      </c>
      <c r="G494" t="s">
        <v>1008</v>
      </c>
    </row>
    <row r="495" spans="6:7">
      <c r="F495" t="s">
        <v>1303</v>
      </c>
      <c r="G495" t="s">
        <v>1008</v>
      </c>
    </row>
    <row r="496" spans="6:7">
      <c r="F496" t="s">
        <v>1304</v>
      </c>
      <c r="G496" t="s">
        <v>1008</v>
      </c>
    </row>
    <row r="497" spans="6:7">
      <c r="F497" t="s">
        <v>1305</v>
      </c>
      <c r="G497" t="s">
        <v>1008</v>
      </c>
    </row>
    <row r="498" spans="6:7">
      <c r="F498" t="s">
        <v>1306</v>
      </c>
      <c r="G498" t="s">
        <v>1008</v>
      </c>
    </row>
    <row r="499" spans="6:7">
      <c r="F499" t="s">
        <v>1307</v>
      </c>
      <c r="G499" t="s">
        <v>1008</v>
      </c>
    </row>
    <row r="500" spans="6:7">
      <c r="F500" t="s">
        <v>1308</v>
      </c>
      <c r="G500" t="s">
        <v>1008</v>
      </c>
    </row>
    <row r="501" spans="6:7">
      <c r="F501" t="s">
        <v>1309</v>
      </c>
      <c r="G501" t="s">
        <v>1008</v>
      </c>
    </row>
    <row r="502" spans="6:7">
      <c r="F502" t="s">
        <v>1310</v>
      </c>
      <c r="G502" t="s">
        <v>1008</v>
      </c>
    </row>
    <row r="503" spans="6:7">
      <c r="F503" t="s">
        <v>1311</v>
      </c>
      <c r="G503" t="s">
        <v>1008</v>
      </c>
    </row>
    <row r="504" spans="6:7">
      <c r="F504" t="s">
        <v>1312</v>
      </c>
      <c r="G504" t="s">
        <v>1008</v>
      </c>
    </row>
    <row r="505" spans="6:7">
      <c r="F505" t="s">
        <v>1313</v>
      </c>
      <c r="G505" t="s">
        <v>1008</v>
      </c>
    </row>
    <row r="506" spans="6:7">
      <c r="F506" t="s">
        <v>1314</v>
      </c>
      <c r="G506" t="s">
        <v>1008</v>
      </c>
    </row>
    <row r="507" spans="6:7">
      <c r="F507" t="s">
        <v>1315</v>
      </c>
      <c r="G507" t="s">
        <v>1008</v>
      </c>
    </row>
    <row r="508" spans="6:7">
      <c r="F508" t="s">
        <v>1316</v>
      </c>
      <c r="G508" t="s">
        <v>1008</v>
      </c>
    </row>
    <row r="509" spans="6:7">
      <c r="F509" t="s">
        <v>1317</v>
      </c>
      <c r="G509" t="s">
        <v>1008</v>
      </c>
    </row>
    <row r="510" spans="6:7">
      <c r="F510" t="s">
        <v>1318</v>
      </c>
      <c r="G510" t="s">
        <v>1008</v>
      </c>
    </row>
    <row r="511" spans="6:7">
      <c r="F511" t="s">
        <v>1319</v>
      </c>
      <c r="G511" t="s">
        <v>1008</v>
      </c>
    </row>
    <row r="512" spans="6:7">
      <c r="F512" t="s">
        <v>1320</v>
      </c>
      <c r="G512" t="s">
        <v>1008</v>
      </c>
    </row>
    <row r="513" spans="6:7">
      <c r="F513" t="s">
        <v>1321</v>
      </c>
      <c r="G513" t="s">
        <v>1008</v>
      </c>
    </row>
    <row r="514" spans="6:7">
      <c r="F514" t="s">
        <v>1322</v>
      </c>
      <c r="G514" t="s">
        <v>1008</v>
      </c>
    </row>
    <row r="515" spans="6:7">
      <c r="F515" t="s">
        <v>1323</v>
      </c>
      <c r="G515" t="s">
        <v>1008</v>
      </c>
    </row>
    <row r="516" spans="6:7">
      <c r="F516" t="s">
        <v>1324</v>
      </c>
      <c r="G516" t="s">
        <v>1008</v>
      </c>
    </row>
    <row r="517" spans="6:7">
      <c r="F517" t="s">
        <v>1325</v>
      </c>
      <c r="G517" t="s">
        <v>1008</v>
      </c>
    </row>
    <row r="518" spans="6:7">
      <c r="F518" t="s">
        <v>1326</v>
      </c>
      <c r="G518" t="s">
        <v>1008</v>
      </c>
    </row>
    <row r="519" spans="6:7">
      <c r="F519" t="s">
        <v>1327</v>
      </c>
      <c r="G519" t="s">
        <v>1008</v>
      </c>
    </row>
    <row r="520" spans="6:7">
      <c r="F520" t="s">
        <v>1328</v>
      </c>
      <c r="G520" t="s">
        <v>1008</v>
      </c>
    </row>
    <row r="521" spans="6:7">
      <c r="F521" t="s">
        <v>1329</v>
      </c>
      <c r="G521" t="s">
        <v>1008</v>
      </c>
    </row>
    <row r="522" spans="6:7">
      <c r="F522" t="s">
        <v>1330</v>
      </c>
      <c r="G522" t="s">
        <v>1008</v>
      </c>
    </row>
    <row r="523" spans="6:7">
      <c r="F523" t="s">
        <v>1331</v>
      </c>
      <c r="G523" t="s">
        <v>1008</v>
      </c>
    </row>
    <row r="524" spans="6:7">
      <c r="F524" t="s">
        <v>1332</v>
      </c>
      <c r="G524" t="s">
        <v>1008</v>
      </c>
    </row>
    <row r="525" spans="6:7">
      <c r="F525" t="s">
        <v>1333</v>
      </c>
      <c r="G525" t="s">
        <v>1008</v>
      </c>
    </row>
    <row r="526" spans="6:7">
      <c r="F526" t="s">
        <v>1334</v>
      </c>
      <c r="G526" t="s">
        <v>1008</v>
      </c>
    </row>
    <row r="527" spans="6:7">
      <c r="F527" t="s">
        <v>1335</v>
      </c>
      <c r="G527" t="s">
        <v>1008</v>
      </c>
    </row>
    <row r="528" spans="6:7">
      <c r="F528" t="s">
        <v>1336</v>
      </c>
      <c r="G528" t="s">
        <v>1008</v>
      </c>
    </row>
    <row r="529" spans="6:7">
      <c r="F529" t="s">
        <v>1337</v>
      </c>
      <c r="G529" t="s">
        <v>1008</v>
      </c>
    </row>
    <row r="530" spans="6:7">
      <c r="F530" t="s">
        <v>1338</v>
      </c>
      <c r="G530" t="s">
        <v>1008</v>
      </c>
    </row>
    <row r="531" spans="6:7">
      <c r="F531" t="s">
        <v>1339</v>
      </c>
      <c r="G531" t="s">
        <v>1008</v>
      </c>
    </row>
    <row r="532" spans="6:7">
      <c r="F532" t="s">
        <v>1340</v>
      </c>
      <c r="G532" t="s">
        <v>1008</v>
      </c>
    </row>
    <row r="533" spans="6:7">
      <c r="F533" t="s">
        <v>1341</v>
      </c>
      <c r="G533" t="s">
        <v>1008</v>
      </c>
    </row>
    <row r="534" spans="6:7">
      <c r="F534" t="s">
        <v>1342</v>
      </c>
      <c r="G534" t="s">
        <v>1008</v>
      </c>
    </row>
    <row r="535" spans="6:7">
      <c r="F535" t="s">
        <v>1343</v>
      </c>
      <c r="G535" t="s">
        <v>1008</v>
      </c>
    </row>
    <row r="536" spans="6:7">
      <c r="F536" t="s">
        <v>1344</v>
      </c>
      <c r="G536" t="s">
        <v>1008</v>
      </c>
    </row>
    <row r="537" spans="6:7">
      <c r="F537" t="s">
        <v>1345</v>
      </c>
      <c r="G537" t="s">
        <v>1008</v>
      </c>
    </row>
    <row r="538" spans="6:7">
      <c r="F538" t="s">
        <v>1346</v>
      </c>
      <c r="G538" t="s">
        <v>1008</v>
      </c>
    </row>
    <row r="539" spans="6:7">
      <c r="F539" t="s">
        <v>1347</v>
      </c>
      <c r="G539" t="s">
        <v>1008</v>
      </c>
    </row>
    <row r="540" spans="6:7">
      <c r="F540" t="s">
        <v>1348</v>
      </c>
      <c r="G540" t="s">
        <v>1008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monster_config</vt:lpstr>
      <vt:lpstr>编号表</vt:lpstr>
      <vt:lpstr>名称表</vt:lpstr>
      <vt:lpstr>版本变更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2025-12-11T20:04:00Z</dcterms:created>
  <dcterms:modified xsi:type="dcterms:W3CDTF">2026-10-12T19:00:22Z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0C76D4BBDE4C4D4C85F8E92261E663C7_13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