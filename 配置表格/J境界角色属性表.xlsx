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realm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<sst xmlns="http://schemas.openxmlformats.org/spreadsheetml/2006/main" count="760" uniqueCount="188">
  <si>
    <t>##var</t>
  </si>
  <si>
    <t>level</t>
  </si>
  <si>
    <t>realm_id</t>
  </si>
  <si>
    <t>realm_name</t>
  </si>
  <si>
    <t>realm_sub_level</t>
  </si>
  <si>
    <t>boundary_type</t>
  </si>
  <si>
    <t>phase</t>
  </si>
  <si>
    <t>display_name</t>
  </si>
  <si>
    <t>base_success_rate</t>
  </si>
  <si>
    <t>challenge_condition_group</t>
  </si>
  <si>
    <t>fail_weakness</t>
  </si>
  <si>
    <t>base_cult_rate</t>
  </si>
  <si>
    <t>spirit_absorb</t>
  </si>
  <si>
    <t>conversion_base</t>
  </si>
  <si>
    <t>materials</t>
  </si>
  <si>
    <t>materials_rate</t>
  </si>
  <si>
    <t>attrs</t>
  </si>
  <si>
    <t>exp_level_up</t>
  </si>
  <si>
    <t>base_sense</t>
  </si>
  <si>
    <t>skill</t>
  </si>
  <si>
    <t>##type</t>
  </si>
  <si>
    <t>int</t>
  </si>
  <si>
    <t>MajorRealm</t>
  </si>
  <si>
    <t>string</t>
  </si>
  <si>
    <t>array,RecMaterial</t>
  </si>
  <si>
    <t>array,BreakRateMaterial</t>
  </si>
  <si>
    <t>array,Attr</t>
  </si>
  <si>
    <t>float</t>
  </si>
  <si>
    <t>##group</t>
  </si>
  <si>
    <t>c</t>
  </si>
  <si>
    <t>s</t>
  </si>
  <si>
    <t>##</t>
  </si>
  <si>
    <t>0等级</t>
  </si>
  <si>
    <t>大境界ID</t>
  </si>
  <si>
    <t>大境界</t>
  </si>
  <si>
    <t>小境界</t>
  </si>
  <si>
    <t>突破</t>
  </si>
  <si>
    <t>阶段名称</t>
  </si>
  <si>
    <t>玩家展示名称</t>
  </si>
  <si>
    <t>基础成功率</t>
  </si>
  <si>
    <t>挑战条件组</t>
  </si>
  <si>
    <t>基础虚弱时间</t>
  </si>
  <si>
    <t>每时辰基础修为</t>
  </si>
  <si>
    <t>每时辰灵气吸收</t>
  </si>
  <si>
    <t>基础转化值</t>
  </si>
  <si>
    <t>突破材料1</t>
  </si>
  <si>
    <t>数量1</t>
  </si>
  <si>
    <t>突破材料2</t>
  </si>
  <si>
    <t>数量2</t>
  </si>
  <si>
    <t>突破材料3</t>
  </si>
  <si>
    <t>数量3</t>
  </si>
  <si>
    <t>投入数量1</t>
  </si>
  <si>
    <t>增加成功率</t>
  </si>
  <si>
    <t>投入数量2</t>
  </si>
  <si>
    <t>投入数量3</t>
  </si>
  <si>
    <t>突破材料4</t>
  </si>
  <si>
    <t>投入数量4</t>
  </si>
  <si>
    <t>突破材料5</t>
  </si>
  <si>
    <t>投入数量5</t>
  </si>
  <si>
    <t>突破材料6</t>
  </si>
  <si>
    <t>投入数量6</t>
  </si>
  <si>
    <t>突破材料7</t>
  </si>
  <si>
    <t>投入数量7</t>
  </si>
  <si>
    <t>突破材料8</t>
  </si>
  <si>
    <t>投入数量8</t>
  </si>
  <si>
    <t>突破材料9</t>
  </si>
  <si>
    <t>投入数量9</t>
  </si>
  <si>
    <t>突破材料10</t>
  </si>
  <si>
    <t>投入数量10</t>
  </si>
  <si>
    <t>突破材料11</t>
  </si>
  <si>
    <t>投入数量11</t>
  </si>
  <si>
    <t>突破材料12</t>
  </si>
  <si>
    <t>投入数量12</t>
  </si>
  <si>
    <t>突破材料13</t>
  </si>
  <si>
    <t>投入数量13</t>
  </si>
  <si>
    <t>突破材料14</t>
  </si>
  <si>
    <t>投入数量14</t>
  </si>
  <si>
    <t>突破材料15</t>
  </si>
  <si>
    <t>投入数量15</t>
  </si>
  <si>
    <t>属性名1</t>
  </si>
  <si>
    <t>属性值1</t>
  </si>
  <si>
    <t>属性名2</t>
  </si>
  <si>
    <t>属性值2</t>
  </si>
  <si>
    <t>属性名3</t>
  </si>
  <si>
    <t>属性值3</t>
  </si>
  <si>
    <t>属性名4</t>
  </si>
  <si>
    <t>属性值4</t>
  </si>
  <si>
    <t>0角色升级所需修为</t>
  </si>
  <si>
    <t>基础神识</t>
  </si>
  <si>
    <t>0默认技能</t>
  </si>
  <si>
    <t>炼气</t>
  </si>
  <si>
    <t>小</t>
  </si>
  <si>
    <t>前期</t>
  </si>
  <si>
    <t>炼气一层</t>
  </si>
  <si>
    <t>生命值</t>
  </si>
  <si>
    <t>灵力值</t>
  </si>
  <si>
    <t>攻击下限</t>
  </si>
  <si>
    <t>攻击上限</t>
  </si>
  <si>
    <t>炼气二层</t>
  </si>
  <si>
    <t>炼气三层</t>
  </si>
  <si>
    <t>中期</t>
  </si>
  <si>
    <t>炼气四层</t>
  </si>
  <si>
    <t>炼气五层</t>
  </si>
  <si>
    <t>炼气六层</t>
  </si>
  <si>
    <t>后期</t>
  </si>
  <si>
    <t>炼气七层</t>
  </si>
  <si>
    <t>炼气八层</t>
  </si>
  <si>
    <t>炼气九层</t>
  </si>
  <si>
    <t>大</t>
  </si>
  <si>
    <t>圆满</t>
  </si>
  <si>
    <t>炼气圆满</t>
  </si>
  <si>
    <t>筑基</t>
  </si>
  <si>
    <t>筑基一层</t>
  </si>
  <si>
    <t>筑基二层</t>
  </si>
  <si>
    <t>筑基三层</t>
  </si>
  <si>
    <t>筑基四层</t>
  </si>
  <si>
    <t>筑基五层</t>
  </si>
  <si>
    <t>筑基六层</t>
  </si>
  <si>
    <t>筑基七层</t>
  </si>
  <si>
    <t>筑基八层</t>
  </si>
  <si>
    <t>筑基九层</t>
  </si>
  <si>
    <t>筑基圆满</t>
  </si>
  <si>
    <t>金丹</t>
  </si>
  <si>
    <t>金丹一层</t>
  </si>
  <si>
    <t>金丹二层</t>
  </si>
  <si>
    <t>金丹三层</t>
  </si>
  <si>
    <t>金丹四层</t>
  </si>
  <si>
    <t>金丹五层</t>
  </si>
  <si>
    <t>金丹六层</t>
  </si>
  <si>
    <t>金丹七层</t>
  </si>
  <si>
    <t>金丹八层</t>
  </si>
  <si>
    <t>金丹九层</t>
  </si>
  <si>
    <t>金丹圆满</t>
  </si>
  <si>
    <t>元婴</t>
  </si>
  <si>
    <t>元婴一层</t>
  </si>
  <si>
    <t>元婴二层</t>
  </si>
  <si>
    <t>元婴三层</t>
  </si>
  <si>
    <t>元婴四层</t>
  </si>
  <si>
    <t>元婴五层</t>
  </si>
  <si>
    <t>元婴六层</t>
  </si>
  <si>
    <t>元婴七层</t>
  </si>
  <si>
    <t>元婴八层</t>
  </si>
  <si>
    <t>元婴九层</t>
  </si>
  <si>
    <t>元婴圆满</t>
  </si>
  <si>
    <t>化神</t>
  </si>
  <si>
    <t>化神一层</t>
  </si>
  <si>
    <t>化神二层</t>
  </si>
  <si>
    <t>化神三层</t>
  </si>
  <si>
    <t>化神四层</t>
  </si>
  <si>
    <t>化神五层</t>
  </si>
  <si>
    <t>化神六层</t>
  </si>
  <si>
    <t>化神七层</t>
  </si>
  <si>
    <t>化神八层</t>
  </si>
  <si>
    <t>化神九层</t>
  </si>
  <si>
    <t>化神圆满</t>
  </si>
  <si>
    <t>炼虚</t>
  </si>
  <si>
    <t>炼虚一层</t>
  </si>
  <si>
    <t>炼虚二层</t>
  </si>
  <si>
    <t>炼虚三层</t>
  </si>
  <si>
    <t>炼虚四层</t>
  </si>
  <si>
    <t>炼虚五层</t>
  </si>
  <si>
    <t>炼虚六层</t>
  </si>
  <si>
    <t>炼虚七层</t>
  </si>
  <si>
    <t>炼虚八层</t>
  </si>
  <si>
    <t>炼虚九层</t>
  </si>
  <si>
    <t>炼虚圆满</t>
  </si>
  <si>
    <t>合体</t>
  </si>
  <si>
    <t>合体一层</t>
  </si>
  <si>
    <t>合体二层</t>
  </si>
  <si>
    <t>合体三层</t>
  </si>
  <si>
    <t>合体四层</t>
  </si>
  <si>
    <t>合体五层</t>
  </si>
  <si>
    <t>合体六层</t>
  </si>
  <si>
    <t>合体七层</t>
  </si>
  <si>
    <t>合体八层</t>
  </si>
  <si>
    <t>合体九层</t>
  </si>
  <si>
    <t>合体圆满</t>
  </si>
  <si>
    <t>大乘</t>
  </si>
  <si>
    <t>大乘一层</t>
  </si>
  <si>
    <t>大乘二层</t>
  </si>
  <si>
    <t>大乘三层</t>
  </si>
  <si>
    <t>大乘四层</t>
  </si>
  <si>
    <t>大乘五层</t>
  </si>
  <si>
    <t>大乘六层</t>
  </si>
  <si>
    <t>大乘七层</t>
  </si>
  <si>
    <t>大乘八层</t>
  </si>
  <si>
    <t>大乘九层</t>
  </si>
  <si>
    <t>大乘圆满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</si>
</sst>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  <numFmt numFmtId="177" formatCode="0_ "/>
    <numFmt numFmtId="178" formatCode="#,##0_ "/>
  </numFmts>
  <fonts count="25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rgb="FF000000"/>
      <name val="微软雅黑"/>
      <charset val="134"/>
    </font>
    <font>
      <sz val="11"/>
      <color indexed="8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rlito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8" borderId="13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9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4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176" fontId="1" fillId="2" borderId="0" xfId="0" applyNumberFormat="1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8" fontId="1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84"/>
  <sheetViews>
    <sheetView tabSelected="1" topLeftCell="AV1" workbookViewId="0">
      <selection activeCell="BS16" sqref="BS16"/>
    </sheetView>
  </sheetViews>
  <sheetFormatPr defaultColWidth="9" defaultRowHeight="14.25"/>
  <cols>
    <col min="1" max="1" width="9.5" style="1" customWidth="1"/>
    <col min="2" max="69" width="10" style="1" customWidth="1"/>
    <col min="70" max="70" width="9.83333333333333" style="1" customWidth="1"/>
    <col min="71" max="71" width="9.5" style="1" customWidth="1"/>
    <col min="72" max="72" width="9.83333333333333" style="1" customWidth="1"/>
    <col min="73" max="73" width="9.5" style="1" customWidth="1"/>
    <col min="74" max="74" width="14.4166666666667" style="1" customWidth="1"/>
    <col min="75" max="75" width="9" style="1" customWidth="1"/>
    <col min="76" max="76" width="8.5" style="1" customWidth="1"/>
    <col min="78" max="16378" width="9" style="1" customWidth="1"/>
    <col min="16379" max="16384" width="9" style="1"/>
  </cols>
  <sheetData>
    <row r="1" ht="42.75" customHeight="1" spans="1:7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U1" s="5" t="s">
        <v>15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6" t="s">
        <v>16</v>
      </c>
      <c r="BO1" s="7"/>
      <c r="BP1" s="7"/>
      <c r="BQ1" s="7"/>
      <c r="BR1" s="7"/>
      <c r="BS1" s="7"/>
      <c r="BT1" s="7"/>
      <c r="BU1" s="8"/>
      <c r="BV1" s="9" t="s">
        <v>17</v>
      </c>
      <c r="BW1" s="3" t="s">
        <v>18</v>
      </c>
      <c r="BX1" s="1" t="s">
        <v>19</v>
      </c>
    </row>
    <row r="2" ht="14" customHeight="1" spans="1:76">
      <c r="A2" s="2" t="s">
        <v>20</v>
      </c>
      <c r="B2" s="2" t="s">
        <v>21</v>
      </c>
      <c r="C2" s="2" t="s">
        <v>22</v>
      </c>
      <c r="D2" s="2" t="s">
        <v>23</v>
      </c>
      <c r="E2" s="2" t="s">
        <v>21</v>
      </c>
      <c r="F2" s="2" t="s">
        <v>23</v>
      </c>
      <c r="G2" s="2" t="s">
        <v>23</v>
      </c>
      <c r="H2" s="2" t="s">
        <v>23</v>
      </c>
      <c r="I2" s="2" t="s">
        <v>21</v>
      </c>
      <c r="J2" s="2" t="s">
        <v>21</v>
      </c>
      <c r="K2" s="2" t="s">
        <v>21</v>
      </c>
      <c r="L2" s="2" t="s">
        <v>21</v>
      </c>
      <c r="M2" s="2" t="s">
        <v>21</v>
      </c>
      <c r="N2" s="2" t="s">
        <v>21</v>
      </c>
      <c r="O2" s="10" t="s">
        <v>24</v>
      </c>
      <c r="P2" s="11"/>
      <c r="Q2" s="11"/>
      <c r="R2" s="11"/>
      <c r="S2" s="11"/>
      <c r="T2" s="12"/>
      <c r="U2" s="13" t="s">
        <v>25</v>
      </c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5"/>
      <c r="BN2" s="6" t="s">
        <v>26</v>
      </c>
      <c r="BO2" s="7"/>
      <c r="BP2" s="7"/>
      <c r="BQ2" s="7"/>
      <c r="BR2" s="7"/>
      <c r="BS2" s="7"/>
      <c r="BT2" s="7"/>
      <c r="BU2" s="8"/>
      <c r="BV2" s="9" t="s">
        <v>27</v>
      </c>
      <c r="BW2" s="2" t="s">
        <v>21</v>
      </c>
      <c r="BX2" s="1" t="s">
        <v>21</v>
      </c>
    </row>
    <row r="3" spans="1:76">
      <c r="A3" s="2" t="s">
        <v>28</v>
      </c>
      <c r="B3" s="2"/>
      <c r="C3" s="2"/>
      <c r="D3" s="2"/>
      <c r="E3" s="2"/>
      <c r="F3" s="2"/>
      <c r="G3" s="2" t="s">
        <v>29</v>
      </c>
      <c r="H3" s="2" t="s">
        <v>29</v>
      </c>
      <c r="I3" s="2"/>
      <c r="J3" s="2"/>
      <c r="K3" s="2"/>
      <c r="L3" s="2"/>
      <c r="M3" s="2"/>
      <c r="N3" s="2"/>
      <c r="O3" s="16"/>
      <c r="P3" s="16"/>
      <c r="Q3" s="16"/>
      <c r="R3" s="16"/>
      <c r="S3" s="16"/>
      <c r="T3" s="17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6"/>
      <c r="BO3" s="18"/>
      <c r="BP3" s="6"/>
      <c r="BQ3" s="18"/>
      <c r="BR3" s="6"/>
      <c r="BS3" s="18"/>
      <c r="BT3" s="6"/>
      <c r="BU3" s="18"/>
      <c r="BV3" s="9"/>
      <c r="BW3" s="2"/>
      <c r="BX3" s="1" t="s">
        <v>30</v>
      </c>
    </row>
    <row r="4" spans="1:76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  <c r="N4" s="2" t="s">
        <v>44</v>
      </c>
      <c r="O4" s="16" t="s">
        <v>45</v>
      </c>
      <c r="P4" s="16" t="s">
        <v>46</v>
      </c>
      <c r="Q4" s="16" t="s">
        <v>47</v>
      </c>
      <c r="R4" s="16" t="s">
        <v>48</v>
      </c>
      <c r="S4" s="16" t="s">
        <v>49</v>
      </c>
      <c r="T4" s="16" t="s">
        <v>50</v>
      </c>
      <c r="U4" s="16" t="s">
        <v>45</v>
      </c>
      <c r="V4" s="16" t="s">
        <v>51</v>
      </c>
      <c r="W4" s="16" t="s">
        <v>52</v>
      </c>
      <c r="X4" s="16" t="s">
        <v>47</v>
      </c>
      <c r="Y4" s="16" t="s">
        <v>53</v>
      </c>
      <c r="Z4" s="16" t="s">
        <v>52</v>
      </c>
      <c r="AA4" s="16" t="s">
        <v>49</v>
      </c>
      <c r="AB4" s="16" t="s">
        <v>54</v>
      </c>
      <c r="AC4" s="16" t="s">
        <v>52</v>
      </c>
      <c r="AD4" s="16" t="s">
        <v>55</v>
      </c>
      <c r="AE4" s="16" t="s">
        <v>56</v>
      </c>
      <c r="AF4" s="16" t="s">
        <v>52</v>
      </c>
      <c r="AG4" s="16" t="s">
        <v>57</v>
      </c>
      <c r="AH4" s="16" t="s">
        <v>58</v>
      </c>
      <c r="AI4" s="16" t="s">
        <v>52</v>
      </c>
      <c r="AJ4" s="16" t="s">
        <v>59</v>
      </c>
      <c r="AK4" s="16" t="s">
        <v>60</v>
      </c>
      <c r="AL4" s="16" t="s">
        <v>52</v>
      </c>
      <c r="AM4" s="16" t="s">
        <v>61</v>
      </c>
      <c r="AN4" s="16" t="s">
        <v>62</v>
      </c>
      <c r="AO4" s="16" t="s">
        <v>52</v>
      </c>
      <c r="AP4" s="16" t="s">
        <v>63</v>
      </c>
      <c r="AQ4" s="16" t="s">
        <v>64</v>
      </c>
      <c r="AR4" s="16" t="s">
        <v>52</v>
      </c>
      <c r="AS4" s="16" t="s">
        <v>65</v>
      </c>
      <c r="AT4" s="16" t="s">
        <v>66</v>
      </c>
      <c r="AU4" s="16" t="s">
        <v>52</v>
      </c>
      <c r="AV4" s="16" t="s">
        <v>67</v>
      </c>
      <c r="AW4" s="16" t="s">
        <v>68</v>
      </c>
      <c r="AX4" s="16" t="s">
        <v>52</v>
      </c>
      <c r="AY4" s="16" t="s">
        <v>69</v>
      </c>
      <c r="AZ4" s="16" t="s">
        <v>70</v>
      </c>
      <c r="BA4" s="16" t="s">
        <v>52</v>
      </c>
      <c r="BB4" s="16" t="s">
        <v>71</v>
      </c>
      <c r="BC4" s="16" t="s">
        <v>72</v>
      </c>
      <c r="BD4" s="16" t="s">
        <v>52</v>
      </c>
      <c r="BE4" s="16" t="s">
        <v>73</v>
      </c>
      <c r="BF4" s="16" t="s">
        <v>74</v>
      </c>
      <c r="BG4" s="16" t="s">
        <v>52</v>
      </c>
      <c r="BH4" s="16" t="s">
        <v>75</v>
      </c>
      <c r="BI4" s="16" t="s">
        <v>76</v>
      </c>
      <c r="BJ4" s="16" t="s">
        <v>52</v>
      </c>
      <c r="BK4" s="16" t="s">
        <v>77</v>
      </c>
      <c r="BL4" s="16" t="s">
        <v>78</v>
      </c>
      <c r="BM4" s="16" t="s">
        <v>52</v>
      </c>
      <c r="BN4" s="6" t="s">
        <v>79</v>
      </c>
      <c r="BO4" s="18" t="s">
        <v>80</v>
      </c>
      <c r="BP4" s="6" t="s">
        <v>81</v>
      </c>
      <c r="BQ4" s="18" t="s">
        <v>82</v>
      </c>
      <c r="BR4" s="6" t="s">
        <v>83</v>
      </c>
      <c r="BS4" s="18" t="s">
        <v>84</v>
      </c>
      <c r="BT4" s="6" t="s">
        <v>85</v>
      </c>
      <c r="BU4" s="18" t="s">
        <v>86</v>
      </c>
      <c r="BV4" s="9" t="s">
        <v>87</v>
      </c>
      <c r="BW4" s="2" t="s">
        <v>88</v>
      </c>
      <c r="BX4" s="1" t="s">
        <v>89</v>
      </c>
    </row>
    <row r="5" ht="14.5" customHeight="1" spans="1:76">
      <c r="B5" s="1">
        <v>1</v>
      </c>
      <c r="C5" s="1">
        <v>1</v>
      </c>
      <c r="D5" s="1" t="s">
        <v>90</v>
      </c>
      <c r="E5" s="1">
        <v>1</v>
      </c>
      <c r="F5" t="s">
        <v>91</v>
      </c>
      <c r="G5" s="1" t="s">
        <v>92</v>
      </c>
      <c r="H5" s="1" t="s">
        <v>93</v>
      </c>
      <c r="I5">
        <v>10000</v>
      </c>
      <c r="L5" s="1">
        <v>1</v>
      </c>
      <c r="M5" s="1">
        <v>10</v>
      </c>
      <c r="N5" s="1">
        <v>10</v>
      </c>
      <c r="BN5" s="19" t="s">
        <v>94</v>
      </c>
      <c r="BO5" s="19">
        <v>60</v>
      </c>
      <c r="BP5" s="20" t="s">
        <v>95</v>
      </c>
      <c r="BQ5" s="20">
        <f t="shared" ref="BQ5:BQ68" si="0">ROUND(BO5*2/3,0)</f>
        <v>40</v>
      </c>
      <c r="BR5" s="21" t="s">
        <v>96</v>
      </c>
      <c r="BS5" s="21">
        <v>0</v>
      </c>
      <c r="BT5" s="21" t="s">
        <v>97</v>
      </c>
      <c r="BU5" s="20">
        <v>0</v>
      </c>
      <c r="BV5" s="22">
        <v>10</v>
      </c>
      <c r="BW5" s="1">
        <v>0</v>
      </c>
      <c r="BX5" s="23">
        <v>10010001</v>
      </c>
    </row>
    <row r="6" ht="14.5" customHeight="1" spans="1:76">
      <c r="B6" s="1">
        <v>2</v>
      </c>
      <c r="C6" s="1">
        <v>1</v>
      </c>
      <c r="D6" s="1" t="s">
        <v>90</v>
      </c>
      <c r="E6" s="1">
        <v>2</v>
      </c>
      <c r="F6" t="s">
        <v>91</v>
      </c>
      <c r="G6" s="1" t="s">
        <v>92</v>
      </c>
      <c r="H6" s="1" t="s">
        <v>98</v>
      </c>
      <c r="I6">
        <v>10000</v>
      </c>
      <c r="L6" s="1">
        <v>2</v>
      </c>
      <c r="M6" s="1">
        <v>20</v>
      </c>
      <c r="N6" s="1">
        <v>20</v>
      </c>
      <c r="BN6" s="19" t="s">
        <v>94</v>
      </c>
      <c r="BO6" s="19">
        <v>6</v>
      </c>
      <c r="BP6" s="20" t="s">
        <v>95</v>
      </c>
      <c r="BQ6" s="20">
        <f t="shared" si="0"/>
        <v>4</v>
      </c>
      <c r="BR6" s="21" t="s">
        <v>96</v>
      </c>
      <c r="BS6" s="21">
        <v>0</v>
      </c>
      <c r="BT6" s="21" t="s">
        <v>97</v>
      </c>
      <c r="BU6" s="20">
        <v>0</v>
      </c>
      <c r="BV6" s="22">
        <v>50</v>
      </c>
      <c r="BW6" s="1">
        <v>1</v>
      </c>
    </row>
    <row r="7" ht="14.5" customHeight="1" spans="1:76">
      <c r="B7" s="1">
        <v>3</v>
      </c>
      <c r="C7" s="1">
        <v>1</v>
      </c>
      <c r="D7" s="1" t="s">
        <v>90</v>
      </c>
      <c r="E7" s="1">
        <v>3</v>
      </c>
      <c r="F7" t="s">
        <v>91</v>
      </c>
      <c r="G7" s="1" t="s">
        <v>92</v>
      </c>
      <c r="H7" s="1" t="s">
        <v>99</v>
      </c>
      <c r="I7">
        <v>9990</v>
      </c>
      <c r="K7" s="1">
        <v>100</v>
      </c>
      <c r="L7" s="1">
        <v>3</v>
      </c>
      <c r="M7" s="1">
        <v>30</v>
      </c>
      <c r="N7" s="1">
        <v>30</v>
      </c>
      <c r="BN7" s="19" t="s">
        <v>94</v>
      </c>
      <c r="BO7" s="19">
        <v>6</v>
      </c>
      <c r="BP7" s="20" t="s">
        <v>95</v>
      </c>
      <c r="BQ7" s="20">
        <f t="shared" si="0"/>
        <v>4</v>
      </c>
      <c r="BR7" s="21" t="s">
        <v>96</v>
      </c>
      <c r="BS7" s="21">
        <v>0</v>
      </c>
      <c r="BT7" s="21" t="s">
        <v>97</v>
      </c>
      <c r="BU7" s="20">
        <v>0</v>
      </c>
      <c r="BV7" s="24">
        <v>67.0277777777778</v>
      </c>
      <c r="BW7" s="1">
        <v>2</v>
      </c>
    </row>
    <row r="8" ht="14.5" customHeight="1" spans="1:76">
      <c r="B8" s="1">
        <v>4</v>
      </c>
      <c r="C8" s="1">
        <v>1</v>
      </c>
      <c r="D8" s="1" t="s">
        <v>90</v>
      </c>
      <c r="E8" s="1">
        <v>4</v>
      </c>
      <c r="F8" t="s">
        <v>91</v>
      </c>
      <c r="G8" s="1" t="s">
        <v>100</v>
      </c>
      <c r="H8" s="1" t="s">
        <v>101</v>
      </c>
      <c r="I8">
        <v>10000</v>
      </c>
      <c r="L8" s="1">
        <v>4</v>
      </c>
      <c r="M8" s="1">
        <v>40</v>
      </c>
      <c r="N8" s="1">
        <v>40</v>
      </c>
      <c r="BN8" s="19" t="s">
        <v>94</v>
      </c>
      <c r="BO8" s="19">
        <v>6</v>
      </c>
      <c r="BP8" s="20" t="s">
        <v>95</v>
      </c>
      <c r="BQ8" s="20">
        <f t="shared" si="0"/>
        <v>4</v>
      </c>
      <c r="BR8" s="21" t="s">
        <v>96</v>
      </c>
      <c r="BS8" s="21">
        <v>0</v>
      </c>
      <c r="BT8" s="21" t="s">
        <v>97</v>
      </c>
      <c r="BU8" s="20">
        <v>0</v>
      </c>
      <c r="BV8" s="24">
        <v>84.0555555555556</v>
      </c>
      <c r="BW8" s="1">
        <v>3</v>
      </c>
    </row>
    <row r="9" ht="14.5" customHeight="1" spans="1:76">
      <c r="B9" s="1">
        <v>5</v>
      </c>
      <c r="C9" s="1">
        <v>1</v>
      </c>
      <c r="D9" s="1" t="s">
        <v>90</v>
      </c>
      <c r="E9" s="1">
        <v>5</v>
      </c>
      <c r="F9" t="s">
        <v>91</v>
      </c>
      <c r="G9" s="1" t="s">
        <v>100</v>
      </c>
      <c r="H9" s="1" t="s">
        <v>102</v>
      </c>
      <c r="I9">
        <v>10000</v>
      </c>
      <c r="L9" s="1">
        <v>5</v>
      </c>
      <c r="M9" s="1">
        <v>50</v>
      </c>
      <c r="N9" s="1">
        <v>50</v>
      </c>
      <c r="BN9" s="19" t="s">
        <v>94</v>
      </c>
      <c r="BO9" s="19">
        <v>6</v>
      </c>
      <c r="BP9" s="20" t="s">
        <v>95</v>
      </c>
      <c r="BQ9" s="20">
        <f t="shared" si="0"/>
        <v>4</v>
      </c>
      <c r="BR9" s="21" t="s">
        <v>96</v>
      </c>
      <c r="BS9" s="21">
        <v>0</v>
      </c>
      <c r="BT9" s="21" t="s">
        <v>97</v>
      </c>
      <c r="BU9" s="20">
        <v>1</v>
      </c>
      <c r="BV9" s="24">
        <v>101.083333333333</v>
      </c>
      <c r="BW9" s="1">
        <v>4</v>
      </c>
    </row>
    <row r="10" ht="14.5" customHeight="1" spans="1:76">
      <c r="B10" s="1">
        <v>6</v>
      </c>
      <c r="C10" s="1">
        <v>1</v>
      </c>
      <c r="D10" s="1" t="s">
        <v>90</v>
      </c>
      <c r="E10" s="1">
        <v>6</v>
      </c>
      <c r="F10" t="s">
        <v>91</v>
      </c>
      <c r="G10" s="1" t="s">
        <v>100</v>
      </c>
      <c r="H10" s="1" t="s">
        <v>103</v>
      </c>
      <c r="I10">
        <v>9990</v>
      </c>
      <c r="K10" s="1">
        <v>100</v>
      </c>
      <c r="L10" s="1">
        <v>6</v>
      </c>
      <c r="M10" s="1">
        <v>60</v>
      </c>
      <c r="N10" s="1">
        <v>60</v>
      </c>
      <c r="BN10" s="19" t="s">
        <v>94</v>
      </c>
      <c r="BO10" s="19">
        <v>6</v>
      </c>
      <c r="BP10" s="20" t="s">
        <v>95</v>
      </c>
      <c r="BQ10" s="20">
        <f t="shared" si="0"/>
        <v>4</v>
      </c>
      <c r="BR10" s="21" t="s">
        <v>96</v>
      </c>
      <c r="BS10" s="21">
        <v>0</v>
      </c>
      <c r="BT10" s="21" t="s">
        <v>97</v>
      </c>
      <c r="BU10" s="20">
        <v>0</v>
      </c>
      <c r="BV10" s="24">
        <v>118.111111111111</v>
      </c>
      <c r="BW10" s="1">
        <v>5</v>
      </c>
    </row>
    <row r="11" ht="14.5" customHeight="1" spans="1:76">
      <c r="B11" s="1">
        <v>7</v>
      </c>
      <c r="C11" s="1">
        <v>1</v>
      </c>
      <c r="D11" s="1" t="s">
        <v>90</v>
      </c>
      <c r="E11" s="1">
        <v>7</v>
      </c>
      <c r="F11" t="s">
        <v>91</v>
      </c>
      <c r="G11" s="1" t="s">
        <v>104</v>
      </c>
      <c r="H11" s="1" t="s">
        <v>105</v>
      </c>
      <c r="I11">
        <v>10000</v>
      </c>
      <c r="L11" s="1">
        <v>7</v>
      </c>
      <c r="M11" s="1">
        <v>70</v>
      </c>
      <c r="N11" s="1">
        <v>70</v>
      </c>
      <c r="BN11" s="19" t="s">
        <v>94</v>
      </c>
      <c r="BO11" s="19">
        <v>6</v>
      </c>
      <c r="BP11" s="20" t="s">
        <v>95</v>
      </c>
      <c r="BQ11" s="20">
        <f t="shared" si="0"/>
        <v>4</v>
      </c>
      <c r="BR11" s="21" t="s">
        <v>96</v>
      </c>
      <c r="BS11" s="21">
        <v>0</v>
      </c>
      <c r="BT11" s="21" t="s">
        <v>97</v>
      </c>
      <c r="BU11" s="20">
        <v>0</v>
      </c>
      <c r="BV11" s="24">
        <v>135.138888888889</v>
      </c>
      <c r="BW11" s="1">
        <v>6</v>
      </c>
    </row>
    <row r="12" ht="14.5" customHeight="1" spans="1:76">
      <c r="B12" s="1">
        <v>8</v>
      </c>
      <c r="C12" s="1">
        <v>1</v>
      </c>
      <c r="D12" s="1" t="s">
        <v>90</v>
      </c>
      <c r="E12" s="1">
        <v>8</v>
      </c>
      <c r="F12" t="s">
        <v>91</v>
      </c>
      <c r="G12" s="1" t="s">
        <v>104</v>
      </c>
      <c r="H12" s="1" t="s">
        <v>106</v>
      </c>
      <c r="I12">
        <v>10000</v>
      </c>
      <c r="L12" s="1">
        <v>8</v>
      </c>
      <c r="M12" s="1">
        <v>80</v>
      </c>
      <c r="N12" s="1">
        <v>80</v>
      </c>
      <c r="BN12" s="19" t="s">
        <v>94</v>
      </c>
      <c r="BO12" s="19">
        <v>6</v>
      </c>
      <c r="BP12" s="20" t="s">
        <v>95</v>
      </c>
      <c r="BQ12" s="20">
        <f t="shared" si="0"/>
        <v>4</v>
      </c>
      <c r="BR12" s="21" t="s">
        <v>96</v>
      </c>
      <c r="BS12" s="21">
        <v>0</v>
      </c>
      <c r="BT12" s="21" t="s">
        <v>97</v>
      </c>
      <c r="BU12" s="20">
        <v>0</v>
      </c>
      <c r="BV12" s="24">
        <v>152.166666666667</v>
      </c>
      <c r="BW12" s="1">
        <v>7</v>
      </c>
    </row>
    <row r="13" ht="14.5" customHeight="1" spans="1:76">
      <c r="B13" s="1">
        <v>9</v>
      </c>
      <c r="C13" s="1">
        <v>1</v>
      </c>
      <c r="D13" s="1" t="s">
        <v>90</v>
      </c>
      <c r="E13" s="1">
        <v>9</v>
      </c>
      <c r="F13" t="s">
        <v>91</v>
      </c>
      <c r="G13" s="1" t="s">
        <v>104</v>
      </c>
      <c r="H13" s="1" t="s">
        <v>107</v>
      </c>
      <c r="I13">
        <v>9990</v>
      </c>
      <c r="K13" s="1">
        <v>100</v>
      </c>
      <c r="L13" s="1">
        <v>9</v>
      </c>
      <c r="M13" s="1">
        <v>90</v>
      </c>
      <c r="N13" s="1">
        <v>90</v>
      </c>
      <c r="BN13" s="19" t="s">
        <v>94</v>
      </c>
      <c r="BO13" s="19">
        <v>6</v>
      </c>
      <c r="BP13" s="20" t="s">
        <v>95</v>
      </c>
      <c r="BQ13" s="20">
        <f t="shared" si="0"/>
        <v>4</v>
      </c>
      <c r="BR13" s="21" t="s">
        <v>96</v>
      </c>
      <c r="BS13" s="21">
        <v>0</v>
      </c>
      <c r="BT13" s="21" t="s">
        <v>97</v>
      </c>
      <c r="BU13" s="20">
        <v>0</v>
      </c>
      <c r="BV13" s="24">
        <v>169.194444444444</v>
      </c>
      <c r="BW13" s="1">
        <v>8</v>
      </c>
    </row>
    <row r="14" ht="14" customHeight="1" spans="1:76">
      <c r="B14" s="1">
        <v>10</v>
      </c>
      <c r="C14" s="1">
        <v>1</v>
      </c>
      <c r="D14" s="1" t="s">
        <v>90</v>
      </c>
      <c r="E14" s="1">
        <v>10</v>
      </c>
      <c r="F14" s="1" t="s">
        <v>108</v>
      </c>
      <c r="G14" s="1" t="s">
        <v>109</v>
      </c>
      <c r="H14" s="1" t="s">
        <v>110</v>
      </c>
      <c r="I14">
        <v>9990</v>
      </c>
      <c r="K14" s="1">
        <v>100</v>
      </c>
      <c r="L14" s="1">
        <v>10</v>
      </c>
      <c r="M14" s="1">
        <v>100</v>
      </c>
      <c r="N14" s="1">
        <v>100</v>
      </c>
      <c r="O14">
        <v>11921005</v>
      </c>
      <c r="P14">
        <v>1</v>
      </c>
      <c r="Q14">
        <v>11921007</v>
      </c>
      <c r="R14">
        <v>1</v>
      </c>
      <c r="S14">
        <v>11921009</v>
      </c>
      <c r="T14">
        <v>1</v>
      </c>
      <c r="U14">
        <v>11921005</v>
      </c>
      <c r="V14">
        <v>1</v>
      </c>
      <c r="W14">
        <v>500</v>
      </c>
      <c r="X14">
        <v>11921006</v>
      </c>
      <c r="Y14">
        <v>1</v>
      </c>
      <c r="Z14">
        <v>500</v>
      </c>
      <c r="AA14">
        <v>11921007</v>
      </c>
      <c r="AB14">
        <v>1</v>
      </c>
      <c r="AC14">
        <v>500</v>
      </c>
      <c r="AD14">
        <v>11921008</v>
      </c>
      <c r="AE14">
        <v>1</v>
      </c>
      <c r="AF14">
        <v>500</v>
      </c>
      <c r="AG14">
        <v>11921009</v>
      </c>
      <c r="AH14">
        <v>1</v>
      </c>
      <c r="AI14">
        <v>500</v>
      </c>
      <c r="AJ14">
        <v>11922005</v>
      </c>
      <c r="AK14">
        <v>1</v>
      </c>
      <c r="AL14">
        <v>1000</v>
      </c>
      <c r="AM14">
        <v>11922006</v>
      </c>
      <c r="AN14">
        <v>1</v>
      </c>
      <c r="AO14">
        <v>1000</v>
      </c>
      <c r="AP14">
        <v>11922007</v>
      </c>
      <c r="AQ14">
        <v>1</v>
      </c>
      <c r="AR14">
        <v>1000</v>
      </c>
      <c r="AS14">
        <v>11922008</v>
      </c>
      <c r="AT14">
        <v>1</v>
      </c>
      <c r="AU14">
        <v>1000</v>
      </c>
      <c r="AV14">
        <v>11922009</v>
      </c>
      <c r="AW14">
        <v>1</v>
      </c>
      <c r="AX14">
        <v>1000</v>
      </c>
      <c r="AY14">
        <v>11923005</v>
      </c>
      <c r="AZ14">
        <v>1</v>
      </c>
      <c r="BA14">
        <v>1500</v>
      </c>
      <c r="BB14">
        <v>11923006</v>
      </c>
      <c r="BC14">
        <v>1</v>
      </c>
      <c r="BD14">
        <v>1500</v>
      </c>
      <c r="BE14">
        <v>11923007</v>
      </c>
      <c r="BF14">
        <v>1</v>
      </c>
      <c r="BG14">
        <v>1500</v>
      </c>
      <c r="BH14">
        <v>11923008</v>
      </c>
      <c r="BI14">
        <v>1</v>
      </c>
      <c r="BJ14">
        <v>1500</v>
      </c>
      <c r="BK14">
        <v>11923009</v>
      </c>
      <c r="BL14">
        <v>1</v>
      </c>
      <c r="BM14">
        <v>1500</v>
      </c>
      <c r="BN14" s="19" t="s">
        <v>94</v>
      </c>
      <c r="BO14" s="19">
        <v>6</v>
      </c>
      <c r="BP14" s="20" t="s">
        <v>95</v>
      </c>
      <c r="BQ14" s="20">
        <f t="shared" si="0"/>
        <v>4</v>
      </c>
      <c r="BR14" s="21" t="s">
        <v>96</v>
      </c>
      <c r="BS14" s="21">
        <v>0</v>
      </c>
      <c r="BT14" s="21" t="s">
        <v>97</v>
      </c>
      <c r="BU14" s="20">
        <v>1</v>
      </c>
      <c r="BV14" s="24">
        <v>186.222222222222</v>
      </c>
      <c r="BW14" s="1">
        <v>9</v>
      </c>
    </row>
    <row r="15" ht="14.5" customHeight="1" spans="1:76">
      <c r="B15" s="1">
        <v>11</v>
      </c>
      <c r="C15" s="1">
        <v>2</v>
      </c>
      <c r="D15" s="1" t="s">
        <v>111</v>
      </c>
      <c r="E15" s="1">
        <v>1</v>
      </c>
      <c r="F15" t="s">
        <v>91</v>
      </c>
      <c r="G15" s="1" t="s">
        <v>92</v>
      </c>
      <c r="H15" s="1" t="s">
        <v>112</v>
      </c>
      <c r="I15">
        <v>10000</v>
      </c>
      <c r="L15" s="1">
        <v>11</v>
      </c>
      <c r="M15" s="1">
        <v>110</v>
      </c>
      <c r="N15" s="1">
        <v>110</v>
      </c>
      <c r="BN15" s="19" t="s">
        <v>94</v>
      </c>
      <c r="BO15" s="19">
        <v>8</v>
      </c>
      <c r="BP15" s="20" t="s">
        <v>95</v>
      </c>
      <c r="BQ15" s="20">
        <f t="shared" si="0"/>
        <v>5</v>
      </c>
      <c r="BR15" s="21" t="s">
        <v>96</v>
      </c>
      <c r="BS15" s="21">
        <v>0</v>
      </c>
      <c r="BT15" s="21" t="s">
        <v>97</v>
      </c>
      <c r="BU15" s="20">
        <v>0</v>
      </c>
      <c r="BV15" s="22">
        <v>1000</v>
      </c>
      <c r="BW15" s="1">
        <v>10</v>
      </c>
    </row>
    <row r="16" ht="14.5" customHeight="1" spans="1:76">
      <c r="B16" s="1">
        <v>12</v>
      </c>
      <c r="C16" s="1">
        <v>2</v>
      </c>
      <c r="D16" s="1" t="s">
        <v>111</v>
      </c>
      <c r="E16" s="1">
        <v>2</v>
      </c>
      <c r="F16" t="s">
        <v>91</v>
      </c>
      <c r="G16" s="1" t="s">
        <v>92</v>
      </c>
      <c r="H16" s="1" t="s">
        <v>113</v>
      </c>
      <c r="I16">
        <v>10000</v>
      </c>
      <c r="L16" s="1">
        <v>12</v>
      </c>
      <c r="M16" s="1">
        <v>120</v>
      </c>
      <c r="N16" s="1">
        <v>120</v>
      </c>
      <c r="BN16" s="19" t="s">
        <v>94</v>
      </c>
      <c r="BO16" s="19">
        <v>8</v>
      </c>
      <c r="BP16" s="20" t="s">
        <v>95</v>
      </c>
      <c r="BQ16" s="20">
        <f t="shared" si="0"/>
        <v>5</v>
      </c>
      <c r="BR16" s="21" t="s">
        <v>96</v>
      </c>
      <c r="BS16" s="21">
        <v>0</v>
      </c>
      <c r="BT16" s="21" t="s">
        <v>97</v>
      </c>
      <c r="BU16" s="20">
        <v>0</v>
      </c>
      <c r="BV16" s="22">
        <v>1375</v>
      </c>
      <c r="BW16" s="1">
        <v>11</v>
      </c>
    </row>
    <row r="17" ht="14.5" customHeight="1" spans="2:75">
      <c r="B17" s="1">
        <v>13</v>
      </c>
      <c r="C17" s="1">
        <v>2</v>
      </c>
      <c r="D17" s="1" t="s">
        <v>111</v>
      </c>
      <c r="E17" s="1">
        <v>3</v>
      </c>
      <c r="F17" t="s">
        <v>91</v>
      </c>
      <c r="G17" s="1" t="s">
        <v>92</v>
      </c>
      <c r="H17" s="1" t="s">
        <v>114</v>
      </c>
      <c r="I17" s="1">
        <v>5000</v>
      </c>
      <c r="K17" s="1">
        <v>3600</v>
      </c>
      <c r="L17" s="1">
        <v>13</v>
      </c>
      <c r="M17" s="1">
        <v>130</v>
      </c>
      <c r="N17" s="1">
        <v>130</v>
      </c>
      <c r="O17">
        <v>11921006</v>
      </c>
      <c r="P17">
        <v>1</v>
      </c>
      <c r="Q17">
        <v>11921007</v>
      </c>
      <c r="R17">
        <v>1</v>
      </c>
      <c r="S17">
        <v>11921008</v>
      </c>
      <c r="T17">
        <v>1</v>
      </c>
      <c r="U17">
        <v>11922005</v>
      </c>
      <c r="V17">
        <v>1</v>
      </c>
      <c r="W17">
        <v>500</v>
      </c>
      <c r="X17">
        <v>11922006</v>
      </c>
      <c r="Y17">
        <v>1</v>
      </c>
      <c r="Z17">
        <v>500</v>
      </c>
      <c r="AA17">
        <v>11922007</v>
      </c>
      <c r="AB17">
        <v>1</v>
      </c>
      <c r="AC17">
        <v>500</v>
      </c>
      <c r="AD17">
        <v>11922008</v>
      </c>
      <c r="AE17">
        <v>1</v>
      </c>
      <c r="AF17">
        <v>500</v>
      </c>
      <c r="AG17">
        <v>11922009</v>
      </c>
      <c r="AH17">
        <v>1</v>
      </c>
      <c r="AI17">
        <v>500</v>
      </c>
      <c r="AJ17">
        <v>11923005</v>
      </c>
      <c r="AK17">
        <v>1</v>
      </c>
      <c r="AL17">
        <v>500</v>
      </c>
      <c r="AM17">
        <v>11923006</v>
      </c>
      <c r="AN17">
        <v>1</v>
      </c>
      <c r="AO17">
        <v>500</v>
      </c>
      <c r="AP17">
        <v>11923007</v>
      </c>
      <c r="AQ17">
        <v>1</v>
      </c>
      <c r="AR17">
        <v>500</v>
      </c>
      <c r="AS17">
        <v>11923008</v>
      </c>
      <c r="AT17">
        <v>1</v>
      </c>
      <c r="AU17">
        <v>500</v>
      </c>
      <c r="AV17">
        <v>11923009</v>
      </c>
      <c r="AW17">
        <v>1</v>
      </c>
      <c r="AX17">
        <v>500</v>
      </c>
      <c r="BN17" s="19" t="s">
        <v>94</v>
      </c>
      <c r="BO17" s="19">
        <v>8</v>
      </c>
      <c r="BP17" s="20" t="s">
        <v>95</v>
      </c>
      <c r="BQ17" s="20">
        <f t="shared" si="0"/>
        <v>5</v>
      </c>
      <c r="BR17" s="21" t="s">
        <v>96</v>
      </c>
      <c r="BS17" s="21">
        <v>0</v>
      </c>
      <c r="BT17" s="21" t="s">
        <v>97</v>
      </c>
      <c r="BU17" s="20">
        <v>0</v>
      </c>
      <c r="BV17" s="22">
        <v>1750</v>
      </c>
      <c r="BW17" s="1">
        <v>12</v>
      </c>
    </row>
    <row r="18" ht="14.5" customHeight="1" spans="2:75">
      <c r="B18" s="1">
        <v>14</v>
      </c>
      <c r="C18" s="1">
        <v>2</v>
      </c>
      <c r="D18" s="1" t="s">
        <v>111</v>
      </c>
      <c r="E18" s="1">
        <v>4</v>
      </c>
      <c r="F18" t="s">
        <v>91</v>
      </c>
      <c r="G18" s="1" t="s">
        <v>100</v>
      </c>
      <c r="H18" s="1" t="s">
        <v>115</v>
      </c>
      <c r="I18">
        <v>10000</v>
      </c>
      <c r="L18" s="1">
        <v>14</v>
      </c>
      <c r="M18" s="1">
        <v>140</v>
      </c>
      <c r="N18" s="1">
        <v>140</v>
      </c>
      <c r="BN18" s="19" t="s">
        <v>94</v>
      </c>
      <c r="BO18" s="19">
        <v>8</v>
      </c>
      <c r="BP18" s="20" t="s">
        <v>95</v>
      </c>
      <c r="BQ18" s="20">
        <f t="shared" si="0"/>
        <v>5</v>
      </c>
      <c r="BR18" s="21" t="s">
        <v>96</v>
      </c>
      <c r="BS18" s="21">
        <v>0</v>
      </c>
      <c r="BT18" s="21" t="s">
        <v>97</v>
      </c>
      <c r="BU18" s="20">
        <v>0</v>
      </c>
      <c r="BV18" s="22">
        <v>2125</v>
      </c>
      <c r="BW18" s="1">
        <v>13</v>
      </c>
    </row>
    <row r="19" ht="14.5" customHeight="1" spans="2:75">
      <c r="B19" s="1">
        <v>15</v>
      </c>
      <c r="C19" s="1">
        <v>2</v>
      </c>
      <c r="D19" s="1" t="s">
        <v>111</v>
      </c>
      <c r="E19" s="1">
        <v>5</v>
      </c>
      <c r="F19" t="s">
        <v>91</v>
      </c>
      <c r="G19" s="1" t="s">
        <v>100</v>
      </c>
      <c r="H19" s="1" t="s">
        <v>116</v>
      </c>
      <c r="I19">
        <v>10000</v>
      </c>
      <c r="L19" s="1">
        <v>15</v>
      </c>
      <c r="M19" s="1">
        <v>150</v>
      </c>
      <c r="N19" s="1">
        <v>150</v>
      </c>
      <c r="BN19" s="19" t="s">
        <v>94</v>
      </c>
      <c r="BO19" s="19">
        <v>8</v>
      </c>
      <c r="BP19" s="20" t="s">
        <v>95</v>
      </c>
      <c r="BQ19" s="20">
        <f t="shared" si="0"/>
        <v>5</v>
      </c>
      <c r="BR19" s="21" t="s">
        <v>96</v>
      </c>
      <c r="BS19" s="21">
        <v>0</v>
      </c>
      <c r="BT19" s="21" t="s">
        <v>97</v>
      </c>
      <c r="BU19" s="20">
        <v>0</v>
      </c>
      <c r="BV19" s="22">
        <v>2500</v>
      </c>
      <c r="BW19" s="1">
        <v>14</v>
      </c>
    </row>
    <row r="20" ht="14.5" customHeight="1" spans="2:75">
      <c r="B20" s="1">
        <v>16</v>
      </c>
      <c r="C20" s="1">
        <v>2</v>
      </c>
      <c r="D20" s="1" t="s">
        <v>111</v>
      </c>
      <c r="E20" s="1">
        <v>6</v>
      </c>
      <c r="F20" t="s">
        <v>91</v>
      </c>
      <c r="G20" s="1" t="s">
        <v>100</v>
      </c>
      <c r="H20" s="1" t="s">
        <v>117</v>
      </c>
      <c r="I20" s="1">
        <v>5000</v>
      </c>
      <c r="K20" s="1">
        <v>3600</v>
      </c>
      <c r="L20" s="1">
        <v>16</v>
      </c>
      <c r="M20" s="1">
        <v>160</v>
      </c>
      <c r="N20" s="1">
        <v>160</v>
      </c>
      <c r="O20">
        <v>11921006</v>
      </c>
      <c r="P20">
        <v>1</v>
      </c>
      <c r="Q20">
        <v>11921007</v>
      </c>
      <c r="R20">
        <v>1</v>
      </c>
      <c r="S20">
        <v>11921008</v>
      </c>
      <c r="T20">
        <v>1</v>
      </c>
      <c r="U20">
        <v>11922005</v>
      </c>
      <c r="V20">
        <v>1</v>
      </c>
      <c r="W20">
        <v>500</v>
      </c>
      <c r="X20">
        <v>11922006</v>
      </c>
      <c r="Y20">
        <v>1</v>
      </c>
      <c r="Z20">
        <v>500</v>
      </c>
      <c r="AA20">
        <v>11922007</v>
      </c>
      <c r="AB20">
        <v>1</v>
      </c>
      <c r="AC20">
        <v>500</v>
      </c>
      <c r="AD20">
        <v>11922008</v>
      </c>
      <c r="AE20">
        <v>1</v>
      </c>
      <c r="AF20">
        <v>500</v>
      </c>
      <c r="AG20">
        <v>11922009</v>
      </c>
      <c r="AH20">
        <v>1</v>
      </c>
      <c r="AI20">
        <v>500</v>
      </c>
      <c r="AJ20">
        <v>11923005</v>
      </c>
      <c r="AK20">
        <v>1</v>
      </c>
      <c r="AL20">
        <v>500</v>
      </c>
      <c r="AM20">
        <v>11923006</v>
      </c>
      <c r="AN20">
        <v>1</v>
      </c>
      <c r="AO20">
        <v>500</v>
      </c>
      <c r="AP20">
        <v>11923007</v>
      </c>
      <c r="AQ20">
        <v>1</v>
      </c>
      <c r="AR20">
        <v>500</v>
      </c>
      <c r="AS20">
        <v>11923008</v>
      </c>
      <c r="AT20">
        <v>1</v>
      </c>
      <c r="AU20">
        <v>500</v>
      </c>
      <c r="AV20">
        <v>11923009</v>
      </c>
      <c r="AW20">
        <v>1</v>
      </c>
      <c r="AX20">
        <v>500</v>
      </c>
      <c r="BN20" s="19" t="s">
        <v>94</v>
      </c>
      <c r="BO20" s="19">
        <v>8</v>
      </c>
      <c r="BP20" s="20" t="s">
        <v>95</v>
      </c>
      <c r="BQ20" s="20">
        <f t="shared" si="0"/>
        <v>5</v>
      </c>
      <c r="BR20" s="21" t="s">
        <v>96</v>
      </c>
      <c r="BS20" s="21">
        <v>0</v>
      </c>
      <c r="BT20" s="21" t="s">
        <v>97</v>
      </c>
      <c r="BU20" s="20">
        <v>0</v>
      </c>
      <c r="BV20" s="22">
        <v>2875</v>
      </c>
      <c r="BW20" s="1">
        <v>15</v>
      </c>
    </row>
    <row r="21" ht="14.5" customHeight="1" spans="2:75">
      <c r="B21" s="1">
        <v>17</v>
      </c>
      <c r="C21" s="1">
        <v>2</v>
      </c>
      <c r="D21" s="1" t="s">
        <v>111</v>
      </c>
      <c r="E21" s="1">
        <v>7</v>
      </c>
      <c r="F21" t="s">
        <v>91</v>
      </c>
      <c r="G21" s="1" t="s">
        <v>104</v>
      </c>
      <c r="H21" s="1" t="s">
        <v>118</v>
      </c>
      <c r="I21">
        <v>10000</v>
      </c>
      <c r="L21" s="1">
        <v>17</v>
      </c>
      <c r="M21" s="1">
        <v>170</v>
      </c>
      <c r="N21" s="1">
        <v>170</v>
      </c>
      <c r="BN21" s="19" t="s">
        <v>94</v>
      </c>
      <c r="BO21" s="19">
        <v>8</v>
      </c>
      <c r="BP21" s="20" t="s">
        <v>95</v>
      </c>
      <c r="BQ21" s="20">
        <f t="shared" si="0"/>
        <v>5</v>
      </c>
      <c r="BR21" s="21" t="s">
        <v>96</v>
      </c>
      <c r="BS21" s="21">
        <v>0</v>
      </c>
      <c r="BT21" s="21" t="s">
        <v>97</v>
      </c>
      <c r="BU21" s="20">
        <v>0</v>
      </c>
      <c r="BV21" s="22">
        <v>3250</v>
      </c>
      <c r="BW21" s="1">
        <v>16</v>
      </c>
    </row>
    <row r="22" ht="14.5" customHeight="1" spans="2:75">
      <c r="B22" s="1">
        <v>18</v>
      </c>
      <c r="C22" s="1">
        <v>2</v>
      </c>
      <c r="D22" s="1" t="s">
        <v>111</v>
      </c>
      <c r="E22" s="1">
        <v>8</v>
      </c>
      <c r="F22" t="s">
        <v>91</v>
      </c>
      <c r="G22" s="1" t="s">
        <v>104</v>
      </c>
      <c r="H22" s="1" t="s">
        <v>119</v>
      </c>
      <c r="I22">
        <v>10000</v>
      </c>
      <c r="L22" s="1">
        <v>18</v>
      </c>
      <c r="M22" s="1">
        <v>180</v>
      </c>
      <c r="N22" s="1">
        <v>180</v>
      </c>
      <c r="BN22" s="19" t="s">
        <v>94</v>
      </c>
      <c r="BO22" s="19">
        <v>8</v>
      </c>
      <c r="BP22" s="20" t="s">
        <v>95</v>
      </c>
      <c r="BQ22" s="20">
        <f t="shared" si="0"/>
        <v>5</v>
      </c>
      <c r="BR22" s="21" t="s">
        <v>96</v>
      </c>
      <c r="BS22" s="21">
        <v>0</v>
      </c>
      <c r="BT22" s="21" t="s">
        <v>97</v>
      </c>
      <c r="BU22" s="20">
        <v>0</v>
      </c>
      <c r="BV22" s="22">
        <v>3625</v>
      </c>
      <c r="BW22" s="1">
        <v>17</v>
      </c>
    </row>
    <row r="23" ht="14.5" customHeight="1" spans="2:75">
      <c r="B23" s="1">
        <v>19</v>
      </c>
      <c r="C23" s="1">
        <v>2</v>
      </c>
      <c r="D23" s="1" t="s">
        <v>111</v>
      </c>
      <c r="E23" s="1">
        <v>9</v>
      </c>
      <c r="F23" t="s">
        <v>91</v>
      </c>
      <c r="G23" s="1" t="s">
        <v>104</v>
      </c>
      <c r="H23" s="1" t="s">
        <v>120</v>
      </c>
      <c r="I23" s="1">
        <v>5000</v>
      </c>
      <c r="K23" s="1">
        <v>3600</v>
      </c>
      <c r="L23" s="1">
        <v>19</v>
      </c>
      <c r="M23" s="1">
        <v>190</v>
      </c>
      <c r="N23" s="1">
        <v>190</v>
      </c>
      <c r="O23">
        <v>11921006</v>
      </c>
      <c r="P23">
        <v>1</v>
      </c>
      <c r="Q23">
        <v>11921007</v>
      </c>
      <c r="R23">
        <v>1</v>
      </c>
      <c r="S23">
        <v>11921008</v>
      </c>
      <c r="T23">
        <v>1</v>
      </c>
      <c r="U23">
        <v>11922005</v>
      </c>
      <c r="V23">
        <v>1</v>
      </c>
      <c r="W23">
        <v>500</v>
      </c>
      <c r="X23">
        <v>11922006</v>
      </c>
      <c r="Y23">
        <v>1</v>
      </c>
      <c r="Z23">
        <v>500</v>
      </c>
      <c r="AA23">
        <v>11922007</v>
      </c>
      <c r="AB23">
        <v>1</v>
      </c>
      <c r="AC23">
        <v>500</v>
      </c>
      <c r="AD23">
        <v>11922008</v>
      </c>
      <c r="AE23">
        <v>1</v>
      </c>
      <c r="AF23">
        <v>500</v>
      </c>
      <c r="AG23">
        <v>11922009</v>
      </c>
      <c r="AH23">
        <v>1</v>
      </c>
      <c r="AI23">
        <v>500</v>
      </c>
      <c r="AJ23">
        <v>11923005</v>
      </c>
      <c r="AK23">
        <v>1</v>
      </c>
      <c r="AL23">
        <v>500</v>
      </c>
      <c r="AM23">
        <v>11923006</v>
      </c>
      <c r="AN23">
        <v>1</v>
      </c>
      <c r="AO23">
        <v>500</v>
      </c>
      <c r="AP23">
        <v>11923007</v>
      </c>
      <c r="AQ23">
        <v>1</v>
      </c>
      <c r="AR23">
        <v>500</v>
      </c>
      <c r="AS23">
        <v>11923008</v>
      </c>
      <c r="AT23">
        <v>1</v>
      </c>
      <c r="AU23">
        <v>500</v>
      </c>
      <c r="AV23">
        <v>11923009</v>
      </c>
      <c r="AW23">
        <v>1</v>
      </c>
      <c r="AX23">
        <v>500</v>
      </c>
      <c r="BN23" s="19" t="s">
        <v>94</v>
      </c>
      <c r="BO23" s="19">
        <v>8</v>
      </c>
      <c r="BP23" s="20" t="s">
        <v>95</v>
      </c>
      <c r="BQ23" s="20">
        <f t="shared" si="0"/>
        <v>5</v>
      </c>
      <c r="BR23" s="21" t="s">
        <v>96</v>
      </c>
      <c r="BS23" s="21">
        <v>0</v>
      </c>
      <c r="BT23" s="21" t="s">
        <v>97</v>
      </c>
      <c r="BU23" s="20">
        <v>0</v>
      </c>
      <c r="BV23" s="22">
        <v>4000</v>
      </c>
      <c r="BW23" s="1">
        <v>18</v>
      </c>
    </row>
    <row r="24" ht="14" customHeight="1" spans="2:75">
      <c r="B24" s="1">
        <v>20</v>
      </c>
      <c r="C24" s="1">
        <v>2</v>
      </c>
      <c r="D24" s="1" t="s">
        <v>111</v>
      </c>
      <c r="E24" s="1">
        <v>10</v>
      </c>
      <c r="F24" s="1" t="s">
        <v>108</v>
      </c>
      <c r="G24" s="1" t="s">
        <v>109</v>
      </c>
      <c r="H24" s="1" t="s">
        <v>121</v>
      </c>
      <c r="I24" s="1">
        <v>5000</v>
      </c>
      <c r="K24" s="1">
        <v>3600</v>
      </c>
      <c r="L24" s="1">
        <v>20</v>
      </c>
      <c r="M24" s="1">
        <v>200</v>
      </c>
      <c r="N24" s="1">
        <v>200</v>
      </c>
      <c r="O24">
        <v>11931005</v>
      </c>
      <c r="P24">
        <v>1</v>
      </c>
      <c r="Q24">
        <v>11931007</v>
      </c>
      <c r="R24">
        <v>1</v>
      </c>
      <c r="S24">
        <v>11931009</v>
      </c>
      <c r="T24">
        <v>1</v>
      </c>
      <c r="U24">
        <v>11931005</v>
      </c>
      <c r="V24">
        <v>1</v>
      </c>
      <c r="W24">
        <v>500</v>
      </c>
      <c r="X24">
        <v>11931006</v>
      </c>
      <c r="Y24">
        <v>1</v>
      </c>
      <c r="Z24">
        <v>500</v>
      </c>
      <c r="AA24">
        <v>11931007</v>
      </c>
      <c r="AB24">
        <v>1</v>
      </c>
      <c r="AC24">
        <v>500</v>
      </c>
      <c r="AD24">
        <v>11931008</v>
      </c>
      <c r="AE24">
        <v>1</v>
      </c>
      <c r="AF24">
        <v>500</v>
      </c>
      <c r="AG24">
        <v>11931009</v>
      </c>
      <c r="AH24">
        <v>1</v>
      </c>
      <c r="AI24">
        <v>500</v>
      </c>
      <c r="AJ24">
        <v>11932005</v>
      </c>
      <c r="AK24">
        <v>1</v>
      </c>
      <c r="AL24">
        <v>500</v>
      </c>
      <c r="AM24">
        <v>11932006</v>
      </c>
      <c r="AN24">
        <v>1</v>
      </c>
      <c r="AO24">
        <v>500</v>
      </c>
      <c r="AP24">
        <v>11932007</v>
      </c>
      <c r="AQ24">
        <v>1</v>
      </c>
      <c r="AR24">
        <v>500</v>
      </c>
      <c r="AS24">
        <v>11932008</v>
      </c>
      <c r="AT24">
        <v>1</v>
      </c>
      <c r="AU24">
        <v>500</v>
      </c>
      <c r="AV24">
        <v>11932009</v>
      </c>
      <c r="AW24">
        <v>1</v>
      </c>
      <c r="AX24">
        <v>500</v>
      </c>
      <c r="AY24">
        <v>11933005</v>
      </c>
      <c r="AZ24">
        <v>1</v>
      </c>
      <c r="BA24">
        <v>500</v>
      </c>
      <c r="BB24">
        <v>11933006</v>
      </c>
      <c r="BC24">
        <v>1</v>
      </c>
      <c r="BD24">
        <v>500</v>
      </c>
      <c r="BE24">
        <v>11933007</v>
      </c>
      <c r="BF24">
        <v>1</v>
      </c>
      <c r="BG24">
        <v>500</v>
      </c>
      <c r="BH24">
        <v>11933008</v>
      </c>
      <c r="BI24">
        <v>1</v>
      </c>
      <c r="BJ24">
        <v>500</v>
      </c>
      <c r="BK24">
        <v>11933009</v>
      </c>
      <c r="BL24">
        <v>1</v>
      </c>
      <c r="BM24">
        <v>500</v>
      </c>
      <c r="BN24" s="19" t="s">
        <v>94</v>
      </c>
      <c r="BO24" s="19">
        <v>8</v>
      </c>
      <c r="BP24" s="20" t="s">
        <v>95</v>
      </c>
      <c r="BQ24" s="20">
        <f t="shared" si="0"/>
        <v>5</v>
      </c>
      <c r="BR24" s="21" t="s">
        <v>96</v>
      </c>
      <c r="BS24" s="21">
        <v>0</v>
      </c>
      <c r="BT24" s="21" t="s">
        <v>97</v>
      </c>
      <c r="BU24" s="20">
        <v>2</v>
      </c>
      <c r="BV24" s="22">
        <v>4375</v>
      </c>
      <c r="BW24" s="1">
        <v>19</v>
      </c>
    </row>
    <row r="25" ht="14.5" customHeight="1" spans="2:75">
      <c r="B25" s="1">
        <v>21</v>
      </c>
      <c r="C25" s="1">
        <v>3</v>
      </c>
      <c r="D25" s="1" t="s">
        <v>122</v>
      </c>
      <c r="E25" s="1">
        <v>1</v>
      </c>
      <c r="F25" t="s">
        <v>91</v>
      </c>
      <c r="G25" s="1" t="s">
        <v>92</v>
      </c>
      <c r="H25" s="1" t="s">
        <v>123</v>
      </c>
      <c r="I25">
        <v>10000</v>
      </c>
      <c r="L25" s="1">
        <v>21</v>
      </c>
      <c r="M25" s="1">
        <v>210</v>
      </c>
      <c r="N25" s="1">
        <v>210</v>
      </c>
      <c r="BN25" s="19" t="s">
        <v>94</v>
      </c>
      <c r="BO25" s="19">
        <v>10</v>
      </c>
      <c r="BP25" s="20" t="s">
        <v>95</v>
      </c>
      <c r="BQ25" s="20">
        <f t="shared" si="0"/>
        <v>7</v>
      </c>
      <c r="BR25" s="21" t="s">
        <v>96</v>
      </c>
      <c r="BS25" s="21">
        <v>0</v>
      </c>
      <c r="BT25" s="21" t="s">
        <v>97</v>
      </c>
      <c r="BU25" s="20">
        <v>0</v>
      </c>
      <c r="BV25" s="22">
        <v>4750</v>
      </c>
      <c r="BW25" s="1">
        <v>20</v>
      </c>
    </row>
    <row r="26" ht="14.5" customHeight="1" spans="2:75">
      <c r="B26" s="1">
        <v>22</v>
      </c>
      <c r="C26" s="1">
        <v>3</v>
      </c>
      <c r="D26" s="1" t="s">
        <v>122</v>
      </c>
      <c r="E26" s="1">
        <v>2</v>
      </c>
      <c r="F26" t="s">
        <v>91</v>
      </c>
      <c r="G26" s="1" t="s">
        <v>92</v>
      </c>
      <c r="H26" s="1" t="s">
        <v>124</v>
      </c>
      <c r="I26">
        <v>10000</v>
      </c>
      <c r="L26" s="1">
        <v>22</v>
      </c>
      <c r="M26" s="1">
        <v>220</v>
      </c>
      <c r="N26" s="1">
        <v>220</v>
      </c>
      <c r="BN26" s="19" t="s">
        <v>94</v>
      </c>
      <c r="BO26" s="19">
        <v>10</v>
      </c>
      <c r="BP26" s="20" t="s">
        <v>95</v>
      </c>
      <c r="BQ26" s="20">
        <f t="shared" si="0"/>
        <v>7</v>
      </c>
      <c r="BR26" s="21" t="s">
        <v>96</v>
      </c>
      <c r="BS26" s="21">
        <v>0</v>
      </c>
      <c r="BT26" s="21" t="s">
        <v>97</v>
      </c>
      <c r="BU26" s="20">
        <v>0</v>
      </c>
      <c r="BV26" s="22">
        <v>5125</v>
      </c>
      <c r="BW26" s="1">
        <v>21</v>
      </c>
    </row>
    <row r="27" ht="14.5" customHeight="1" spans="2:75">
      <c r="B27" s="1">
        <v>23</v>
      </c>
      <c r="C27" s="1">
        <v>3</v>
      </c>
      <c r="D27" s="1" t="s">
        <v>122</v>
      </c>
      <c r="E27" s="1">
        <v>3</v>
      </c>
      <c r="F27" t="s">
        <v>91</v>
      </c>
      <c r="G27" s="1" t="s">
        <v>92</v>
      </c>
      <c r="H27" s="1" t="s">
        <v>125</v>
      </c>
      <c r="I27" s="1">
        <v>5000</v>
      </c>
      <c r="K27" s="1">
        <v>3600</v>
      </c>
      <c r="L27" s="1">
        <v>23</v>
      </c>
      <c r="M27" s="1">
        <v>230</v>
      </c>
      <c r="N27" s="1">
        <v>230</v>
      </c>
      <c r="O27">
        <v>11931006</v>
      </c>
      <c r="P27">
        <v>1</v>
      </c>
      <c r="Q27">
        <v>11931007</v>
      </c>
      <c r="R27">
        <v>1</v>
      </c>
      <c r="S27">
        <v>11931008</v>
      </c>
      <c r="T27">
        <v>1</v>
      </c>
      <c r="U27">
        <v>11932005</v>
      </c>
      <c r="V27">
        <v>1</v>
      </c>
      <c r="W27">
        <v>500</v>
      </c>
      <c r="X27">
        <v>11932006</v>
      </c>
      <c r="Y27">
        <v>1</v>
      </c>
      <c r="Z27">
        <v>500</v>
      </c>
      <c r="AA27">
        <v>11932007</v>
      </c>
      <c r="AB27">
        <v>1</v>
      </c>
      <c r="AC27">
        <v>500</v>
      </c>
      <c r="AD27">
        <v>11932008</v>
      </c>
      <c r="AE27">
        <v>1</v>
      </c>
      <c r="AF27">
        <v>500</v>
      </c>
      <c r="AG27">
        <v>11932009</v>
      </c>
      <c r="AH27">
        <v>1</v>
      </c>
      <c r="AI27">
        <v>500</v>
      </c>
      <c r="AJ27">
        <v>11933005</v>
      </c>
      <c r="AK27">
        <v>1</v>
      </c>
      <c r="AL27">
        <v>500</v>
      </c>
      <c r="AM27">
        <v>11933006</v>
      </c>
      <c r="AN27">
        <v>1</v>
      </c>
      <c r="AO27">
        <v>500</v>
      </c>
      <c r="AP27">
        <v>11933007</v>
      </c>
      <c r="AQ27">
        <v>1</v>
      </c>
      <c r="AR27">
        <v>500</v>
      </c>
      <c r="AS27">
        <v>11933008</v>
      </c>
      <c r="AT27">
        <v>1</v>
      </c>
      <c r="AU27">
        <v>500</v>
      </c>
      <c r="AV27">
        <v>11933009</v>
      </c>
      <c r="AW27">
        <v>1</v>
      </c>
      <c r="AX27">
        <v>500</v>
      </c>
      <c r="BN27" s="19" t="s">
        <v>94</v>
      </c>
      <c r="BO27" s="19">
        <v>10</v>
      </c>
      <c r="BP27" s="20" t="s">
        <v>95</v>
      </c>
      <c r="BQ27" s="20">
        <f t="shared" si="0"/>
        <v>7</v>
      </c>
      <c r="BR27" s="21" t="s">
        <v>96</v>
      </c>
      <c r="BS27" s="21">
        <v>0</v>
      </c>
      <c r="BT27" s="21" t="s">
        <v>97</v>
      </c>
      <c r="BU27" s="20">
        <v>0</v>
      </c>
      <c r="BV27" s="22">
        <v>5500</v>
      </c>
      <c r="BW27" s="1">
        <v>22</v>
      </c>
    </row>
    <row r="28" ht="14.5" customHeight="1" spans="2:75">
      <c r="B28" s="1">
        <v>24</v>
      </c>
      <c r="C28" s="1">
        <v>3</v>
      </c>
      <c r="D28" s="1" t="s">
        <v>122</v>
      </c>
      <c r="E28" s="1">
        <v>4</v>
      </c>
      <c r="F28" t="s">
        <v>91</v>
      </c>
      <c r="G28" s="1" t="s">
        <v>100</v>
      </c>
      <c r="H28" s="1" t="s">
        <v>126</v>
      </c>
      <c r="I28">
        <v>10000</v>
      </c>
      <c r="L28" s="1">
        <v>24</v>
      </c>
      <c r="M28" s="1">
        <v>240</v>
      </c>
      <c r="N28" s="1">
        <v>240</v>
      </c>
      <c r="BN28" s="19" t="s">
        <v>94</v>
      </c>
      <c r="BO28" s="19">
        <v>10</v>
      </c>
      <c r="BP28" s="20" t="s">
        <v>95</v>
      </c>
      <c r="BQ28" s="20">
        <f t="shared" si="0"/>
        <v>7</v>
      </c>
      <c r="BR28" s="21" t="s">
        <v>96</v>
      </c>
      <c r="BS28" s="21">
        <v>0</v>
      </c>
      <c r="BT28" s="21" t="s">
        <v>97</v>
      </c>
      <c r="BU28" s="20">
        <v>0</v>
      </c>
      <c r="BV28" s="22">
        <v>5875</v>
      </c>
      <c r="BW28" s="1">
        <v>23</v>
      </c>
    </row>
    <row r="29" ht="14.5" customHeight="1" spans="2:75">
      <c r="B29" s="1">
        <v>25</v>
      </c>
      <c r="C29" s="1">
        <v>3</v>
      </c>
      <c r="D29" s="1" t="s">
        <v>122</v>
      </c>
      <c r="E29" s="1">
        <v>5</v>
      </c>
      <c r="F29" t="s">
        <v>91</v>
      </c>
      <c r="G29" s="1" t="s">
        <v>100</v>
      </c>
      <c r="H29" s="1" t="s">
        <v>127</v>
      </c>
      <c r="I29">
        <v>10000</v>
      </c>
      <c r="L29" s="1">
        <v>25</v>
      </c>
      <c r="M29" s="1">
        <v>250</v>
      </c>
      <c r="N29" s="1">
        <v>250</v>
      </c>
      <c r="BN29" s="19" t="s">
        <v>94</v>
      </c>
      <c r="BO29" s="19">
        <v>10</v>
      </c>
      <c r="BP29" s="20" t="s">
        <v>95</v>
      </c>
      <c r="BQ29" s="20">
        <f t="shared" si="0"/>
        <v>7</v>
      </c>
      <c r="BR29" s="21" t="s">
        <v>96</v>
      </c>
      <c r="BS29" s="21">
        <v>0</v>
      </c>
      <c r="BT29" s="21" t="s">
        <v>97</v>
      </c>
      <c r="BU29" s="20">
        <v>2</v>
      </c>
      <c r="BV29" s="22">
        <v>6250</v>
      </c>
      <c r="BW29" s="1">
        <v>24</v>
      </c>
    </row>
    <row r="30" ht="14.5" customHeight="1" spans="2:75">
      <c r="B30" s="1">
        <v>26</v>
      </c>
      <c r="C30" s="1">
        <v>3</v>
      </c>
      <c r="D30" s="1" t="s">
        <v>122</v>
      </c>
      <c r="E30" s="1">
        <v>6</v>
      </c>
      <c r="F30" t="s">
        <v>91</v>
      </c>
      <c r="G30" s="1" t="s">
        <v>100</v>
      </c>
      <c r="H30" s="1" t="s">
        <v>128</v>
      </c>
      <c r="I30" s="1">
        <v>5000</v>
      </c>
      <c r="K30" s="1">
        <v>3600</v>
      </c>
      <c r="L30" s="1">
        <v>26</v>
      </c>
      <c r="M30" s="1">
        <v>260</v>
      </c>
      <c r="N30" s="1">
        <v>260</v>
      </c>
      <c r="O30">
        <v>11931006</v>
      </c>
      <c r="P30">
        <v>1</v>
      </c>
      <c r="Q30">
        <v>11931007</v>
      </c>
      <c r="R30">
        <v>1</v>
      </c>
      <c r="S30">
        <v>11931008</v>
      </c>
      <c r="T30">
        <v>1</v>
      </c>
      <c r="U30">
        <v>11932005</v>
      </c>
      <c r="V30">
        <v>1</v>
      </c>
      <c r="W30">
        <v>500</v>
      </c>
      <c r="X30">
        <v>11932006</v>
      </c>
      <c r="Y30">
        <v>1</v>
      </c>
      <c r="Z30">
        <v>500</v>
      </c>
      <c r="AA30">
        <v>11932007</v>
      </c>
      <c r="AB30">
        <v>1</v>
      </c>
      <c r="AC30">
        <v>500</v>
      </c>
      <c r="AD30">
        <v>11932008</v>
      </c>
      <c r="AE30">
        <v>1</v>
      </c>
      <c r="AF30">
        <v>500</v>
      </c>
      <c r="AG30">
        <v>11932009</v>
      </c>
      <c r="AH30">
        <v>1</v>
      </c>
      <c r="AI30">
        <v>500</v>
      </c>
      <c r="AJ30">
        <v>11933005</v>
      </c>
      <c r="AK30">
        <v>1</v>
      </c>
      <c r="AL30">
        <v>500</v>
      </c>
      <c r="AM30">
        <v>11933006</v>
      </c>
      <c r="AN30">
        <v>1</v>
      </c>
      <c r="AO30">
        <v>500</v>
      </c>
      <c r="AP30">
        <v>11933007</v>
      </c>
      <c r="AQ30">
        <v>1</v>
      </c>
      <c r="AR30">
        <v>500</v>
      </c>
      <c r="AS30">
        <v>11933008</v>
      </c>
      <c r="AT30">
        <v>1</v>
      </c>
      <c r="AU30">
        <v>500</v>
      </c>
      <c r="AV30">
        <v>11933009</v>
      </c>
      <c r="AW30">
        <v>1</v>
      </c>
      <c r="AX30">
        <v>500</v>
      </c>
      <c r="BN30" s="19" t="s">
        <v>94</v>
      </c>
      <c r="BO30" s="19">
        <v>10</v>
      </c>
      <c r="BP30" s="20" t="s">
        <v>95</v>
      </c>
      <c r="BQ30" s="20">
        <f t="shared" si="0"/>
        <v>7</v>
      </c>
      <c r="BR30" s="21" t="s">
        <v>96</v>
      </c>
      <c r="BS30" s="21">
        <v>0</v>
      </c>
      <c r="BT30" s="21" t="s">
        <v>97</v>
      </c>
      <c r="BU30" s="20">
        <v>0</v>
      </c>
      <c r="BV30" s="22">
        <v>6625</v>
      </c>
      <c r="BW30" s="1">
        <v>25</v>
      </c>
    </row>
    <row r="31" ht="14.5" customHeight="1" spans="2:75">
      <c r="B31" s="1">
        <v>27</v>
      </c>
      <c r="C31" s="1">
        <v>3</v>
      </c>
      <c r="D31" s="1" t="s">
        <v>122</v>
      </c>
      <c r="E31" s="1">
        <v>7</v>
      </c>
      <c r="F31" t="s">
        <v>91</v>
      </c>
      <c r="G31" s="1" t="s">
        <v>104</v>
      </c>
      <c r="H31" s="1" t="s">
        <v>129</v>
      </c>
      <c r="I31">
        <v>10000</v>
      </c>
      <c r="L31" s="1">
        <v>27</v>
      </c>
      <c r="M31" s="1">
        <v>270</v>
      </c>
      <c r="N31" s="1">
        <v>270</v>
      </c>
      <c r="BN31" s="19" t="s">
        <v>94</v>
      </c>
      <c r="BO31" s="19">
        <v>10</v>
      </c>
      <c r="BP31" s="20" t="s">
        <v>95</v>
      </c>
      <c r="BQ31" s="20">
        <f t="shared" si="0"/>
        <v>7</v>
      </c>
      <c r="BR31" s="21" t="s">
        <v>96</v>
      </c>
      <c r="BS31" s="21">
        <v>0</v>
      </c>
      <c r="BT31" s="21" t="s">
        <v>97</v>
      </c>
      <c r="BU31" s="20">
        <v>0</v>
      </c>
      <c r="BV31" s="22">
        <v>7000</v>
      </c>
      <c r="BW31" s="1">
        <v>26</v>
      </c>
    </row>
    <row r="32" ht="14.5" customHeight="1" spans="2:75">
      <c r="B32" s="1">
        <v>28</v>
      </c>
      <c r="C32" s="1">
        <v>3</v>
      </c>
      <c r="D32" s="1" t="s">
        <v>122</v>
      </c>
      <c r="E32" s="1">
        <v>8</v>
      </c>
      <c r="F32" t="s">
        <v>91</v>
      </c>
      <c r="G32" s="1" t="s">
        <v>104</v>
      </c>
      <c r="H32" s="1" t="s">
        <v>130</v>
      </c>
      <c r="I32">
        <v>10000</v>
      </c>
      <c r="L32" s="1">
        <v>28</v>
      </c>
      <c r="M32" s="1">
        <v>280</v>
      </c>
      <c r="N32" s="1">
        <v>280</v>
      </c>
      <c r="BN32" s="19" t="s">
        <v>94</v>
      </c>
      <c r="BO32" s="19">
        <v>10</v>
      </c>
      <c r="BP32" s="20" t="s">
        <v>95</v>
      </c>
      <c r="BQ32" s="20">
        <f t="shared" si="0"/>
        <v>7</v>
      </c>
      <c r="BR32" s="21" t="s">
        <v>96</v>
      </c>
      <c r="BS32" s="21">
        <v>0</v>
      </c>
      <c r="BT32" s="21" t="s">
        <v>97</v>
      </c>
      <c r="BU32" s="20">
        <v>0</v>
      </c>
      <c r="BV32" s="22">
        <v>7375</v>
      </c>
      <c r="BW32" s="1">
        <v>27</v>
      </c>
    </row>
    <row r="33" ht="14.5" customHeight="1" spans="2:75">
      <c r="B33" s="1">
        <v>29</v>
      </c>
      <c r="C33" s="1">
        <v>3</v>
      </c>
      <c r="D33" s="1" t="s">
        <v>122</v>
      </c>
      <c r="E33" s="1">
        <v>9</v>
      </c>
      <c r="F33" t="s">
        <v>91</v>
      </c>
      <c r="G33" s="1" t="s">
        <v>104</v>
      </c>
      <c r="H33" s="1" t="s">
        <v>131</v>
      </c>
      <c r="I33" s="1">
        <v>5000</v>
      </c>
      <c r="K33" s="1">
        <v>3600</v>
      </c>
      <c r="L33" s="1">
        <v>29</v>
      </c>
      <c r="M33" s="1">
        <v>290</v>
      </c>
      <c r="N33" s="1">
        <v>290</v>
      </c>
      <c r="O33">
        <v>11931006</v>
      </c>
      <c r="P33">
        <v>1</v>
      </c>
      <c r="Q33">
        <v>11931007</v>
      </c>
      <c r="R33">
        <v>1</v>
      </c>
      <c r="S33">
        <v>11931008</v>
      </c>
      <c r="T33">
        <v>1</v>
      </c>
      <c r="U33">
        <v>11932005</v>
      </c>
      <c r="V33">
        <v>1</v>
      </c>
      <c r="W33">
        <v>500</v>
      </c>
      <c r="X33">
        <v>11932006</v>
      </c>
      <c r="Y33">
        <v>1</v>
      </c>
      <c r="Z33">
        <v>500</v>
      </c>
      <c r="AA33">
        <v>11932007</v>
      </c>
      <c r="AB33">
        <v>1</v>
      </c>
      <c r="AC33">
        <v>500</v>
      </c>
      <c r="AD33">
        <v>11932008</v>
      </c>
      <c r="AE33">
        <v>1</v>
      </c>
      <c r="AF33">
        <v>500</v>
      </c>
      <c r="AG33">
        <v>11932009</v>
      </c>
      <c r="AH33">
        <v>1</v>
      </c>
      <c r="AI33">
        <v>500</v>
      </c>
      <c r="AJ33">
        <v>11933005</v>
      </c>
      <c r="AK33">
        <v>1</v>
      </c>
      <c r="AL33">
        <v>500</v>
      </c>
      <c r="AM33">
        <v>11933006</v>
      </c>
      <c r="AN33">
        <v>1</v>
      </c>
      <c r="AO33">
        <v>500</v>
      </c>
      <c r="AP33">
        <v>11933007</v>
      </c>
      <c r="AQ33">
        <v>1</v>
      </c>
      <c r="AR33">
        <v>500</v>
      </c>
      <c r="AS33">
        <v>11933008</v>
      </c>
      <c r="AT33">
        <v>1</v>
      </c>
      <c r="AU33">
        <v>500</v>
      </c>
      <c r="AV33">
        <v>11933009</v>
      </c>
      <c r="AW33">
        <v>1</v>
      </c>
      <c r="AX33">
        <v>500</v>
      </c>
      <c r="BN33" s="19" t="s">
        <v>94</v>
      </c>
      <c r="BO33" s="19">
        <v>10</v>
      </c>
      <c r="BP33" s="20" t="s">
        <v>95</v>
      </c>
      <c r="BQ33" s="20">
        <f t="shared" si="0"/>
        <v>7</v>
      </c>
      <c r="BR33" s="21" t="s">
        <v>96</v>
      </c>
      <c r="BS33" s="21">
        <v>0</v>
      </c>
      <c r="BT33" s="21" t="s">
        <v>97</v>
      </c>
      <c r="BU33" s="20">
        <v>0</v>
      </c>
      <c r="BV33" s="22">
        <v>7750</v>
      </c>
      <c r="BW33" s="1">
        <v>28</v>
      </c>
    </row>
    <row r="34" ht="14" customHeight="1" spans="2:75">
      <c r="B34" s="1">
        <v>30</v>
      </c>
      <c r="C34" s="1">
        <v>3</v>
      </c>
      <c r="D34" s="1" t="s">
        <v>122</v>
      </c>
      <c r="E34" s="1">
        <v>10</v>
      </c>
      <c r="F34" s="1" t="s">
        <v>108</v>
      </c>
      <c r="G34" s="1" t="s">
        <v>109</v>
      </c>
      <c r="H34" s="1" t="s">
        <v>132</v>
      </c>
      <c r="I34" s="1">
        <v>5000</v>
      </c>
      <c r="K34" s="1">
        <v>3600</v>
      </c>
      <c r="L34" s="1">
        <v>30</v>
      </c>
      <c r="M34" s="1">
        <v>300</v>
      </c>
      <c r="N34" s="1">
        <v>300</v>
      </c>
      <c r="O34">
        <v>11941005</v>
      </c>
      <c r="P34">
        <v>1</v>
      </c>
      <c r="Q34">
        <v>11941007</v>
      </c>
      <c r="R34">
        <v>1</v>
      </c>
      <c r="S34">
        <v>11941009</v>
      </c>
      <c r="T34">
        <v>1</v>
      </c>
      <c r="U34">
        <v>11941005</v>
      </c>
      <c r="V34">
        <v>1</v>
      </c>
      <c r="W34">
        <v>500</v>
      </c>
      <c r="X34">
        <v>11941006</v>
      </c>
      <c r="Y34">
        <v>1</v>
      </c>
      <c r="Z34">
        <v>500</v>
      </c>
      <c r="AA34">
        <v>11941007</v>
      </c>
      <c r="AB34">
        <v>1</v>
      </c>
      <c r="AC34">
        <v>500</v>
      </c>
      <c r="AD34">
        <v>11941008</v>
      </c>
      <c r="AE34">
        <v>1</v>
      </c>
      <c r="AF34">
        <v>500</v>
      </c>
      <c r="AG34">
        <v>11941009</v>
      </c>
      <c r="AH34">
        <v>1</v>
      </c>
      <c r="AI34">
        <v>500</v>
      </c>
      <c r="AJ34">
        <v>11942005</v>
      </c>
      <c r="AK34">
        <v>1</v>
      </c>
      <c r="AL34">
        <v>500</v>
      </c>
      <c r="AM34">
        <v>11942006</v>
      </c>
      <c r="AN34">
        <v>1</v>
      </c>
      <c r="AO34">
        <v>500</v>
      </c>
      <c r="AP34">
        <v>11942007</v>
      </c>
      <c r="AQ34">
        <v>1</v>
      </c>
      <c r="AR34">
        <v>500</v>
      </c>
      <c r="AS34">
        <v>11942008</v>
      </c>
      <c r="AT34">
        <v>1</v>
      </c>
      <c r="AU34">
        <v>500</v>
      </c>
      <c r="AV34">
        <v>11942009</v>
      </c>
      <c r="AW34">
        <v>1</v>
      </c>
      <c r="AX34">
        <v>500</v>
      </c>
      <c r="AY34">
        <v>11943005</v>
      </c>
      <c r="AZ34">
        <v>1</v>
      </c>
      <c r="BA34">
        <v>500</v>
      </c>
      <c r="BB34">
        <v>11943006</v>
      </c>
      <c r="BC34">
        <v>1</v>
      </c>
      <c r="BD34">
        <v>500</v>
      </c>
      <c r="BE34">
        <v>11943007</v>
      </c>
      <c r="BF34">
        <v>1</v>
      </c>
      <c r="BG34">
        <v>500</v>
      </c>
      <c r="BH34">
        <v>11943008</v>
      </c>
      <c r="BI34">
        <v>1</v>
      </c>
      <c r="BJ34">
        <v>500</v>
      </c>
      <c r="BK34">
        <v>11943009</v>
      </c>
      <c r="BL34">
        <v>1</v>
      </c>
      <c r="BM34">
        <v>500</v>
      </c>
      <c r="BN34" s="19" t="s">
        <v>94</v>
      </c>
      <c r="BO34" s="19">
        <v>10</v>
      </c>
      <c r="BP34" s="20" t="s">
        <v>95</v>
      </c>
      <c r="BQ34" s="20">
        <f t="shared" si="0"/>
        <v>7</v>
      </c>
      <c r="BR34" s="21" t="s">
        <v>96</v>
      </c>
      <c r="BS34" s="21">
        <v>0</v>
      </c>
      <c r="BT34" s="21" t="s">
        <v>97</v>
      </c>
      <c r="BU34" s="20">
        <v>2</v>
      </c>
      <c r="BV34" s="22">
        <v>8125</v>
      </c>
      <c r="BW34" s="1">
        <v>29</v>
      </c>
    </row>
    <row r="35" ht="14.5" customHeight="1" spans="2:75">
      <c r="B35" s="1">
        <v>31</v>
      </c>
      <c r="C35" s="1">
        <v>4</v>
      </c>
      <c r="D35" s="1" t="s">
        <v>133</v>
      </c>
      <c r="E35" s="1">
        <v>1</v>
      </c>
      <c r="F35" t="s">
        <v>91</v>
      </c>
      <c r="G35" s="1" t="s">
        <v>92</v>
      </c>
      <c r="H35" s="1" t="s">
        <v>134</v>
      </c>
      <c r="I35">
        <v>10000</v>
      </c>
      <c r="L35" s="1">
        <v>31</v>
      </c>
      <c r="M35" s="1">
        <v>310</v>
      </c>
      <c r="N35" s="1">
        <v>310</v>
      </c>
      <c r="BN35" s="19" t="s">
        <v>94</v>
      </c>
      <c r="BO35" s="19">
        <v>16</v>
      </c>
      <c r="BP35" s="20" t="s">
        <v>95</v>
      </c>
      <c r="BQ35" s="20">
        <f t="shared" si="0"/>
        <v>11</v>
      </c>
      <c r="BR35" s="21" t="s">
        <v>96</v>
      </c>
      <c r="BS35" s="21">
        <v>0</v>
      </c>
      <c r="BT35" s="21" t="s">
        <v>97</v>
      </c>
      <c r="BU35" s="20">
        <v>0</v>
      </c>
      <c r="BV35" s="22">
        <v>8500</v>
      </c>
      <c r="BW35" s="1">
        <v>30</v>
      </c>
    </row>
    <row r="36" ht="14.5" customHeight="1" spans="2:75">
      <c r="B36" s="1">
        <v>32</v>
      </c>
      <c r="C36" s="1">
        <v>4</v>
      </c>
      <c r="D36" s="1" t="s">
        <v>133</v>
      </c>
      <c r="E36" s="1">
        <v>2</v>
      </c>
      <c r="F36" t="s">
        <v>91</v>
      </c>
      <c r="G36" s="1" t="s">
        <v>92</v>
      </c>
      <c r="H36" s="1" t="s">
        <v>135</v>
      </c>
      <c r="I36">
        <v>10000</v>
      </c>
      <c r="L36" s="1">
        <v>32</v>
      </c>
      <c r="M36" s="1">
        <v>320</v>
      </c>
      <c r="N36" s="1">
        <v>320</v>
      </c>
      <c r="BN36" s="19" t="s">
        <v>94</v>
      </c>
      <c r="BO36" s="19">
        <v>16</v>
      </c>
      <c r="BP36" s="20" t="s">
        <v>95</v>
      </c>
      <c r="BQ36" s="20">
        <f t="shared" si="0"/>
        <v>11</v>
      </c>
      <c r="BR36" s="21" t="s">
        <v>96</v>
      </c>
      <c r="BS36" s="21">
        <v>0</v>
      </c>
      <c r="BT36" s="21" t="s">
        <v>97</v>
      </c>
      <c r="BU36" s="20">
        <v>0</v>
      </c>
      <c r="BV36" s="22">
        <v>8875</v>
      </c>
      <c r="BW36" s="1">
        <v>31</v>
      </c>
    </row>
    <row r="37" ht="14.5" customHeight="1" spans="2:75">
      <c r="B37" s="1">
        <v>33</v>
      </c>
      <c r="C37" s="1">
        <v>4</v>
      </c>
      <c r="D37" s="1" t="s">
        <v>133</v>
      </c>
      <c r="E37" s="1">
        <v>3</v>
      </c>
      <c r="F37" t="s">
        <v>91</v>
      </c>
      <c r="G37" s="1" t="s">
        <v>92</v>
      </c>
      <c r="H37" s="1" t="s">
        <v>136</v>
      </c>
      <c r="I37" s="1">
        <v>5000</v>
      </c>
      <c r="K37" s="1">
        <v>3600</v>
      </c>
      <c r="L37" s="1">
        <v>33</v>
      </c>
      <c r="M37" s="1">
        <v>330</v>
      </c>
      <c r="N37" s="1">
        <v>330</v>
      </c>
      <c r="O37">
        <v>11941006</v>
      </c>
      <c r="P37">
        <v>1</v>
      </c>
      <c r="Q37">
        <v>11941007</v>
      </c>
      <c r="R37">
        <v>1</v>
      </c>
      <c r="S37">
        <v>11941008</v>
      </c>
      <c r="T37">
        <v>1</v>
      </c>
      <c r="U37">
        <v>11942005</v>
      </c>
      <c r="V37">
        <v>1</v>
      </c>
      <c r="W37">
        <v>500</v>
      </c>
      <c r="X37">
        <v>11942006</v>
      </c>
      <c r="Y37">
        <v>1</v>
      </c>
      <c r="Z37">
        <v>500</v>
      </c>
      <c r="AA37">
        <v>11942007</v>
      </c>
      <c r="AB37">
        <v>1</v>
      </c>
      <c r="AC37">
        <v>500</v>
      </c>
      <c r="AD37">
        <v>11942008</v>
      </c>
      <c r="AE37">
        <v>1</v>
      </c>
      <c r="AF37">
        <v>500</v>
      </c>
      <c r="AG37">
        <v>11942009</v>
      </c>
      <c r="AH37">
        <v>1</v>
      </c>
      <c r="AI37">
        <v>500</v>
      </c>
      <c r="AJ37">
        <v>11943005</v>
      </c>
      <c r="AK37">
        <v>1</v>
      </c>
      <c r="AL37">
        <v>500</v>
      </c>
      <c r="AM37">
        <v>11943006</v>
      </c>
      <c r="AN37">
        <v>1</v>
      </c>
      <c r="AO37">
        <v>500</v>
      </c>
      <c r="AP37">
        <v>11943007</v>
      </c>
      <c r="AQ37">
        <v>1</v>
      </c>
      <c r="AR37">
        <v>500</v>
      </c>
      <c r="AS37">
        <v>11943008</v>
      </c>
      <c r="AT37">
        <v>1</v>
      </c>
      <c r="AU37">
        <v>500</v>
      </c>
      <c r="AV37">
        <v>11943009</v>
      </c>
      <c r="AW37">
        <v>1</v>
      </c>
      <c r="AX37">
        <v>500</v>
      </c>
      <c r="BN37" s="19" t="s">
        <v>94</v>
      </c>
      <c r="BO37" s="19">
        <v>16</v>
      </c>
      <c r="BP37" s="20" t="s">
        <v>95</v>
      </c>
      <c r="BQ37" s="20">
        <f t="shared" si="0"/>
        <v>11</v>
      </c>
      <c r="BR37" s="21" t="s">
        <v>96</v>
      </c>
      <c r="BS37" s="21">
        <v>0</v>
      </c>
      <c r="BT37" s="21" t="s">
        <v>97</v>
      </c>
      <c r="BU37" s="20">
        <v>0</v>
      </c>
      <c r="BV37" s="22">
        <v>9250</v>
      </c>
      <c r="BW37" s="1">
        <v>32</v>
      </c>
    </row>
    <row r="38" ht="14.5" customHeight="1" spans="2:75">
      <c r="B38" s="1">
        <v>34</v>
      </c>
      <c r="C38" s="1">
        <v>4</v>
      </c>
      <c r="D38" s="1" t="s">
        <v>133</v>
      </c>
      <c r="E38" s="1">
        <v>4</v>
      </c>
      <c r="F38" t="s">
        <v>91</v>
      </c>
      <c r="G38" s="1" t="s">
        <v>100</v>
      </c>
      <c r="H38" s="1" t="s">
        <v>137</v>
      </c>
      <c r="I38">
        <v>10000</v>
      </c>
      <c r="L38" s="1">
        <v>34</v>
      </c>
      <c r="M38" s="1">
        <v>340</v>
      </c>
      <c r="N38" s="1">
        <v>340</v>
      </c>
      <c r="BN38" s="19" t="s">
        <v>94</v>
      </c>
      <c r="BO38" s="19">
        <v>16</v>
      </c>
      <c r="BP38" s="20" t="s">
        <v>95</v>
      </c>
      <c r="BQ38" s="20">
        <f t="shared" si="0"/>
        <v>11</v>
      </c>
      <c r="BR38" s="21" t="s">
        <v>96</v>
      </c>
      <c r="BS38" s="21">
        <v>0</v>
      </c>
      <c r="BT38" s="21" t="s">
        <v>97</v>
      </c>
      <c r="BU38" s="20">
        <v>0</v>
      </c>
      <c r="BV38" s="22">
        <v>9625</v>
      </c>
      <c r="BW38" s="1">
        <v>33</v>
      </c>
    </row>
    <row r="39" ht="14.5" customHeight="1" spans="2:75">
      <c r="B39" s="1">
        <v>35</v>
      </c>
      <c r="C39" s="1">
        <v>4</v>
      </c>
      <c r="D39" s="1" t="s">
        <v>133</v>
      </c>
      <c r="E39" s="1">
        <v>5</v>
      </c>
      <c r="F39" t="s">
        <v>91</v>
      </c>
      <c r="G39" s="1" t="s">
        <v>100</v>
      </c>
      <c r="H39" s="1" t="s">
        <v>138</v>
      </c>
      <c r="I39">
        <v>10000</v>
      </c>
      <c r="L39" s="1">
        <v>35</v>
      </c>
      <c r="M39" s="1">
        <v>350</v>
      </c>
      <c r="N39" s="1">
        <v>350</v>
      </c>
      <c r="BN39" s="19" t="s">
        <v>94</v>
      </c>
      <c r="BO39" s="19">
        <v>16</v>
      </c>
      <c r="BP39" s="20" t="s">
        <v>95</v>
      </c>
      <c r="BQ39" s="20">
        <f t="shared" si="0"/>
        <v>11</v>
      </c>
      <c r="BR39" s="21" t="s">
        <v>96</v>
      </c>
      <c r="BS39" s="21">
        <v>0</v>
      </c>
      <c r="BT39" s="21" t="s">
        <v>97</v>
      </c>
      <c r="BU39" s="20">
        <v>2</v>
      </c>
      <c r="BV39" s="22">
        <v>10000</v>
      </c>
      <c r="BW39" s="1">
        <v>34</v>
      </c>
    </row>
    <row r="40" ht="14.5" customHeight="1" spans="2:75">
      <c r="B40" s="1">
        <v>36</v>
      </c>
      <c r="C40" s="1">
        <v>4</v>
      </c>
      <c r="D40" s="1" t="s">
        <v>133</v>
      </c>
      <c r="E40" s="1">
        <v>6</v>
      </c>
      <c r="F40" t="s">
        <v>91</v>
      </c>
      <c r="G40" s="1" t="s">
        <v>100</v>
      </c>
      <c r="H40" s="1" t="s">
        <v>139</v>
      </c>
      <c r="I40" s="1">
        <v>5000</v>
      </c>
      <c r="K40" s="1">
        <v>3600</v>
      </c>
      <c r="L40" s="1">
        <v>36</v>
      </c>
      <c r="M40" s="1">
        <v>360</v>
      </c>
      <c r="N40" s="1">
        <v>360</v>
      </c>
      <c r="O40">
        <v>11941006</v>
      </c>
      <c r="P40">
        <v>1</v>
      </c>
      <c r="Q40">
        <v>11941007</v>
      </c>
      <c r="R40">
        <v>1</v>
      </c>
      <c r="S40">
        <v>11941008</v>
      </c>
      <c r="T40">
        <v>1</v>
      </c>
      <c r="U40">
        <v>11942005</v>
      </c>
      <c r="V40">
        <v>1</v>
      </c>
      <c r="W40">
        <v>500</v>
      </c>
      <c r="X40">
        <v>11942006</v>
      </c>
      <c r="Y40">
        <v>1</v>
      </c>
      <c r="Z40">
        <v>500</v>
      </c>
      <c r="AA40">
        <v>11942007</v>
      </c>
      <c r="AB40">
        <v>1</v>
      </c>
      <c r="AC40">
        <v>500</v>
      </c>
      <c r="AD40">
        <v>11942008</v>
      </c>
      <c r="AE40">
        <v>1</v>
      </c>
      <c r="AF40">
        <v>500</v>
      </c>
      <c r="AG40">
        <v>11942009</v>
      </c>
      <c r="AH40">
        <v>1</v>
      </c>
      <c r="AI40">
        <v>500</v>
      </c>
      <c r="AJ40">
        <v>11943005</v>
      </c>
      <c r="AK40">
        <v>1</v>
      </c>
      <c r="AL40">
        <v>500</v>
      </c>
      <c r="AM40">
        <v>11943006</v>
      </c>
      <c r="AN40">
        <v>1</v>
      </c>
      <c r="AO40">
        <v>500</v>
      </c>
      <c r="AP40">
        <v>11943007</v>
      </c>
      <c r="AQ40">
        <v>1</v>
      </c>
      <c r="AR40">
        <v>500</v>
      </c>
      <c r="AS40">
        <v>11943008</v>
      </c>
      <c r="AT40">
        <v>1</v>
      </c>
      <c r="AU40">
        <v>500</v>
      </c>
      <c r="AV40">
        <v>11943009</v>
      </c>
      <c r="AW40">
        <v>1</v>
      </c>
      <c r="AX40">
        <v>500</v>
      </c>
      <c r="BN40" s="19" t="s">
        <v>94</v>
      </c>
      <c r="BO40" s="19">
        <v>16</v>
      </c>
      <c r="BP40" s="20" t="s">
        <v>95</v>
      </c>
      <c r="BQ40" s="20">
        <f t="shared" si="0"/>
        <v>11</v>
      </c>
      <c r="BR40" s="21" t="s">
        <v>96</v>
      </c>
      <c r="BS40" s="21">
        <v>0</v>
      </c>
      <c r="BT40" s="21" t="s">
        <v>97</v>
      </c>
      <c r="BU40" s="20">
        <v>0</v>
      </c>
      <c r="BV40" s="22">
        <v>30000</v>
      </c>
      <c r="BW40" s="1">
        <v>35</v>
      </c>
    </row>
    <row r="41" ht="14.5" customHeight="1" spans="2:75">
      <c r="B41" s="1">
        <v>37</v>
      </c>
      <c r="C41" s="1">
        <v>4</v>
      </c>
      <c r="D41" s="1" t="s">
        <v>133</v>
      </c>
      <c r="E41" s="1">
        <v>7</v>
      </c>
      <c r="F41" t="s">
        <v>91</v>
      </c>
      <c r="G41" s="1" t="s">
        <v>104</v>
      </c>
      <c r="H41" s="1" t="s">
        <v>140</v>
      </c>
      <c r="I41">
        <v>10000</v>
      </c>
      <c r="L41" s="1">
        <v>37</v>
      </c>
      <c r="M41" s="1">
        <v>370</v>
      </c>
      <c r="N41" s="1">
        <v>370</v>
      </c>
      <c r="BN41" s="19" t="s">
        <v>94</v>
      </c>
      <c r="BO41" s="19">
        <v>16</v>
      </c>
      <c r="BP41" s="20" t="s">
        <v>95</v>
      </c>
      <c r="BQ41" s="20">
        <f t="shared" si="0"/>
        <v>11</v>
      </c>
      <c r="BR41" s="21" t="s">
        <v>96</v>
      </c>
      <c r="BS41" s="21">
        <v>0</v>
      </c>
      <c r="BT41" s="21" t="s">
        <v>97</v>
      </c>
      <c r="BU41" s="20">
        <v>0</v>
      </c>
      <c r="BV41" s="22">
        <v>40000</v>
      </c>
      <c r="BW41" s="1">
        <v>36</v>
      </c>
    </row>
    <row r="42" ht="14.5" customHeight="1" spans="2:75">
      <c r="B42" s="1">
        <v>38</v>
      </c>
      <c r="C42" s="1">
        <v>4</v>
      </c>
      <c r="D42" s="1" t="s">
        <v>133</v>
      </c>
      <c r="E42" s="1">
        <v>8</v>
      </c>
      <c r="F42" t="s">
        <v>91</v>
      </c>
      <c r="G42" s="1" t="s">
        <v>104</v>
      </c>
      <c r="H42" s="1" t="s">
        <v>141</v>
      </c>
      <c r="I42">
        <v>10000</v>
      </c>
      <c r="L42" s="1">
        <v>38</v>
      </c>
      <c r="M42" s="1">
        <v>380</v>
      </c>
      <c r="N42" s="1">
        <v>380</v>
      </c>
      <c r="BN42" s="19" t="s">
        <v>94</v>
      </c>
      <c r="BO42" s="19">
        <v>16</v>
      </c>
      <c r="BP42" s="20" t="s">
        <v>95</v>
      </c>
      <c r="BQ42" s="20">
        <f t="shared" si="0"/>
        <v>11</v>
      </c>
      <c r="BR42" s="21" t="s">
        <v>96</v>
      </c>
      <c r="BS42" s="21">
        <v>0</v>
      </c>
      <c r="BT42" s="21" t="s">
        <v>97</v>
      </c>
      <c r="BU42" s="20">
        <v>0</v>
      </c>
      <c r="BV42" s="22">
        <v>45000</v>
      </c>
      <c r="BW42" s="1">
        <v>37</v>
      </c>
    </row>
    <row r="43" ht="14.5" customHeight="1" spans="2:75">
      <c r="B43" s="1">
        <v>39</v>
      </c>
      <c r="C43" s="1">
        <v>4</v>
      </c>
      <c r="D43" s="1" t="s">
        <v>133</v>
      </c>
      <c r="E43" s="1">
        <v>9</v>
      </c>
      <c r="F43" t="s">
        <v>91</v>
      </c>
      <c r="G43" s="1" t="s">
        <v>104</v>
      </c>
      <c r="H43" s="1" t="s">
        <v>142</v>
      </c>
      <c r="I43" s="1">
        <v>5000</v>
      </c>
      <c r="K43" s="1">
        <v>3600</v>
      </c>
      <c r="L43" s="1">
        <v>39</v>
      </c>
      <c r="M43" s="1">
        <v>390</v>
      </c>
      <c r="N43" s="1">
        <v>390</v>
      </c>
      <c r="O43">
        <v>11941006</v>
      </c>
      <c r="P43">
        <v>1</v>
      </c>
      <c r="Q43">
        <v>11941007</v>
      </c>
      <c r="R43">
        <v>1</v>
      </c>
      <c r="S43">
        <v>11941008</v>
      </c>
      <c r="T43">
        <v>1</v>
      </c>
      <c r="U43">
        <v>11942005</v>
      </c>
      <c r="V43">
        <v>1</v>
      </c>
      <c r="W43">
        <v>500</v>
      </c>
      <c r="X43">
        <v>11942006</v>
      </c>
      <c r="Y43">
        <v>1</v>
      </c>
      <c r="Z43">
        <v>500</v>
      </c>
      <c r="AA43">
        <v>11942007</v>
      </c>
      <c r="AB43">
        <v>1</v>
      </c>
      <c r="AC43">
        <v>500</v>
      </c>
      <c r="AD43">
        <v>11942008</v>
      </c>
      <c r="AE43">
        <v>1</v>
      </c>
      <c r="AF43">
        <v>500</v>
      </c>
      <c r="AG43">
        <v>11942009</v>
      </c>
      <c r="AH43">
        <v>1</v>
      </c>
      <c r="AI43">
        <v>500</v>
      </c>
      <c r="AJ43">
        <v>11943005</v>
      </c>
      <c r="AK43">
        <v>1</v>
      </c>
      <c r="AL43">
        <v>500</v>
      </c>
      <c r="AM43">
        <v>11943006</v>
      </c>
      <c r="AN43">
        <v>1</v>
      </c>
      <c r="AO43">
        <v>500</v>
      </c>
      <c r="AP43">
        <v>11943007</v>
      </c>
      <c r="AQ43">
        <v>1</v>
      </c>
      <c r="AR43">
        <v>500</v>
      </c>
      <c r="AS43">
        <v>11943008</v>
      </c>
      <c r="AT43">
        <v>1</v>
      </c>
      <c r="AU43">
        <v>500</v>
      </c>
      <c r="AV43">
        <v>11943009</v>
      </c>
      <c r="AW43">
        <v>1</v>
      </c>
      <c r="AX43">
        <v>500</v>
      </c>
      <c r="BN43" s="19" t="s">
        <v>94</v>
      </c>
      <c r="BO43" s="19">
        <v>16</v>
      </c>
      <c r="BP43" s="20" t="s">
        <v>95</v>
      </c>
      <c r="BQ43" s="20">
        <f t="shared" si="0"/>
        <v>11</v>
      </c>
      <c r="BR43" s="21" t="s">
        <v>96</v>
      </c>
      <c r="BS43" s="21">
        <v>0</v>
      </c>
      <c r="BT43" s="21" t="s">
        <v>97</v>
      </c>
      <c r="BU43" s="20">
        <v>0</v>
      </c>
      <c r="BV43" s="22">
        <v>54500</v>
      </c>
      <c r="BW43" s="1">
        <v>38</v>
      </c>
    </row>
    <row r="44" ht="14" customHeight="1" spans="2:75">
      <c r="B44" s="1">
        <v>40</v>
      </c>
      <c r="C44" s="1">
        <v>4</v>
      </c>
      <c r="D44" s="1" t="s">
        <v>133</v>
      </c>
      <c r="E44" s="1">
        <v>10</v>
      </c>
      <c r="F44" s="1" t="s">
        <v>108</v>
      </c>
      <c r="G44" s="1" t="s">
        <v>109</v>
      </c>
      <c r="H44" s="1" t="s">
        <v>143</v>
      </c>
      <c r="I44" s="1">
        <v>5000</v>
      </c>
      <c r="K44" s="1">
        <v>3600</v>
      </c>
      <c r="L44" s="1">
        <v>40</v>
      </c>
      <c r="M44" s="1">
        <v>400</v>
      </c>
      <c r="N44" s="1">
        <v>400</v>
      </c>
      <c r="O44">
        <v>11952005</v>
      </c>
      <c r="P44">
        <v>1</v>
      </c>
      <c r="Q44">
        <v>11952007</v>
      </c>
      <c r="R44">
        <v>1</v>
      </c>
      <c r="S44">
        <v>11952009</v>
      </c>
      <c r="T44">
        <v>1</v>
      </c>
      <c r="U44">
        <v>11952005</v>
      </c>
      <c r="V44">
        <v>1</v>
      </c>
      <c r="W44">
        <v>500</v>
      </c>
      <c r="X44">
        <v>11952006</v>
      </c>
      <c r="Y44">
        <v>1</v>
      </c>
      <c r="Z44">
        <v>500</v>
      </c>
      <c r="AA44">
        <v>11952007</v>
      </c>
      <c r="AB44">
        <v>1</v>
      </c>
      <c r="AC44">
        <v>500</v>
      </c>
      <c r="AD44">
        <v>11952008</v>
      </c>
      <c r="AE44">
        <v>1</v>
      </c>
      <c r="AF44">
        <v>500</v>
      </c>
      <c r="AG44">
        <v>11952009</v>
      </c>
      <c r="AH44">
        <v>1</v>
      </c>
      <c r="AI44">
        <v>500</v>
      </c>
      <c r="AJ44">
        <v>11953005</v>
      </c>
      <c r="AK44">
        <v>1</v>
      </c>
      <c r="AL44">
        <v>500</v>
      </c>
      <c r="AM44">
        <v>11953006</v>
      </c>
      <c r="AN44">
        <v>1</v>
      </c>
      <c r="AO44">
        <v>500</v>
      </c>
      <c r="AP44">
        <v>11953007</v>
      </c>
      <c r="AQ44">
        <v>1</v>
      </c>
      <c r="AR44">
        <v>500</v>
      </c>
      <c r="AS44">
        <v>11953008</v>
      </c>
      <c r="AT44">
        <v>1</v>
      </c>
      <c r="AU44">
        <v>500</v>
      </c>
      <c r="AV44">
        <v>11953009</v>
      </c>
      <c r="AW44">
        <v>1</v>
      </c>
      <c r="AX44">
        <v>500</v>
      </c>
      <c r="AY44">
        <v>11954005</v>
      </c>
      <c r="AZ44">
        <v>1</v>
      </c>
      <c r="BA44">
        <v>500</v>
      </c>
      <c r="BB44">
        <v>11954006</v>
      </c>
      <c r="BC44">
        <v>1</v>
      </c>
      <c r="BD44">
        <v>500</v>
      </c>
      <c r="BE44">
        <v>11954007</v>
      </c>
      <c r="BF44">
        <v>1</v>
      </c>
      <c r="BG44">
        <v>500</v>
      </c>
      <c r="BH44">
        <v>11954008</v>
      </c>
      <c r="BI44">
        <v>1</v>
      </c>
      <c r="BJ44">
        <v>500</v>
      </c>
      <c r="BK44">
        <v>11954009</v>
      </c>
      <c r="BL44">
        <v>1</v>
      </c>
      <c r="BM44">
        <v>500</v>
      </c>
      <c r="BN44" s="19" t="s">
        <v>94</v>
      </c>
      <c r="BO44" s="19">
        <v>16</v>
      </c>
      <c r="BP44" s="20" t="s">
        <v>95</v>
      </c>
      <c r="BQ44" s="20">
        <f t="shared" si="0"/>
        <v>11</v>
      </c>
      <c r="BR44" s="21" t="s">
        <v>96</v>
      </c>
      <c r="BS44" s="21">
        <v>0</v>
      </c>
      <c r="BT44" s="21" t="s">
        <v>97</v>
      </c>
      <c r="BU44" s="20">
        <v>3</v>
      </c>
      <c r="BV44" s="22">
        <v>56000</v>
      </c>
      <c r="BW44" s="1">
        <v>39</v>
      </c>
    </row>
    <row r="45" ht="14.5" customHeight="1" spans="2:75">
      <c r="B45" s="1">
        <v>41</v>
      </c>
      <c r="C45" s="1">
        <v>5</v>
      </c>
      <c r="D45" s="1" t="s">
        <v>144</v>
      </c>
      <c r="E45" s="1">
        <v>1</v>
      </c>
      <c r="F45" t="s">
        <v>91</v>
      </c>
      <c r="G45" s="1" t="s">
        <v>92</v>
      </c>
      <c r="H45" s="1" t="s">
        <v>145</v>
      </c>
      <c r="I45">
        <v>10000</v>
      </c>
      <c r="L45" s="1">
        <v>41</v>
      </c>
      <c r="M45" s="1">
        <v>410</v>
      </c>
      <c r="N45" s="1">
        <v>410</v>
      </c>
      <c r="BN45" s="19" t="s">
        <v>94</v>
      </c>
      <c r="BO45" s="19">
        <v>24</v>
      </c>
      <c r="BP45" s="20" t="s">
        <v>95</v>
      </c>
      <c r="BQ45" s="20">
        <f t="shared" si="0"/>
        <v>16</v>
      </c>
      <c r="BR45" s="21" t="s">
        <v>96</v>
      </c>
      <c r="BS45" s="21">
        <v>0</v>
      </c>
      <c r="BT45" s="21" t="s">
        <v>97</v>
      </c>
      <c r="BU45" s="20">
        <v>0</v>
      </c>
      <c r="BV45" s="22">
        <v>57500</v>
      </c>
      <c r="BW45" s="1">
        <v>40</v>
      </c>
    </row>
    <row r="46" ht="14.5" customHeight="1" spans="2:75">
      <c r="B46" s="1">
        <v>42</v>
      </c>
      <c r="C46" s="1">
        <v>5</v>
      </c>
      <c r="D46" s="1" t="s">
        <v>144</v>
      </c>
      <c r="E46" s="1">
        <v>2</v>
      </c>
      <c r="F46" t="s">
        <v>91</v>
      </c>
      <c r="G46" s="1" t="s">
        <v>92</v>
      </c>
      <c r="H46" s="1" t="s">
        <v>146</v>
      </c>
      <c r="I46">
        <v>10000</v>
      </c>
      <c r="L46" s="1">
        <v>42</v>
      </c>
      <c r="M46" s="1">
        <v>420</v>
      </c>
      <c r="N46" s="1">
        <v>420</v>
      </c>
      <c r="BN46" s="19" t="s">
        <v>94</v>
      </c>
      <c r="BO46" s="19">
        <v>24</v>
      </c>
      <c r="BP46" s="20" t="s">
        <v>95</v>
      </c>
      <c r="BQ46" s="20">
        <f t="shared" si="0"/>
        <v>16</v>
      </c>
      <c r="BR46" s="21" t="s">
        <v>96</v>
      </c>
      <c r="BS46" s="21">
        <v>0</v>
      </c>
      <c r="BT46" s="21" t="s">
        <v>97</v>
      </c>
      <c r="BU46" s="20">
        <v>0</v>
      </c>
      <c r="BV46" s="22">
        <v>59000</v>
      </c>
      <c r="BW46" s="1">
        <v>41</v>
      </c>
    </row>
    <row r="47" ht="14.5" customHeight="1" spans="2:75">
      <c r="B47" s="1">
        <v>43</v>
      </c>
      <c r="C47" s="1">
        <v>5</v>
      </c>
      <c r="D47" s="1" t="s">
        <v>144</v>
      </c>
      <c r="E47" s="1">
        <v>3</v>
      </c>
      <c r="F47" t="s">
        <v>91</v>
      </c>
      <c r="G47" s="1" t="s">
        <v>92</v>
      </c>
      <c r="H47" s="1" t="s">
        <v>147</v>
      </c>
      <c r="I47" s="1">
        <v>5000</v>
      </c>
      <c r="K47" s="1">
        <v>3600</v>
      </c>
      <c r="L47" s="1">
        <v>43</v>
      </c>
      <c r="M47" s="1">
        <v>430</v>
      </c>
      <c r="N47" s="1">
        <v>430</v>
      </c>
      <c r="O47">
        <v>11952006</v>
      </c>
      <c r="P47">
        <v>1</v>
      </c>
      <c r="Q47">
        <v>11952007</v>
      </c>
      <c r="R47">
        <v>1</v>
      </c>
      <c r="S47">
        <v>11952008</v>
      </c>
      <c r="T47">
        <v>1</v>
      </c>
      <c r="U47">
        <v>11953005</v>
      </c>
      <c r="V47">
        <v>1</v>
      </c>
      <c r="W47">
        <v>500</v>
      </c>
      <c r="X47">
        <v>11953006</v>
      </c>
      <c r="Y47">
        <v>1</v>
      </c>
      <c r="Z47">
        <v>500</v>
      </c>
      <c r="AA47">
        <v>11953007</v>
      </c>
      <c r="AB47">
        <v>1</v>
      </c>
      <c r="AC47">
        <v>500</v>
      </c>
      <c r="AD47">
        <v>11953008</v>
      </c>
      <c r="AE47">
        <v>1</v>
      </c>
      <c r="AF47">
        <v>500</v>
      </c>
      <c r="AG47">
        <v>11953009</v>
      </c>
      <c r="AH47">
        <v>1</v>
      </c>
      <c r="AI47">
        <v>500</v>
      </c>
      <c r="AJ47">
        <v>11954005</v>
      </c>
      <c r="AK47">
        <v>1</v>
      </c>
      <c r="AL47">
        <v>500</v>
      </c>
      <c r="AM47">
        <v>11954006</v>
      </c>
      <c r="AN47">
        <v>1</v>
      </c>
      <c r="AO47">
        <v>500</v>
      </c>
      <c r="AP47">
        <v>11954007</v>
      </c>
      <c r="AQ47">
        <v>1</v>
      </c>
      <c r="AR47">
        <v>500</v>
      </c>
      <c r="AS47">
        <v>11954008</v>
      </c>
      <c r="AT47">
        <v>1</v>
      </c>
      <c r="AU47">
        <v>500</v>
      </c>
      <c r="AV47">
        <v>11954009</v>
      </c>
      <c r="AW47">
        <v>1</v>
      </c>
      <c r="AX47">
        <v>500</v>
      </c>
      <c r="BN47" s="19" t="s">
        <v>94</v>
      </c>
      <c r="BO47" s="19">
        <v>24</v>
      </c>
      <c r="BP47" s="20" t="s">
        <v>95</v>
      </c>
      <c r="BQ47" s="20">
        <f t="shared" si="0"/>
        <v>16</v>
      </c>
      <c r="BR47" s="21" t="s">
        <v>96</v>
      </c>
      <c r="BS47" s="21">
        <v>0</v>
      </c>
      <c r="BT47" s="21" t="s">
        <v>97</v>
      </c>
      <c r="BU47" s="20">
        <v>0</v>
      </c>
      <c r="BV47" s="22">
        <v>60500</v>
      </c>
      <c r="BW47" s="1">
        <v>42</v>
      </c>
    </row>
    <row r="48" ht="14.5" customHeight="1" spans="2:75">
      <c r="B48" s="1">
        <v>44</v>
      </c>
      <c r="C48" s="1">
        <v>5</v>
      </c>
      <c r="D48" s="1" t="s">
        <v>144</v>
      </c>
      <c r="E48" s="1">
        <v>4</v>
      </c>
      <c r="F48" t="s">
        <v>91</v>
      </c>
      <c r="G48" s="1" t="s">
        <v>100</v>
      </c>
      <c r="H48" s="1" t="s">
        <v>148</v>
      </c>
      <c r="I48">
        <v>10000</v>
      </c>
      <c r="L48" s="1">
        <v>44</v>
      </c>
      <c r="M48" s="1">
        <v>440</v>
      </c>
      <c r="N48" s="1">
        <v>440</v>
      </c>
      <c r="BN48" s="19" t="s">
        <v>94</v>
      </c>
      <c r="BO48" s="19">
        <v>24</v>
      </c>
      <c r="BP48" s="20" t="s">
        <v>95</v>
      </c>
      <c r="BQ48" s="20">
        <f t="shared" si="0"/>
        <v>16</v>
      </c>
      <c r="BR48" s="21" t="s">
        <v>96</v>
      </c>
      <c r="BS48" s="21">
        <v>0</v>
      </c>
      <c r="BT48" s="21" t="s">
        <v>97</v>
      </c>
      <c r="BU48" s="20">
        <v>0</v>
      </c>
      <c r="BV48" s="22">
        <v>62000</v>
      </c>
      <c r="BW48" s="1">
        <v>43</v>
      </c>
    </row>
    <row r="49" ht="14.5" customHeight="1" spans="2:75">
      <c r="B49" s="1">
        <v>45</v>
      </c>
      <c r="C49" s="1">
        <v>5</v>
      </c>
      <c r="D49" s="1" t="s">
        <v>144</v>
      </c>
      <c r="E49" s="1">
        <v>5</v>
      </c>
      <c r="F49" t="s">
        <v>91</v>
      </c>
      <c r="G49" s="1" t="s">
        <v>100</v>
      </c>
      <c r="H49" s="1" t="s">
        <v>149</v>
      </c>
      <c r="I49">
        <v>10000</v>
      </c>
      <c r="L49" s="1">
        <v>45</v>
      </c>
      <c r="M49" s="1">
        <v>450</v>
      </c>
      <c r="N49" s="1">
        <v>450</v>
      </c>
      <c r="BN49" s="19" t="s">
        <v>94</v>
      </c>
      <c r="BO49" s="19">
        <v>24</v>
      </c>
      <c r="BP49" s="20" t="s">
        <v>95</v>
      </c>
      <c r="BQ49" s="20">
        <f t="shared" si="0"/>
        <v>16</v>
      </c>
      <c r="BR49" s="21" t="s">
        <v>96</v>
      </c>
      <c r="BS49" s="21">
        <v>0</v>
      </c>
      <c r="BT49" s="21" t="s">
        <v>97</v>
      </c>
      <c r="BU49" s="20">
        <v>3</v>
      </c>
      <c r="BV49" s="22">
        <v>63500</v>
      </c>
      <c r="BW49" s="1">
        <v>44</v>
      </c>
    </row>
    <row r="50" ht="14.5" customHeight="1" spans="2:75">
      <c r="B50" s="1">
        <v>46</v>
      </c>
      <c r="C50" s="1">
        <v>5</v>
      </c>
      <c r="D50" s="1" t="s">
        <v>144</v>
      </c>
      <c r="E50" s="1">
        <v>6</v>
      </c>
      <c r="F50" t="s">
        <v>91</v>
      </c>
      <c r="G50" s="1" t="s">
        <v>100</v>
      </c>
      <c r="H50" s="1" t="s">
        <v>150</v>
      </c>
      <c r="I50" s="1">
        <v>5000</v>
      </c>
      <c r="K50" s="1">
        <v>3600</v>
      </c>
      <c r="L50" s="1">
        <v>46</v>
      </c>
      <c r="M50" s="1">
        <v>460</v>
      </c>
      <c r="N50" s="1">
        <v>460</v>
      </c>
      <c r="O50">
        <v>11952006</v>
      </c>
      <c r="P50">
        <v>1</v>
      </c>
      <c r="Q50">
        <v>11952007</v>
      </c>
      <c r="R50">
        <v>1</v>
      </c>
      <c r="S50">
        <v>11952008</v>
      </c>
      <c r="T50">
        <v>1</v>
      </c>
      <c r="U50">
        <v>11953005</v>
      </c>
      <c r="V50">
        <v>1</v>
      </c>
      <c r="W50">
        <v>500</v>
      </c>
      <c r="X50">
        <v>11953006</v>
      </c>
      <c r="Y50">
        <v>1</v>
      </c>
      <c r="Z50">
        <v>500</v>
      </c>
      <c r="AA50">
        <v>11953007</v>
      </c>
      <c r="AB50">
        <v>1</v>
      </c>
      <c r="AC50">
        <v>500</v>
      </c>
      <c r="AD50">
        <v>11953008</v>
      </c>
      <c r="AE50">
        <v>1</v>
      </c>
      <c r="AF50">
        <v>500</v>
      </c>
      <c r="AG50">
        <v>11953009</v>
      </c>
      <c r="AH50">
        <v>1</v>
      </c>
      <c r="AI50">
        <v>500</v>
      </c>
      <c r="AJ50">
        <v>11954005</v>
      </c>
      <c r="AK50">
        <v>1</v>
      </c>
      <c r="AL50">
        <v>500</v>
      </c>
      <c r="AM50">
        <v>11954006</v>
      </c>
      <c r="AN50">
        <v>1</v>
      </c>
      <c r="AO50">
        <v>500</v>
      </c>
      <c r="AP50">
        <v>11954007</v>
      </c>
      <c r="AQ50">
        <v>1</v>
      </c>
      <c r="AR50">
        <v>500</v>
      </c>
      <c r="AS50">
        <v>11954008</v>
      </c>
      <c r="AT50">
        <v>1</v>
      </c>
      <c r="AU50">
        <v>500</v>
      </c>
      <c r="AV50">
        <v>11954009</v>
      </c>
      <c r="AW50">
        <v>1</v>
      </c>
      <c r="AX50">
        <v>500</v>
      </c>
      <c r="BN50" s="19" t="s">
        <v>94</v>
      </c>
      <c r="BO50" s="19">
        <v>24</v>
      </c>
      <c r="BP50" s="20" t="s">
        <v>95</v>
      </c>
      <c r="BQ50" s="20">
        <f t="shared" si="0"/>
        <v>16</v>
      </c>
      <c r="BR50" s="21" t="s">
        <v>96</v>
      </c>
      <c r="BS50" s="21">
        <v>0</v>
      </c>
      <c r="BT50" s="21" t="s">
        <v>97</v>
      </c>
      <c r="BU50" s="20">
        <v>0</v>
      </c>
      <c r="BV50" s="22">
        <v>200000</v>
      </c>
      <c r="BW50" s="1">
        <v>45</v>
      </c>
    </row>
    <row r="51" ht="14.5" customHeight="1" spans="2:75">
      <c r="B51" s="1">
        <v>47</v>
      </c>
      <c r="C51" s="1">
        <v>5</v>
      </c>
      <c r="D51" s="1" t="s">
        <v>144</v>
      </c>
      <c r="E51" s="1">
        <v>7</v>
      </c>
      <c r="F51" t="s">
        <v>91</v>
      </c>
      <c r="G51" s="1" t="s">
        <v>104</v>
      </c>
      <c r="H51" s="1" t="s">
        <v>151</v>
      </c>
      <c r="I51">
        <v>10000</v>
      </c>
      <c r="L51" s="1">
        <v>47</v>
      </c>
      <c r="M51" s="1">
        <v>470</v>
      </c>
      <c r="N51" s="1">
        <v>470</v>
      </c>
      <c r="BN51" s="19" t="s">
        <v>94</v>
      </c>
      <c r="BO51" s="19">
        <v>24</v>
      </c>
      <c r="BP51" s="20" t="s">
        <v>95</v>
      </c>
      <c r="BQ51" s="20">
        <f t="shared" si="0"/>
        <v>16</v>
      </c>
      <c r="BR51" s="21" t="s">
        <v>96</v>
      </c>
      <c r="BS51" s="21">
        <v>0</v>
      </c>
      <c r="BT51" s="21" t="s">
        <v>97</v>
      </c>
      <c r="BU51" s="20">
        <v>0</v>
      </c>
      <c r="BV51" s="22">
        <v>350000</v>
      </c>
      <c r="BW51" s="1">
        <v>46</v>
      </c>
    </row>
    <row r="52" ht="14.5" customHeight="1" spans="2:75">
      <c r="B52" s="1">
        <v>48</v>
      </c>
      <c r="C52" s="1">
        <v>5</v>
      </c>
      <c r="D52" s="1" t="s">
        <v>144</v>
      </c>
      <c r="E52" s="1">
        <v>8</v>
      </c>
      <c r="F52" t="s">
        <v>91</v>
      </c>
      <c r="G52" s="1" t="s">
        <v>104</v>
      </c>
      <c r="H52" s="1" t="s">
        <v>152</v>
      </c>
      <c r="I52">
        <v>10000</v>
      </c>
      <c r="L52" s="1">
        <v>48</v>
      </c>
      <c r="M52" s="1">
        <v>480</v>
      </c>
      <c r="N52" s="1">
        <v>480</v>
      </c>
      <c r="BN52" s="19" t="s">
        <v>94</v>
      </c>
      <c r="BO52" s="19">
        <v>24</v>
      </c>
      <c r="BP52" s="20" t="s">
        <v>95</v>
      </c>
      <c r="BQ52" s="20">
        <f t="shared" si="0"/>
        <v>16</v>
      </c>
      <c r="BR52" s="21" t="s">
        <v>96</v>
      </c>
      <c r="BS52" s="21">
        <v>0</v>
      </c>
      <c r="BT52" s="21" t="s">
        <v>97</v>
      </c>
      <c r="BU52" s="20">
        <v>0</v>
      </c>
      <c r="BV52" s="22">
        <v>500000</v>
      </c>
      <c r="BW52" s="1">
        <v>47</v>
      </c>
    </row>
    <row r="53" ht="14.5" customHeight="1" spans="2:75">
      <c r="B53" s="1">
        <v>49</v>
      </c>
      <c r="C53" s="1">
        <v>5</v>
      </c>
      <c r="D53" s="1" t="s">
        <v>144</v>
      </c>
      <c r="E53" s="1">
        <v>9</v>
      </c>
      <c r="F53" t="s">
        <v>91</v>
      </c>
      <c r="G53" s="1" t="s">
        <v>104</v>
      </c>
      <c r="H53" s="1" t="s">
        <v>153</v>
      </c>
      <c r="I53" s="1">
        <v>5000</v>
      </c>
      <c r="K53" s="1">
        <v>3600</v>
      </c>
      <c r="L53" s="1">
        <v>49</v>
      </c>
      <c r="M53" s="1">
        <v>490</v>
      </c>
      <c r="N53" s="1">
        <v>490</v>
      </c>
      <c r="O53">
        <v>11952006</v>
      </c>
      <c r="P53">
        <v>1</v>
      </c>
      <c r="Q53">
        <v>11952007</v>
      </c>
      <c r="R53">
        <v>1</v>
      </c>
      <c r="S53">
        <v>11952008</v>
      </c>
      <c r="T53">
        <v>1</v>
      </c>
      <c r="U53">
        <v>11953005</v>
      </c>
      <c r="V53">
        <v>1</v>
      </c>
      <c r="W53">
        <v>500</v>
      </c>
      <c r="X53">
        <v>11953006</v>
      </c>
      <c r="Y53">
        <v>1</v>
      </c>
      <c r="Z53">
        <v>500</v>
      </c>
      <c r="AA53">
        <v>11953007</v>
      </c>
      <c r="AB53">
        <v>1</v>
      </c>
      <c r="AC53">
        <v>500</v>
      </c>
      <c r="AD53">
        <v>11953008</v>
      </c>
      <c r="AE53">
        <v>1</v>
      </c>
      <c r="AF53">
        <v>500</v>
      </c>
      <c r="AG53">
        <v>11953009</v>
      </c>
      <c r="AH53">
        <v>1</v>
      </c>
      <c r="AI53">
        <v>500</v>
      </c>
      <c r="AJ53">
        <v>11954005</v>
      </c>
      <c r="AK53">
        <v>1</v>
      </c>
      <c r="AL53">
        <v>500</v>
      </c>
      <c r="AM53">
        <v>11954006</v>
      </c>
      <c r="AN53">
        <v>1</v>
      </c>
      <c r="AO53">
        <v>500</v>
      </c>
      <c r="AP53">
        <v>11954007</v>
      </c>
      <c r="AQ53">
        <v>1</v>
      </c>
      <c r="AR53">
        <v>500</v>
      </c>
      <c r="AS53">
        <v>11954008</v>
      </c>
      <c r="AT53">
        <v>1</v>
      </c>
      <c r="AU53">
        <v>500</v>
      </c>
      <c r="AV53">
        <v>11954009</v>
      </c>
      <c r="AW53">
        <v>1</v>
      </c>
      <c r="AX53">
        <v>500</v>
      </c>
      <c r="BN53" s="19" t="s">
        <v>94</v>
      </c>
      <c r="BO53" s="19">
        <v>24</v>
      </c>
      <c r="BP53" s="20" t="s">
        <v>95</v>
      </c>
      <c r="BQ53" s="20">
        <f t="shared" si="0"/>
        <v>16</v>
      </c>
      <c r="BR53" s="21" t="s">
        <v>96</v>
      </c>
      <c r="BS53" s="21">
        <v>0</v>
      </c>
      <c r="BT53" s="21" t="s">
        <v>97</v>
      </c>
      <c r="BU53" s="20">
        <v>0</v>
      </c>
      <c r="BV53" s="22">
        <v>650000</v>
      </c>
      <c r="BW53" s="1">
        <v>48</v>
      </c>
    </row>
    <row r="54" ht="14" customHeight="1" spans="2:75">
      <c r="B54" s="1">
        <v>50</v>
      </c>
      <c r="C54" s="1">
        <v>5</v>
      </c>
      <c r="D54" s="1" t="s">
        <v>144</v>
      </c>
      <c r="E54" s="1">
        <v>10</v>
      </c>
      <c r="F54" s="1" t="s">
        <v>108</v>
      </c>
      <c r="G54" s="1" t="s">
        <v>109</v>
      </c>
      <c r="H54" s="1" t="s">
        <v>154</v>
      </c>
      <c r="I54" s="1">
        <v>5000</v>
      </c>
      <c r="K54" s="1">
        <v>3600</v>
      </c>
      <c r="L54" s="1">
        <v>50</v>
      </c>
      <c r="M54" s="1">
        <v>500</v>
      </c>
      <c r="N54" s="1">
        <v>500</v>
      </c>
      <c r="O54">
        <v>11962005</v>
      </c>
      <c r="P54">
        <v>1</v>
      </c>
      <c r="Q54">
        <v>11962007</v>
      </c>
      <c r="R54">
        <v>1</v>
      </c>
      <c r="S54">
        <v>11962009</v>
      </c>
      <c r="T54">
        <v>1</v>
      </c>
      <c r="U54">
        <v>11962005</v>
      </c>
      <c r="V54">
        <v>1</v>
      </c>
      <c r="W54">
        <v>500</v>
      </c>
      <c r="X54">
        <v>11962006</v>
      </c>
      <c r="Y54">
        <v>1</v>
      </c>
      <c r="Z54">
        <v>500</v>
      </c>
      <c r="AA54">
        <v>11962007</v>
      </c>
      <c r="AB54">
        <v>1</v>
      </c>
      <c r="AC54">
        <v>500</v>
      </c>
      <c r="AD54">
        <v>11962008</v>
      </c>
      <c r="AE54">
        <v>1</v>
      </c>
      <c r="AF54">
        <v>500</v>
      </c>
      <c r="AG54">
        <v>11962009</v>
      </c>
      <c r="AH54">
        <v>1</v>
      </c>
      <c r="AI54">
        <v>500</v>
      </c>
      <c r="AJ54">
        <v>11963005</v>
      </c>
      <c r="AK54">
        <v>1</v>
      </c>
      <c r="AL54">
        <v>500</v>
      </c>
      <c r="AM54">
        <v>11963006</v>
      </c>
      <c r="AN54">
        <v>1</v>
      </c>
      <c r="AO54">
        <v>500</v>
      </c>
      <c r="AP54">
        <v>11963007</v>
      </c>
      <c r="AQ54">
        <v>1</v>
      </c>
      <c r="AR54">
        <v>500</v>
      </c>
      <c r="AS54">
        <v>11963008</v>
      </c>
      <c r="AT54">
        <v>1</v>
      </c>
      <c r="AU54">
        <v>500</v>
      </c>
      <c r="AV54">
        <v>11963009</v>
      </c>
      <c r="AW54">
        <v>1</v>
      </c>
      <c r="AX54">
        <v>500</v>
      </c>
      <c r="AY54">
        <v>11964005</v>
      </c>
      <c r="AZ54">
        <v>1</v>
      </c>
      <c r="BA54">
        <v>500</v>
      </c>
      <c r="BB54">
        <v>11964006</v>
      </c>
      <c r="BC54">
        <v>1</v>
      </c>
      <c r="BD54">
        <v>500</v>
      </c>
      <c r="BE54">
        <v>11964007</v>
      </c>
      <c r="BF54">
        <v>1</v>
      </c>
      <c r="BG54">
        <v>500</v>
      </c>
      <c r="BH54">
        <v>11964008</v>
      </c>
      <c r="BI54">
        <v>1</v>
      </c>
      <c r="BJ54">
        <v>500</v>
      </c>
      <c r="BK54">
        <v>11964009</v>
      </c>
      <c r="BL54">
        <v>1</v>
      </c>
      <c r="BM54">
        <v>500</v>
      </c>
      <c r="BN54" s="19" t="s">
        <v>94</v>
      </c>
      <c r="BO54" s="19">
        <v>24</v>
      </c>
      <c r="BP54" s="20" t="s">
        <v>95</v>
      </c>
      <c r="BQ54" s="20">
        <f t="shared" si="0"/>
        <v>16</v>
      </c>
      <c r="BR54" s="21" t="s">
        <v>96</v>
      </c>
      <c r="BS54" s="21">
        <v>0</v>
      </c>
      <c r="BT54" s="21" t="s">
        <v>97</v>
      </c>
      <c r="BU54" s="20">
        <v>3</v>
      </c>
      <c r="BV54" s="22">
        <v>800000</v>
      </c>
      <c r="BW54" s="1">
        <v>49</v>
      </c>
    </row>
    <row r="55" ht="14.5" customHeight="1" spans="2:75">
      <c r="B55" s="1">
        <v>51</v>
      </c>
      <c r="C55" s="1">
        <v>6</v>
      </c>
      <c r="D55" s="1" t="s">
        <v>155</v>
      </c>
      <c r="E55" s="1">
        <v>1</v>
      </c>
      <c r="F55" t="s">
        <v>91</v>
      </c>
      <c r="G55" s="1" t="s">
        <v>92</v>
      </c>
      <c r="H55" s="1" t="s">
        <v>156</v>
      </c>
      <c r="I55">
        <v>10000</v>
      </c>
      <c r="L55" s="1">
        <v>51</v>
      </c>
      <c r="M55" s="1">
        <v>510</v>
      </c>
      <c r="N55" s="1">
        <v>510</v>
      </c>
      <c r="BN55" s="19" t="s">
        <v>94</v>
      </c>
      <c r="BO55" s="19">
        <v>40</v>
      </c>
      <c r="BP55" s="20" t="s">
        <v>95</v>
      </c>
      <c r="BQ55" s="20">
        <f t="shared" si="0"/>
        <v>27</v>
      </c>
      <c r="BR55" s="21" t="s">
        <v>96</v>
      </c>
      <c r="BS55" s="21">
        <v>0</v>
      </c>
      <c r="BT55" s="21" t="s">
        <v>97</v>
      </c>
      <c r="BU55" s="20">
        <v>0</v>
      </c>
      <c r="BV55" s="22">
        <v>1200000</v>
      </c>
      <c r="BW55" s="1">
        <v>50</v>
      </c>
    </row>
    <row r="56" ht="14.5" customHeight="1" spans="2:75">
      <c r="B56" s="1">
        <v>52</v>
      </c>
      <c r="C56" s="1">
        <v>6</v>
      </c>
      <c r="D56" s="1" t="s">
        <v>155</v>
      </c>
      <c r="E56" s="1">
        <v>2</v>
      </c>
      <c r="F56" t="s">
        <v>91</v>
      </c>
      <c r="G56" s="1" t="s">
        <v>92</v>
      </c>
      <c r="H56" s="1" t="s">
        <v>157</v>
      </c>
      <c r="I56">
        <v>10000</v>
      </c>
      <c r="L56" s="1">
        <v>52</v>
      </c>
      <c r="M56" s="1">
        <v>520</v>
      </c>
      <c r="N56" s="1">
        <v>520</v>
      </c>
      <c r="BN56" s="19" t="s">
        <v>94</v>
      </c>
      <c r="BO56" s="19">
        <v>40</v>
      </c>
      <c r="BP56" s="20" t="s">
        <v>95</v>
      </c>
      <c r="BQ56" s="20">
        <f t="shared" si="0"/>
        <v>27</v>
      </c>
      <c r="BR56" s="21" t="s">
        <v>96</v>
      </c>
      <c r="BS56" s="21">
        <v>0</v>
      </c>
      <c r="BT56" s="21" t="s">
        <v>97</v>
      </c>
      <c r="BU56" s="20">
        <v>0</v>
      </c>
      <c r="BV56" s="22">
        <v>1500000</v>
      </c>
      <c r="BW56" s="1">
        <v>51</v>
      </c>
    </row>
    <row r="57" ht="14.5" customHeight="1" spans="2:75">
      <c r="B57" s="1">
        <v>53</v>
      </c>
      <c r="C57" s="1">
        <v>6</v>
      </c>
      <c r="D57" s="1" t="s">
        <v>155</v>
      </c>
      <c r="E57" s="1">
        <v>3</v>
      </c>
      <c r="F57" t="s">
        <v>91</v>
      </c>
      <c r="G57" s="1" t="s">
        <v>92</v>
      </c>
      <c r="H57" s="1" t="s">
        <v>158</v>
      </c>
      <c r="I57" s="1">
        <v>5000</v>
      </c>
      <c r="K57" s="1">
        <v>3600</v>
      </c>
      <c r="L57" s="1">
        <v>53</v>
      </c>
      <c r="M57" s="1">
        <v>530</v>
      </c>
      <c r="N57" s="1">
        <v>530</v>
      </c>
      <c r="O57">
        <v>11962006</v>
      </c>
      <c r="P57">
        <v>1</v>
      </c>
      <c r="Q57">
        <v>11962007</v>
      </c>
      <c r="R57">
        <v>1</v>
      </c>
      <c r="S57">
        <v>11962008</v>
      </c>
      <c r="T57">
        <v>1</v>
      </c>
      <c r="U57">
        <v>11963005</v>
      </c>
      <c r="V57">
        <v>1</v>
      </c>
      <c r="W57">
        <v>500</v>
      </c>
      <c r="X57">
        <v>11963006</v>
      </c>
      <c r="Y57">
        <v>1</v>
      </c>
      <c r="Z57">
        <v>500</v>
      </c>
      <c r="AA57">
        <v>11963007</v>
      </c>
      <c r="AB57">
        <v>1</v>
      </c>
      <c r="AC57">
        <v>500</v>
      </c>
      <c r="AD57">
        <v>11963008</v>
      </c>
      <c r="AE57">
        <v>1</v>
      </c>
      <c r="AF57">
        <v>500</v>
      </c>
      <c r="AG57">
        <v>11963009</v>
      </c>
      <c r="AH57">
        <v>1</v>
      </c>
      <c r="AI57">
        <v>500</v>
      </c>
      <c r="AJ57">
        <v>11964005</v>
      </c>
      <c r="AK57">
        <v>1</v>
      </c>
      <c r="AL57">
        <v>500</v>
      </c>
      <c r="AM57">
        <v>11964006</v>
      </c>
      <c r="AN57">
        <v>1</v>
      </c>
      <c r="AO57">
        <v>500</v>
      </c>
      <c r="AP57">
        <v>11964007</v>
      </c>
      <c r="AQ57">
        <v>1</v>
      </c>
      <c r="AR57">
        <v>500</v>
      </c>
      <c r="AS57">
        <v>11964008</v>
      </c>
      <c r="AT57">
        <v>1</v>
      </c>
      <c r="AU57">
        <v>500</v>
      </c>
      <c r="AV57">
        <v>11964009</v>
      </c>
      <c r="AW57">
        <v>1</v>
      </c>
      <c r="AX57">
        <v>500</v>
      </c>
      <c r="BN57" s="19" t="s">
        <v>94</v>
      </c>
      <c r="BO57" s="19">
        <v>40</v>
      </c>
      <c r="BP57" s="20" t="s">
        <v>95</v>
      </c>
      <c r="BQ57" s="20">
        <f t="shared" si="0"/>
        <v>27</v>
      </c>
      <c r="BR57" s="21" t="s">
        <v>96</v>
      </c>
      <c r="BS57" s="21">
        <v>0</v>
      </c>
      <c r="BT57" s="21" t="s">
        <v>97</v>
      </c>
      <c r="BU57" s="20">
        <v>0</v>
      </c>
      <c r="BV57" s="22">
        <v>1800000</v>
      </c>
      <c r="BW57" s="1">
        <v>52</v>
      </c>
    </row>
    <row r="58" ht="14.5" customHeight="1" spans="2:75">
      <c r="B58" s="1">
        <v>54</v>
      </c>
      <c r="C58" s="1">
        <v>6</v>
      </c>
      <c r="D58" s="1" t="s">
        <v>155</v>
      </c>
      <c r="E58" s="1">
        <v>4</v>
      </c>
      <c r="F58" t="s">
        <v>91</v>
      </c>
      <c r="G58" s="1" t="s">
        <v>100</v>
      </c>
      <c r="H58" s="1" t="s">
        <v>159</v>
      </c>
      <c r="I58">
        <v>10000</v>
      </c>
      <c r="L58" s="1">
        <v>54</v>
      </c>
      <c r="M58" s="1">
        <v>540</v>
      </c>
      <c r="N58" s="1">
        <v>540</v>
      </c>
      <c r="BN58" s="19" t="s">
        <v>94</v>
      </c>
      <c r="BO58" s="19">
        <v>40</v>
      </c>
      <c r="BP58" s="20" t="s">
        <v>95</v>
      </c>
      <c r="BQ58" s="20">
        <f t="shared" si="0"/>
        <v>27</v>
      </c>
      <c r="BR58" s="21" t="s">
        <v>96</v>
      </c>
      <c r="BS58" s="21">
        <v>0</v>
      </c>
      <c r="BT58" s="21" t="s">
        <v>97</v>
      </c>
      <c r="BU58" s="20">
        <v>0</v>
      </c>
      <c r="BV58" s="22">
        <v>2100000</v>
      </c>
      <c r="BW58" s="1">
        <v>53</v>
      </c>
    </row>
    <row r="59" ht="14.5" customHeight="1" spans="2:75">
      <c r="B59" s="1">
        <v>55</v>
      </c>
      <c r="C59" s="1">
        <v>6</v>
      </c>
      <c r="D59" s="1" t="s">
        <v>155</v>
      </c>
      <c r="E59" s="1">
        <v>5</v>
      </c>
      <c r="F59" t="s">
        <v>91</v>
      </c>
      <c r="G59" s="1" t="s">
        <v>100</v>
      </c>
      <c r="H59" s="1" t="s">
        <v>160</v>
      </c>
      <c r="I59">
        <v>10000</v>
      </c>
      <c r="L59" s="1">
        <v>55</v>
      </c>
      <c r="M59" s="1">
        <v>550</v>
      </c>
      <c r="N59" s="1">
        <v>550</v>
      </c>
      <c r="BN59" s="19" t="s">
        <v>94</v>
      </c>
      <c r="BO59" s="19">
        <v>40</v>
      </c>
      <c r="BP59" s="20" t="s">
        <v>95</v>
      </c>
      <c r="BQ59" s="20">
        <f t="shared" si="0"/>
        <v>27</v>
      </c>
      <c r="BR59" s="21" t="s">
        <v>96</v>
      </c>
      <c r="BS59" s="21">
        <v>0</v>
      </c>
      <c r="BT59" s="21" t="s">
        <v>97</v>
      </c>
      <c r="BU59" s="20">
        <v>0</v>
      </c>
      <c r="BV59" s="22">
        <v>2400000</v>
      </c>
      <c r="BW59" s="1">
        <v>54</v>
      </c>
    </row>
    <row r="60" ht="14.5" customHeight="1" spans="2:75">
      <c r="B60" s="1">
        <v>56</v>
      </c>
      <c r="C60" s="1">
        <v>6</v>
      </c>
      <c r="D60" s="1" t="s">
        <v>155</v>
      </c>
      <c r="E60" s="1">
        <v>6</v>
      </c>
      <c r="F60" t="s">
        <v>91</v>
      </c>
      <c r="G60" s="1" t="s">
        <v>100</v>
      </c>
      <c r="H60" s="1" t="s">
        <v>161</v>
      </c>
      <c r="I60" s="1">
        <v>5000</v>
      </c>
      <c r="K60" s="1">
        <v>3600</v>
      </c>
      <c r="L60" s="1">
        <v>56</v>
      </c>
      <c r="M60" s="1">
        <v>560</v>
      </c>
      <c r="N60" s="1">
        <v>560</v>
      </c>
      <c r="O60">
        <v>11962006</v>
      </c>
      <c r="P60">
        <v>1</v>
      </c>
      <c r="Q60">
        <v>11962007</v>
      </c>
      <c r="R60">
        <v>1</v>
      </c>
      <c r="S60">
        <v>11962008</v>
      </c>
      <c r="T60">
        <v>1</v>
      </c>
      <c r="U60">
        <v>11963005</v>
      </c>
      <c r="V60">
        <v>1</v>
      </c>
      <c r="W60">
        <v>500</v>
      </c>
      <c r="X60">
        <v>11963006</v>
      </c>
      <c r="Y60">
        <v>1</v>
      </c>
      <c r="Z60">
        <v>500</v>
      </c>
      <c r="AA60">
        <v>11963007</v>
      </c>
      <c r="AB60">
        <v>1</v>
      </c>
      <c r="AC60">
        <v>500</v>
      </c>
      <c r="AD60">
        <v>11963008</v>
      </c>
      <c r="AE60">
        <v>1</v>
      </c>
      <c r="AF60">
        <v>500</v>
      </c>
      <c r="AG60">
        <v>11963009</v>
      </c>
      <c r="AH60">
        <v>1</v>
      </c>
      <c r="AI60">
        <v>500</v>
      </c>
      <c r="AJ60">
        <v>11964005</v>
      </c>
      <c r="AK60">
        <v>1</v>
      </c>
      <c r="AL60">
        <v>500</v>
      </c>
      <c r="AM60">
        <v>11964006</v>
      </c>
      <c r="AN60">
        <v>1</v>
      </c>
      <c r="AO60">
        <v>500</v>
      </c>
      <c r="AP60">
        <v>11964007</v>
      </c>
      <c r="AQ60">
        <v>1</v>
      </c>
      <c r="AR60">
        <v>500</v>
      </c>
      <c r="AS60">
        <v>11964008</v>
      </c>
      <c r="AT60">
        <v>1</v>
      </c>
      <c r="AU60">
        <v>500</v>
      </c>
      <c r="AV60">
        <v>11964009</v>
      </c>
      <c r="AW60">
        <v>1</v>
      </c>
      <c r="AX60">
        <v>500</v>
      </c>
      <c r="BN60" s="19" t="s">
        <v>94</v>
      </c>
      <c r="BO60" s="19">
        <v>40</v>
      </c>
      <c r="BP60" s="20" t="s">
        <v>95</v>
      </c>
      <c r="BQ60" s="20">
        <f t="shared" si="0"/>
        <v>27</v>
      </c>
      <c r="BR60" s="21" t="s">
        <v>96</v>
      </c>
      <c r="BS60" s="21">
        <v>0</v>
      </c>
      <c r="BT60" s="21" t="s">
        <v>97</v>
      </c>
      <c r="BU60" s="20">
        <v>0</v>
      </c>
      <c r="BV60" s="22">
        <v>4000000</v>
      </c>
      <c r="BW60" s="1">
        <v>55</v>
      </c>
    </row>
    <row r="61" ht="14.5" customHeight="1" spans="2:75">
      <c r="B61" s="1">
        <v>57</v>
      </c>
      <c r="C61" s="1">
        <v>6</v>
      </c>
      <c r="D61" s="1" t="s">
        <v>155</v>
      </c>
      <c r="E61" s="1">
        <v>7</v>
      </c>
      <c r="F61" t="s">
        <v>91</v>
      </c>
      <c r="G61" s="1" t="s">
        <v>104</v>
      </c>
      <c r="H61" s="1" t="s">
        <v>162</v>
      </c>
      <c r="I61">
        <v>10000</v>
      </c>
      <c r="L61" s="1">
        <v>57</v>
      </c>
      <c r="M61" s="1">
        <v>570</v>
      </c>
      <c r="N61" s="1">
        <v>570</v>
      </c>
      <c r="BN61" s="19" t="s">
        <v>94</v>
      </c>
      <c r="BO61" s="19">
        <v>40</v>
      </c>
      <c r="BP61" s="20" t="s">
        <v>95</v>
      </c>
      <c r="BQ61" s="20">
        <f t="shared" si="0"/>
        <v>27</v>
      </c>
      <c r="BR61" s="21" t="s">
        <v>96</v>
      </c>
      <c r="BS61" s="21">
        <v>0</v>
      </c>
      <c r="BT61" s="21" t="s">
        <v>97</v>
      </c>
      <c r="BU61" s="20">
        <v>0</v>
      </c>
      <c r="BV61" s="22">
        <v>4800000</v>
      </c>
      <c r="BW61" s="1">
        <v>56</v>
      </c>
    </row>
    <row r="62" ht="14.5" customHeight="1" spans="2:75">
      <c r="B62" s="1">
        <v>58</v>
      </c>
      <c r="C62" s="1">
        <v>6</v>
      </c>
      <c r="D62" s="1" t="s">
        <v>155</v>
      </c>
      <c r="E62" s="1">
        <v>8</v>
      </c>
      <c r="F62" t="s">
        <v>91</v>
      </c>
      <c r="G62" s="1" t="s">
        <v>104</v>
      </c>
      <c r="H62" s="1" t="s">
        <v>163</v>
      </c>
      <c r="I62">
        <v>10000</v>
      </c>
      <c r="L62" s="1">
        <v>58</v>
      </c>
      <c r="M62" s="1">
        <v>580</v>
      </c>
      <c r="N62" s="1">
        <v>580</v>
      </c>
      <c r="BN62" s="19" t="s">
        <v>94</v>
      </c>
      <c r="BO62" s="19">
        <v>40</v>
      </c>
      <c r="BP62" s="20" t="s">
        <v>95</v>
      </c>
      <c r="BQ62" s="20">
        <f t="shared" si="0"/>
        <v>27</v>
      </c>
      <c r="BR62" s="21" t="s">
        <v>96</v>
      </c>
      <c r="BS62" s="21">
        <v>0</v>
      </c>
      <c r="BT62" s="21" t="s">
        <v>97</v>
      </c>
      <c r="BU62" s="20">
        <v>0</v>
      </c>
      <c r="BV62" s="22">
        <v>5600000</v>
      </c>
      <c r="BW62" s="1">
        <v>57</v>
      </c>
    </row>
    <row r="63" ht="14.5" customHeight="1" spans="2:75">
      <c r="B63" s="1">
        <v>59</v>
      </c>
      <c r="C63" s="1">
        <v>6</v>
      </c>
      <c r="D63" s="1" t="s">
        <v>155</v>
      </c>
      <c r="E63" s="1">
        <v>9</v>
      </c>
      <c r="F63" t="s">
        <v>91</v>
      </c>
      <c r="G63" s="1" t="s">
        <v>104</v>
      </c>
      <c r="H63" s="1" t="s">
        <v>164</v>
      </c>
      <c r="I63" s="1">
        <v>5000</v>
      </c>
      <c r="K63" s="1">
        <v>3600</v>
      </c>
      <c r="L63" s="1">
        <v>59</v>
      </c>
      <c r="M63" s="1">
        <v>590</v>
      </c>
      <c r="N63" s="1">
        <v>590</v>
      </c>
      <c r="O63">
        <v>11962006</v>
      </c>
      <c r="P63">
        <v>1</v>
      </c>
      <c r="Q63">
        <v>11962007</v>
      </c>
      <c r="R63">
        <v>1</v>
      </c>
      <c r="S63">
        <v>11962008</v>
      </c>
      <c r="T63">
        <v>1</v>
      </c>
      <c r="U63">
        <v>11963005</v>
      </c>
      <c r="V63">
        <v>1</v>
      </c>
      <c r="W63">
        <v>500</v>
      </c>
      <c r="X63">
        <v>11963006</v>
      </c>
      <c r="Y63">
        <v>1</v>
      </c>
      <c r="Z63">
        <v>500</v>
      </c>
      <c r="AA63">
        <v>11963007</v>
      </c>
      <c r="AB63">
        <v>1</v>
      </c>
      <c r="AC63">
        <v>500</v>
      </c>
      <c r="AD63">
        <v>11963008</v>
      </c>
      <c r="AE63">
        <v>1</v>
      </c>
      <c r="AF63">
        <v>500</v>
      </c>
      <c r="AG63">
        <v>11963009</v>
      </c>
      <c r="AH63">
        <v>1</v>
      </c>
      <c r="AI63">
        <v>500</v>
      </c>
      <c r="AJ63">
        <v>11964005</v>
      </c>
      <c r="AK63">
        <v>1</v>
      </c>
      <c r="AL63">
        <v>500</v>
      </c>
      <c r="AM63">
        <v>11964006</v>
      </c>
      <c r="AN63">
        <v>1</v>
      </c>
      <c r="AO63">
        <v>500</v>
      </c>
      <c r="AP63">
        <v>11964007</v>
      </c>
      <c r="AQ63">
        <v>1</v>
      </c>
      <c r="AR63">
        <v>500</v>
      </c>
      <c r="AS63">
        <v>11964008</v>
      </c>
      <c r="AT63">
        <v>1</v>
      </c>
      <c r="AU63">
        <v>500</v>
      </c>
      <c r="AV63">
        <v>11964009</v>
      </c>
      <c r="AW63">
        <v>1</v>
      </c>
      <c r="AX63">
        <v>500</v>
      </c>
      <c r="BN63" s="19" t="s">
        <v>94</v>
      </c>
      <c r="BO63" s="19">
        <v>40</v>
      </c>
      <c r="BP63" s="20" t="s">
        <v>95</v>
      </c>
      <c r="BQ63" s="20">
        <f t="shared" si="0"/>
        <v>27</v>
      </c>
      <c r="BR63" s="21" t="s">
        <v>96</v>
      </c>
      <c r="BS63" s="21">
        <v>0</v>
      </c>
      <c r="BT63" s="21" t="s">
        <v>97</v>
      </c>
      <c r="BU63" s="20">
        <v>0</v>
      </c>
      <c r="BV63" s="22">
        <v>6400000</v>
      </c>
      <c r="BW63" s="1">
        <v>58</v>
      </c>
    </row>
    <row r="64" ht="14" customHeight="1" spans="2:75">
      <c r="B64" s="1">
        <v>60</v>
      </c>
      <c r="C64" s="1">
        <v>6</v>
      </c>
      <c r="D64" s="1" t="s">
        <v>155</v>
      </c>
      <c r="E64" s="1">
        <v>10</v>
      </c>
      <c r="F64" s="1" t="s">
        <v>108</v>
      </c>
      <c r="G64" s="1" t="s">
        <v>109</v>
      </c>
      <c r="H64" s="1" t="s">
        <v>165</v>
      </c>
      <c r="I64" s="1">
        <v>5000</v>
      </c>
      <c r="K64" s="1">
        <v>3600</v>
      </c>
      <c r="L64" s="1">
        <v>60</v>
      </c>
      <c r="M64" s="1">
        <v>600</v>
      </c>
      <c r="N64" s="1">
        <v>600</v>
      </c>
      <c r="O64">
        <v>11972005</v>
      </c>
      <c r="P64">
        <v>1</v>
      </c>
      <c r="Q64">
        <v>11972007</v>
      </c>
      <c r="R64">
        <v>1</v>
      </c>
      <c r="S64">
        <v>11972009</v>
      </c>
      <c r="T64">
        <v>1</v>
      </c>
      <c r="U64">
        <v>11972005</v>
      </c>
      <c r="V64">
        <v>1</v>
      </c>
      <c r="W64">
        <v>500</v>
      </c>
      <c r="X64">
        <v>11972006</v>
      </c>
      <c r="Y64">
        <v>1</v>
      </c>
      <c r="Z64">
        <v>500</v>
      </c>
      <c r="AA64">
        <v>11972007</v>
      </c>
      <c r="AB64">
        <v>1</v>
      </c>
      <c r="AC64">
        <v>500</v>
      </c>
      <c r="AD64">
        <v>11972008</v>
      </c>
      <c r="AE64">
        <v>1</v>
      </c>
      <c r="AF64">
        <v>500</v>
      </c>
      <c r="AG64">
        <v>11972009</v>
      </c>
      <c r="AH64">
        <v>1</v>
      </c>
      <c r="AI64">
        <v>500</v>
      </c>
      <c r="AJ64">
        <v>11973005</v>
      </c>
      <c r="AK64">
        <v>1</v>
      </c>
      <c r="AL64">
        <v>500</v>
      </c>
      <c r="AM64">
        <v>11973006</v>
      </c>
      <c r="AN64">
        <v>1</v>
      </c>
      <c r="AO64">
        <v>500</v>
      </c>
      <c r="AP64">
        <v>11973007</v>
      </c>
      <c r="AQ64">
        <v>1</v>
      </c>
      <c r="AR64">
        <v>500</v>
      </c>
      <c r="AS64">
        <v>11973008</v>
      </c>
      <c r="AT64">
        <v>1</v>
      </c>
      <c r="AU64">
        <v>500</v>
      </c>
      <c r="AV64">
        <v>11973009</v>
      </c>
      <c r="AW64">
        <v>1</v>
      </c>
      <c r="AX64">
        <v>500</v>
      </c>
      <c r="AY64">
        <v>11974005</v>
      </c>
      <c r="AZ64">
        <v>1</v>
      </c>
      <c r="BA64">
        <v>500</v>
      </c>
      <c r="BB64">
        <v>11974006</v>
      </c>
      <c r="BC64">
        <v>1</v>
      </c>
      <c r="BD64">
        <v>500</v>
      </c>
      <c r="BE64">
        <v>11974007</v>
      </c>
      <c r="BF64">
        <v>1</v>
      </c>
      <c r="BG64">
        <v>500</v>
      </c>
      <c r="BH64">
        <v>11974008</v>
      </c>
      <c r="BI64">
        <v>1</v>
      </c>
      <c r="BJ64">
        <v>500</v>
      </c>
      <c r="BK64">
        <v>11974009</v>
      </c>
      <c r="BL64">
        <v>1</v>
      </c>
      <c r="BM64">
        <v>500</v>
      </c>
      <c r="BN64" s="19" t="s">
        <v>94</v>
      </c>
      <c r="BO64" s="19">
        <v>40</v>
      </c>
      <c r="BP64" s="20" t="s">
        <v>95</v>
      </c>
      <c r="BQ64" s="20">
        <f t="shared" si="0"/>
        <v>27</v>
      </c>
      <c r="BR64" s="21" t="s">
        <v>96</v>
      </c>
      <c r="BS64" s="21">
        <v>0</v>
      </c>
      <c r="BT64" s="21" t="s">
        <v>97</v>
      </c>
      <c r="BU64" s="20">
        <v>0</v>
      </c>
      <c r="BV64" s="22">
        <v>7200000</v>
      </c>
      <c r="BW64" s="1">
        <v>59</v>
      </c>
    </row>
    <row r="65" ht="14.5" customHeight="1" spans="2:75">
      <c r="B65" s="1">
        <v>61</v>
      </c>
      <c r="C65" s="1">
        <v>7</v>
      </c>
      <c r="D65" s="1" t="s">
        <v>166</v>
      </c>
      <c r="E65" s="1">
        <v>1</v>
      </c>
      <c r="F65" t="s">
        <v>91</v>
      </c>
      <c r="G65" s="1" t="s">
        <v>92</v>
      </c>
      <c r="H65" s="1" t="s">
        <v>167</v>
      </c>
      <c r="I65">
        <v>10000</v>
      </c>
      <c r="L65" s="1">
        <v>61</v>
      </c>
      <c r="M65" s="1">
        <v>610</v>
      </c>
      <c r="N65" s="1">
        <v>610</v>
      </c>
      <c r="BN65" s="19" t="s">
        <v>94</v>
      </c>
      <c r="BO65" s="19">
        <v>60</v>
      </c>
      <c r="BP65" s="20" t="s">
        <v>95</v>
      </c>
      <c r="BQ65" s="20">
        <f t="shared" si="0"/>
        <v>40</v>
      </c>
      <c r="BR65" s="21" t="s">
        <v>96</v>
      </c>
      <c r="BS65" s="21">
        <v>0</v>
      </c>
      <c r="BT65" s="21" t="s">
        <v>97</v>
      </c>
      <c r="BU65" s="20">
        <v>0</v>
      </c>
      <c r="BV65" s="22">
        <f>BV64+BV59</f>
        <v>9600000</v>
      </c>
      <c r="BW65" s="1">
        <v>60</v>
      </c>
    </row>
    <row r="66" ht="14.5" customHeight="1" spans="2:75">
      <c r="B66" s="1">
        <v>62</v>
      </c>
      <c r="C66" s="1">
        <v>7</v>
      </c>
      <c r="D66" s="1" t="s">
        <v>166</v>
      </c>
      <c r="E66" s="1">
        <v>2</v>
      </c>
      <c r="F66" t="s">
        <v>91</v>
      </c>
      <c r="G66" s="1" t="s">
        <v>92</v>
      </c>
      <c r="H66" s="1" t="s">
        <v>168</v>
      </c>
      <c r="I66">
        <v>10000</v>
      </c>
      <c r="L66" s="1">
        <v>62</v>
      </c>
      <c r="M66" s="1">
        <v>620</v>
      </c>
      <c r="N66" s="1">
        <v>620</v>
      </c>
      <c r="BN66" s="19" t="s">
        <v>94</v>
      </c>
      <c r="BO66" s="19">
        <v>60</v>
      </c>
      <c r="BP66" s="20" t="s">
        <v>95</v>
      </c>
      <c r="BQ66" s="20">
        <f t="shared" si="0"/>
        <v>40</v>
      </c>
      <c r="BR66" s="21" t="s">
        <v>96</v>
      </c>
      <c r="BS66" s="21">
        <v>0</v>
      </c>
      <c r="BT66" s="21" t="s">
        <v>97</v>
      </c>
      <c r="BU66" s="20">
        <v>0</v>
      </c>
      <c r="BV66" s="22">
        <f t="shared" ref="BV66:BV84" si="1">BV65+BV60</f>
        <v>13600000</v>
      </c>
      <c r="BW66" s="1">
        <v>61</v>
      </c>
    </row>
    <row r="67" ht="14.5" customHeight="1" spans="2:75">
      <c r="B67" s="1">
        <v>63</v>
      </c>
      <c r="C67" s="1">
        <v>7</v>
      </c>
      <c r="D67" s="1" t="s">
        <v>166</v>
      </c>
      <c r="E67" s="1">
        <v>3</v>
      </c>
      <c r="F67" t="s">
        <v>91</v>
      </c>
      <c r="G67" s="1" t="s">
        <v>92</v>
      </c>
      <c r="H67" s="1" t="s">
        <v>169</v>
      </c>
      <c r="I67" s="1">
        <v>5000</v>
      </c>
      <c r="K67" s="1">
        <v>3600</v>
      </c>
      <c r="L67" s="1">
        <v>63</v>
      </c>
      <c r="M67" s="1">
        <v>630</v>
      </c>
      <c r="N67" s="1">
        <v>630</v>
      </c>
      <c r="O67">
        <v>11972006</v>
      </c>
      <c r="P67">
        <v>1</v>
      </c>
      <c r="Q67">
        <v>11972007</v>
      </c>
      <c r="R67">
        <v>1</v>
      </c>
      <c r="S67">
        <v>11972008</v>
      </c>
      <c r="T67">
        <v>1</v>
      </c>
      <c r="U67">
        <v>11973005</v>
      </c>
      <c r="V67">
        <v>1</v>
      </c>
      <c r="W67">
        <v>500</v>
      </c>
      <c r="X67">
        <v>11973006</v>
      </c>
      <c r="Y67">
        <v>1</v>
      </c>
      <c r="Z67">
        <v>500</v>
      </c>
      <c r="AA67">
        <v>11973007</v>
      </c>
      <c r="AB67">
        <v>1</v>
      </c>
      <c r="AC67">
        <v>500</v>
      </c>
      <c r="AD67">
        <v>11973008</v>
      </c>
      <c r="AE67">
        <v>1</v>
      </c>
      <c r="AF67">
        <v>500</v>
      </c>
      <c r="AG67">
        <v>11973009</v>
      </c>
      <c r="AH67">
        <v>1</v>
      </c>
      <c r="AI67">
        <v>500</v>
      </c>
      <c r="AJ67">
        <v>11974005</v>
      </c>
      <c r="AK67">
        <v>1</v>
      </c>
      <c r="AL67">
        <v>500</v>
      </c>
      <c r="AM67">
        <v>11974006</v>
      </c>
      <c r="AN67">
        <v>1</v>
      </c>
      <c r="AO67">
        <v>500</v>
      </c>
      <c r="AP67">
        <v>11974007</v>
      </c>
      <c r="AQ67">
        <v>1</v>
      </c>
      <c r="AR67">
        <v>500</v>
      </c>
      <c r="AS67">
        <v>11974008</v>
      </c>
      <c r="AT67">
        <v>1</v>
      </c>
      <c r="AU67">
        <v>500</v>
      </c>
      <c r="AV67">
        <v>11974009</v>
      </c>
      <c r="AW67">
        <v>1</v>
      </c>
      <c r="AX67">
        <v>500</v>
      </c>
      <c r="BN67" s="19" t="s">
        <v>94</v>
      </c>
      <c r="BO67" s="19">
        <v>60</v>
      </c>
      <c r="BP67" s="20" t="s">
        <v>95</v>
      </c>
      <c r="BQ67" s="20">
        <f t="shared" si="0"/>
        <v>40</v>
      </c>
      <c r="BR67" s="21" t="s">
        <v>96</v>
      </c>
      <c r="BS67" s="21">
        <v>0</v>
      </c>
      <c r="BT67" s="21" t="s">
        <v>97</v>
      </c>
      <c r="BU67" s="20">
        <v>0</v>
      </c>
      <c r="BV67" s="22">
        <f t="shared" si="1"/>
        <v>18400000</v>
      </c>
      <c r="BW67" s="1">
        <v>62</v>
      </c>
    </row>
    <row r="68" ht="14.5" customHeight="1" spans="2:75">
      <c r="B68" s="1">
        <v>64</v>
      </c>
      <c r="C68" s="1">
        <v>7</v>
      </c>
      <c r="D68" s="1" t="s">
        <v>166</v>
      </c>
      <c r="E68" s="1">
        <v>4</v>
      </c>
      <c r="F68" t="s">
        <v>91</v>
      </c>
      <c r="G68" s="1" t="s">
        <v>100</v>
      </c>
      <c r="H68" s="1" t="s">
        <v>170</v>
      </c>
      <c r="I68">
        <v>10000</v>
      </c>
      <c r="L68" s="1">
        <v>64</v>
      </c>
      <c r="M68" s="1">
        <v>640</v>
      </c>
      <c r="N68" s="1">
        <v>640</v>
      </c>
      <c r="BN68" s="19" t="s">
        <v>94</v>
      </c>
      <c r="BO68" s="19">
        <v>60</v>
      </c>
      <c r="BP68" s="20" t="s">
        <v>95</v>
      </c>
      <c r="BQ68" s="20">
        <f t="shared" si="0"/>
        <v>40</v>
      </c>
      <c r="BR68" s="21" t="s">
        <v>96</v>
      </c>
      <c r="BS68" s="21">
        <v>0</v>
      </c>
      <c r="BT68" s="21" t="s">
        <v>97</v>
      </c>
      <c r="BU68" s="20">
        <v>0</v>
      </c>
      <c r="BV68" s="22">
        <f t="shared" si="1"/>
        <v>24000000</v>
      </c>
      <c r="BW68" s="1">
        <v>63</v>
      </c>
    </row>
    <row r="69" ht="14.5" customHeight="1" spans="2:75">
      <c r="B69" s="1">
        <v>65</v>
      </c>
      <c r="C69" s="1">
        <v>7</v>
      </c>
      <c r="D69" s="1" t="s">
        <v>166</v>
      </c>
      <c r="E69" s="1">
        <v>5</v>
      </c>
      <c r="F69" t="s">
        <v>91</v>
      </c>
      <c r="G69" s="1" t="s">
        <v>100</v>
      </c>
      <c r="H69" s="1" t="s">
        <v>171</v>
      </c>
      <c r="I69">
        <v>10000</v>
      </c>
      <c r="L69" s="1">
        <v>65</v>
      </c>
      <c r="M69" s="1">
        <v>650</v>
      </c>
      <c r="N69" s="1">
        <v>650</v>
      </c>
      <c r="BN69" s="19" t="s">
        <v>94</v>
      </c>
      <c r="BO69" s="19">
        <v>60</v>
      </c>
      <c r="BP69" s="20" t="s">
        <v>95</v>
      </c>
      <c r="BQ69" s="20">
        <f t="shared" ref="BQ69:BQ84" si="2">ROUND(BO69*2/3,0)</f>
        <v>40</v>
      </c>
      <c r="BR69" s="21" t="s">
        <v>96</v>
      </c>
      <c r="BS69" s="21">
        <v>0</v>
      </c>
      <c r="BT69" s="21" t="s">
        <v>97</v>
      </c>
      <c r="BU69" s="20">
        <v>0</v>
      </c>
      <c r="BV69" s="22">
        <f t="shared" si="1"/>
        <v>30400000</v>
      </c>
      <c r="BW69" s="1">
        <v>64</v>
      </c>
    </row>
    <row r="70" ht="14.5" customHeight="1" spans="2:75">
      <c r="B70" s="1">
        <v>66</v>
      </c>
      <c r="C70" s="1">
        <v>7</v>
      </c>
      <c r="D70" s="1" t="s">
        <v>166</v>
      </c>
      <c r="E70" s="1">
        <v>6</v>
      </c>
      <c r="F70" t="s">
        <v>91</v>
      </c>
      <c r="G70" s="1" t="s">
        <v>100</v>
      </c>
      <c r="H70" s="1" t="s">
        <v>172</v>
      </c>
      <c r="I70" s="1">
        <v>5000</v>
      </c>
      <c r="K70" s="1">
        <v>3600</v>
      </c>
      <c r="L70" s="1">
        <v>66</v>
      </c>
      <c r="M70" s="1">
        <v>660</v>
      </c>
      <c r="N70" s="1">
        <v>660</v>
      </c>
      <c r="O70">
        <v>11972006</v>
      </c>
      <c r="P70">
        <v>1</v>
      </c>
      <c r="Q70">
        <v>11972007</v>
      </c>
      <c r="R70">
        <v>1</v>
      </c>
      <c r="S70">
        <v>11972008</v>
      </c>
      <c r="T70">
        <v>1</v>
      </c>
      <c r="U70">
        <v>11973005</v>
      </c>
      <c r="V70">
        <v>1</v>
      </c>
      <c r="W70">
        <v>500</v>
      </c>
      <c r="X70">
        <v>11973006</v>
      </c>
      <c r="Y70">
        <v>1</v>
      </c>
      <c r="Z70">
        <v>500</v>
      </c>
      <c r="AA70">
        <v>11973007</v>
      </c>
      <c r="AB70">
        <v>1</v>
      </c>
      <c r="AC70">
        <v>500</v>
      </c>
      <c r="AD70">
        <v>11973008</v>
      </c>
      <c r="AE70">
        <v>1</v>
      </c>
      <c r="AF70">
        <v>500</v>
      </c>
      <c r="AG70">
        <v>11973009</v>
      </c>
      <c r="AH70">
        <v>1</v>
      </c>
      <c r="AI70">
        <v>500</v>
      </c>
      <c r="AJ70">
        <v>11974005</v>
      </c>
      <c r="AK70">
        <v>1</v>
      </c>
      <c r="AL70">
        <v>500</v>
      </c>
      <c r="AM70">
        <v>11974006</v>
      </c>
      <c r="AN70">
        <v>1</v>
      </c>
      <c r="AO70">
        <v>500</v>
      </c>
      <c r="AP70">
        <v>11974007</v>
      </c>
      <c r="AQ70">
        <v>1</v>
      </c>
      <c r="AR70">
        <v>500</v>
      </c>
      <c r="AS70">
        <v>11974008</v>
      </c>
      <c r="AT70">
        <v>1</v>
      </c>
      <c r="AU70">
        <v>500</v>
      </c>
      <c r="AV70">
        <v>11974009</v>
      </c>
      <c r="AW70">
        <v>1</v>
      </c>
      <c r="AX70">
        <v>500</v>
      </c>
      <c r="BN70" s="19" t="s">
        <v>94</v>
      </c>
      <c r="BO70" s="19">
        <v>60</v>
      </c>
      <c r="BP70" s="20" t="s">
        <v>95</v>
      </c>
      <c r="BQ70" s="20">
        <f t="shared" si="2"/>
        <v>40</v>
      </c>
      <c r="BR70" s="21" t="s">
        <v>96</v>
      </c>
      <c r="BS70" s="21">
        <v>0</v>
      </c>
      <c r="BT70" s="21" t="s">
        <v>97</v>
      </c>
      <c r="BU70" s="20">
        <v>0</v>
      </c>
      <c r="BV70" s="22">
        <f t="shared" si="1"/>
        <v>37600000</v>
      </c>
      <c r="BW70" s="1">
        <v>65</v>
      </c>
    </row>
    <row r="71" ht="14.5" customHeight="1" spans="2:75">
      <c r="B71" s="1">
        <v>67</v>
      </c>
      <c r="C71" s="1">
        <v>7</v>
      </c>
      <c r="D71" s="1" t="s">
        <v>166</v>
      </c>
      <c r="E71" s="1">
        <v>7</v>
      </c>
      <c r="F71" t="s">
        <v>91</v>
      </c>
      <c r="G71" s="1" t="s">
        <v>104</v>
      </c>
      <c r="H71" s="1" t="s">
        <v>173</v>
      </c>
      <c r="I71">
        <v>10000</v>
      </c>
      <c r="L71" s="1">
        <v>67</v>
      </c>
      <c r="M71" s="1">
        <v>670</v>
      </c>
      <c r="N71" s="1">
        <v>670</v>
      </c>
      <c r="BN71" s="19" t="s">
        <v>94</v>
      </c>
      <c r="BO71" s="19">
        <v>60</v>
      </c>
      <c r="BP71" s="20" t="s">
        <v>95</v>
      </c>
      <c r="BQ71" s="20">
        <f t="shared" si="2"/>
        <v>40</v>
      </c>
      <c r="BR71" s="21" t="s">
        <v>96</v>
      </c>
      <c r="BS71" s="21">
        <v>0</v>
      </c>
      <c r="BT71" s="21" t="s">
        <v>97</v>
      </c>
      <c r="BU71" s="20">
        <v>0</v>
      </c>
      <c r="BV71" s="22">
        <f t="shared" si="1"/>
        <v>47200000</v>
      </c>
      <c r="BW71" s="1">
        <v>66</v>
      </c>
    </row>
    <row r="72" ht="14.5" customHeight="1" spans="2:75">
      <c r="B72" s="1">
        <v>68</v>
      </c>
      <c r="C72" s="1">
        <v>7</v>
      </c>
      <c r="D72" s="1" t="s">
        <v>166</v>
      </c>
      <c r="E72" s="1">
        <v>8</v>
      </c>
      <c r="F72" t="s">
        <v>91</v>
      </c>
      <c r="G72" s="1" t="s">
        <v>104</v>
      </c>
      <c r="H72" s="1" t="s">
        <v>174</v>
      </c>
      <c r="I72">
        <v>10000</v>
      </c>
      <c r="L72" s="1">
        <v>68</v>
      </c>
      <c r="M72" s="1">
        <v>680</v>
      </c>
      <c r="N72" s="1">
        <v>680</v>
      </c>
      <c r="BN72" s="19" t="s">
        <v>94</v>
      </c>
      <c r="BO72" s="19">
        <v>60</v>
      </c>
      <c r="BP72" s="20" t="s">
        <v>95</v>
      </c>
      <c r="BQ72" s="20">
        <f t="shared" si="2"/>
        <v>40</v>
      </c>
      <c r="BR72" s="21" t="s">
        <v>96</v>
      </c>
      <c r="BS72" s="21">
        <v>0</v>
      </c>
      <c r="BT72" s="21" t="s">
        <v>97</v>
      </c>
      <c r="BU72" s="20">
        <v>0</v>
      </c>
      <c r="BV72" s="22">
        <f t="shared" si="1"/>
        <v>60800000</v>
      </c>
      <c r="BW72" s="1">
        <v>67</v>
      </c>
    </row>
    <row r="73" ht="14.5" customHeight="1" spans="2:75">
      <c r="B73" s="1">
        <v>69</v>
      </c>
      <c r="C73" s="1">
        <v>7</v>
      </c>
      <c r="D73" s="1" t="s">
        <v>166</v>
      </c>
      <c r="E73" s="1">
        <v>9</v>
      </c>
      <c r="F73" t="s">
        <v>91</v>
      </c>
      <c r="G73" s="1" t="s">
        <v>104</v>
      </c>
      <c r="H73" s="1" t="s">
        <v>175</v>
      </c>
      <c r="I73" s="1">
        <v>5000</v>
      </c>
      <c r="K73" s="1">
        <v>3600</v>
      </c>
      <c r="L73" s="1">
        <v>69</v>
      </c>
      <c r="M73" s="1">
        <v>690</v>
      </c>
      <c r="N73" s="1">
        <v>690</v>
      </c>
      <c r="O73">
        <v>11972006</v>
      </c>
      <c r="P73">
        <v>1</v>
      </c>
      <c r="Q73">
        <v>11972007</v>
      </c>
      <c r="R73">
        <v>1</v>
      </c>
      <c r="S73">
        <v>11972008</v>
      </c>
      <c r="T73">
        <v>1</v>
      </c>
      <c r="U73">
        <v>11973005</v>
      </c>
      <c r="V73">
        <v>1</v>
      </c>
      <c r="W73">
        <v>500</v>
      </c>
      <c r="X73">
        <v>11973006</v>
      </c>
      <c r="Y73">
        <v>1</v>
      </c>
      <c r="Z73">
        <v>500</v>
      </c>
      <c r="AA73">
        <v>11973007</v>
      </c>
      <c r="AB73">
        <v>1</v>
      </c>
      <c r="AC73">
        <v>500</v>
      </c>
      <c r="AD73">
        <v>11973008</v>
      </c>
      <c r="AE73">
        <v>1</v>
      </c>
      <c r="AF73">
        <v>500</v>
      </c>
      <c r="AG73">
        <v>11973009</v>
      </c>
      <c r="AH73">
        <v>1</v>
      </c>
      <c r="AI73">
        <v>500</v>
      </c>
      <c r="AJ73">
        <v>11974005</v>
      </c>
      <c r="AK73">
        <v>1</v>
      </c>
      <c r="AL73">
        <v>500</v>
      </c>
      <c r="AM73">
        <v>11974006</v>
      </c>
      <c r="AN73">
        <v>1</v>
      </c>
      <c r="AO73">
        <v>500</v>
      </c>
      <c r="AP73">
        <v>11974007</v>
      </c>
      <c r="AQ73">
        <v>1</v>
      </c>
      <c r="AR73">
        <v>500</v>
      </c>
      <c r="AS73">
        <v>11974008</v>
      </c>
      <c r="AT73">
        <v>1</v>
      </c>
      <c r="AU73">
        <v>500</v>
      </c>
      <c r="AV73">
        <v>11974009</v>
      </c>
      <c r="AW73">
        <v>1</v>
      </c>
      <c r="AX73">
        <v>500</v>
      </c>
      <c r="BN73" s="19" t="s">
        <v>94</v>
      </c>
      <c r="BO73" s="19">
        <v>60</v>
      </c>
      <c r="BP73" s="20" t="s">
        <v>95</v>
      </c>
      <c r="BQ73" s="20">
        <f t="shared" si="2"/>
        <v>40</v>
      </c>
      <c r="BR73" s="21" t="s">
        <v>96</v>
      </c>
      <c r="BS73" s="21">
        <v>0</v>
      </c>
      <c r="BT73" s="21" t="s">
        <v>97</v>
      </c>
      <c r="BU73" s="20">
        <v>0</v>
      </c>
      <c r="BV73" s="22">
        <f t="shared" si="1"/>
        <v>79200000</v>
      </c>
      <c r="BW73" s="1">
        <v>68</v>
      </c>
    </row>
    <row r="74" ht="14" customHeight="1" spans="2:75">
      <c r="B74" s="1">
        <v>70</v>
      </c>
      <c r="C74" s="1">
        <v>7</v>
      </c>
      <c r="D74" s="1" t="s">
        <v>166</v>
      </c>
      <c r="E74" s="1">
        <v>10</v>
      </c>
      <c r="F74" s="1" t="s">
        <v>108</v>
      </c>
      <c r="G74" s="1" t="s">
        <v>109</v>
      </c>
      <c r="H74" s="1" t="s">
        <v>176</v>
      </c>
      <c r="I74" s="1">
        <v>5000</v>
      </c>
      <c r="K74" s="1">
        <v>3600</v>
      </c>
      <c r="L74" s="1">
        <v>70</v>
      </c>
      <c r="M74" s="1">
        <v>700</v>
      </c>
      <c r="N74" s="1">
        <v>700</v>
      </c>
      <c r="O74">
        <v>11983005</v>
      </c>
      <c r="P74">
        <v>1</v>
      </c>
      <c r="Q74">
        <v>11983007</v>
      </c>
      <c r="R74">
        <v>1</v>
      </c>
      <c r="S74">
        <v>11983009</v>
      </c>
      <c r="T74">
        <v>1</v>
      </c>
      <c r="U74">
        <v>11983005</v>
      </c>
      <c r="V74">
        <v>1</v>
      </c>
      <c r="W74">
        <v>500</v>
      </c>
      <c r="X74">
        <v>11983006</v>
      </c>
      <c r="Y74">
        <v>1</v>
      </c>
      <c r="Z74">
        <v>500</v>
      </c>
      <c r="AA74">
        <v>11983007</v>
      </c>
      <c r="AB74">
        <v>1</v>
      </c>
      <c r="AC74">
        <v>500</v>
      </c>
      <c r="AD74">
        <v>11983008</v>
      </c>
      <c r="AE74">
        <v>1</v>
      </c>
      <c r="AF74">
        <v>500</v>
      </c>
      <c r="AG74">
        <v>11983009</v>
      </c>
      <c r="AH74">
        <v>1</v>
      </c>
      <c r="AI74">
        <v>500</v>
      </c>
      <c r="AJ74">
        <v>11984005</v>
      </c>
      <c r="AK74">
        <v>1</v>
      </c>
      <c r="AL74">
        <v>500</v>
      </c>
      <c r="AM74">
        <v>11984006</v>
      </c>
      <c r="AN74">
        <v>1</v>
      </c>
      <c r="AO74">
        <v>500</v>
      </c>
      <c r="AP74">
        <v>11984007</v>
      </c>
      <c r="AQ74">
        <v>1</v>
      </c>
      <c r="AR74">
        <v>500</v>
      </c>
      <c r="AS74">
        <v>11984008</v>
      </c>
      <c r="AT74">
        <v>1</v>
      </c>
      <c r="AU74">
        <v>500</v>
      </c>
      <c r="AV74">
        <v>11984009</v>
      </c>
      <c r="AW74">
        <v>1</v>
      </c>
      <c r="AX74">
        <v>500</v>
      </c>
      <c r="AY74">
        <v>11985005</v>
      </c>
      <c r="AZ74">
        <v>1</v>
      </c>
      <c r="BA74">
        <v>500</v>
      </c>
      <c r="BB74">
        <v>11985006</v>
      </c>
      <c r="BC74">
        <v>1</v>
      </c>
      <c r="BD74">
        <v>500</v>
      </c>
      <c r="BE74">
        <v>11985007</v>
      </c>
      <c r="BF74">
        <v>1</v>
      </c>
      <c r="BG74">
        <v>500</v>
      </c>
      <c r="BH74">
        <v>11985008</v>
      </c>
      <c r="BI74">
        <v>1</v>
      </c>
      <c r="BJ74">
        <v>500</v>
      </c>
      <c r="BK74">
        <v>11985009</v>
      </c>
      <c r="BL74">
        <v>1</v>
      </c>
      <c r="BM74">
        <v>500</v>
      </c>
      <c r="BN74" s="19" t="s">
        <v>94</v>
      </c>
      <c r="BO74" s="19">
        <v>60</v>
      </c>
      <c r="BP74" s="20" t="s">
        <v>95</v>
      </c>
      <c r="BQ74" s="20">
        <f t="shared" si="2"/>
        <v>40</v>
      </c>
      <c r="BR74" s="21" t="s">
        <v>96</v>
      </c>
      <c r="BS74" s="21">
        <v>0</v>
      </c>
      <c r="BT74" s="21" t="s">
        <v>97</v>
      </c>
      <c r="BU74" s="20">
        <v>0</v>
      </c>
      <c r="BV74" s="22">
        <f t="shared" si="1"/>
        <v>103200000</v>
      </c>
      <c r="BW74" s="1">
        <v>69</v>
      </c>
    </row>
    <row r="75" ht="14.5" customHeight="1" spans="2:75">
      <c r="B75" s="1">
        <v>71</v>
      </c>
      <c r="C75" s="1">
        <v>8</v>
      </c>
      <c r="D75" s="1" t="s">
        <v>177</v>
      </c>
      <c r="E75" s="1">
        <v>1</v>
      </c>
      <c r="F75" t="s">
        <v>91</v>
      </c>
      <c r="G75" s="1" t="s">
        <v>92</v>
      </c>
      <c r="H75" s="1" t="s">
        <v>178</v>
      </c>
      <c r="I75">
        <v>10000</v>
      </c>
      <c r="L75" s="1">
        <v>71</v>
      </c>
      <c r="M75" s="1">
        <v>710</v>
      </c>
      <c r="N75" s="1">
        <v>710</v>
      </c>
      <c r="BN75" s="19" t="s">
        <v>94</v>
      </c>
      <c r="BO75" s="19">
        <v>80</v>
      </c>
      <c r="BP75" s="20" t="s">
        <v>95</v>
      </c>
      <c r="BQ75" s="20">
        <f t="shared" si="2"/>
        <v>53</v>
      </c>
      <c r="BR75" s="21" t="s">
        <v>96</v>
      </c>
      <c r="BS75" s="21">
        <v>0</v>
      </c>
      <c r="BT75" s="21" t="s">
        <v>97</v>
      </c>
      <c r="BU75" s="20">
        <v>0</v>
      </c>
      <c r="BV75" s="22">
        <f t="shared" si="1"/>
        <v>133600000</v>
      </c>
      <c r="BW75" s="1">
        <v>70</v>
      </c>
    </row>
    <row r="76" ht="14.5" customHeight="1" spans="2:75">
      <c r="B76" s="1">
        <v>72</v>
      </c>
      <c r="C76" s="1">
        <v>8</v>
      </c>
      <c r="D76" s="1" t="s">
        <v>177</v>
      </c>
      <c r="E76" s="1">
        <v>2</v>
      </c>
      <c r="F76" t="s">
        <v>91</v>
      </c>
      <c r="G76" s="1" t="s">
        <v>92</v>
      </c>
      <c r="H76" s="1" t="s">
        <v>179</v>
      </c>
      <c r="I76">
        <v>10000</v>
      </c>
      <c r="L76" s="1">
        <v>72</v>
      </c>
      <c r="M76" s="1">
        <v>720</v>
      </c>
      <c r="N76" s="1">
        <v>720</v>
      </c>
      <c r="BN76" s="19" t="s">
        <v>94</v>
      </c>
      <c r="BO76" s="19">
        <v>80</v>
      </c>
      <c r="BP76" s="20" t="s">
        <v>95</v>
      </c>
      <c r="BQ76" s="20">
        <f t="shared" si="2"/>
        <v>53</v>
      </c>
      <c r="BR76" s="21" t="s">
        <v>96</v>
      </c>
      <c r="BS76" s="21">
        <v>0</v>
      </c>
      <c r="BT76" s="21" t="s">
        <v>97</v>
      </c>
      <c r="BU76" s="20">
        <v>0</v>
      </c>
      <c r="BV76" s="22">
        <f t="shared" si="1"/>
        <v>171200000</v>
      </c>
      <c r="BW76" s="1">
        <v>71</v>
      </c>
    </row>
    <row r="77" ht="14.5" customHeight="1" spans="2:75">
      <c r="B77" s="1">
        <v>73</v>
      </c>
      <c r="C77" s="1">
        <v>8</v>
      </c>
      <c r="D77" s="1" t="s">
        <v>177</v>
      </c>
      <c r="E77" s="1">
        <v>3</v>
      </c>
      <c r="F77" t="s">
        <v>91</v>
      </c>
      <c r="G77" s="1" t="s">
        <v>92</v>
      </c>
      <c r="H77" s="1" t="s">
        <v>180</v>
      </c>
      <c r="I77" s="1">
        <v>5000</v>
      </c>
      <c r="K77" s="1">
        <v>3600</v>
      </c>
      <c r="L77" s="1">
        <v>73</v>
      </c>
      <c r="M77" s="1">
        <v>730</v>
      </c>
      <c r="N77" s="1">
        <v>730</v>
      </c>
      <c r="O77">
        <v>11983006</v>
      </c>
      <c r="P77">
        <v>1</v>
      </c>
      <c r="Q77">
        <v>11983007</v>
      </c>
      <c r="R77">
        <v>1</v>
      </c>
      <c r="S77">
        <v>11983008</v>
      </c>
      <c r="T77">
        <v>1</v>
      </c>
      <c r="U77">
        <v>11984005</v>
      </c>
      <c r="V77">
        <v>1</v>
      </c>
      <c r="W77">
        <v>500</v>
      </c>
      <c r="X77">
        <v>11984006</v>
      </c>
      <c r="Y77">
        <v>1</v>
      </c>
      <c r="Z77">
        <v>500</v>
      </c>
      <c r="AA77">
        <v>11984007</v>
      </c>
      <c r="AB77">
        <v>1</v>
      </c>
      <c r="AC77">
        <v>500</v>
      </c>
      <c r="AD77">
        <v>11984008</v>
      </c>
      <c r="AE77">
        <v>1</v>
      </c>
      <c r="AF77">
        <v>500</v>
      </c>
      <c r="AG77">
        <v>11984009</v>
      </c>
      <c r="AH77">
        <v>1</v>
      </c>
      <c r="AI77">
        <v>500</v>
      </c>
      <c r="AJ77">
        <v>11985005</v>
      </c>
      <c r="AK77">
        <v>1</v>
      </c>
      <c r="AL77">
        <v>500</v>
      </c>
      <c r="AM77">
        <v>11985006</v>
      </c>
      <c r="AN77">
        <v>1</v>
      </c>
      <c r="AO77">
        <v>500</v>
      </c>
      <c r="AP77">
        <v>11985007</v>
      </c>
      <c r="AQ77">
        <v>1</v>
      </c>
      <c r="AR77">
        <v>500</v>
      </c>
      <c r="AS77">
        <v>11985008</v>
      </c>
      <c r="AT77">
        <v>1</v>
      </c>
      <c r="AU77">
        <v>500</v>
      </c>
      <c r="AV77">
        <v>11985009</v>
      </c>
      <c r="AW77">
        <v>1</v>
      </c>
      <c r="AX77">
        <v>500</v>
      </c>
      <c r="BN77" s="19" t="s">
        <v>94</v>
      </c>
      <c r="BO77" s="19">
        <v>80</v>
      </c>
      <c r="BP77" s="20" t="s">
        <v>95</v>
      </c>
      <c r="BQ77" s="20">
        <f t="shared" si="2"/>
        <v>53</v>
      </c>
      <c r="BR77" s="21" t="s">
        <v>96</v>
      </c>
      <c r="BS77" s="21">
        <v>0</v>
      </c>
      <c r="BT77" s="21" t="s">
        <v>97</v>
      </c>
      <c r="BU77" s="20">
        <v>0</v>
      </c>
      <c r="BV77" s="22">
        <f t="shared" si="1"/>
        <v>218400000</v>
      </c>
      <c r="BW77" s="1">
        <v>72</v>
      </c>
    </row>
    <row r="78" ht="14.5" customHeight="1" spans="2:75">
      <c r="B78" s="1">
        <v>74</v>
      </c>
      <c r="C78" s="1">
        <v>8</v>
      </c>
      <c r="D78" s="1" t="s">
        <v>177</v>
      </c>
      <c r="E78" s="1">
        <v>4</v>
      </c>
      <c r="F78" t="s">
        <v>91</v>
      </c>
      <c r="G78" s="1" t="s">
        <v>100</v>
      </c>
      <c r="H78" s="1" t="s">
        <v>181</v>
      </c>
      <c r="I78">
        <v>10000</v>
      </c>
      <c r="L78" s="1">
        <v>74</v>
      </c>
      <c r="M78" s="1">
        <v>740</v>
      </c>
      <c r="N78" s="1">
        <v>740</v>
      </c>
      <c r="BN78" s="19" t="s">
        <v>94</v>
      </c>
      <c r="BO78" s="19">
        <v>80</v>
      </c>
      <c r="BP78" s="20" t="s">
        <v>95</v>
      </c>
      <c r="BQ78" s="20">
        <f t="shared" si="2"/>
        <v>53</v>
      </c>
      <c r="BR78" s="21" t="s">
        <v>96</v>
      </c>
      <c r="BS78" s="21">
        <v>0</v>
      </c>
      <c r="BT78" s="21" t="s">
        <v>97</v>
      </c>
      <c r="BU78" s="20">
        <v>0</v>
      </c>
      <c r="BV78" s="22">
        <f t="shared" si="1"/>
        <v>279200000</v>
      </c>
      <c r="BW78" s="1">
        <v>73</v>
      </c>
    </row>
    <row r="79" ht="14.5" customHeight="1" spans="2:75">
      <c r="B79" s="1">
        <v>75</v>
      </c>
      <c r="C79" s="1">
        <v>8</v>
      </c>
      <c r="D79" s="1" t="s">
        <v>177</v>
      </c>
      <c r="E79" s="1">
        <v>5</v>
      </c>
      <c r="F79" t="s">
        <v>91</v>
      </c>
      <c r="G79" s="1" t="s">
        <v>100</v>
      </c>
      <c r="H79" s="1" t="s">
        <v>182</v>
      </c>
      <c r="I79">
        <v>10000</v>
      </c>
      <c r="L79" s="1">
        <v>75</v>
      </c>
      <c r="M79" s="1">
        <v>750</v>
      </c>
      <c r="N79" s="1">
        <v>750</v>
      </c>
      <c r="BN79" s="19" t="s">
        <v>94</v>
      </c>
      <c r="BO79" s="19">
        <v>80</v>
      </c>
      <c r="BP79" s="20" t="s">
        <v>95</v>
      </c>
      <c r="BQ79" s="20">
        <f t="shared" si="2"/>
        <v>53</v>
      </c>
      <c r="BR79" s="21" t="s">
        <v>96</v>
      </c>
      <c r="BS79" s="21">
        <v>0</v>
      </c>
      <c r="BT79" s="21" t="s">
        <v>97</v>
      </c>
      <c r="BU79" s="20">
        <v>0</v>
      </c>
      <c r="BV79" s="22">
        <f t="shared" si="1"/>
        <v>358400000</v>
      </c>
      <c r="BW79" s="1">
        <v>74</v>
      </c>
    </row>
    <row r="80" ht="14.5" customHeight="1" spans="2:75">
      <c r="B80" s="1">
        <v>76</v>
      </c>
      <c r="C80" s="1">
        <v>8</v>
      </c>
      <c r="D80" s="1" t="s">
        <v>177</v>
      </c>
      <c r="E80" s="1">
        <v>6</v>
      </c>
      <c r="F80" t="s">
        <v>91</v>
      </c>
      <c r="G80" s="1" t="s">
        <v>100</v>
      </c>
      <c r="H80" s="1" t="s">
        <v>183</v>
      </c>
      <c r="I80" s="1">
        <v>5000</v>
      </c>
      <c r="K80" s="1">
        <v>3600</v>
      </c>
      <c r="L80" s="1">
        <v>76</v>
      </c>
      <c r="M80" s="1">
        <v>760</v>
      </c>
      <c r="N80" s="1">
        <v>760</v>
      </c>
      <c r="O80">
        <v>11983006</v>
      </c>
      <c r="P80">
        <v>1</v>
      </c>
      <c r="Q80">
        <v>11983007</v>
      </c>
      <c r="R80">
        <v>1</v>
      </c>
      <c r="S80">
        <v>11983008</v>
      </c>
      <c r="T80">
        <v>1</v>
      </c>
      <c r="U80">
        <v>11984005</v>
      </c>
      <c r="V80">
        <v>1</v>
      </c>
      <c r="W80">
        <v>500</v>
      </c>
      <c r="X80">
        <v>11984006</v>
      </c>
      <c r="Y80">
        <v>1</v>
      </c>
      <c r="Z80">
        <v>500</v>
      </c>
      <c r="AA80">
        <v>11984007</v>
      </c>
      <c r="AB80">
        <v>1</v>
      </c>
      <c r="AC80">
        <v>500</v>
      </c>
      <c r="AD80">
        <v>11984008</v>
      </c>
      <c r="AE80">
        <v>1</v>
      </c>
      <c r="AF80">
        <v>500</v>
      </c>
      <c r="AG80">
        <v>11984009</v>
      </c>
      <c r="AH80">
        <v>1</v>
      </c>
      <c r="AI80">
        <v>500</v>
      </c>
      <c r="AJ80">
        <v>11985005</v>
      </c>
      <c r="AK80">
        <v>1</v>
      </c>
      <c r="AL80">
        <v>500</v>
      </c>
      <c r="AM80">
        <v>11985006</v>
      </c>
      <c r="AN80">
        <v>1</v>
      </c>
      <c r="AO80">
        <v>500</v>
      </c>
      <c r="AP80">
        <v>11985007</v>
      </c>
      <c r="AQ80">
        <v>1</v>
      </c>
      <c r="AR80">
        <v>500</v>
      </c>
      <c r="AS80">
        <v>11985008</v>
      </c>
      <c r="AT80">
        <v>1</v>
      </c>
      <c r="AU80">
        <v>500</v>
      </c>
      <c r="AV80">
        <v>11985009</v>
      </c>
      <c r="AW80">
        <v>1</v>
      </c>
      <c r="AX80">
        <v>500</v>
      </c>
      <c r="BN80" s="19" t="s">
        <v>94</v>
      </c>
      <c r="BO80" s="19">
        <v>80</v>
      </c>
      <c r="BP80" s="20" t="s">
        <v>95</v>
      </c>
      <c r="BQ80" s="20">
        <f t="shared" si="2"/>
        <v>53</v>
      </c>
      <c r="BR80" s="21" t="s">
        <v>96</v>
      </c>
      <c r="BS80" s="21">
        <v>0</v>
      </c>
      <c r="BT80" s="21" t="s">
        <v>97</v>
      </c>
      <c r="BU80" s="20">
        <v>0</v>
      </c>
      <c r="BV80" s="22">
        <f t="shared" si="1"/>
        <v>461600000</v>
      </c>
      <c r="BW80" s="1">
        <v>75</v>
      </c>
    </row>
    <row r="81" ht="14.5" customHeight="1" spans="2:75">
      <c r="B81" s="1">
        <v>77</v>
      </c>
      <c r="C81" s="1">
        <v>8</v>
      </c>
      <c r="D81" s="1" t="s">
        <v>177</v>
      </c>
      <c r="E81" s="1">
        <v>7</v>
      </c>
      <c r="F81" t="s">
        <v>91</v>
      </c>
      <c r="G81" s="1" t="s">
        <v>104</v>
      </c>
      <c r="H81" s="1" t="s">
        <v>184</v>
      </c>
      <c r="I81">
        <v>10000</v>
      </c>
      <c r="L81" s="1">
        <v>77</v>
      </c>
      <c r="M81" s="1">
        <v>770</v>
      </c>
      <c r="N81" s="1">
        <v>770</v>
      </c>
      <c r="BN81" s="19" t="s">
        <v>94</v>
      </c>
      <c r="BO81" s="19">
        <v>80</v>
      </c>
      <c r="BP81" s="20" t="s">
        <v>95</v>
      </c>
      <c r="BQ81" s="20">
        <f t="shared" si="2"/>
        <v>53</v>
      </c>
      <c r="BR81" s="21" t="s">
        <v>96</v>
      </c>
      <c r="BS81" s="21">
        <v>0</v>
      </c>
      <c r="BT81" s="21" t="s">
        <v>97</v>
      </c>
      <c r="BU81" s="20">
        <v>0</v>
      </c>
      <c r="BV81" s="22">
        <f t="shared" si="1"/>
        <v>595200000</v>
      </c>
      <c r="BW81" s="1">
        <v>76</v>
      </c>
    </row>
    <row r="82" ht="14.5" customHeight="1" spans="2:75">
      <c r="B82" s="1">
        <v>78</v>
      </c>
      <c r="C82" s="1">
        <v>8</v>
      </c>
      <c r="D82" s="1" t="s">
        <v>177</v>
      </c>
      <c r="E82" s="1">
        <v>8</v>
      </c>
      <c r="F82" t="s">
        <v>91</v>
      </c>
      <c r="G82" s="1" t="s">
        <v>104</v>
      </c>
      <c r="H82" s="1" t="s">
        <v>185</v>
      </c>
      <c r="I82">
        <v>10000</v>
      </c>
      <c r="L82" s="1">
        <v>78</v>
      </c>
      <c r="M82" s="1">
        <v>780</v>
      </c>
      <c r="N82" s="1">
        <v>780</v>
      </c>
      <c r="BN82" s="19" t="s">
        <v>94</v>
      </c>
      <c r="BO82" s="19">
        <v>80</v>
      </c>
      <c r="BP82" s="20" t="s">
        <v>95</v>
      </c>
      <c r="BQ82" s="20">
        <f t="shared" si="2"/>
        <v>53</v>
      </c>
      <c r="BR82" s="21" t="s">
        <v>96</v>
      </c>
      <c r="BS82" s="21">
        <v>0</v>
      </c>
      <c r="BT82" s="21" t="s">
        <v>97</v>
      </c>
      <c r="BU82" s="20">
        <v>0</v>
      </c>
      <c r="BV82" s="22">
        <f t="shared" si="1"/>
        <v>766400000</v>
      </c>
      <c r="BW82" s="1">
        <v>77</v>
      </c>
    </row>
    <row r="83" ht="14.5" customHeight="1" spans="2:75">
      <c r="B83" s="1">
        <v>79</v>
      </c>
      <c r="C83" s="1">
        <v>8</v>
      </c>
      <c r="D83" s="1" t="s">
        <v>177</v>
      </c>
      <c r="E83" s="1">
        <v>9</v>
      </c>
      <c r="F83" t="s">
        <v>91</v>
      </c>
      <c r="G83" s="1" t="s">
        <v>104</v>
      </c>
      <c r="H83" s="1" t="s">
        <v>186</v>
      </c>
      <c r="I83" s="1">
        <v>5000</v>
      </c>
      <c r="K83" s="1">
        <v>3600</v>
      </c>
      <c r="L83" s="1">
        <v>79</v>
      </c>
      <c r="M83" s="1">
        <v>790</v>
      </c>
      <c r="N83" s="1">
        <v>790</v>
      </c>
      <c r="O83">
        <v>11983006</v>
      </c>
      <c r="P83">
        <v>1</v>
      </c>
      <c r="Q83">
        <v>11983007</v>
      </c>
      <c r="R83">
        <v>1</v>
      </c>
      <c r="S83">
        <v>11983008</v>
      </c>
      <c r="T83">
        <v>1</v>
      </c>
      <c r="U83">
        <v>11984005</v>
      </c>
      <c r="V83">
        <v>1</v>
      </c>
      <c r="W83">
        <v>500</v>
      </c>
      <c r="X83">
        <v>11984006</v>
      </c>
      <c r="Y83">
        <v>1</v>
      </c>
      <c r="Z83">
        <v>500</v>
      </c>
      <c r="AA83">
        <v>11984007</v>
      </c>
      <c r="AB83">
        <v>1</v>
      </c>
      <c r="AC83">
        <v>500</v>
      </c>
      <c r="AD83">
        <v>11984008</v>
      </c>
      <c r="AE83">
        <v>1</v>
      </c>
      <c r="AF83">
        <v>500</v>
      </c>
      <c r="AG83">
        <v>11984009</v>
      </c>
      <c r="AH83">
        <v>1</v>
      </c>
      <c r="AI83">
        <v>500</v>
      </c>
      <c r="AJ83">
        <v>11985005</v>
      </c>
      <c r="AK83">
        <v>1</v>
      </c>
      <c r="AL83">
        <v>500</v>
      </c>
      <c r="AM83">
        <v>11985006</v>
      </c>
      <c r="AN83">
        <v>1</v>
      </c>
      <c r="AO83">
        <v>500</v>
      </c>
      <c r="AP83">
        <v>11985007</v>
      </c>
      <c r="AQ83">
        <v>1</v>
      </c>
      <c r="AR83">
        <v>500</v>
      </c>
      <c r="AS83">
        <v>11985008</v>
      </c>
      <c r="AT83">
        <v>1</v>
      </c>
      <c r="AU83">
        <v>500</v>
      </c>
      <c r="AV83">
        <v>11985009</v>
      </c>
      <c r="AW83">
        <v>1</v>
      </c>
      <c r="AX83">
        <v>500</v>
      </c>
      <c r="BN83" s="19" t="s">
        <v>94</v>
      </c>
      <c r="BO83" s="19">
        <v>80</v>
      </c>
      <c r="BP83" s="20" t="s">
        <v>95</v>
      </c>
      <c r="BQ83" s="20">
        <f t="shared" si="2"/>
        <v>53</v>
      </c>
      <c r="BR83" s="21" t="s">
        <v>96</v>
      </c>
      <c r="BS83" s="21">
        <v>0</v>
      </c>
      <c r="BT83" s="21" t="s">
        <v>97</v>
      </c>
      <c r="BU83" s="20">
        <v>0</v>
      </c>
      <c r="BV83" s="22">
        <f t="shared" si="1"/>
        <v>984800000</v>
      </c>
      <c r="BW83" s="1">
        <v>78</v>
      </c>
    </row>
    <row r="84" ht="14" customHeight="1" spans="2:75">
      <c r="B84" s="1">
        <v>80</v>
      </c>
      <c r="C84" s="1">
        <v>8</v>
      </c>
      <c r="D84" s="1" t="s">
        <v>177</v>
      </c>
      <c r="E84" s="1">
        <v>10</v>
      </c>
      <c r="F84" s="1" t="s">
        <v>108</v>
      </c>
      <c r="G84" s="1" t="s">
        <v>109</v>
      </c>
      <c r="H84" s="1" t="s">
        <v>187</v>
      </c>
      <c r="I84" s="1">
        <v>5000</v>
      </c>
      <c r="K84" s="1">
        <v>3600</v>
      </c>
      <c r="L84" s="1">
        <v>80</v>
      </c>
      <c r="M84" s="1">
        <v>800</v>
      </c>
      <c r="N84" s="1">
        <v>800</v>
      </c>
      <c r="BN84" s="19" t="s">
        <v>94</v>
      </c>
      <c r="BO84" s="19">
        <v>80</v>
      </c>
      <c r="BP84" s="20" t="s">
        <v>95</v>
      </c>
      <c r="BQ84" s="20">
        <f t="shared" si="2"/>
        <v>53</v>
      </c>
      <c r="BR84" s="21" t="s">
        <v>96</v>
      </c>
      <c r="BS84" s="21">
        <v>0</v>
      </c>
      <c r="BT84" s="21" t="s">
        <v>97</v>
      </c>
      <c r="BU84" s="20">
        <v>0</v>
      </c>
      <c r="BV84" s="22">
        <f t="shared" si="1"/>
        <v>1264000000</v>
      </c>
      <c r="BW84" s="1">
        <v>79</v>
      </c>
    </row>
  </sheetData>
  <mergeCells count="6">
    <mergeCell ref="O1:T1"/>
    <mergeCell ref="U1:BM1"/>
    <mergeCell ref="BN1:BU1"/>
    <mergeCell ref="O2:T2"/>
    <mergeCell ref="U2:BM2"/>
    <mergeCell ref="BN2:BU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realm_config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thothSSQS</cp:lastModifiedBy>
  <dcterms:created xsi:type="dcterms:W3CDTF">2015-06-05T18:19:00Z</dcterms:created>
  <dcterms:modified xsi:type="dcterms:W3CDTF">2026-09-24T11:00:37Z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A5AA7B7216324B8791A4E1451CCB0487_13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