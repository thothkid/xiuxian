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kill_config" sheetId="1" r:id="rId1"/>
    <sheet name="buff_config" sheetId="2" r:id="rId2"/>
    <sheet name="编号表" sheetId="3" r:id="rId3"/>
    <sheet name="名称表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<sst xmlns="http://schemas.openxmlformats.org/spreadsheetml/2006/main" count="4047" uniqueCount="605">
  <si>
    <t>##var</t>
  </si>
  <si>
    <t>id</t>
  </si>
  <si>
    <t>name</t>
  </si>
  <si>
    <t>internal_name</t>
  </si>
  <si>
    <t>skill_type</t>
  </si>
  <si>
    <t>skill_class</t>
  </si>
  <si>
    <t>is_passive_skill</t>
  </si>
  <si>
    <t>is_invoked</t>
  </si>
  <si>
    <t>skill_level</t>
  </si>
  <si>
    <t>identify_id</t>
  </si>
  <si>
    <t>color</t>
  </si>
  <si>
    <t>required_skill_id</t>
  </si>
  <si>
    <t>next_level_id</t>
  </si>
  <si>
    <t>description</t>
  </si>
  <si>
    <t>icon_id</t>
  </si>
  <si>
    <t>consumable_id</t>
  </si>
  <si>
    <t>lingli_cost</t>
  </si>
  <si>
    <t>required_level</t>
  </si>
  <si>
    <t>required_wupin</t>
  </si>
  <si>
    <t>exp_to_next</t>
  </si>
  <si>
    <t>cast_distance</t>
  </si>
  <si>
    <t>acquire_range</t>
  </si>
  <si>
    <t>aim_kind</t>
  </si>
  <si>
    <t>skill_selector</t>
  </si>
  <si>
    <t>sub_selector</t>
  </si>
  <si>
    <t>damage_type</t>
  </si>
  <si>
    <t>base_power</t>
  </si>
  <si>
    <t>skill_effects</t>
  </si>
  <si>
    <t>cast_time</t>
  </si>
  <si>
    <t>recovery_time</t>
  </si>
  <si>
    <t>cast_action</t>
  </si>
  <si>
    <t>cast_effect</t>
  </si>
  <si>
    <t>cast_point_effect</t>
  </si>
  <si>
    <t>hurt_effect</t>
  </si>
  <si>
    <t>stop_move</t>
  </si>
  <si>
    <t>cooldown</t>
  </si>
  <si>
    <t>cooldown_reduction_disabled</t>
  </si>
  <si>
    <t>max_charges</t>
  </si>
  <si>
    <t>charge_recover_time</t>
  </si>
  <si>
    <t>channel_time</t>
  </si>
  <si>
    <t>channel_interval</t>
  </si>
  <si>
    <t>channel_move_cancel</t>
  </si>
  <si>
    <t>hit_stun</t>
  </si>
  <si>
    <t>cast_sound_id</t>
  </si>
  <si>
    <t>hit_sound_id</t>
  </si>
  <si>
    <t>passive_trigger</t>
  </si>
  <si>
    <t>passive_skill_id</t>
  </si>
  <si>
    <t>passive_icd</t>
  </si>
  <si>
    <t>base_realm</t>
  </si>
  <si>
    <t>##type</t>
  </si>
  <si>
    <t>int</t>
  </si>
  <si>
    <t>string</t>
  </si>
  <si>
    <t>SkillType</t>
  </si>
  <si>
    <t>ClassType</t>
  </si>
  <si>
    <t>bool</t>
  </si>
  <si>
    <t>ItemQuality</t>
  </si>
  <si>
    <t>AimKind</t>
  </si>
  <si>
    <t>SkillSelector?</t>
  </si>
  <si>
    <t>array,SkillEffect</t>
  </si>
  <si>
    <t>PassiveSkillTriggerType</t>
  </si>
  <si>
    <t>##group</t>
  </si>
  <si>
    <t>c</t>
  </si>
  <si>
    <t>##</t>
  </si>
  <si>
    <t>技能ID</t>
  </si>
  <si>
    <t>技能显示名称</t>
  </si>
  <si>
    <t>内部名称</t>
  </si>
  <si>
    <t>技能分类</t>
  </si>
  <si>
    <t>技能系别</t>
  </si>
  <si>
    <t>是否被动类型技能</t>
  </si>
  <si>
    <t>是否为被调用技能</t>
  </si>
  <si>
    <t>技能等级</t>
  </si>
  <si>
    <t>技能识别ID</t>
  </si>
  <si>
    <t>颜色标签</t>
  </si>
  <si>
    <t>前置技能ID</t>
  </si>
  <si>
    <t>下一级技能ID</t>
  </si>
  <si>
    <t>技能描述文本</t>
  </si>
  <si>
    <t>技能图标ID</t>
  </si>
  <si>
    <t>施法消耗道具ID</t>
  </si>
  <si>
    <t>灵力消耗</t>
  </si>
  <si>
    <t>学习技能所需等级</t>
  </si>
  <si>
    <t>升级消耗道具</t>
  </si>
  <si>
    <t>熟练度上限</t>
  </si>
  <si>
    <t>熟练度触发行为</t>
  </si>
  <si>
    <t>施法距离</t>
  </si>
  <si>
    <t>智能施法查询半径</t>
  </si>
  <si>
    <t>施法瞄准类型</t>
  </si>
  <si>
    <t>技能选择器</t>
  </si>
  <si>
    <t>目标阵营</t>
  </si>
  <si>
    <t>友方最大目标数，0=不限</t>
  </si>
  <si>
    <t>敌对最大目标数，0=不限</t>
  </si>
  <si>
    <t>是否包含施法者自身</t>
  </si>
  <si>
    <t>群体技能目标选取优先级</t>
  </si>
  <si>
    <t>参数1</t>
  </si>
  <si>
    <t>参数2</t>
  </si>
  <si>
    <t>子选择器（可空）</t>
  </si>
  <si>
    <t>子选择器-目标阵营</t>
  </si>
  <si>
    <t>子选择器-友方最大目标数，0=不限</t>
  </si>
  <si>
    <t>子选择器-敌对最大目标数，0=不限</t>
  </si>
  <si>
    <t>子选择器-是否包含施法者自身</t>
  </si>
  <si>
    <t>子选择器-目标选取优先级</t>
  </si>
  <si>
    <t>子选择器-参数1</t>
  </si>
  <si>
    <t>子选择器-参数2</t>
  </si>
  <si>
    <t>伤害类型（仅用于展示，实际伤害类型由效果自身决定）</t>
  </si>
  <si>
    <t>技能威力基础值</t>
  </si>
  <si>
    <t>技能效果1效果类型</t>
  </si>
  <si>
    <t>技能效果1应用目标阵营</t>
  </si>
  <si>
    <t>技能效果1触发概率</t>
  </si>
  <si>
    <t>技能效果1延迟触发</t>
  </si>
  <si>
    <t>技能效果1作用范围</t>
  </si>
  <si>
    <t>技能效果1生效血量阈值</t>
  </si>
  <si>
    <t>技能效果1参数1</t>
  </si>
  <si>
    <t>技能效果1参数2</t>
  </si>
  <si>
    <t>技能效果1参数3</t>
  </si>
  <si>
    <t>技能效果1参数4</t>
  </si>
  <si>
    <t>技能效果1参数5</t>
  </si>
  <si>
    <t>技能效果1参数6</t>
  </si>
  <si>
    <t>技能效果1参数7</t>
  </si>
  <si>
    <t>技能效果1参数8</t>
  </si>
  <si>
    <t>技能效果1参数9</t>
  </si>
  <si>
    <t>技能效果1参数10</t>
  </si>
  <si>
    <t>技能效果1参数11</t>
  </si>
  <si>
    <t>技能效果1参数12</t>
  </si>
  <si>
    <t>技能效果1参数13</t>
  </si>
  <si>
    <t>技能效果2效果类型</t>
  </si>
  <si>
    <t>技能效果2应用目标阵营</t>
  </si>
  <si>
    <t>技能效果2触发概率</t>
  </si>
  <si>
    <t>技能效果2延迟触发</t>
  </si>
  <si>
    <t>技能效果2作用范围</t>
  </si>
  <si>
    <t>技能效果2生效血量阈值</t>
  </si>
  <si>
    <t>技能效果2参数1</t>
  </si>
  <si>
    <t>技能效果2参数2</t>
  </si>
  <si>
    <t>技能效果2参数3</t>
  </si>
  <si>
    <t>技能效果2参数4</t>
  </si>
  <si>
    <t>技能效果2参数5</t>
  </si>
  <si>
    <t>技能效果2参数6</t>
  </si>
  <si>
    <t>技能效果2参数7</t>
  </si>
  <si>
    <t>技能效果2参数8</t>
  </si>
  <si>
    <t>技能效果2参数9</t>
  </si>
  <si>
    <t>技能效果3效果类型</t>
  </si>
  <si>
    <t>技能效果3应用目标阵营</t>
  </si>
  <si>
    <t>技能效果3触发概率</t>
  </si>
  <si>
    <t>技能效果3延迟触发</t>
  </si>
  <si>
    <t>技能效果3作用范围</t>
  </si>
  <si>
    <t>技能效果3生效血量阈值</t>
  </si>
  <si>
    <t>技能效果3参数1</t>
  </si>
  <si>
    <t>技能效果3参数2</t>
  </si>
  <si>
    <t>技能效果3参数3</t>
  </si>
  <si>
    <t>技能效果3参数4</t>
  </si>
  <si>
    <t>技能效果3参数5</t>
  </si>
  <si>
    <t>技能效果3参数6</t>
  </si>
  <si>
    <t>技能效果3参数7</t>
  </si>
  <si>
    <t>技能效果3参数8</t>
  </si>
  <si>
    <t>技能效果3参数9</t>
  </si>
  <si>
    <t>前摇帧数</t>
  </si>
  <si>
    <t>后摇帧数</t>
  </si>
  <si>
    <t>施法动作名称</t>
  </si>
  <si>
    <t>施法特效路径</t>
  </si>
  <si>
    <t>施法点特效路径</t>
  </si>
  <si>
    <t>怪物受击特效路径</t>
  </si>
  <si>
    <t>是否停止移动</t>
  </si>
  <si>
    <t>冷却时间(秒)</t>
  </si>
  <si>
    <t>禁止冷却缩减</t>
  </si>
  <si>
    <t>最大充能层数</t>
  </si>
  <si>
    <t>单层充能恢复时间(毫秒)</t>
  </si>
  <si>
    <t>引导时长(毫秒)</t>
  </si>
  <si>
    <t>引导结算间隔(毫秒)</t>
  </si>
  <si>
    <t>引导时移动是否中断</t>
  </si>
  <si>
    <t>受击硬直时间(毫秒)</t>
  </si>
  <si>
    <t>施法音效资源名</t>
  </si>
  <si>
    <t>受击音效资源名</t>
  </si>
  <si>
    <t>被动触发事件类型</t>
  </si>
  <si>
    <t>被动触发条件技能ID</t>
  </si>
  <si>
    <t>被动内置冷却(毫秒)</t>
  </si>
  <si>
    <t>基准境界</t>
  </si>
  <si>
    <t>基础剑术</t>
  </si>
  <si>
    <t>人道</t>
  </si>
  <si>
    <t>剑道</t>
  </si>
  <si>
    <t>凡品</t>
  </si>
  <si>
    <t>|cff00FF00是所有剑术的基础，习得后获得大量准确，并提升极少量伤害。</t>
  </si>
  <si>
    <t>单位</t>
  </si>
  <si>
    <t>单体</t>
  </si>
  <si>
    <t>敌对</t>
  </si>
  <si>
    <t>最近</t>
  </si>
  <si>
    <t>物理</t>
  </si>
  <si>
    <t>技能效果_伤害</t>
  </si>
  <si>
    <t>全部</t>
  </si>
  <si>
    <t>Attack One</t>
  </si>
  <si>
    <t>无</t>
  </si>
  <si>
    <t>Spell One</t>
  </si>
  <si>
    <t>自己</t>
  </si>
  <si>
    <t>灵植术</t>
  </si>
  <si>
    <t>灵植</t>
  </si>
  <si>
    <t>地道</t>
  </si>
  <si>
    <t>提高对灵植灵性、药性与杂质的辨析和处理能力，并提高相关炼制的成功率。|n|cff00FF00“草木之用，不独在其形色；识其灵序、留其真性，方能去芜存精。”——《草木蕴生功》|r</t>
  </si>
  <si>
    <t>191</t>
  </si>
  <si>
    <t>灵材术</t>
  </si>
  <si>
    <t>灵材</t>
  </si>
  <si>
    <t>提高对灵材结构、材性与杂质的辨析和处理能力，并提高相关炼制的成功率。|n|cff00FF00“石有纹，金有性；灵材虽默，其内秩序自有迹可循。”——《万材辨性篇》|r</t>
  </si>
  <si>
    <t>炼丹术</t>
  </si>
  <si>
    <t>炼丹</t>
  </si>
  <si>
    <t>高炼丹时调和药性、掌控火候和去除药滓的能力，增加炼丹成功率。|n|cff00FF00“丹成非独赖火，须使四性五味各安其位，清浊自分。”——《九转合丹经》|r</t>
  </si>
  <si>
    <t>炼器术</t>
  </si>
  <si>
    <t>炼器</t>
  </si>
  <si>
    <t>提高炼器时调和材性、贯通灵路和去除杂质的能力，增加炼器成功率。|n|cff00FF00“器成于材，灵生于序；材性不合，百炼亦为空。”——《天工铸灵经》|r</t>
  </si>
  <si>
    <t>符箓术</t>
  </si>
  <si>
    <t>符箓</t>
  </si>
  <si>
    <t>提高制符时控制灵力、绘制符纹和维持符中结构的能力，增加制符成功率。|n|cff00FF00“符者，以灵力为墨、符材为载，外写一段可自行运转之序。”——《云篆通玄诀》|r</t>
  </si>
  <si>
    <t>阵法术</t>
  </si>
  <si>
    <t>阵法</t>
  </si>
  <si>
    <t>提高布阵时推演阵眼、连接灵路和维持阵势的能力，增加布阵成功率。|n|cff00FF00“阵不在纹多，而在诸点相引、诸路成环，能借天地之势而自持。”——《河洛演阵篇》|r</t>
  </si>
  <si>
    <t>御兽术</t>
  </si>
  <si>
    <t>御兽</t>
  </si>
  <si>
    <t>提高感知灵兽状态、传递意念和建立稳定联系的能力，增加驯服与御使成功率。|n|cff00FF00“御兽先通其心，后御其力；强压只得一时，感应方能同行长久。”——《万灵御心诀》|r</t>
  </si>
  <si>
    <t>天序化元经</t>
  </si>
  <si>
    <t>天道</t>
  </si>
  <si>
    <t>修炼</t>
  </si>
  <si>
    <t>提高每点灵气转化出的修为。|n|cff00FF00“灵气先成其序，而后方可炼化；序愈分明，所化愈厚。”——《上古灵序经》|r</t>
  </si>
  <si>
    <t>周天转灵功</t>
  </si>
  <si>
    <t>加快修炼速度，提高单位时间获得的修为。|n|cff00FF00“气行一周，则浊减一分；周天不息，则真修自长。”——《周天行气录》|r</t>
  </si>
  <si>
    <t>九息纳灵功</t>
  </si>
  <si>
    <t>提高每时辰吸收的灵气数量。|n|cff00FF00“一息引气，九息成环；环成之时，四方灵气自来。”——《九息纳真章》|r</t>
  </si>
  <si>
    <t>归元锁基篇</t>
  </si>
  <si>
    <t>回收炼化时散逸的灵气，额外获得修为。|n|cff00FF00“余气不可轻弃，涓流亦当归基；积微累久，自可成道。”——《道基归元论》|r</t>
  </si>
  <si>
    <t>太虚演化篇</t>
  </si>
  <si>
    <t>按比例提高最终获得的修为。|n|cff00FF00“丹田非器，虚则能容；所容愈广，演化愈深。”——《太虚内景说》|r</t>
  </si>
  <si>
    <t>抱一守真经</t>
  </si>
  <si>
    <t>灵气不足时，仍能稳定获得少量基础修为。|n|cff00FF00“外气有穷，自真不绝；三元抱一，虽寂亦修。”——《守真抱一录》|r</t>
  </si>
  <si>
    <t>日月顺时篇</t>
  </si>
  <si>
    <t>白昼提高灵气吸收，夜间提高灵气转化。|n|cff00FF00“日气升而宜引，月气沉而宜藏；顺时而修，事半功倍。”——《日月灵气考》|r</t>
  </si>
  <si>
    <t>一气朝元诀</t>
  </si>
  <si>
    <t>清晨修炼时，同时提高灵气吸收与修为转化。|n|cff00FF00“朝阳未盛，夜阴将退，一气最清，万流朝元。”——《朝元清气篇》|r</t>
  </si>
  <si>
    <t>元海藏真篇</t>
  </si>
  <si>
    <t>提高灵气储存上限，减少未炼化灵气的流失。|n|cff00FF00“海纳百川，丹田藏气；未化之灵，亦不可归散。”——《元海藏灵录》|r</t>
  </si>
  <si>
    <t>开玄破障诀</t>
  </si>
  <si>
    <t>破境</t>
  </si>
  <si>
    <t>提高突破成功率，并减轻突破失败的反噬。|n|cff00FF00“关隘非墙，乃旧序之极；稳其根本，方可开玄。”——《破境玄关论》|r</t>
  </si>
  <si>
    <t>破妄观微篇</t>
  </si>
  <si>
    <t>神识</t>
  </si>
  <si>
    <t>提高神识探查能力，并增加神通命中要害的概率。|n|cff00FF00“神识至微，可见气隙；既见其隙，则虚妄自破。”——《观微破妄录》|r</t>
  </si>
  <si>
    <t>百战砺真功</t>
  </si>
  <si>
    <t>提高所有主动神通的最终威力。|n|cff00FF00“法无常强，战可砺真；每正一误，神通便进一分。”——《百战灵机考》|r</t>
  </si>
  <si>
    <t>万象本命诀</t>
  </si>
  <si>
    <t>指定一门本命神通，大幅提高其威力；同时只能指定一门。|n|cff00FF00“万法皆可习，本命只存一；神意相合，则法如己身。”——《本命神通录》|r</t>
  </si>
  <si>
    <t>观剑养锋篇</t>
  </si>
  <si>
    <t>提高所有剑道系神通的伤害与破防效果。|n|cff00FF00“剑锋养于未出之时，剑意成于久观之中。”——《剑堂养锋札》|r</t>
  </si>
  <si>
    <t>万法归流经</t>
  </si>
  <si>
    <t>术法</t>
  </si>
  <si>
    <t>提高所有术法系神通的效果。|n|cff00FF00“术有万象，气归一流；灵流无滞，则诸法尽显。”——《万法运灵总纲》|r</t>
  </si>
  <si>
    <t>百炼淬元功</t>
  </si>
  <si>
    <t>炼体</t>
  </si>
  <si>
    <t>提高所有炼体系神通的近身伤害与护体效果。|n|cff00FF00“以身为炉，以气为火；百炼之后，血肉亦可承道。”——《古修身炉经》|r</t>
  </si>
  <si>
    <t>太白庚金经</t>
  </si>
  <si>
    <t>金行</t>
  </si>
  <si>
    <t>提高所有金行神通的伤害、破甲与穿透效果。|n|cff00FF00“庚金贵收不贵散，聚锋于一点，自可断万护。”——《庚金断法录》|r</t>
  </si>
  <si>
    <t>青木荣枯经</t>
  </si>
  <si>
    <t>木行</t>
  </si>
  <si>
    <t>提高所有木行神通的伤害、治疗与持续恢复效果。|n|cff00FF00“木之一道，生中有谢，枯中藏荣，轮转而不绝。”——《青木荣枯志》|r</t>
  </si>
  <si>
    <t>沧溟叠浪篇</t>
  </si>
  <si>
    <t>水行</t>
  </si>
  <si>
    <t>提高所有水行神通的效果，连续命中时威力逐渐增加。|n|cff00FF00“水势不争一击，前潮尚未尽，后浪已经生。”——《沧溟潮生篇》|r</t>
  </si>
  <si>
    <t>离火升频诀</t>
  </si>
  <si>
    <t>火行</t>
  </si>
  <si>
    <t>提高所有火行神通的伤害、爆发与灼烧效果。|n|cff00FF00“火主动，动则升频；频至其极，一念便可燎原。”——《离火动法论》|r</t>
  </si>
  <si>
    <t>玄岳镇元功</t>
  </si>
  <si>
    <t>土行</t>
  </si>
  <si>
    <t>提高所有土行神通以及护盾、减伤和镇压效果。|n|cff00FF00“土承万物而不移，气沉如岳，则攻守皆稳。”——《玄土承载经》|r</t>
  </si>
  <si>
    <t>五行生克经</t>
  </si>
  <si>
    <t>五行</t>
  </si>
  <si>
    <t>提高所有五行神通的效果，对受克制目标效果更强。|n|cff00FF00“生者开其路，克者裁其形；五行得位，万法乃成。”——《五行生克论》|r</t>
  </si>
  <si>
    <t>草木蕴生功</t>
  </si>
  <si>
    <t>提高所有灵植类技能的效果。|n|cff00FF00“草木各有其序，顺序而养，则生机自盛。”——《草木灵序考》|r</t>
  </si>
  <si>
    <t>万材辨性篇</t>
  </si>
  <si>
    <t>提高所有灵材类技能的效果。|n|cff00FF00“万材形异而理可察，辨其灵序，方能尽其本性。”——《万材性理谱》|r</t>
  </si>
  <si>
    <t>九转合丹经</t>
  </si>
  <si>
    <t>提高所有炼丹类技能的效果。|n|cff00FF00“火不可一味求烈，九转徐急，四性五味方可归和。”——《丹火九转论》|r</t>
  </si>
  <si>
    <t>天工铸灵经</t>
  </si>
  <si>
    <t>提高所有炼器类技能的效果。|n|cff00FF00“器之贵不独在形，材性相合、灵路成环，方可长久。”——《天工器理录》|r</t>
  </si>
  <si>
    <t>云篆通玄诀</t>
  </si>
  <si>
    <t>提高所有符箓类技能的效果。|n|cff00FF00“符者，以有限之笔，外写完整之序。”——《云篆外写法》|r</t>
  </si>
  <si>
    <t>河洛演阵篇</t>
  </si>
  <si>
    <t>提高所有阵法类技能的效果。|n|cff00FF00“阵非纹多而强，贵在诸点相引、诸路成环。”——《河洛阵枢考》|r</t>
  </si>
  <si>
    <t>万灵御心诀</t>
  </si>
  <si>
    <t>提高所有御兽类技能的效果。|n|cff00FF00“御兽先通其心，后御其力；强压得用一时，感应方可同行久远。”——《万灵感应录》|r</t>
  </si>
  <si>
    <t>icon_name</t>
  </si>
  <si>
    <t>target_type</t>
  </si>
  <si>
    <t>level</t>
  </si>
  <si>
    <t>show_time</t>
  </si>
  <si>
    <t>time_override</t>
  </si>
  <si>
    <t>pile_type</t>
  </si>
  <si>
    <t>pile_max</t>
  </si>
  <si>
    <t>duration</t>
  </si>
  <si>
    <t>interval</t>
  </si>
  <si>
    <t>display_position</t>
  </si>
  <si>
    <t>effect_path</t>
  </si>
  <si>
    <t>binding_position</t>
  </si>
  <si>
    <t>category</t>
  </si>
  <si>
    <t>dispel_level</t>
  </si>
  <si>
    <t>effects</t>
  </si>
  <si>
    <t>BuffTarget</t>
  </si>
  <si>
    <t>BuffTimeOverrideType</t>
  </si>
  <si>
    <t>BuffOverrideType</t>
  </si>
  <si>
    <t>BuffBindPosition</t>
  </si>
  <si>
    <t>BuffCategory</t>
  </si>
  <si>
    <t>array,BuffEffect</t>
  </si>
  <si>
    <t>状态ID</t>
  </si>
  <si>
    <t>状态图标资源名称</t>
  </si>
  <si>
    <t>状态显示名称</t>
  </si>
  <si>
    <t>状态适用目标类型</t>
  </si>
  <si>
    <t>状态等级</t>
  </si>
  <si>
    <t>状态描述文本</t>
  </si>
  <si>
    <t>识别ID</t>
  </si>
  <si>
    <t>显示剩余时间</t>
  </si>
  <si>
    <t>时间覆盖类型</t>
  </si>
  <si>
    <t>层数叠加类型</t>
  </si>
  <si>
    <t>最大叠加层数</t>
  </si>
  <si>
    <t>持续时间(毫秒)</t>
  </si>
  <si>
    <t>作用间隔(毫秒)</t>
  </si>
  <si>
    <t>图标显示位置</t>
  </si>
  <si>
    <t>状态图标ID</t>
  </si>
  <si>
    <t>状态特效路径</t>
  </si>
  <si>
    <t>特效绑定位置</t>
  </si>
  <si>
    <t>Buff分类</t>
  </si>
  <si>
    <t>驱散级别</t>
  </si>
  <si>
    <t>效果1效果类型</t>
  </si>
  <si>
    <t>效果1触发概率</t>
  </si>
  <si>
    <t>效果1参数1</t>
  </si>
  <si>
    <t>效果1参数2</t>
  </si>
  <si>
    <t>效果1参数3</t>
  </si>
  <si>
    <t>效果1参数4</t>
  </si>
  <si>
    <t>效果1参数5</t>
  </si>
  <si>
    <t>效果2效果类型</t>
  </si>
  <si>
    <t>效果2触发概率</t>
  </si>
  <si>
    <t>效果2参数1</t>
  </si>
  <si>
    <t>效果2参数2</t>
  </si>
  <si>
    <t>效果2参数3</t>
  </si>
  <si>
    <t>效果2参数4</t>
  </si>
  <si>
    <t>效果2参数5</t>
  </si>
  <si>
    <t>效果3效果类型</t>
  </si>
  <si>
    <t>效果3触发概率</t>
  </si>
  <si>
    <t>效果3参数1</t>
  </si>
  <si>
    <t>效果3参数2</t>
  </si>
  <si>
    <t>效果3参数3</t>
  </si>
  <si>
    <t>效果3参数4</t>
  </si>
  <si>
    <t>效果3参数5</t>
  </si>
  <si>
    <t>眩晕</t>
  </si>
  <si>
    <t>角色状态</t>
  </si>
  <si>
    <t>眩晕(无法行动)2秒</t>
  </si>
  <si>
    <t>210003</t>
  </si>
  <si>
    <t>覆盖</t>
  </si>
  <si>
    <t>减益</t>
  </si>
  <si>
    <t>状态效果_控制</t>
  </si>
  <si>
    <t>石化</t>
  </si>
  <si>
    <t>石化(无法行动)2秒</t>
  </si>
  <si>
    <t>210004</t>
  </si>
  <si>
    <t>冰冻</t>
  </si>
  <si>
    <t>目标被冰冻定身</t>
  </si>
  <si>
    <t>210006</t>
  </si>
  <si>
    <t>虚弱</t>
  </si>
  <si>
    <t>敌方伤害减免减20%，持续10秒</t>
  </si>
  <si>
    <t>210010</t>
  </si>
  <si>
    <t>状态效果_属性修正</t>
  </si>
  <si>
    <t>伤害减免增幅</t>
  </si>
  <si>
    <t>中毒</t>
  </si>
  <si>
    <t>中毒状态，持续减少血量</t>
  </si>
  <si>
    <t>210002</t>
  </si>
  <si>
    <t>ain_effect_jinengtexiao_22</t>
  </si>
  <si>
    <t>原点</t>
  </si>
  <si>
    <t>状态效果_持续伤害</t>
  </si>
  <si>
    <t>魔法</t>
  </si>
  <si>
    <t>技能内部名</t>
  </si>
  <si>
    <t>内部名编号</t>
  </si>
  <si>
    <t>状态内部名</t>
  </si>
  <si>
    <t>编号</t>
  </si>
  <si>
    <t>封印</t>
  </si>
  <si>
    <t>免控</t>
  </si>
  <si>
    <t>增加怒气</t>
  </si>
  <si>
    <t>闪避</t>
  </si>
  <si>
    <t>减伤</t>
  </si>
  <si>
    <t>易伤</t>
  </si>
  <si>
    <t>火墙</t>
  </si>
  <si>
    <t>物防增加</t>
  </si>
  <si>
    <t>物防降低</t>
  </si>
  <si>
    <t>魔防增加</t>
  </si>
  <si>
    <t>魔防降低</t>
  </si>
  <si>
    <t>血药</t>
  </si>
  <si>
    <t>蓝药</t>
  </si>
  <si>
    <t>魔法盾</t>
  </si>
  <si>
    <t>治愈术</t>
  </si>
  <si>
    <t>DOT</t>
  </si>
  <si>
    <t>隐身术</t>
  </si>
  <si>
    <t>流血状态</t>
  </si>
  <si>
    <t>强攻状态</t>
  </si>
  <si>
    <t>迅捷状态</t>
  </si>
  <si>
    <t>加攻速状态</t>
  </si>
  <si>
    <t>双防增加状态</t>
  </si>
  <si>
    <t>双防减少状态</t>
  </si>
  <si>
    <t>暴击状态</t>
  </si>
  <si>
    <t>召唤大雷电术</t>
  </si>
  <si>
    <t>元素削弱状态</t>
  </si>
  <si>
    <t>加施法状态</t>
  </si>
  <si>
    <t>麻痹状态</t>
  </si>
  <si>
    <t>毒伤状态</t>
  </si>
  <si>
    <t>加道术</t>
  </si>
  <si>
    <t>瞬加药</t>
  </si>
  <si>
    <t>施法目标</t>
  </si>
  <si>
    <t>范围类型</t>
  </si>
  <si>
    <t>效果目标</t>
  </si>
  <si>
    <t>技能效果</t>
  </si>
  <si>
    <t>数据类型</t>
  </si>
  <si>
    <t>介绍</t>
  </si>
  <si>
    <t>状态效果</t>
  </si>
  <si>
    <t>施法目标_自身</t>
  </si>
  <si>
    <t>范围类型_所选目标</t>
  </si>
  <si>
    <t>效果目标_所选</t>
  </si>
  <si>
    <t>筛选的所有目标</t>
  </si>
  <si>
    <t>BindingPosition</t>
  </si>
  <si>
    <t>技能效果_技能增伤</t>
  </si>
  <si>
    <t>状态效果_眩晕</t>
  </si>
  <si>
    <t>不配数据</t>
  </si>
  <si>
    <t>引擎内置（BuffModuleswitch-case，War3未使用（持续时间走配置）</t>
  </si>
  <si>
    <t>施法目标_敌对</t>
  </si>
  <si>
    <t>范围类型_目标圆形范围</t>
  </si>
  <si>
    <t>圆形范围</t>
  </si>
  <si>
    <t>效果目标_自身</t>
  </si>
  <si>
    <t>无视筛选，对自身施放</t>
  </si>
  <si>
    <t>脚底</t>
  </si>
  <si>
    <t>origin</t>
  </si>
  <si>
    <t>技能效果_忽视防御</t>
  </si>
  <si>
    <t>万分比</t>
  </si>
  <si>
    <t>状态效果_石化</t>
  </si>
  <si>
    <t>引擎内置（同上）未使用</t>
  </si>
  <si>
    <t>施法目标_友方</t>
  </si>
  <si>
    <t>范围类型_目标矩形范围</t>
  </si>
  <si>
    <t>效果目标_范围内的敌对</t>
  </si>
  <si>
    <t>筛选的所有敌方目标</t>
  </si>
  <si>
    <t>胸部</t>
  </si>
  <si>
    <t>chest</t>
  </si>
  <si>
    <t>技能效果_调用技能</t>
  </si>
  <si>
    <t>状态效果_封印</t>
  </si>
  <si>
    <t>施法目标_目标点</t>
  </si>
  <si>
    <t>范围类型_目标扇形范围</t>
  </si>
  <si>
    <t>效果目标_范围内的友方</t>
  </si>
  <si>
    <t>筛选的所有友方目标</t>
  </si>
  <si>
    <t>背部</t>
  </si>
  <si>
    <t>rear</t>
  </si>
  <si>
    <t>技能效果_调用状态</t>
  </si>
  <si>
    <t>状态效果_中毒</t>
  </si>
  <si>
    <t>game层PoisonHandler每DOT</t>
  </si>
  <si>
    <t>施法目标_主人</t>
  </si>
  <si>
    <t>范围类型_自身为中心矩形</t>
  </si>
  <si>
    <t>效果目标_目标点</t>
  </si>
  <si>
    <t>头顶上方</t>
  </si>
  <si>
    <t>overhead</t>
  </si>
  <si>
    <t>技能效果_召唤单位</t>
  </si>
  <si>
    <t>状态效果_火墙</t>
  </si>
  <si>
    <t>game层PoisonHandler同上</t>
  </si>
  <si>
    <t>范围类型_自身为圆心</t>
  </si>
  <si>
    <t>效果目标_主人</t>
  </si>
  <si>
    <t>头部</t>
  </si>
  <si>
    <t>head</t>
  </si>
  <si>
    <t>技能效果_弹道</t>
  </si>
  <si>
    <t>状态效果_火墙整数</t>
  </si>
  <si>
    <t>效果目标_范围内的全部</t>
  </si>
  <si>
    <t>手</t>
  </si>
  <si>
    <t>hand</t>
  </si>
  <si>
    <t>技能效果_冲撞位移</t>
  </si>
  <si>
    <t>状态效果_虚弱</t>
  </si>
  <si>
    <t>game层AttrModHandler伤害减少的万分比</t>
  </si>
  <si>
    <t>效果目标_范围内的队友</t>
  </si>
  <si>
    <t>左手</t>
  </si>
  <si>
    <t>hand left</t>
  </si>
  <si>
    <t>技能效果_火环位移</t>
  </si>
  <si>
    <t>状态效果_易伤</t>
  </si>
  <si>
    <t>game层AttrModHandler受伤增幅值</t>
  </si>
  <si>
    <t>效果目标_范围内的中立</t>
  </si>
  <si>
    <t>右手</t>
  </si>
  <si>
    <t>hand right</t>
  </si>
  <si>
    <t>技能效果_隔位刺杀</t>
  </si>
  <si>
    <t>状态效果_物防上限整数增加</t>
  </si>
  <si>
    <t>整数</t>
  </si>
  <si>
    <t>game层AttrModHandler平坦物防变化量（乘层数）</t>
  </si>
  <si>
    <t>效果目标_范围内的敌对怪</t>
  </si>
  <si>
    <t>脚</t>
  </si>
  <si>
    <t>foot</t>
  </si>
  <si>
    <t>技能效果_被触发</t>
  </si>
  <si>
    <t>状态效果_魔防上限整数增加</t>
  </si>
  <si>
    <t>game层AttrModHandler平坦魔防变化量（乘层数）</t>
  </si>
  <si>
    <t>效果目标_友方生命值最低</t>
  </si>
  <si>
    <t>左脚</t>
  </si>
  <si>
    <t>foot left</t>
  </si>
  <si>
    <t>技能效果_被动增加准确</t>
  </si>
  <si>
    <t>未实现</t>
  </si>
  <si>
    <t>状态效果_物防上限万分比增加</t>
  </si>
  <si>
    <t>game层AttrModHandler基于施法者法术强度的万分比</t>
  </si>
  <si>
    <t>右脚</t>
  </si>
  <si>
    <t>foot right</t>
  </si>
  <si>
    <t>技能效果_无</t>
  </si>
  <si>
    <t>枚举占位，无逻辑—</t>
  </si>
  <si>
    <t>状态效果_魔防上限万分比增加</t>
  </si>
  <si>
    <t>game层AttrModHandler同上</t>
  </si>
  <si>
    <t>施法逻辑</t>
  </si>
  <si>
    <t>武器</t>
  </si>
  <si>
    <t>weapon</t>
  </si>
  <si>
    <t>技能效果_刺杀近身</t>
  </si>
  <si>
    <t>状态效果_回血</t>
  </si>
  <si>
    <t>game层HealHandler（瞬时）回复HP量（整数）</t>
  </si>
  <si>
    <t>1、通过【施法目标】确定施法目标点(单位)</t>
  </si>
  <si>
    <t>精灵绑定点</t>
  </si>
  <si>
    <t>sprite</t>
  </si>
  <si>
    <t>技能效果_刺杀隔位</t>
  </si>
  <si>
    <t>状态效果_回蓝</t>
  </si>
  <si>
    <t>game层HealHandler（瞬时）回复MP量（整数）</t>
  </si>
  <si>
    <t>2、在目标点以【范围类型】再次进行筛选</t>
  </si>
  <si>
    <t>模型中部</t>
  </si>
  <si>
    <t>medium</t>
  </si>
  <si>
    <t>技能效果_传送</t>
  </si>
  <si>
    <t>1，2，3分别是回城，随机，指定传送</t>
  </si>
  <si>
    <t>状态效果_治愈术</t>
  </si>
  <si>
    <t>game层HealHandler（DOT）施法者法术强度的万分比（每跳）</t>
  </si>
  <si>
    <t>3、筛选的所有目标里，对符合【效果目标】的单位确定具体对谁施加（包括数量）</t>
  </si>
  <si>
    <t>坐骑</t>
  </si>
  <si>
    <t>mount</t>
  </si>
  <si>
    <t>状态效果_治愈术整数</t>
  </si>
  <si>
    <t>game层HealHandler（DOT）每跳回血量（整数，乘层数）</t>
  </si>
  <si>
    <t>3、对符合【效果目标】的单位施加技能效果</t>
  </si>
  <si>
    <t>只配置中文部分，英文是引擎使用，我们只要上面5个挂点，下面黄底色先不管，需要动作全部做一下挂点，这一点上我们具体跟动作同学聊。</t>
  </si>
  <si>
    <t>状态效果_魔法盾系数</t>
  </si>
  <si>
    <t>game层MagicShieldHandler盾值系数（万分比，基于法力值）</t>
  </si>
  <si>
    <t>4、如果【技能效果】是【调用技能B】，则技能B以【每个效果目标】作为【施法目标】(多个效果目标时，技能B会执行多次)</t>
  </si>
  <si>
    <t>状态效果_魔法盾吸收伤害</t>
  </si>
  <si>
    <t>game层MagicShieldHandler伤害吸收百分比（万分比）</t>
  </si>
  <si>
    <t>5、技能B【跳过逻辑1】【执行逻辑2】</t>
  </si>
  <si>
    <t>状态效果_隐身</t>
  </si>
  <si>
    <t>game层InvisibleHandler未使用</t>
  </si>
  <si>
    <t>6.效果目标选择 效果目标_自身 时，无视前面说的，只对自己施放</t>
  </si>
  <si>
    <t>状态效果_隐身术</t>
  </si>
  <si>
    <t>game层InvisibleHandler（别名）未使用</t>
  </si>
  <si>
    <t>7.被调用的技能一般不需要配置施法目标。</t>
  </si>
  <si>
    <t>状态效果_盾破CD</t>
  </si>
  <si>
    <t>game层ShieldBreakCDHandler未使用（持续时间走配置）</t>
  </si>
  <si>
    <t>状态效果_缓慢回血</t>
  </si>
  <si>
    <t>game层HealHandler（BUFF按配置缓慢回）回复HP量（整数）</t>
  </si>
  <si>
    <t>状态效果_缓慢回蓝</t>
  </si>
  <si>
    <t>game层HealHandler（BUFF按配置缓慢回）回复MP量（整数）</t>
  </si>
  <si>
    <t>计算自己道术属性，效果值相当于取值以后X万分比，是一个系数。算出来是整数DOT掉血（上面已有）</t>
  </si>
  <si>
    <t>状态效果_战士DOT</t>
  </si>
  <si>
    <t>计算自己攻击属性，效果值相当于取值以后X万分比，是一个系数。算出来是整数DOT掉血</t>
  </si>
  <si>
    <t>状态效果_法师DOT</t>
  </si>
  <si>
    <t>计算自己魔法属性，效果值相当于取值以后X万分比，是一个系数。算出来是整数DOT掉血（相当于火墙技能）</t>
  </si>
  <si>
    <t>状态效果_攻击万分比</t>
  </si>
  <si>
    <t>状态效果_魔法万分比</t>
  </si>
  <si>
    <t>状态效果_道术万分比</t>
  </si>
  <si>
    <t>状态效果_攻击速度</t>
  </si>
  <si>
    <t>？？</t>
  </si>
  <si>
    <t>状态效果_施法速度</t>
  </si>
  <si>
    <t>状态效果_物防上限整数降低</t>
  </si>
  <si>
    <t>状态效果_魔防上限整数降低</t>
  </si>
  <si>
    <t>状态效果_物防上限万分比降低</t>
  </si>
  <si>
    <t>状态效果_魔防上限万分比降低</t>
  </si>
  <si>
    <t>状态效果_暴击增加</t>
  </si>
  <si>
    <t>状态效果_流血战</t>
  </si>
  <si>
    <t>每秒损失攻击力*X%的生命，每秒这个事情通过间隔配置，伤害计算上和前面不一样，攻击力单独算一次，考虑幸运值的情况，从上下限取值</t>
  </si>
  <si>
    <t>状态效果_流血法</t>
  </si>
  <si>
    <t>每秒损失魔法*X%的生命，每秒这个事情通过间隔配置，伤害计算上和前面不一样，攻击力单独算一次，考虑幸运值的情况，从上下限取值</t>
  </si>
  <si>
    <t>状态效果_流血道</t>
  </si>
  <si>
    <t>每秒损失道术*X%的生命，每秒这个事情通过间隔配置，伤害计算上和前面不一样，攻击力单独算一次，考虑幸运值的情况，从上下限取值</t>
  </si>
  <si>
    <t>状态效果_加攻击下限整数</t>
  </si>
  <si>
    <t>增加攻击下限X值</t>
  </si>
  <si>
    <t>状态效果_加攻击上限整数</t>
  </si>
  <si>
    <t>增加攻击上限X值</t>
  </si>
  <si>
    <t>状态效果_加攻击下限万分比</t>
  </si>
  <si>
    <t>增加攻击下限万分比</t>
  </si>
  <si>
    <t>状态效果_加攻击上限万分比</t>
  </si>
  <si>
    <t>增加攻击上限万分比</t>
  </si>
  <si>
    <t>状态效果_加魔法下限整数</t>
  </si>
  <si>
    <t>增加魔法下限X值</t>
  </si>
  <si>
    <t>状态效果_加魔法上限整数</t>
  </si>
  <si>
    <t>增加魔法上限X值</t>
  </si>
  <si>
    <t>状态效果_加魔法下限万分比</t>
  </si>
  <si>
    <t>增加魔法下限万分比</t>
  </si>
  <si>
    <t>状态效果_加魔法上限万分比</t>
  </si>
  <si>
    <t>增加魔法上限万分比</t>
  </si>
  <si>
    <t>状态效果_加道术下限整数</t>
  </si>
  <si>
    <t>增加道术下限X值</t>
  </si>
  <si>
    <t>状态效果_加道术上限整数</t>
  </si>
  <si>
    <t>增加道术上限X值</t>
  </si>
  <si>
    <t>状态效果_加道术下限万分比</t>
  </si>
  <si>
    <t>增加道术下限万分比</t>
  </si>
  <si>
    <t>状态效果_加道术上限万分比</t>
  </si>
  <si>
    <t>增加道术上限万分比</t>
  </si>
  <si>
    <t>状态效果_流血</t>
  </si>
  <si>
    <t>状态效果_物攻百分比增加</t>
  </si>
  <si>
    <t>状态效果_移动百分比增加</t>
  </si>
  <si>
    <t>状态效果_攻速百分比增加</t>
  </si>
  <si>
    <t>状态效果_双防百分比增加</t>
  </si>
  <si>
    <t>状态效果_目标双防百分比减少</t>
  </si>
  <si>
    <t>状态效果_暴击百分比增加</t>
  </si>
  <si>
    <t>状态效果_召唤大技能</t>
  </si>
  <si>
    <t>状态效果_目标按攻击百分比扣血</t>
  </si>
  <si>
    <t>状态效果_施法速度百分比增加</t>
  </si>
  <si>
    <t>状态效果_物攻麻痹定身</t>
  </si>
  <si>
    <t>状态效果_道术百分比增加</t>
  </si>
  <si>
    <t>计算自己道术属性，算出来是整数DOT掉血</t>
  </si>
  <si>
    <t>计算自己攻击属性，算出来是整数DOT掉血</t>
  </si>
  <si>
    <t>计算自己魔法属性，算出来是整数DOT掉血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</si>
</sst>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2"/>
      <color theme="1"/>
      <name val="宋体"/>
      <charset val="134"/>
    </font>
    <font>
      <sz val="9"/>
      <color indexed="8"/>
      <name val="微软雅黑"/>
      <charset val="134"/>
    </font>
    <font>
      <sz val="11"/>
      <color indexed="8"/>
      <name val="宋体"/>
      <charset val="134"/>
    </font>
    <font>
      <sz val="9"/>
      <color rgb="FFFF0000"/>
      <name val="微软雅黑"/>
      <charset val="134"/>
    </font>
    <font>
      <sz val="10"/>
      <color theme="1"/>
      <name val="微软雅黑"/>
      <charset val="134"/>
    </font>
    <font>
      <sz val="9"/>
      <color theme="1"/>
      <name val="微软雅黑"/>
      <charset val="134"/>
    </font>
    <font>
      <sz val="9"/>
      <color indexed="8"/>
      <name val="宋体"/>
      <charset val="134"/>
    </font>
    <font>
      <sz val="12"/>
      <color theme="1"/>
      <name val="微软雅黑"/>
      <charset val="134"/>
    </font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8" fillId="0" borderId="0">
      <alignment vertical="center"/>
    </xf>
    <xf numFmtId="44" fontId="8" fillId="0" borderId="0">
      <alignment vertical="center"/>
    </xf>
    <xf numFmtId="9" fontId="8" fillId="0" borderId="0">
      <alignment vertical="center"/>
    </xf>
    <xf numFmtId="41" fontId="8" fillId="0" borderId="0">
      <alignment vertical="center"/>
    </xf>
    <xf numFmtId="42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8" fillId="4" borderId="3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4">
      <alignment vertical="center"/>
    </xf>
    <xf numFmtId="0" fontId="15" fillId="0" borderId="4">
      <alignment vertical="center"/>
    </xf>
    <xf numFmtId="0" fontId="16" fillId="0" borderId="5">
      <alignment vertical="center"/>
    </xf>
    <xf numFmtId="0" fontId="16" fillId="0" borderId="0">
      <alignment vertical="center"/>
    </xf>
    <xf numFmtId="0" fontId="17" fillId="5" borderId="6">
      <alignment vertical="center"/>
    </xf>
    <xf numFmtId="0" fontId="18" fillId="6" borderId="7">
      <alignment vertical="center"/>
    </xf>
    <xf numFmtId="0" fontId="19" fillId="6" borderId="6">
      <alignment vertical="center"/>
    </xf>
    <xf numFmtId="0" fontId="20" fillId="7" borderId="8">
      <alignment vertical="center"/>
    </xf>
    <xf numFmtId="0" fontId="21" fillId="0" borderId="9">
      <alignment vertical="center"/>
    </xf>
    <xf numFmtId="0" fontId="22" fillId="0" borderId="10">
      <alignment vertical="center"/>
    </xf>
    <xf numFmtId="0" fontId="23" fillId="8" borderId="0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8" fillId="12" borderId="0">
      <alignment vertical="center"/>
    </xf>
    <xf numFmtId="0" fontId="8" fillId="13" borderId="0">
      <alignment vertical="center"/>
    </xf>
    <xf numFmtId="0" fontId="26" fillId="14" borderId="0">
      <alignment vertical="center"/>
    </xf>
    <xf numFmtId="0" fontId="26" fillId="15" borderId="0">
      <alignment vertical="center"/>
    </xf>
    <xf numFmtId="0" fontId="8" fillId="16" borderId="0">
      <alignment vertical="center"/>
    </xf>
    <xf numFmtId="0" fontId="8" fillId="17" borderId="0">
      <alignment vertical="center"/>
    </xf>
    <xf numFmtId="0" fontId="26" fillId="18" borderId="0">
      <alignment vertical="center"/>
    </xf>
    <xf numFmtId="0" fontId="26" fillId="19" borderId="0">
      <alignment vertical="center"/>
    </xf>
    <xf numFmtId="0" fontId="8" fillId="20" borderId="0">
      <alignment vertical="center"/>
    </xf>
    <xf numFmtId="0" fontId="8" fillId="21" borderId="0">
      <alignment vertical="center"/>
    </xf>
    <xf numFmtId="0" fontId="26" fillId="22" borderId="0">
      <alignment vertical="center"/>
    </xf>
    <xf numFmtId="0" fontId="26" fillId="23" borderId="0">
      <alignment vertical="center"/>
    </xf>
    <xf numFmtId="0" fontId="8" fillId="24" borderId="0">
      <alignment vertical="center"/>
    </xf>
    <xf numFmtId="0" fontId="8" fillId="25" borderId="0">
      <alignment vertical="center"/>
    </xf>
    <xf numFmtId="0" fontId="26" fillId="26" borderId="0">
      <alignment vertical="center"/>
    </xf>
    <xf numFmtId="0" fontId="26" fillId="27" borderId="0">
      <alignment vertical="center"/>
    </xf>
    <xf numFmtId="0" fontId="8" fillId="28" borderId="0">
      <alignment vertical="center"/>
    </xf>
    <xf numFmtId="0" fontId="8" fillId="29" borderId="0">
      <alignment vertical="center"/>
    </xf>
    <xf numFmtId="0" fontId="26" fillId="30" borderId="0">
      <alignment vertical="center"/>
    </xf>
    <xf numFmtId="0" fontId="26" fillId="31" borderId="0">
      <alignment vertical="center"/>
    </xf>
    <xf numFmtId="0" fontId="8" fillId="32" borderId="0">
      <alignment vertical="center"/>
    </xf>
    <xf numFmtId="0" fontId="8" fillId="33" borderId="0">
      <alignment vertical="center"/>
    </xf>
    <xf numFmtId="0" fontId="26" fillId="34" borderId="0">
      <alignment vertical="center"/>
    </xf>
  </cellStyleXfs>
  <cellXfs count="24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top"/>
    </xf>
    <xf numFmtId="0" fontId="3" fillId="0" borderId="0" xfId="0" applyFont="1"/>
    <xf numFmtId="0" fontId="4" fillId="2" borderId="1" xfId="0" applyFont="1" applyFill="1" applyBorder="1"/>
    <xf numFmtId="0" fontId="5" fillId="0" borderId="0" xfId="0" applyFont="1"/>
    <xf numFmtId="0" fontId="5" fillId="0" borderId="0" xfId="0" applyFont="1" applyAlignment="1">
      <alignment vertical="center"/>
    </xf>
    <xf numFmtId="0" fontId="3" fillId="3" borderId="0" xfId="0" applyFont="1" applyFill="1"/>
    <xf numFmtId="0" fontId="5" fillId="3" borderId="0" xfId="0" applyFont="1" applyFill="1"/>
    <xf numFmtId="0" fontId="3" fillId="3" borderId="0" xfId="0" applyFont="1" applyFill="1" applyAlignment="1">
      <alignment horizontal="left" vertical="top"/>
    </xf>
    <xf numFmtId="0" fontId="5" fillId="3" borderId="0" xfId="0" applyFont="1" applyFill="1" applyAlignment="1">
      <alignment vertical="center"/>
    </xf>
    <xf numFmtId="0" fontId="1" fillId="3" borderId="0" xfId="0" applyFont="1" applyFill="1" applyAlignment="1">
      <alignment horizontal="left" vertical="top"/>
    </xf>
    <xf numFmtId="0" fontId="4" fillId="0" borderId="0" xfId="0" applyFont="1"/>
    <xf numFmtId="0" fontId="4" fillId="3" borderId="0" xfId="0" applyFont="1" applyFill="1"/>
    <xf numFmtId="0" fontId="3" fillId="0" borderId="2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left"/>
    </xf>
    <xf numFmtId="0" fontId="7" fillId="0" borderId="0" xfId="0" applyFont="1"/>
    <xf numFmtId="0" fontId="7" fillId="2" borderId="0" xfId="0" applyFont="1" applyFill="1"/>
    <xf numFmtId="0" fontId="7" fillId="2" borderId="0" xfId="0" applyFont="1" applyFill="1" applyAlignment="1">
      <alignment horizontal="center"/>
    </xf>
    <xf numFmtId="0" fontId="7" fillId="2" borderId="0" xfId="0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P360"/>
  <sheetViews>
    <sheetView tabSelected="1" topLeftCell="A45" workbookViewId="0">
      <selection activeCell="F27" sqref="F27"/>
    </sheetView>
  </sheetViews>
  <sheetFormatPr defaultColWidth="9" defaultRowHeight="17.25"/>
  <cols>
    <col min="1" max="1" width="9" style="20" customWidth="1"/>
    <col min="2" max="2" width="10.3333333333333" style="20" customWidth="1"/>
    <col min="3" max="3" width="13.0833333333333" style="20" customWidth="1"/>
    <col min="4" max="4" width="15.9166666666667" style="20" customWidth="1"/>
    <col min="5" max="5" width="10.6666666666667" style="20" customWidth="1"/>
    <col min="6" max="6" width="10.875" style="20" customWidth="1"/>
    <col min="7" max="8" width="18.4" style="20" customWidth="1"/>
    <col min="9" max="9" width="9" style="20" customWidth="1"/>
    <col min="10" max="10" width="11.8" style="20" customWidth="1"/>
    <col min="11" max="11" width="12.8" style="20" customWidth="1"/>
    <col min="12" max="12" width="10.3333333333333" style="20" customWidth="1"/>
    <col min="13" max="13" width="12.625" style="20" customWidth="1"/>
    <col min="14" max="14" width="48.375" style="20" customWidth="1"/>
    <col min="15" max="15" width="11.8" style="20" customWidth="1"/>
    <col min="16" max="17" width="9" style="20" customWidth="1"/>
    <col min="18" max="18" width="16.875" style="20" customWidth="1"/>
    <col min="19" max="19" width="15.75" style="20" customWidth="1"/>
    <col min="20" max="20" width="11.6666666666667" style="20" customWidth="1"/>
    <col min="21" max="21" width="15.625" style="20" customWidth="1"/>
    <col min="22" max="22" width="9" style="20" customWidth="1"/>
    <col min="23" max="23" width="18.4" style="20" customWidth="1"/>
    <col min="24" max="24" width="17.5833333333333" style="20" customWidth="1"/>
    <col min="25" max="25" width="11.4166666666667" style="20" customWidth="1"/>
    <col min="26" max="26" width="9.83333333333333" style="20" customWidth="1"/>
    <col min="27" max="28" width="15.5" style="20" customWidth="1"/>
    <col min="29" max="29" width="13.5833333333333" style="20" customWidth="1"/>
    <col min="30" max="30" width="25.1" style="20" customWidth="1"/>
    <col min="31" max="31" width="8.33333333333333" style="20" customWidth="1"/>
    <col min="32" max="32" width="8.25" style="20" customWidth="1"/>
    <col min="33" max="33" width="9" style="20" customWidth="1"/>
    <col min="34" max="34" width="19.4" style="20" customWidth="1"/>
    <col min="35" max="36" width="35.8" style="20" customWidth="1"/>
    <col min="37" max="37" width="30.5" style="20" customWidth="1"/>
    <col min="38" max="38" width="9.25" style="20" customWidth="1"/>
    <col min="39" max="42" width="16.0833333333333" style="20" customWidth="1"/>
    <col min="43" max="43" width="19.7" style="20" customWidth="1"/>
    <col min="44" max="44" width="24.2" style="20" customWidth="1"/>
    <col min="45" max="46" width="19.7" style="20" customWidth="1"/>
    <col min="47" max="85" width="16.0833333333333" style="20" customWidth="1"/>
    <col min="86" max="87" width="9" style="20" customWidth="1"/>
    <col min="88" max="88" width="12.75" style="20" customWidth="1"/>
    <col min="89" max="89" width="16.25" style="20" customWidth="1"/>
    <col min="90" max="90" width="18.1666666666667" style="20" customWidth="1"/>
    <col min="91" max="91" width="18.4166666666667" style="20" customWidth="1"/>
    <col min="92" max="101" width="9" style="20" customWidth="1"/>
    <col min="102" max="102" width="13.9" style="20" customWidth="1"/>
    <col min="103" max="103" width="14.1083333333333" style="20" customWidth="1"/>
    <col min="104" max="104" width="18.2" style="20" customWidth="1"/>
    <col min="105" max="105" width="18.4" style="20" customWidth="1"/>
    <col min="106" max="106" width="13.9" style="20" customWidth="1"/>
    <col min="107" max="111" width="9" style="20" customWidth="1"/>
    <col min="112" max="112" width="19.9" style="20" customWidth="1"/>
    <col min="113" max="113" width="23.3" style="20" customWidth="1"/>
    <col min="114" max="114" width="9" style="20" customWidth="1"/>
    <col min="115" max="116" width="16.2" style="20" customWidth="1"/>
    <col min="117" max="117" width="14.25" style="20" customWidth="1"/>
    <col min="118" max="118" width="21.125" style="20" customWidth="1"/>
    <col min="119" max="16384" width="9" style="20" customWidth="1"/>
  </cols>
  <sheetData>
    <row r="1" spans="1:120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17</v>
      </c>
      <c r="S1" s="21" t="s">
        <v>18</v>
      </c>
      <c r="T1" s="21" t="s">
        <v>19</v>
      </c>
      <c r="U1" s="21"/>
      <c r="V1" s="21" t="s">
        <v>20</v>
      </c>
      <c r="W1" s="21" t="s">
        <v>21</v>
      </c>
      <c r="X1" s="21" t="s">
        <v>22</v>
      </c>
      <c r="Y1" s="22" t="s">
        <v>23</v>
      </c>
      <c r="Z1" s="21"/>
      <c r="AA1" s="21"/>
      <c r="AB1" s="21"/>
      <c r="AC1" s="21"/>
      <c r="AD1" s="21"/>
      <c r="AE1" s="21"/>
      <c r="AF1" s="21"/>
      <c r="AG1" s="21" t="s">
        <v>24</v>
      </c>
      <c r="AH1" s="21"/>
      <c r="AI1" s="21"/>
      <c r="AJ1" s="21"/>
      <c r="AK1" s="21"/>
      <c r="AL1" s="21"/>
      <c r="AM1" s="21"/>
      <c r="AN1" s="21"/>
      <c r="AO1" s="21" t="s">
        <v>25</v>
      </c>
      <c r="AP1" s="21" t="s">
        <v>26</v>
      </c>
      <c r="AQ1" s="23" t="s">
        <v>27</v>
      </c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 t="s">
        <v>28</v>
      </c>
      <c r="CW1" s="21" t="s">
        <v>29</v>
      </c>
      <c r="CX1" s="21" t="s">
        <v>30</v>
      </c>
      <c r="CY1" s="21" t="s">
        <v>31</v>
      </c>
      <c r="CZ1" s="21" t="s">
        <v>32</v>
      </c>
      <c r="DA1" s="21" t="s">
        <v>33</v>
      </c>
      <c r="DB1" s="21" t="s">
        <v>34</v>
      </c>
      <c r="DC1" s="21" t="s">
        <v>35</v>
      </c>
      <c r="DD1" s="21" t="s">
        <v>36</v>
      </c>
      <c r="DE1" s="21" t="s">
        <v>37</v>
      </c>
      <c r="DF1" s="21" t="s">
        <v>38</v>
      </c>
      <c r="DG1" s="21" t="s">
        <v>39</v>
      </c>
      <c r="DH1" s="21" t="s">
        <v>40</v>
      </c>
      <c r="DI1" s="21" t="s">
        <v>41</v>
      </c>
      <c r="DJ1" s="21" t="s">
        <v>42</v>
      </c>
      <c r="DK1" s="21" t="s">
        <v>43</v>
      </c>
      <c r="DL1" s="21" t="s">
        <v>44</v>
      </c>
      <c r="DM1" s="21" t="s">
        <v>45</v>
      </c>
      <c r="DN1" s="21" t="s">
        <v>46</v>
      </c>
      <c r="DO1" s="21" t="s">
        <v>47</v>
      </c>
      <c r="DP1" s="21" t="s">
        <v>48</v>
      </c>
    </row>
    <row r="2" spans="1:120">
      <c r="A2" s="21" t="s">
        <v>49</v>
      </c>
      <c r="B2" s="21" t="s">
        <v>50</v>
      </c>
      <c r="C2" s="21" t="s">
        <v>51</v>
      </c>
      <c r="D2" s="21" t="s">
        <v>51</v>
      </c>
      <c r="E2" s="21" t="s">
        <v>52</v>
      </c>
      <c r="F2" s="21" t="s">
        <v>53</v>
      </c>
      <c r="G2" s="21" t="s">
        <v>54</v>
      </c>
      <c r="H2" s="21" t="s">
        <v>54</v>
      </c>
      <c r="I2" s="21" t="s">
        <v>50</v>
      </c>
      <c r="J2" s="21" t="s">
        <v>50</v>
      </c>
      <c r="K2" s="21" t="s">
        <v>55</v>
      </c>
      <c r="L2" s="21" t="s">
        <v>50</v>
      </c>
      <c r="M2" s="21" t="s">
        <v>50</v>
      </c>
      <c r="N2" s="21" t="s">
        <v>51</v>
      </c>
      <c r="O2" s="21" t="s">
        <v>50</v>
      </c>
      <c r="P2" s="21" t="s">
        <v>50</v>
      </c>
      <c r="Q2" s="21" t="s">
        <v>50</v>
      </c>
      <c r="R2" s="21" t="s">
        <v>50</v>
      </c>
      <c r="S2" s="21" t="s">
        <v>50</v>
      </c>
      <c r="T2" s="21" t="s">
        <v>50</v>
      </c>
      <c r="U2" s="21"/>
      <c r="V2" s="21" t="s">
        <v>50</v>
      </c>
      <c r="W2" s="21" t="s">
        <v>50</v>
      </c>
      <c r="X2" s="21" t="s">
        <v>56</v>
      </c>
      <c r="Y2" s="22" t="s">
        <v>57</v>
      </c>
      <c r="Z2" s="21"/>
      <c r="AA2" s="21"/>
      <c r="AB2" s="21"/>
      <c r="AC2" s="21"/>
      <c r="AD2" s="21"/>
      <c r="AE2" s="21"/>
      <c r="AF2" s="21"/>
      <c r="AG2" s="21" t="s">
        <v>57</v>
      </c>
      <c r="AH2" s="21"/>
      <c r="AI2" s="21"/>
      <c r="AJ2" s="21"/>
      <c r="AK2" s="21"/>
      <c r="AL2" s="21"/>
      <c r="AM2" s="21"/>
      <c r="AN2" s="21"/>
      <c r="AO2" s="21" t="s">
        <v>51</v>
      </c>
      <c r="AP2" s="21" t="s">
        <v>50</v>
      </c>
      <c r="AQ2" s="23" t="s">
        <v>58</v>
      </c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 t="s">
        <v>50</v>
      </c>
      <c r="CW2" s="21" t="s">
        <v>50</v>
      </c>
      <c r="CX2" s="21" t="s">
        <v>51</v>
      </c>
      <c r="CY2" s="21" t="s">
        <v>50</v>
      </c>
      <c r="CZ2" s="21" t="s">
        <v>51</v>
      </c>
      <c r="DA2" s="21" t="s">
        <v>51</v>
      </c>
      <c r="DB2" s="21" t="s">
        <v>54</v>
      </c>
      <c r="DC2" s="21" t="s">
        <v>50</v>
      </c>
      <c r="DD2" s="21" t="s">
        <v>54</v>
      </c>
      <c r="DE2" s="21" t="s">
        <v>50</v>
      </c>
      <c r="DF2" s="21" t="s">
        <v>50</v>
      </c>
      <c r="DG2" s="21" t="s">
        <v>50</v>
      </c>
      <c r="DH2" s="21" t="s">
        <v>50</v>
      </c>
      <c r="DI2" s="21" t="s">
        <v>54</v>
      </c>
      <c r="DJ2" s="21" t="s">
        <v>50</v>
      </c>
      <c r="DK2" s="21" t="s">
        <v>50</v>
      </c>
      <c r="DL2" s="21" t="s">
        <v>51</v>
      </c>
      <c r="DM2" s="21" t="s">
        <v>59</v>
      </c>
      <c r="DN2" s="21" t="s">
        <v>50</v>
      </c>
      <c r="DO2" s="21" t="s">
        <v>50</v>
      </c>
      <c r="DP2" s="21" t="s">
        <v>50</v>
      </c>
    </row>
    <row r="3" spans="1:120">
      <c r="A3" s="21" t="s">
        <v>60</v>
      </c>
      <c r="B3" s="21"/>
      <c r="C3" s="21" t="s">
        <v>61</v>
      </c>
      <c r="D3" s="21" t="s">
        <v>61</v>
      </c>
      <c r="E3" s="21"/>
      <c r="F3" s="21"/>
      <c r="G3" s="21" t="s">
        <v>61</v>
      </c>
      <c r="H3" s="21" t="s">
        <v>61</v>
      </c>
      <c r="I3" s="21"/>
      <c r="J3" s="21"/>
      <c r="K3" s="21"/>
      <c r="L3" s="21"/>
      <c r="M3" s="21"/>
      <c r="N3" s="21" t="s">
        <v>61</v>
      </c>
      <c r="O3" s="21" t="s">
        <v>61</v>
      </c>
      <c r="P3" s="21"/>
      <c r="Q3" s="21" t="s">
        <v>61</v>
      </c>
      <c r="R3" s="21"/>
      <c r="S3" s="21"/>
      <c r="T3" s="21"/>
      <c r="U3" s="21"/>
      <c r="V3" s="21" t="s">
        <v>61</v>
      </c>
      <c r="W3" s="21" t="s">
        <v>61</v>
      </c>
      <c r="X3" s="21" t="s">
        <v>61</v>
      </c>
      <c r="Y3" s="22" t="s">
        <v>61</v>
      </c>
      <c r="Z3" s="21"/>
      <c r="AA3" s="21"/>
      <c r="AB3" s="21"/>
      <c r="AC3" s="21"/>
      <c r="AD3" s="21"/>
      <c r="AE3" s="21"/>
      <c r="AF3" s="21"/>
      <c r="AG3" s="21" t="s">
        <v>61</v>
      </c>
      <c r="AH3" s="21"/>
      <c r="AI3" s="21"/>
      <c r="AJ3" s="21"/>
      <c r="AK3" s="21"/>
      <c r="AL3" s="21"/>
      <c r="AM3" s="21"/>
      <c r="AN3" s="21"/>
      <c r="AO3" s="21" t="s">
        <v>61</v>
      </c>
      <c r="AP3" s="21" t="s">
        <v>61</v>
      </c>
      <c r="AQ3" s="23" t="s">
        <v>61</v>
      </c>
      <c r="AR3" s="21"/>
      <c r="AS3" s="21"/>
      <c r="AT3" s="21"/>
      <c r="AU3" s="21"/>
      <c r="AV3" s="21"/>
      <c r="AW3" s="21"/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  <c r="BI3" s="21"/>
      <c r="BJ3" s="21"/>
      <c r="BK3" s="21"/>
      <c r="BL3" s="21"/>
      <c r="BM3" s="21"/>
      <c r="BN3" s="21"/>
      <c r="BO3" s="21"/>
      <c r="BP3" s="21"/>
      <c r="BQ3" s="21"/>
      <c r="BR3" s="21"/>
      <c r="BS3" s="21"/>
      <c r="BT3" s="21"/>
      <c r="BU3" s="21"/>
      <c r="BV3" s="21"/>
      <c r="BW3" s="21"/>
      <c r="BX3" s="21"/>
      <c r="BY3" s="21"/>
      <c r="BZ3" s="21"/>
      <c r="CA3" s="21"/>
      <c r="CB3" s="21"/>
      <c r="CC3" s="21"/>
      <c r="CD3" s="21"/>
      <c r="CE3" s="21"/>
      <c r="CF3" s="21"/>
      <c r="CG3" s="21"/>
      <c r="CH3" s="21"/>
      <c r="CI3" s="21"/>
      <c r="CJ3" s="21"/>
      <c r="CK3" s="21"/>
      <c r="CL3" s="21"/>
      <c r="CM3" s="21"/>
      <c r="CN3" s="21"/>
      <c r="CO3" s="21"/>
      <c r="CP3" s="21"/>
      <c r="CQ3" s="21"/>
      <c r="CR3" s="21"/>
      <c r="CS3" s="21"/>
      <c r="CT3" s="21"/>
      <c r="CU3" s="21"/>
      <c r="CV3" s="21" t="s">
        <v>61</v>
      </c>
      <c r="CW3" s="21" t="s">
        <v>61</v>
      </c>
      <c r="CX3" s="21" t="s">
        <v>61</v>
      </c>
      <c r="CY3" s="21" t="s">
        <v>61</v>
      </c>
      <c r="CZ3" s="21" t="s">
        <v>61</v>
      </c>
      <c r="DA3" s="21" t="s">
        <v>61</v>
      </c>
      <c r="DB3" s="21" t="s">
        <v>61</v>
      </c>
      <c r="DC3" s="21" t="s">
        <v>61</v>
      </c>
      <c r="DD3" s="21" t="s">
        <v>61</v>
      </c>
      <c r="DE3" s="21" t="s">
        <v>61</v>
      </c>
      <c r="DF3" s="21" t="s">
        <v>61</v>
      </c>
      <c r="DG3" s="21" t="s">
        <v>61</v>
      </c>
      <c r="DH3" s="21" t="s">
        <v>61</v>
      </c>
      <c r="DI3" s="21" t="s">
        <v>61</v>
      </c>
      <c r="DJ3" s="21" t="s">
        <v>61</v>
      </c>
      <c r="DK3" s="21" t="s">
        <v>61</v>
      </c>
      <c r="DL3" s="21" t="s">
        <v>61</v>
      </c>
      <c r="DM3" s="21" t="s">
        <v>61</v>
      </c>
      <c r="DN3" s="21" t="s">
        <v>61</v>
      </c>
      <c r="DO3" s="21" t="s">
        <v>61</v>
      </c>
      <c r="DP3" s="21"/>
    </row>
    <row r="4" spans="1:120">
      <c r="A4" s="21" t="s">
        <v>62</v>
      </c>
      <c r="B4" s="21" t="s">
        <v>63</v>
      </c>
      <c r="C4" s="21" t="s">
        <v>64</v>
      </c>
      <c r="D4" s="21" t="s">
        <v>65</v>
      </c>
      <c r="E4" s="21" t="s">
        <v>66</v>
      </c>
      <c r="F4" s="21" t="s">
        <v>67</v>
      </c>
      <c r="G4" s="21" t="s">
        <v>68</v>
      </c>
      <c r="H4" s="21" t="s">
        <v>69</v>
      </c>
      <c r="I4" s="21" t="s">
        <v>70</v>
      </c>
      <c r="J4" s="21" t="s">
        <v>71</v>
      </c>
      <c r="K4" s="21" t="s">
        <v>72</v>
      </c>
      <c r="L4" s="21" t="s">
        <v>73</v>
      </c>
      <c r="M4" s="21" t="s">
        <v>74</v>
      </c>
      <c r="N4" s="21" t="s">
        <v>75</v>
      </c>
      <c r="O4" s="21" t="s">
        <v>76</v>
      </c>
      <c r="P4" s="21" t="s">
        <v>77</v>
      </c>
      <c r="Q4" s="21" t="s">
        <v>78</v>
      </c>
      <c r="R4" s="21" t="s">
        <v>79</v>
      </c>
      <c r="S4" s="21" t="s">
        <v>80</v>
      </c>
      <c r="T4" s="21" t="s">
        <v>81</v>
      </c>
      <c r="U4" s="21" t="s">
        <v>82</v>
      </c>
      <c r="V4" s="21" t="s">
        <v>83</v>
      </c>
      <c r="W4" s="21" t="s">
        <v>84</v>
      </c>
      <c r="X4" s="21" t="s">
        <v>85</v>
      </c>
      <c r="Y4" s="21" t="s">
        <v>86</v>
      </c>
      <c r="Z4" s="21" t="s">
        <v>87</v>
      </c>
      <c r="AA4" s="21" t="s">
        <v>88</v>
      </c>
      <c r="AB4" s="21" t="s">
        <v>89</v>
      </c>
      <c r="AC4" s="21" t="s">
        <v>90</v>
      </c>
      <c r="AD4" s="21" t="s">
        <v>91</v>
      </c>
      <c r="AE4" s="21" t="s">
        <v>92</v>
      </c>
      <c r="AF4" s="21" t="s">
        <v>93</v>
      </c>
      <c r="AG4" s="21" t="s">
        <v>94</v>
      </c>
      <c r="AH4" s="21" t="s">
        <v>95</v>
      </c>
      <c r="AI4" s="21" t="s">
        <v>96</v>
      </c>
      <c r="AJ4" s="21" t="s">
        <v>97</v>
      </c>
      <c r="AK4" s="21" t="s">
        <v>98</v>
      </c>
      <c r="AL4" s="21" t="s">
        <v>99</v>
      </c>
      <c r="AM4" s="21" t="s">
        <v>100</v>
      </c>
      <c r="AN4" s="21" t="s">
        <v>101</v>
      </c>
      <c r="AO4" s="21" t="s">
        <v>102</v>
      </c>
      <c r="AP4" s="21" t="s">
        <v>103</v>
      </c>
      <c r="AQ4" s="21" t="s">
        <v>104</v>
      </c>
      <c r="AR4" s="21" t="s">
        <v>105</v>
      </c>
      <c r="AS4" s="21" t="s">
        <v>106</v>
      </c>
      <c r="AT4" s="21" t="s">
        <v>107</v>
      </c>
      <c r="AU4" s="21" t="s">
        <v>108</v>
      </c>
      <c r="AV4" s="21" t="s">
        <v>109</v>
      </c>
      <c r="AW4" s="21" t="s">
        <v>110</v>
      </c>
      <c r="AX4" s="21" t="s">
        <v>111</v>
      </c>
      <c r="AY4" s="21" t="s">
        <v>112</v>
      </c>
      <c r="AZ4" s="21" t="s">
        <v>113</v>
      </c>
      <c r="BA4" s="21" t="s">
        <v>114</v>
      </c>
      <c r="BB4" s="21" t="s">
        <v>115</v>
      </c>
      <c r="BC4" s="21" t="s">
        <v>116</v>
      </c>
      <c r="BD4" s="21" t="s">
        <v>117</v>
      </c>
      <c r="BE4" s="21" t="s">
        <v>118</v>
      </c>
      <c r="BF4" s="21" t="s">
        <v>119</v>
      </c>
      <c r="BG4" s="21" t="s">
        <v>120</v>
      </c>
      <c r="BH4" s="21" t="s">
        <v>121</v>
      </c>
      <c r="BI4" s="21" t="s">
        <v>122</v>
      </c>
      <c r="BJ4" s="21" t="s">
        <v>123</v>
      </c>
      <c r="BK4" s="21" t="s">
        <v>124</v>
      </c>
      <c r="BL4" s="21" t="s">
        <v>125</v>
      </c>
      <c r="BM4" s="21" t="s">
        <v>126</v>
      </c>
      <c r="BN4" s="21" t="s">
        <v>127</v>
      </c>
      <c r="BO4" s="21" t="s">
        <v>128</v>
      </c>
      <c r="BP4" s="21" t="s">
        <v>129</v>
      </c>
      <c r="BQ4" s="21" t="s">
        <v>130</v>
      </c>
      <c r="BR4" s="21" t="s">
        <v>131</v>
      </c>
      <c r="BS4" s="21" t="s">
        <v>132</v>
      </c>
      <c r="BT4" s="21" t="s">
        <v>133</v>
      </c>
      <c r="BU4" s="21" t="s">
        <v>134</v>
      </c>
      <c r="BV4" s="21" t="s">
        <v>135</v>
      </c>
      <c r="BW4" s="21" t="s">
        <v>136</v>
      </c>
      <c r="BX4" s="21" t="s">
        <v>137</v>
      </c>
      <c r="BY4" s="21" t="s">
        <v>119</v>
      </c>
      <c r="BZ4" s="21" t="s">
        <v>120</v>
      </c>
      <c r="CA4" s="21" t="s">
        <v>121</v>
      </c>
      <c r="CB4" s="21" t="s">
        <v>122</v>
      </c>
      <c r="CC4" s="21" t="s">
        <v>138</v>
      </c>
      <c r="CD4" s="21" t="s">
        <v>139</v>
      </c>
      <c r="CE4" s="21" t="s">
        <v>140</v>
      </c>
      <c r="CF4" s="21" t="s">
        <v>141</v>
      </c>
      <c r="CG4" s="21" t="s">
        <v>142</v>
      </c>
      <c r="CH4" s="21" t="s">
        <v>143</v>
      </c>
      <c r="CI4" s="21" t="s">
        <v>144</v>
      </c>
      <c r="CJ4" s="21" t="s">
        <v>145</v>
      </c>
      <c r="CK4" s="21" t="s">
        <v>146</v>
      </c>
      <c r="CL4" s="21" t="s">
        <v>147</v>
      </c>
      <c r="CM4" s="21" t="s">
        <v>148</v>
      </c>
      <c r="CN4" s="21" t="s">
        <v>149</v>
      </c>
      <c r="CO4" s="21" t="s">
        <v>150</v>
      </c>
      <c r="CP4" s="21" t="s">
        <v>151</v>
      </c>
      <c r="CQ4" s="21" t="s">
        <v>152</v>
      </c>
      <c r="CR4" s="21" t="s">
        <v>119</v>
      </c>
      <c r="CS4" s="21" t="s">
        <v>120</v>
      </c>
      <c r="CT4" s="21" t="s">
        <v>121</v>
      </c>
      <c r="CU4" s="21" t="s">
        <v>122</v>
      </c>
      <c r="CV4" s="21" t="s">
        <v>153</v>
      </c>
      <c r="CW4" s="21" t="s">
        <v>154</v>
      </c>
      <c r="CX4" s="21" t="s">
        <v>155</v>
      </c>
      <c r="CY4" s="21" t="s">
        <v>156</v>
      </c>
      <c r="CZ4" s="21" t="s">
        <v>157</v>
      </c>
      <c r="DA4" s="21" t="s">
        <v>158</v>
      </c>
      <c r="DB4" s="21" t="s">
        <v>159</v>
      </c>
      <c r="DC4" s="21" t="s">
        <v>160</v>
      </c>
      <c r="DD4" s="21" t="s">
        <v>161</v>
      </c>
      <c r="DE4" s="21" t="s">
        <v>162</v>
      </c>
      <c r="DF4" s="21" t="s">
        <v>163</v>
      </c>
      <c r="DG4" s="21" t="s">
        <v>164</v>
      </c>
      <c r="DH4" s="21" t="s">
        <v>165</v>
      </c>
      <c r="DI4" s="21" t="s">
        <v>166</v>
      </c>
      <c r="DJ4" s="21" t="s">
        <v>167</v>
      </c>
      <c r="DK4" s="21" t="s">
        <v>168</v>
      </c>
      <c r="DL4" s="21" t="s">
        <v>169</v>
      </c>
      <c r="DM4" s="21" t="s">
        <v>170</v>
      </c>
      <c r="DN4" s="21" t="s">
        <v>171</v>
      </c>
      <c r="DO4" s="21" t="s">
        <v>172</v>
      </c>
      <c r="DP4" s="21" t="s">
        <v>173</v>
      </c>
    </row>
    <row r="5" spans="1:120">
      <c r="B5" s="20" cm="1">
        <f t="array" ref="B5">10000000+INDEX(编号表!$B$1:$B$112,MATCH(D5,编号表!$A$1:$A$112,0))*10000+I5</f>
        <v>10010001</v>
      </c>
      <c r="C5" s="20" t="s">
        <v>174</v>
      </c>
      <c r="D5" s="20" t="s">
        <v>174</v>
      </c>
      <c r="E5" s="20" t="s">
        <v>175</v>
      </c>
      <c r="F5" s="20" t="s">
        <v>176</v>
      </c>
      <c r="G5" s="20">
        <v>0</v>
      </c>
      <c r="H5" s="20" t="b">
        <v>0</v>
      </c>
      <c r="I5" s="20">
        <v>1</v>
      </c>
      <c r="J5" s="20" t="str">
        <f>LEFT(B5,6)</f>
        <v>100100</v>
      </c>
      <c r="K5" s="20" t="s">
        <v>177</v>
      </c>
      <c r="M5" s="20">
        <f>B6</f>
        <v>10010002</v>
      </c>
      <c r="N5" s="20" t="s">
        <v>178</v>
      </c>
      <c r="O5" s="20">
        <v>10010001</v>
      </c>
      <c r="P5" s="20">
        <v>0</v>
      </c>
      <c r="Q5" s="20">
        <v>0</v>
      </c>
      <c r="R5" s="20">
        <v>1</v>
      </c>
      <c r="T5" s="20">
        <v>100</v>
      </c>
      <c r="V5" s="20">
        <v>150</v>
      </c>
      <c r="W5" s="20">
        <v>150</v>
      </c>
      <c r="X5" s="20" t="s">
        <v>179</v>
      </c>
      <c r="Y5" s="20" t="s">
        <v>180</v>
      </c>
      <c r="Z5" s="20" t="s">
        <v>181</v>
      </c>
      <c r="AA5" s="20">
        <v>0</v>
      </c>
      <c r="AB5" s="20">
        <v>1</v>
      </c>
      <c r="AC5" s="20">
        <v>0</v>
      </c>
      <c r="AD5" s="20" t="s">
        <v>182</v>
      </c>
      <c r="AE5" s="20">
        <v>0</v>
      </c>
      <c r="AF5" s="20">
        <v>0</v>
      </c>
      <c r="AO5" s="20" t="s">
        <v>183</v>
      </c>
      <c r="AP5" s="20">
        <v>10000</v>
      </c>
      <c r="AQ5" s="20" t="s">
        <v>184</v>
      </c>
      <c r="AR5" s="20" t="s">
        <v>181</v>
      </c>
      <c r="AS5" s="20">
        <v>10000</v>
      </c>
      <c r="AT5" s="20">
        <v>0</v>
      </c>
      <c r="AU5" s="20" t="s">
        <v>185</v>
      </c>
      <c r="AV5" s="20">
        <v>0</v>
      </c>
      <c r="AW5" s="20">
        <v>0</v>
      </c>
      <c r="AX5" s="20">
        <v>10000</v>
      </c>
      <c r="AY5" s="20">
        <v>3</v>
      </c>
      <c r="AZ5" s="20" t="b">
        <v>0</v>
      </c>
      <c r="BA5" s="20">
        <v>0</v>
      </c>
      <c r="BB5" s="20">
        <v>10000</v>
      </c>
      <c r="CV5" s="20">
        <v>10</v>
      </c>
      <c r="CW5" s="20">
        <v>20</v>
      </c>
      <c r="CX5" s="20" t="s">
        <v>186</v>
      </c>
      <c r="CY5" s="20">
        <v>30001</v>
      </c>
      <c r="DB5" s="20">
        <v>1</v>
      </c>
      <c r="DD5" s="20">
        <v>0</v>
      </c>
      <c r="DE5" s="20">
        <v>0</v>
      </c>
      <c r="DF5" s="20">
        <v>0</v>
      </c>
      <c r="DG5" s="20">
        <v>0</v>
      </c>
      <c r="DH5" s="20">
        <v>0</v>
      </c>
      <c r="DI5" s="20" t="b">
        <v>0</v>
      </c>
      <c r="DK5" s="20">
        <v>10001</v>
      </c>
      <c r="DM5" s="20" t="s">
        <v>187</v>
      </c>
      <c r="DN5" s="20">
        <v>0</v>
      </c>
      <c r="DO5" s="20">
        <v>0</v>
      </c>
      <c r="DP5" s="20">
        <v>0</v>
      </c>
    </row>
    <row r="6" spans="1:120">
      <c r="B6" s="20" cm="1">
        <f t="array" ref="B6">10000000+INDEX(编号表!$B$1:$B$112,MATCH(D6,编号表!$A$1:$A$112,0))*10000+I6</f>
        <v>10010002</v>
      </c>
      <c r="C6" s="20" t="s">
        <v>174</v>
      </c>
      <c r="D6" s="20" t="s">
        <v>174</v>
      </c>
      <c r="E6" s="20" t="s">
        <v>175</v>
      </c>
      <c r="F6" s="20" t="s">
        <v>176</v>
      </c>
      <c r="G6" s="20">
        <v>0</v>
      </c>
      <c r="H6" s="20" t="b">
        <v>0</v>
      </c>
      <c r="I6" s="20">
        <v>2</v>
      </c>
      <c r="J6" s="20" t="str">
        <f>LEFT(B6,6)</f>
        <v>100100</v>
      </c>
      <c r="K6" s="20" t="s">
        <v>177</v>
      </c>
      <c r="L6" s="20">
        <f>B5</f>
        <v>10010001</v>
      </c>
      <c r="M6" s="20">
        <f t="shared" ref="M6:M13" si="0">B7</f>
        <v>10010003</v>
      </c>
      <c r="N6" s="20" t="s">
        <v>178</v>
      </c>
      <c r="O6" s="20">
        <v>10010001</v>
      </c>
      <c r="P6" s="20">
        <v>0</v>
      </c>
      <c r="Q6" s="20">
        <v>1</v>
      </c>
      <c r="R6" s="20">
        <v>7</v>
      </c>
      <c r="T6" s="20">
        <v>100</v>
      </c>
      <c r="V6" s="20">
        <v>150</v>
      </c>
      <c r="W6" s="20">
        <v>150</v>
      </c>
      <c r="X6" s="20" t="s">
        <v>179</v>
      </c>
      <c r="Y6" s="20" t="s">
        <v>180</v>
      </c>
      <c r="Z6" s="20" t="s">
        <v>181</v>
      </c>
      <c r="AA6" s="20">
        <v>0</v>
      </c>
      <c r="AB6" s="20">
        <v>1</v>
      </c>
      <c r="AC6" s="20">
        <v>0</v>
      </c>
      <c r="AD6" s="20" t="s">
        <v>182</v>
      </c>
      <c r="AE6" s="20">
        <v>0</v>
      </c>
      <c r="AF6" s="20">
        <v>0</v>
      </c>
      <c r="AO6" s="20" t="s">
        <v>183</v>
      </c>
      <c r="AP6" s="20">
        <v>10400</v>
      </c>
      <c r="AQ6" s="20" t="s">
        <v>184</v>
      </c>
      <c r="AR6" s="20" t="s">
        <v>181</v>
      </c>
      <c r="AS6" s="20">
        <v>10000</v>
      </c>
      <c r="AT6" s="20">
        <v>0</v>
      </c>
      <c r="AU6" s="20" t="s">
        <v>185</v>
      </c>
      <c r="AV6" s="20">
        <v>0</v>
      </c>
      <c r="AW6" s="20">
        <v>0</v>
      </c>
      <c r="AX6" s="20">
        <v>10000</v>
      </c>
      <c r="AY6" s="20">
        <v>4</v>
      </c>
      <c r="AZ6" s="20" t="b">
        <v>0</v>
      </c>
      <c r="BA6" s="20">
        <v>0</v>
      </c>
      <c r="BB6" s="20">
        <v>10000</v>
      </c>
      <c r="CV6" s="20">
        <v>10</v>
      </c>
      <c r="CW6" s="20">
        <v>20</v>
      </c>
      <c r="CX6" s="20" t="s">
        <v>188</v>
      </c>
      <c r="CY6" s="20">
        <v>30002</v>
      </c>
      <c r="DB6" s="20">
        <v>1</v>
      </c>
      <c r="DD6" s="20">
        <v>0</v>
      </c>
      <c r="DE6" s="20">
        <v>0</v>
      </c>
      <c r="DF6" s="20">
        <v>0</v>
      </c>
      <c r="DG6" s="20">
        <v>0</v>
      </c>
      <c r="DH6" s="20">
        <v>0</v>
      </c>
      <c r="DI6" s="20" t="b">
        <v>0</v>
      </c>
      <c r="DK6" s="20">
        <v>10001</v>
      </c>
      <c r="DM6" s="20" t="s">
        <v>187</v>
      </c>
      <c r="DN6" s="20">
        <v>0</v>
      </c>
      <c r="DO6" s="20">
        <v>0</v>
      </c>
      <c r="DP6" s="20">
        <v>0</v>
      </c>
    </row>
    <row r="7" spans="1:120">
      <c r="B7" s="20" cm="1">
        <f t="array" ref="B7">10000000+INDEX(编号表!$B$1:$B$112,MATCH(D7,编号表!$A$1:$A$112,0))*10000+I7</f>
        <v>10010003</v>
      </c>
      <c r="C7" s="20" t="s">
        <v>174</v>
      </c>
      <c r="D7" s="20" t="s">
        <v>174</v>
      </c>
      <c r="E7" s="20" t="s">
        <v>175</v>
      </c>
      <c r="F7" s="20" t="s">
        <v>176</v>
      </c>
      <c r="G7" s="20">
        <v>0</v>
      </c>
      <c r="H7" s="20" t="b">
        <v>0</v>
      </c>
      <c r="I7" s="20">
        <v>3</v>
      </c>
      <c r="J7" s="20" t="str">
        <f>LEFT(B7,6)</f>
        <v>100100</v>
      </c>
      <c r="K7" s="20" t="s">
        <v>177</v>
      </c>
      <c r="L7" s="20">
        <f t="shared" ref="L7:L14" si="1">B6</f>
        <v>10010002</v>
      </c>
      <c r="M7" s="20">
        <f t="shared" si="0"/>
        <v>10010004</v>
      </c>
      <c r="N7" s="20" t="s">
        <v>178</v>
      </c>
      <c r="O7" s="20">
        <v>10010001</v>
      </c>
      <c r="P7" s="20">
        <v>0</v>
      </c>
      <c r="Q7" s="20">
        <v>2</v>
      </c>
      <c r="R7" s="20">
        <v>11</v>
      </c>
      <c r="T7" s="20">
        <v>100</v>
      </c>
      <c r="V7" s="20">
        <v>150</v>
      </c>
      <c r="W7" s="20">
        <v>150</v>
      </c>
      <c r="X7" s="20" t="s">
        <v>179</v>
      </c>
      <c r="Y7" s="20" t="s">
        <v>180</v>
      </c>
      <c r="Z7" s="20" t="s">
        <v>181</v>
      </c>
      <c r="AA7" s="20">
        <v>0</v>
      </c>
      <c r="AB7" s="20">
        <v>1</v>
      </c>
      <c r="AC7" s="20">
        <v>0</v>
      </c>
      <c r="AD7" s="20" t="s">
        <v>182</v>
      </c>
      <c r="AE7" s="20">
        <v>0</v>
      </c>
      <c r="AF7" s="20">
        <v>0</v>
      </c>
      <c r="AO7" s="20" t="s">
        <v>183</v>
      </c>
      <c r="AP7" s="20">
        <v>10800</v>
      </c>
      <c r="AQ7" s="20" t="s">
        <v>184</v>
      </c>
      <c r="AR7" s="20" t="s">
        <v>181</v>
      </c>
      <c r="AS7" s="20">
        <v>10000</v>
      </c>
      <c r="AT7" s="20">
        <v>0</v>
      </c>
      <c r="AU7" s="20" t="s">
        <v>185</v>
      </c>
      <c r="AV7" s="20">
        <v>0</v>
      </c>
      <c r="AW7" s="20">
        <v>0</v>
      </c>
      <c r="AX7" s="20">
        <v>10000</v>
      </c>
      <c r="AY7" s="20">
        <v>5</v>
      </c>
      <c r="AZ7" s="20" t="b">
        <v>0</v>
      </c>
      <c r="BA7" s="20">
        <v>0</v>
      </c>
      <c r="BB7" s="20">
        <v>10000</v>
      </c>
      <c r="CV7" s="20">
        <v>10</v>
      </c>
      <c r="CW7" s="20">
        <v>20</v>
      </c>
      <c r="CX7" s="20" t="s">
        <v>188</v>
      </c>
      <c r="CY7" s="20">
        <v>30003</v>
      </c>
      <c r="DB7" s="20">
        <v>1</v>
      </c>
      <c r="DD7" s="20">
        <v>0</v>
      </c>
      <c r="DE7" s="20">
        <v>0</v>
      </c>
      <c r="DF7" s="20">
        <v>0</v>
      </c>
      <c r="DG7" s="20">
        <v>0</v>
      </c>
      <c r="DH7" s="20">
        <v>0</v>
      </c>
      <c r="DI7" s="20" t="b">
        <v>0</v>
      </c>
      <c r="DK7" s="20">
        <v>10001</v>
      </c>
      <c r="DM7" s="20" t="s">
        <v>187</v>
      </c>
      <c r="DN7" s="20">
        <v>0</v>
      </c>
      <c r="DO7" s="20">
        <v>0</v>
      </c>
      <c r="DP7" s="20">
        <v>0</v>
      </c>
    </row>
    <row r="8" spans="1:120">
      <c r="B8" s="20" cm="1">
        <f t="array" ref="B8">10000000+INDEX(编号表!$B$1:$B$112,MATCH(D8,编号表!$A$1:$A$112,0))*10000+I8</f>
        <v>10010004</v>
      </c>
      <c r="C8" s="20" t="s">
        <v>174</v>
      </c>
      <c r="D8" s="20" t="s">
        <v>174</v>
      </c>
      <c r="E8" s="20" t="s">
        <v>175</v>
      </c>
      <c r="F8" s="20" t="s">
        <v>176</v>
      </c>
      <c r="G8" s="20">
        <v>0</v>
      </c>
      <c r="H8" s="20" t="b">
        <v>0</v>
      </c>
      <c r="I8" s="20">
        <v>4</v>
      </c>
      <c r="J8" s="20" t="str">
        <f>LEFT(B8,6)</f>
        <v>100100</v>
      </c>
      <c r="K8" s="20" t="s">
        <v>177</v>
      </c>
      <c r="L8" s="20">
        <f t="shared" si="1"/>
        <v>10010003</v>
      </c>
      <c r="M8" s="20">
        <f t="shared" si="0"/>
        <v>10010005</v>
      </c>
      <c r="N8" s="20" t="s">
        <v>178</v>
      </c>
      <c r="O8" s="20">
        <v>10010001</v>
      </c>
      <c r="P8" s="20">
        <v>0</v>
      </c>
      <c r="Q8" s="20">
        <v>3</v>
      </c>
      <c r="R8" s="20">
        <v>16</v>
      </c>
      <c r="T8" s="20">
        <v>100</v>
      </c>
      <c r="V8" s="20">
        <v>150</v>
      </c>
      <c r="W8" s="20">
        <v>150</v>
      </c>
      <c r="X8" s="20" t="s">
        <v>179</v>
      </c>
      <c r="Y8" s="20" t="s">
        <v>180</v>
      </c>
      <c r="Z8" s="20" t="s">
        <v>181</v>
      </c>
      <c r="AA8" s="20">
        <v>0</v>
      </c>
      <c r="AB8" s="20">
        <v>1</v>
      </c>
      <c r="AC8" s="20">
        <v>0</v>
      </c>
      <c r="AD8" s="20" t="s">
        <v>182</v>
      </c>
      <c r="AE8" s="20">
        <v>0</v>
      </c>
      <c r="AF8" s="20">
        <v>0</v>
      </c>
      <c r="AO8" s="20" t="s">
        <v>183</v>
      </c>
      <c r="AP8" s="20">
        <v>11200</v>
      </c>
      <c r="AQ8" s="20" t="s">
        <v>184</v>
      </c>
      <c r="AR8" s="20" t="s">
        <v>181</v>
      </c>
      <c r="AS8" s="20">
        <v>10000</v>
      </c>
      <c r="AT8" s="20">
        <v>0</v>
      </c>
      <c r="AU8" s="20" t="s">
        <v>185</v>
      </c>
      <c r="AV8" s="20">
        <v>0</v>
      </c>
      <c r="AW8" s="20">
        <v>0</v>
      </c>
      <c r="AX8" s="20">
        <v>10000</v>
      </c>
      <c r="AY8" s="20">
        <v>6</v>
      </c>
      <c r="AZ8" s="20" t="b">
        <v>0</v>
      </c>
      <c r="BA8" s="20">
        <v>0</v>
      </c>
      <c r="BB8" s="20">
        <v>10000</v>
      </c>
      <c r="CV8" s="20">
        <v>10</v>
      </c>
      <c r="CW8" s="20">
        <v>20</v>
      </c>
      <c r="CX8" s="20" t="s">
        <v>186</v>
      </c>
      <c r="CY8" s="20">
        <v>30004</v>
      </c>
      <c r="DB8" s="20">
        <v>1</v>
      </c>
      <c r="DD8" s="20">
        <v>0</v>
      </c>
      <c r="DE8" s="20">
        <v>0</v>
      </c>
      <c r="DF8" s="20">
        <v>0</v>
      </c>
      <c r="DG8" s="20">
        <v>0</v>
      </c>
      <c r="DH8" s="20">
        <v>0</v>
      </c>
      <c r="DI8" s="20" t="b">
        <v>0</v>
      </c>
      <c r="DK8" s="20">
        <v>10001</v>
      </c>
      <c r="DM8" s="20" t="s">
        <v>187</v>
      </c>
      <c r="DN8" s="20">
        <v>0</v>
      </c>
      <c r="DO8" s="20">
        <v>0</v>
      </c>
      <c r="DP8" s="20">
        <v>0</v>
      </c>
    </row>
    <row r="9" spans="1:120">
      <c r="B9" s="20" cm="1">
        <f t="array" ref="B9">10000000+INDEX(编号表!$B$1:$B$112,MATCH(D9,编号表!$A$1:$A$112,0))*10000+I9</f>
        <v>10010005</v>
      </c>
      <c r="C9" s="20" t="s">
        <v>174</v>
      </c>
      <c r="D9" s="20" t="s">
        <v>174</v>
      </c>
      <c r="E9" s="20" t="s">
        <v>175</v>
      </c>
      <c r="F9" s="20" t="s">
        <v>176</v>
      </c>
      <c r="G9" s="20">
        <v>0</v>
      </c>
      <c r="H9" s="20" t="b">
        <v>0</v>
      </c>
      <c r="I9" s="20">
        <v>5</v>
      </c>
      <c r="J9" s="20" t="str">
        <f t="shared" ref="J9:J15" si="2">LEFT(B9,6)</f>
        <v>100100</v>
      </c>
      <c r="K9" s="20" t="s">
        <v>177</v>
      </c>
      <c r="L9" s="20">
        <f t="shared" si="1"/>
        <v>10010004</v>
      </c>
      <c r="M9" s="20">
        <f t="shared" si="0"/>
        <v>10010006</v>
      </c>
      <c r="N9" s="20" t="s">
        <v>178</v>
      </c>
      <c r="O9" s="20">
        <v>10010001</v>
      </c>
      <c r="P9" s="20">
        <v>0</v>
      </c>
      <c r="Q9" s="20">
        <v>3</v>
      </c>
      <c r="R9" s="20">
        <v>25</v>
      </c>
      <c r="T9" s="20">
        <v>100</v>
      </c>
      <c r="V9" s="20">
        <v>150</v>
      </c>
      <c r="W9" s="20">
        <v>150</v>
      </c>
      <c r="X9" s="20" t="s">
        <v>179</v>
      </c>
      <c r="Y9" s="20" t="s">
        <v>180</v>
      </c>
      <c r="Z9" s="20" t="s">
        <v>181</v>
      </c>
      <c r="AA9" s="20">
        <v>0</v>
      </c>
      <c r="AB9" s="20">
        <v>5</v>
      </c>
      <c r="AC9" s="20">
        <v>0</v>
      </c>
      <c r="AD9" s="20" t="s">
        <v>182</v>
      </c>
      <c r="AE9" s="20">
        <v>0</v>
      </c>
      <c r="AF9" s="20">
        <v>0</v>
      </c>
      <c r="AO9" s="20" t="s">
        <v>183</v>
      </c>
      <c r="AP9" s="20">
        <v>11300</v>
      </c>
      <c r="AQ9" s="20" t="s">
        <v>184</v>
      </c>
      <c r="AR9" s="20" t="s">
        <v>181</v>
      </c>
      <c r="AS9" s="20">
        <v>10000</v>
      </c>
      <c r="AT9" s="20">
        <v>0</v>
      </c>
      <c r="AU9" s="20" t="s">
        <v>185</v>
      </c>
      <c r="AV9" s="20">
        <v>0</v>
      </c>
      <c r="AW9" s="20">
        <v>0</v>
      </c>
      <c r="AX9" s="20">
        <v>10000</v>
      </c>
      <c r="AY9" s="20">
        <v>6</v>
      </c>
      <c r="AZ9" s="20" t="b">
        <v>0</v>
      </c>
      <c r="BA9" s="20">
        <v>0</v>
      </c>
      <c r="BB9" s="20">
        <v>10000</v>
      </c>
      <c r="CV9" s="20">
        <v>10</v>
      </c>
      <c r="CW9" s="20">
        <v>20</v>
      </c>
      <c r="CX9" s="20" t="s">
        <v>188</v>
      </c>
      <c r="CY9" s="20">
        <v>30005</v>
      </c>
      <c r="DB9" s="20">
        <v>1</v>
      </c>
      <c r="DD9" s="20">
        <v>0</v>
      </c>
      <c r="DE9" s="20">
        <v>0</v>
      </c>
      <c r="DF9" s="20">
        <v>0</v>
      </c>
      <c r="DG9" s="20">
        <v>0</v>
      </c>
      <c r="DH9" s="20">
        <v>0</v>
      </c>
      <c r="DI9" s="20" t="b">
        <v>0</v>
      </c>
      <c r="DK9" s="20">
        <v>10001</v>
      </c>
      <c r="DM9" s="20" t="s">
        <v>187</v>
      </c>
      <c r="DN9" s="20">
        <v>0</v>
      </c>
      <c r="DO9" s="20">
        <v>0</v>
      </c>
      <c r="DP9" s="20">
        <v>0</v>
      </c>
    </row>
    <row r="10" spans="1:120">
      <c r="B10" s="20" cm="1">
        <f t="array" ref="B10">10000000+INDEX(编号表!$B$1:$B$112,MATCH(D10,编号表!$A$1:$A$112,0))*10000+I10</f>
        <v>10010006</v>
      </c>
      <c r="C10" s="20" t="s">
        <v>174</v>
      </c>
      <c r="D10" s="20" t="s">
        <v>174</v>
      </c>
      <c r="E10" s="20" t="s">
        <v>175</v>
      </c>
      <c r="F10" s="20" t="s">
        <v>176</v>
      </c>
      <c r="G10" s="20">
        <v>0</v>
      </c>
      <c r="H10" s="20" t="b">
        <v>0</v>
      </c>
      <c r="I10" s="20">
        <v>6</v>
      </c>
      <c r="J10" s="20" t="str">
        <f t="shared" si="2"/>
        <v>100100</v>
      </c>
      <c r="K10" s="20" t="s">
        <v>177</v>
      </c>
      <c r="L10" s="20">
        <f t="shared" si="1"/>
        <v>10010005</v>
      </c>
      <c r="M10" s="20">
        <f t="shared" si="0"/>
        <v>10010007</v>
      </c>
      <c r="N10" s="20" t="s">
        <v>178</v>
      </c>
      <c r="O10" s="20">
        <v>10010001</v>
      </c>
      <c r="P10" s="20">
        <v>0</v>
      </c>
      <c r="Q10" s="20">
        <v>3</v>
      </c>
      <c r="R10" s="20">
        <v>30</v>
      </c>
      <c r="T10" s="20">
        <v>100</v>
      </c>
      <c r="V10" s="20">
        <v>150</v>
      </c>
      <c r="W10" s="20">
        <v>150</v>
      </c>
      <c r="X10" s="20" t="s">
        <v>179</v>
      </c>
      <c r="Y10" s="20" t="s">
        <v>180</v>
      </c>
      <c r="Z10" s="20" t="s">
        <v>181</v>
      </c>
      <c r="AA10" s="20">
        <v>0</v>
      </c>
      <c r="AB10" s="20">
        <v>5</v>
      </c>
      <c r="AC10" s="20">
        <v>0</v>
      </c>
      <c r="AD10" s="20" t="s">
        <v>182</v>
      </c>
      <c r="AE10" s="20">
        <v>0</v>
      </c>
      <c r="AF10" s="20">
        <v>0</v>
      </c>
      <c r="AO10" s="20" t="s">
        <v>183</v>
      </c>
      <c r="AP10" s="20">
        <v>11600</v>
      </c>
      <c r="AQ10" s="20" t="s">
        <v>184</v>
      </c>
      <c r="AR10" s="20" t="s">
        <v>181</v>
      </c>
      <c r="AS10" s="20">
        <v>10000</v>
      </c>
      <c r="AT10" s="20">
        <v>0</v>
      </c>
      <c r="AU10" s="20" t="s">
        <v>185</v>
      </c>
      <c r="AV10" s="20">
        <v>0</v>
      </c>
      <c r="AW10" s="20">
        <v>0</v>
      </c>
      <c r="AX10" s="20">
        <v>10000</v>
      </c>
      <c r="AY10" s="20">
        <v>7</v>
      </c>
      <c r="AZ10" s="20" t="b">
        <v>0</v>
      </c>
      <c r="BA10" s="20">
        <v>0</v>
      </c>
      <c r="BB10" s="20">
        <v>10000</v>
      </c>
      <c r="CV10" s="20">
        <v>10</v>
      </c>
      <c r="CW10" s="20">
        <v>20</v>
      </c>
      <c r="CX10" s="20" t="s">
        <v>186</v>
      </c>
      <c r="CY10" s="20">
        <v>30006</v>
      </c>
      <c r="DB10" s="20">
        <v>1</v>
      </c>
      <c r="DD10" s="20">
        <v>0</v>
      </c>
      <c r="DE10" s="20">
        <v>0</v>
      </c>
      <c r="DF10" s="20">
        <v>0</v>
      </c>
      <c r="DG10" s="20">
        <v>0</v>
      </c>
      <c r="DH10" s="20">
        <v>0</v>
      </c>
      <c r="DI10" s="20" t="b">
        <v>0</v>
      </c>
      <c r="DK10" s="20">
        <v>10001</v>
      </c>
      <c r="DM10" s="20" t="s">
        <v>187</v>
      </c>
      <c r="DN10" s="20">
        <v>0</v>
      </c>
      <c r="DO10" s="20">
        <v>0</v>
      </c>
      <c r="DP10" s="20">
        <v>0</v>
      </c>
    </row>
    <row r="11" spans="1:120">
      <c r="B11" s="20" cm="1">
        <f t="array" ref="B11">10000000+INDEX(编号表!$B$1:$B$112,MATCH(D11,编号表!$A$1:$A$112,0))*10000+I11</f>
        <v>10010007</v>
      </c>
      <c r="C11" s="20" t="s">
        <v>174</v>
      </c>
      <c r="D11" s="20" t="s">
        <v>174</v>
      </c>
      <c r="E11" s="20" t="s">
        <v>175</v>
      </c>
      <c r="F11" s="20" t="s">
        <v>176</v>
      </c>
      <c r="G11" s="20">
        <v>0</v>
      </c>
      <c r="H11" s="20" t="b">
        <v>0</v>
      </c>
      <c r="I11" s="20">
        <v>7</v>
      </c>
      <c r="J11" s="20" t="str">
        <f t="shared" si="2"/>
        <v>100100</v>
      </c>
      <c r="K11" s="20" t="s">
        <v>177</v>
      </c>
      <c r="L11" s="20">
        <f t="shared" si="1"/>
        <v>10010006</v>
      </c>
      <c r="M11" s="20">
        <f t="shared" si="0"/>
        <v>10010008</v>
      </c>
      <c r="N11" s="20" t="s">
        <v>178</v>
      </c>
      <c r="O11" s="20">
        <v>10010001</v>
      </c>
      <c r="P11" s="20">
        <v>0</v>
      </c>
      <c r="Q11" s="20">
        <v>3</v>
      </c>
      <c r="R11" s="20">
        <v>35</v>
      </c>
      <c r="T11" s="20">
        <v>100</v>
      </c>
      <c r="V11" s="20">
        <v>150</v>
      </c>
      <c r="W11" s="20">
        <v>150</v>
      </c>
      <c r="X11" s="20" t="s">
        <v>179</v>
      </c>
      <c r="Y11" s="20" t="s">
        <v>180</v>
      </c>
      <c r="Z11" s="20" t="s">
        <v>181</v>
      </c>
      <c r="AA11" s="20">
        <v>0</v>
      </c>
      <c r="AB11" s="20">
        <v>20</v>
      </c>
      <c r="AC11" s="20">
        <v>0</v>
      </c>
      <c r="AD11" s="20" t="s">
        <v>182</v>
      </c>
      <c r="AE11" s="20">
        <v>0</v>
      </c>
      <c r="AF11" s="20">
        <v>0</v>
      </c>
      <c r="AO11" s="20" t="s">
        <v>183</v>
      </c>
      <c r="AP11" s="20">
        <v>11700</v>
      </c>
      <c r="AQ11" s="20" t="s">
        <v>184</v>
      </c>
      <c r="AR11" s="20" t="s">
        <v>181</v>
      </c>
      <c r="AS11" s="20">
        <v>10000</v>
      </c>
      <c r="AT11" s="20">
        <v>0</v>
      </c>
      <c r="AU11" s="20" t="s">
        <v>185</v>
      </c>
      <c r="AV11" s="20">
        <v>0</v>
      </c>
      <c r="AW11" s="20">
        <v>0</v>
      </c>
      <c r="AX11" s="20">
        <v>10000</v>
      </c>
      <c r="AY11" s="20">
        <v>7</v>
      </c>
      <c r="AZ11" s="20" t="b">
        <v>0</v>
      </c>
      <c r="BA11" s="20">
        <v>0</v>
      </c>
      <c r="BB11" s="20">
        <v>10000</v>
      </c>
      <c r="CV11" s="20">
        <v>10</v>
      </c>
      <c r="CW11" s="20">
        <v>20</v>
      </c>
      <c r="CX11" s="20" t="s">
        <v>188</v>
      </c>
      <c r="CY11" s="20">
        <v>30007</v>
      </c>
      <c r="DB11" s="20">
        <v>1</v>
      </c>
      <c r="DD11" s="20">
        <v>0</v>
      </c>
      <c r="DE11" s="20">
        <v>0</v>
      </c>
      <c r="DF11" s="20">
        <v>0</v>
      </c>
      <c r="DG11" s="20">
        <v>0</v>
      </c>
      <c r="DH11" s="20">
        <v>0</v>
      </c>
      <c r="DI11" s="20" t="b">
        <v>0</v>
      </c>
      <c r="DK11" s="20">
        <v>10001</v>
      </c>
      <c r="DM11" s="20" t="s">
        <v>187</v>
      </c>
      <c r="DN11" s="20">
        <v>0</v>
      </c>
      <c r="DO11" s="20">
        <v>0</v>
      </c>
      <c r="DP11" s="20">
        <v>0</v>
      </c>
    </row>
    <row r="12" spans="1:120">
      <c r="B12" s="20" cm="1">
        <f t="array" ref="B12">10000000+INDEX(编号表!$B$1:$B$112,MATCH(D12,编号表!$A$1:$A$112,0))*10000+I12</f>
        <v>10010008</v>
      </c>
      <c r="C12" s="20" t="s">
        <v>174</v>
      </c>
      <c r="D12" s="20" t="s">
        <v>174</v>
      </c>
      <c r="E12" s="20" t="s">
        <v>175</v>
      </c>
      <c r="F12" s="20" t="s">
        <v>176</v>
      </c>
      <c r="G12" s="20">
        <v>0</v>
      </c>
      <c r="H12" s="20" t="b">
        <v>0</v>
      </c>
      <c r="I12" s="20">
        <v>8</v>
      </c>
      <c r="J12" s="20" t="str">
        <f t="shared" si="2"/>
        <v>100100</v>
      </c>
      <c r="K12" s="20" t="s">
        <v>177</v>
      </c>
      <c r="L12" s="20">
        <f t="shared" si="1"/>
        <v>10010007</v>
      </c>
      <c r="M12" s="20">
        <f t="shared" si="0"/>
        <v>10010009</v>
      </c>
      <c r="N12" s="20" t="s">
        <v>178</v>
      </c>
      <c r="O12" s="20">
        <v>10010001</v>
      </c>
      <c r="P12" s="20">
        <v>0</v>
      </c>
      <c r="Q12" s="20">
        <v>3</v>
      </c>
      <c r="R12" s="20">
        <v>35</v>
      </c>
      <c r="T12" s="20">
        <v>100</v>
      </c>
      <c r="V12" s="20">
        <v>0</v>
      </c>
      <c r="W12" s="20">
        <v>0</v>
      </c>
      <c r="X12" s="20" t="s">
        <v>179</v>
      </c>
      <c r="Y12" s="20" t="s">
        <v>180</v>
      </c>
      <c r="Z12" s="20" t="s">
        <v>189</v>
      </c>
      <c r="AA12" s="20">
        <v>1</v>
      </c>
      <c r="AB12" s="20">
        <v>0</v>
      </c>
      <c r="AC12" s="20">
        <v>1</v>
      </c>
      <c r="AD12" s="20" t="s">
        <v>182</v>
      </c>
      <c r="AE12" s="20">
        <v>0</v>
      </c>
      <c r="AF12" s="20">
        <v>0</v>
      </c>
      <c r="AO12" s="20" t="s">
        <v>187</v>
      </c>
      <c r="AP12" s="20">
        <v>0</v>
      </c>
      <c r="AQ12" s="20" t="s">
        <v>184</v>
      </c>
      <c r="AR12" s="20" t="s">
        <v>189</v>
      </c>
      <c r="AS12" s="20">
        <v>10000</v>
      </c>
      <c r="AT12" s="20">
        <v>0</v>
      </c>
      <c r="AU12" s="20" t="s">
        <v>185</v>
      </c>
      <c r="AV12" s="20">
        <v>0</v>
      </c>
      <c r="AW12" s="20">
        <v>0</v>
      </c>
      <c r="AX12" s="20">
        <v>10000</v>
      </c>
      <c r="AY12" s="20">
        <v>7</v>
      </c>
      <c r="AZ12" s="20" t="b">
        <v>0</v>
      </c>
      <c r="BA12" s="20">
        <v>0</v>
      </c>
      <c r="BB12" s="20">
        <v>10000</v>
      </c>
      <c r="CV12" s="20">
        <v>10</v>
      </c>
      <c r="CW12" s="20">
        <v>20</v>
      </c>
      <c r="CX12" s="20" t="s">
        <v>188</v>
      </c>
      <c r="CY12" s="20">
        <v>30008</v>
      </c>
      <c r="DB12" s="20">
        <v>1</v>
      </c>
      <c r="DD12" s="20">
        <v>0</v>
      </c>
      <c r="DE12" s="20">
        <v>0</v>
      </c>
      <c r="DF12" s="20">
        <v>0</v>
      </c>
      <c r="DG12" s="20">
        <v>0</v>
      </c>
      <c r="DH12" s="20">
        <v>0</v>
      </c>
      <c r="DI12" s="20" t="b">
        <v>0</v>
      </c>
      <c r="DK12" s="20">
        <v>10001</v>
      </c>
      <c r="DM12" s="20" t="s">
        <v>187</v>
      </c>
      <c r="DN12" s="20">
        <v>0</v>
      </c>
      <c r="DO12" s="20">
        <v>0</v>
      </c>
      <c r="DP12" s="20">
        <v>0</v>
      </c>
    </row>
    <row r="13" spans="1:120">
      <c r="B13" s="20" cm="1">
        <f t="array" ref="B13">10000000+INDEX(编号表!$B$1:$B$112,MATCH(D13,编号表!$A$1:$A$112,0))*10000+I13</f>
        <v>10010009</v>
      </c>
      <c r="C13" s="20" t="s">
        <v>174</v>
      </c>
      <c r="D13" s="20" t="s">
        <v>174</v>
      </c>
      <c r="E13" s="20" t="s">
        <v>175</v>
      </c>
      <c r="F13" s="20" t="s">
        <v>176</v>
      </c>
      <c r="G13" s="20">
        <v>0</v>
      </c>
      <c r="H13" s="20" t="b">
        <v>0</v>
      </c>
      <c r="I13" s="20">
        <v>9</v>
      </c>
      <c r="J13" s="20" t="str">
        <f t="shared" si="2"/>
        <v>100100</v>
      </c>
      <c r="K13" s="20" t="s">
        <v>177</v>
      </c>
      <c r="L13" s="20">
        <f t="shared" si="1"/>
        <v>10010008</v>
      </c>
      <c r="M13" s="20">
        <f t="shared" si="0"/>
        <v>10010010</v>
      </c>
      <c r="N13" s="20" t="s">
        <v>178</v>
      </c>
      <c r="O13" s="20">
        <v>10010001</v>
      </c>
      <c r="P13" s="20">
        <v>0</v>
      </c>
      <c r="Q13" s="20">
        <v>3</v>
      </c>
      <c r="R13" s="20">
        <v>40</v>
      </c>
      <c r="T13" s="20">
        <v>100</v>
      </c>
      <c r="V13" s="20">
        <v>0</v>
      </c>
      <c r="W13" s="20">
        <v>0</v>
      </c>
      <c r="X13" s="20" t="s">
        <v>179</v>
      </c>
      <c r="Y13" s="20" t="s">
        <v>180</v>
      </c>
      <c r="Z13" s="20" t="s">
        <v>189</v>
      </c>
      <c r="AA13" s="20">
        <v>1</v>
      </c>
      <c r="AB13" s="20">
        <v>0</v>
      </c>
      <c r="AC13" s="20">
        <v>1</v>
      </c>
      <c r="AD13" s="20" t="s">
        <v>182</v>
      </c>
      <c r="AE13" s="20">
        <v>0</v>
      </c>
      <c r="AF13" s="20">
        <v>0</v>
      </c>
      <c r="AO13" s="20" t="s">
        <v>187</v>
      </c>
      <c r="AP13" s="20">
        <v>0</v>
      </c>
      <c r="AQ13" s="20" t="s">
        <v>184</v>
      </c>
      <c r="AR13" s="20" t="s">
        <v>189</v>
      </c>
      <c r="AS13" s="20">
        <v>10000</v>
      </c>
      <c r="AT13" s="20">
        <v>0</v>
      </c>
      <c r="AU13" s="20" t="s">
        <v>185</v>
      </c>
      <c r="AV13" s="20">
        <v>0</v>
      </c>
      <c r="AW13" s="20">
        <v>0</v>
      </c>
      <c r="AX13" s="20">
        <v>10000</v>
      </c>
      <c r="AY13" s="20">
        <v>7</v>
      </c>
      <c r="AZ13" s="20" t="b">
        <v>0</v>
      </c>
      <c r="BA13" s="20">
        <v>0</v>
      </c>
      <c r="BB13" s="20">
        <v>10000</v>
      </c>
      <c r="CV13" s="20">
        <v>10</v>
      </c>
      <c r="CW13" s="20">
        <v>20</v>
      </c>
      <c r="CX13" s="20" t="s">
        <v>188</v>
      </c>
      <c r="CY13" s="20">
        <v>30009</v>
      </c>
      <c r="DB13" s="20">
        <v>1</v>
      </c>
      <c r="DD13" s="20">
        <v>0</v>
      </c>
      <c r="DE13" s="20">
        <v>0</v>
      </c>
      <c r="DF13" s="20">
        <v>0</v>
      </c>
      <c r="DG13" s="20">
        <v>0</v>
      </c>
      <c r="DH13" s="20">
        <v>0</v>
      </c>
      <c r="DI13" s="20" t="b">
        <v>0</v>
      </c>
      <c r="DK13" s="20">
        <v>10001</v>
      </c>
      <c r="DM13" s="20" t="s">
        <v>187</v>
      </c>
      <c r="DN13" s="20">
        <v>0</v>
      </c>
      <c r="DO13" s="20">
        <v>0</v>
      </c>
      <c r="DP13" s="20">
        <v>0</v>
      </c>
    </row>
    <row r="14" spans="1:120">
      <c r="B14" s="20" cm="1">
        <f t="array" ref="B14">10000000+INDEX(编号表!$B$1:$B$112,MATCH(D14,编号表!$A$1:$A$112,0))*10000+I14</f>
        <v>10010010</v>
      </c>
      <c r="C14" s="20" t="s">
        <v>174</v>
      </c>
      <c r="D14" s="20" t="s">
        <v>174</v>
      </c>
      <c r="E14" s="20" t="s">
        <v>175</v>
      </c>
      <c r="F14" s="20" t="s">
        <v>176</v>
      </c>
      <c r="G14" s="20">
        <v>0</v>
      </c>
      <c r="H14" s="20" t="b">
        <v>0</v>
      </c>
      <c r="I14" s="20">
        <v>10</v>
      </c>
      <c r="J14" s="20" t="str">
        <f t="shared" si="2"/>
        <v>100100</v>
      </c>
      <c r="K14" s="20" t="s">
        <v>177</v>
      </c>
      <c r="L14" s="20">
        <f t="shared" si="1"/>
        <v>10010009</v>
      </c>
      <c r="N14" s="20" t="s">
        <v>178</v>
      </c>
      <c r="O14" s="20">
        <v>10010001</v>
      </c>
      <c r="P14" s="20">
        <v>0</v>
      </c>
      <c r="Q14" s="20">
        <v>3</v>
      </c>
      <c r="R14" s="20">
        <v>40</v>
      </c>
      <c r="T14" s="20">
        <v>100</v>
      </c>
      <c r="V14" s="20">
        <v>0</v>
      </c>
      <c r="W14" s="20">
        <v>0</v>
      </c>
      <c r="X14" s="20" t="s">
        <v>179</v>
      </c>
      <c r="Y14" s="20" t="s">
        <v>180</v>
      </c>
      <c r="Z14" s="20" t="s">
        <v>189</v>
      </c>
      <c r="AA14" s="20">
        <v>1</v>
      </c>
      <c r="AB14" s="20">
        <v>0</v>
      </c>
      <c r="AC14" s="20">
        <v>1</v>
      </c>
      <c r="AD14" s="20" t="s">
        <v>182</v>
      </c>
      <c r="AE14" s="20">
        <v>0</v>
      </c>
      <c r="AF14" s="20">
        <v>0</v>
      </c>
      <c r="AO14" s="20" t="s">
        <v>187</v>
      </c>
      <c r="AP14" s="20">
        <v>0</v>
      </c>
      <c r="AQ14" s="20" t="s">
        <v>184</v>
      </c>
      <c r="AR14" s="20" t="s">
        <v>189</v>
      </c>
      <c r="AS14" s="20">
        <v>10000</v>
      </c>
      <c r="AT14" s="20">
        <v>0</v>
      </c>
      <c r="AU14" s="20" t="s">
        <v>185</v>
      </c>
      <c r="AV14" s="20">
        <v>0</v>
      </c>
      <c r="AW14" s="20">
        <v>0</v>
      </c>
      <c r="AX14" s="20">
        <v>10000</v>
      </c>
      <c r="AY14" s="20">
        <v>7</v>
      </c>
      <c r="AZ14" s="20" t="b">
        <v>0</v>
      </c>
      <c r="BA14" s="20">
        <v>0</v>
      </c>
      <c r="BB14" s="20">
        <v>10000</v>
      </c>
      <c r="CV14" s="20">
        <v>10</v>
      </c>
      <c r="CW14" s="20">
        <v>20</v>
      </c>
      <c r="CX14" s="20" t="s">
        <v>188</v>
      </c>
      <c r="CY14" s="20">
        <v>30009</v>
      </c>
      <c r="DB14" s="20">
        <v>1</v>
      </c>
      <c r="DD14" s="20">
        <v>0</v>
      </c>
      <c r="DE14" s="20">
        <v>0</v>
      </c>
      <c r="DF14" s="20">
        <v>0</v>
      </c>
      <c r="DG14" s="20">
        <v>0</v>
      </c>
      <c r="DH14" s="20">
        <v>0</v>
      </c>
      <c r="DI14" s="20" t="b">
        <v>0</v>
      </c>
      <c r="DK14" s="20">
        <v>10001</v>
      </c>
      <c r="DM14" s="20" t="s">
        <v>187</v>
      </c>
      <c r="DN14" s="20">
        <v>0</v>
      </c>
      <c r="DO14" s="20">
        <v>0</v>
      </c>
      <c r="DP14" s="20">
        <v>0</v>
      </c>
    </row>
    <row r="15" spans="1:120">
      <c r="B15" s="20" cm="1">
        <f t="array" ref="B15">10000000+INDEX(编号表!$B$1:$B$112,MATCH(D15,编号表!$A$1:$A$112,0))*10000+I15</f>
        <v>10500001</v>
      </c>
      <c r="C15" s="20" t="s">
        <v>190</v>
      </c>
      <c r="D15" s="20" t="s">
        <v>191</v>
      </c>
      <c r="E15" s="20" t="s">
        <v>192</v>
      </c>
      <c r="F15" s="20" t="s">
        <v>191</v>
      </c>
      <c r="G15" s="20">
        <v>1</v>
      </c>
      <c r="H15" s="20" t="b">
        <v>0</v>
      </c>
      <c r="I15" s="20">
        <v>1</v>
      </c>
      <c r="J15" s="20" t="str">
        <f t="shared" si="2"/>
        <v>105000</v>
      </c>
      <c r="K15" s="20" t="s">
        <v>177</v>
      </c>
      <c r="M15" s="20">
        <f t="shared" ref="M15:M23" si="3">B16</f>
        <v>10500002</v>
      </c>
      <c r="N15" s="20" t="s">
        <v>193</v>
      </c>
      <c r="O15" s="20">
        <v>0</v>
      </c>
      <c r="P15" s="20">
        <v>0</v>
      </c>
      <c r="Q15" s="20">
        <v>0</v>
      </c>
      <c r="R15" s="20">
        <v>1</v>
      </c>
      <c r="T15" s="20">
        <v>100</v>
      </c>
      <c r="V15" s="20">
        <v>0</v>
      </c>
      <c r="W15" s="20">
        <v>0</v>
      </c>
      <c r="X15" s="20" t="s">
        <v>187</v>
      </c>
      <c r="Y15" s="20" t="s">
        <v>180</v>
      </c>
      <c r="Z15" s="20" t="s">
        <v>189</v>
      </c>
      <c r="AA15" s="20">
        <v>0</v>
      </c>
      <c r="AB15" s="20">
        <v>0</v>
      </c>
      <c r="AC15" s="20">
        <v>1</v>
      </c>
      <c r="AD15" s="20" t="s">
        <v>187</v>
      </c>
      <c r="AE15" s="20">
        <v>0</v>
      </c>
      <c r="AF15" s="20">
        <v>0</v>
      </c>
      <c r="AO15" s="20">
        <v>191</v>
      </c>
      <c r="AP15" s="20">
        <v>0</v>
      </c>
      <c r="CV15" s="20">
        <v>0</v>
      </c>
      <c r="CW15" s="20">
        <v>0</v>
      </c>
      <c r="CX15" s="20" t="s">
        <v>194</v>
      </c>
      <c r="CY15" s="20">
        <v>0</v>
      </c>
      <c r="DB15" s="20">
        <v>0</v>
      </c>
      <c r="DD15" s="20">
        <v>0</v>
      </c>
      <c r="DE15" s="20">
        <v>0</v>
      </c>
      <c r="DF15" s="20">
        <v>0</v>
      </c>
      <c r="DG15" s="20">
        <v>0</v>
      </c>
      <c r="DH15" s="20">
        <v>0</v>
      </c>
      <c r="DI15" s="20" t="b">
        <v>0</v>
      </c>
      <c r="DK15" s="20">
        <v>0</v>
      </c>
      <c r="DM15" s="20" t="s">
        <v>187</v>
      </c>
      <c r="DN15" s="20">
        <v>0</v>
      </c>
      <c r="DO15" s="20">
        <v>0</v>
      </c>
      <c r="DP15" s="20">
        <v>0</v>
      </c>
    </row>
    <row r="16" spans="1:120">
      <c r="B16" s="20" cm="1">
        <f t="array" ref="B16">10000000+INDEX(编号表!$B$1:$B$112,MATCH(D16,编号表!$A$1:$A$112,0))*10000+I16</f>
        <v>10500002</v>
      </c>
      <c r="C16" s="20" t="s">
        <v>190</v>
      </c>
      <c r="D16" s="20" t="s">
        <v>191</v>
      </c>
      <c r="E16" s="20" t="s">
        <v>192</v>
      </c>
      <c r="F16" s="20" t="s">
        <v>191</v>
      </c>
      <c r="G16" s="20">
        <v>1</v>
      </c>
      <c r="H16" s="20" t="b">
        <v>0</v>
      </c>
      <c r="I16" s="20">
        <v>2</v>
      </c>
      <c r="J16" s="20" t="str">
        <f t="shared" ref="J16:J22" si="4">LEFT(B16,6)</f>
        <v>105000</v>
      </c>
      <c r="K16" s="20" t="s">
        <v>177</v>
      </c>
      <c r="L16" s="20">
        <f t="shared" ref="L16:L24" si="5">B15</f>
        <v>10500001</v>
      </c>
      <c r="M16" s="20">
        <f t="shared" si="3"/>
        <v>10500003</v>
      </c>
      <c r="N16" s="20" t="s">
        <v>193</v>
      </c>
      <c r="O16" s="20">
        <v>0</v>
      </c>
      <c r="P16" s="20">
        <v>0</v>
      </c>
      <c r="Q16" s="20">
        <v>0</v>
      </c>
      <c r="R16" s="20">
        <v>1</v>
      </c>
      <c r="T16" s="20">
        <v>100</v>
      </c>
      <c r="V16" s="20">
        <v>0</v>
      </c>
      <c r="W16" s="20">
        <v>0</v>
      </c>
      <c r="X16" s="20" t="s">
        <v>187</v>
      </c>
      <c r="Y16" s="20" t="s">
        <v>180</v>
      </c>
      <c r="Z16" s="20" t="s">
        <v>189</v>
      </c>
      <c r="AA16" s="20">
        <v>0</v>
      </c>
      <c r="AB16" s="20">
        <v>0</v>
      </c>
      <c r="AC16" s="20">
        <v>1</v>
      </c>
      <c r="AD16" s="20" t="s">
        <v>187</v>
      </c>
      <c r="AE16" s="20">
        <v>0</v>
      </c>
      <c r="AF16" s="20">
        <v>0</v>
      </c>
      <c r="AO16" s="20">
        <v>191</v>
      </c>
      <c r="AP16" s="20">
        <v>0</v>
      </c>
      <c r="CV16" s="20">
        <v>0</v>
      </c>
      <c r="CW16" s="20">
        <v>0</v>
      </c>
      <c r="CX16" s="20" t="s">
        <v>194</v>
      </c>
      <c r="CY16" s="20">
        <v>0</v>
      </c>
      <c r="DB16" s="20">
        <v>0</v>
      </c>
      <c r="DD16" s="20">
        <v>0</v>
      </c>
      <c r="DE16" s="20">
        <v>0</v>
      </c>
      <c r="DF16" s="20">
        <v>0</v>
      </c>
      <c r="DG16" s="20">
        <v>0</v>
      </c>
      <c r="DH16" s="20">
        <v>0</v>
      </c>
      <c r="DI16" s="20" t="b">
        <v>0</v>
      </c>
      <c r="DK16" s="20">
        <v>0</v>
      </c>
      <c r="DM16" s="20" t="s">
        <v>187</v>
      </c>
      <c r="DN16" s="20">
        <v>0</v>
      </c>
      <c r="DO16" s="20">
        <v>0</v>
      </c>
      <c r="DP16" s="20">
        <v>0</v>
      </c>
    </row>
    <row r="17" spans="2:120">
      <c r="B17" s="20" cm="1">
        <f t="array" ref="B17">10000000+INDEX(编号表!$B$1:$B$112,MATCH(D17,编号表!$A$1:$A$112,0))*10000+I17</f>
        <v>10500003</v>
      </c>
      <c r="C17" s="20" t="s">
        <v>190</v>
      </c>
      <c r="D17" s="20" t="s">
        <v>191</v>
      </c>
      <c r="E17" s="20" t="s">
        <v>192</v>
      </c>
      <c r="F17" s="20" t="s">
        <v>191</v>
      </c>
      <c r="G17" s="20">
        <v>1</v>
      </c>
      <c r="H17" s="20" t="b">
        <v>0</v>
      </c>
      <c r="I17" s="20">
        <v>3</v>
      </c>
      <c r="J17" s="20" t="str">
        <f t="shared" si="4"/>
        <v>105000</v>
      </c>
      <c r="K17" s="20" t="s">
        <v>177</v>
      </c>
      <c r="L17" s="20">
        <f t="shared" si="5"/>
        <v>10500002</v>
      </c>
      <c r="M17" s="20">
        <f t="shared" si="3"/>
        <v>10500004</v>
      </c>
      <c r="N17" s="20" t="s">
        <v>193</v>
      </c>
      <c r="O17" s="20">
        <v>0</v>
      </c>
      <c r="P17" s="20">
        <v>0</v>
      </c>
      <c r="Q17" s="20">
        <v>0</v>
      </c>
      <c r="R17" s="20">
        <v>1</v>
      </c>
      <c r="T17" s="20">
        <v>100</v>
      </c>
      <c r="V17" s="20">
        <v>0</v>
      </c>
      <c r="W17" s="20">
        <v>0</v>
      </c>
      <c r="X17" s="20" t="s">
        <v>187</v>
      </c>
      <c r="Y17" s="20" t="s">
        <v>180</v>
      </c>
      <c r="Z17" s="20" t="s">
        <v>189</v>
      </c>
      <c r="AA17" s="20">
        <v>0</v>
      </c>
      <c r="AB17" s="20">
        <v>0</v>
      </c>
      <c r="AC17" s="20">
        <v>1</v>
      </c>
      <c r="AD17" s="20" t="s">
        <v>187</v>
      </c>
      <c r="AE17" s="20">
        <v>0</v>
      </c>
      <c r="AF17" s="20">
        <v>0</v>
      </c>
      <c r="AO17" s="20">
        <v>191</v>
      </c>
      <c r="AP17" s="20">
        <v>0</v>
      </c>
      <c r="CV17" s="20">
        <v>0</v>
      </c>
      <c r="CW17" s="20">
        <v>0</v>
      </c>
      <c r="CX17" s="20" t="s">
        <v>194</v>
      </c>
      <c r="CY17" s="20">
        <v>0</v>
      </c>
      <c r="DB17" s="20">
        <v>0</v>
      </c>
      <c r="DD17" s="20">
        <v>0</v>
      </c>
      <c r="DE17" s="20">
        <v>0</v>
      </c>
      <c r="DF17" s="20">
        <v>0</v>
      </c>
      <c r="DG17" s="20">
        <v>0</v>
      </c>
      <c r="DH17" s="20">
        <v>0</v>
      </c>
      <c r="DI17" s="20" t="b">
        <v>0</v>
      </c>
      <c r="DK17" s="20">
        <v>0</v>
      </c>
      <c r="DM17" s="20" t="s">
        <v>187</v>
      </c>
      <c r="DN17" s="20">
        <v>0</v>
      </c>
      <c r="DO17" s="20">
        <v>0</v>
      </c>
      <c r="DP17" s="20">
        <v>0</v>
      </c>
    </row>
    <row r="18" spans="2:120">
      <c r="B18" s="20" cm="1">
        <f t="array" ref="B18">10000000+INDEX(编号表!$B$1:$B$112,MATCH(D18,编号表!$A$1:$A$112,0))*10000+I18</f>
        <v>10500004</v>
      </c>
      <c r="C18" s="20" t="s">
        <v>190</v>
      </c>
      <c r="D18" s="20" t="s">
        <v>191</v>
      </c>
      <c r="E18" s="20" t="s">
        <v>192</v>
      </c>
      <c r="F18" s="20" t="s">
        <v>191</v>
      </c>
      <c r="G18" s="20">
        <v>1</v>
      </c>
      <c r="H18" s="20" t="b">
        <v>0</v>
      </c>
      <c r="I18" s="20">
        <v>4</v>
      </c>
      <c r="J18" s="20" t="str">
        <f t="shared" si="4"/>
        <v>105000</v>
      </c>
      <c r="K18" s="20" t="s">
        <v>177</v>
      </c>
      <c r="L18" s="20">
        <f t="shared" si="5"/>
        <v>10500003</v>
      </c>
      <c r="M18" s="20">
        <f t="shared" si="3"/>
        <v>10500005</v>
      </c>
      <c r="N18" s="20" t="s">
        <v>193</v>
      </c>
      <c r="O18" s="20">
        <v>0</v>
      </c>
      <c r="P18" s="20">
        <v>0</v>
      </c>
      <c r="Q18" s="20">
        <v>0</v>
      </c>
      <c r="R18" s="20">
        <v>1</v>
      </c>
      <c r="T18" s="20">
        <v>100</v>
      </c>
      <c r="V18" s="20">
        <v>0</v>
      </c>
      <c r="W18" s="20">
        <v>0</v>
      </c>
      <c r="X18" s="20" t="s">
        <v>187</v>
      </c>
      <c r="Y18" s="20" t="s">
        <v>180</v>
      </c>
      <c r="Z18" s="20" t="s">
        <v>189</v>
      </c>
      <c r="AA18" s="20">
        <v>0</v>
      </c>
      <c r="AB18" s="20">
        <v>0</v>
      </c>
      <c r="AC18" s="20">
        <v>1</v>
      </c>
      <c r="AD18" s="20" t="s">
        <v>187</v>
      </c>
      <c r="AE18" s="20">
        <v>0</v>
      </c>
      <c r="AF18" s="20">
        <v>0</v>
      </c>
      <c r="AO18" s="20">
        <v>191</v>
      </c>
      <c r="AP18" s="20">
        <v>0</v>
      </c>
      <c r="CV18" s="20">
        <v>0</v>
      </c>
      <c r="CW18" s="20">
        <v>0</v>
      </c>
      <c r="CX18" s="20" t="s">
        <v>194</v>
      </c>
      <c r="CY18" s="20">
        <v>0</v>
      </c>
      <c r="DB18" s="20">
        <v>0</v>
      </c>
      <c r="DD18" s="20">
        <v>0</v>
      </c>
      <c r="DE18" s="20">
        <v>0</v>
      </c>
      <c r="DF18" s="20">
        <v>0</v>
      </c>
      <c r="DG18" s="20">
        <v>0</v>
      </c>
      <c r="DH18" s="20">
        <v>0</v>
      </c>
      <c r="DI18" s="20" t="b">
        <v>0</v>
      </c>
      <c r="DK18" s="20">
        <v>0</v>
      </c>
      <c r="DM18" s="20" t="s">
        <v>187</v>
      </c>
      <c r="DN18" s="20">
        <v>0</v>
      </c>
      <c r="DO18" s="20">
        <v>0</v>
      </c>
      <c r="DP18" s="20">
        <v>0</v>
      </c>
    </row>
    <row r="19" spans="2:120">
      <c r="B19" s="20" cm="1">
        <f t="array" ref="B19">10000000+INDEX(编号表!$B$1:$B$112,MATCH(D19,编号表!$A$1:$A$112,0))*10000+I19</f>
        <v>10500005</v>
      </c>
      <c r="C19" s="20" t="s">
        <v>190</v>
      </c>
      <c r="D19" s="20" t="s">
        <v>191</v>
      </c>
      <c r="E19" s="20" t="s">
        <v>192</v>
      </c>
      <c r="F19" s="20" t="s">
        <v>191</v>
      </c>
      <c r="G19" s="20">
        <v>1</v>
      </c>
      <c r="H19" s="20" t="b">
        <v>0</v>
      </c>
      <c r="I19" s="20">
        <v>5</v>
      </c>
      <c r="J19" s="20" t="str">
        <f t="shared" si="4"/>
        <v>105000</v>
      </c>
      <c r="K19" s="20" t="s">
        <v>177</v>
      </c>
      <c r="L19" s="20">
        <f t="shared" si="5"/>
        <v>10500004</v>
      </c>
      <c r="M19" s="20">
        <f t="shared" si="3"/>
        <v>10500006</v>
      </c>
      <c r="N19" s="20" t="s">
        <v>193</v>
      </c>
      <c r="O19" s="20">
        <v>0</v>
      </c>
      <c r="P19" s="20">
        <v>0</v>
      </c>
      <c r="Q19" s="20">
        <v>0</v>
      </c>
      <c r="R19" s="20">
        <v>1</v>
      </c>
      <c r="T19" s="20">
        <v>100</v>
      </c>
      <c r="V19" s="20">
        <v>0</v>
      </c>
      <c r="W19" s="20">
        <v>0</v>
      </c>
      <c r="X19" s="20" t="s">
        <v>187</v>
      </c>
      <c r="Y19" s="20" t="s">
        <v>180</v>
      </c>
      <c r="Z19" s="20" t="s">
        <v>189</v>
      </c>
      <c r="AA19" s="20">
        <v>0</v>
      </c>
      <c r="AB19" s="20">
        <v>0</v>
      </c>
      <c r="AC19" s="20">
        <v>1</v>
      </c>
      <c r="AD19" s="20" t="s">
        <v>187</v>
      </c>
      <c r="AE19" s="20">
        <v>0</v>
      </c>
      <c r="AF19" s="20">
        <v>0</v>
      </c>
      <c r="AO19" s="20">
        <v>191</v>
      </c>
      <c r="AP19" s="20">
        <v>0</v>
      </c>
      <c r="CV19" s="20">
        <v>0</v>
      </c>
      <c r="CW19" s="20">
        <v>0</v>
      </c>
      <c r="CX19" s="20" t="s">
        <v>194</v>
      </c>
      <c r="CY19" s="20">
        <v>0</v>
      </c>
      <c r="DB19" s="20">
        <v>0</v>
      </c>
      <c r="DD19" s="20">
        <v>0</v>
      </c>
      <c r="DE19" s="20">
        <v>0</v>
      </c>
      <c r="DF19" s="20">
        <v>0</v>
      </c>
      <c r="DG19" s="20">
        <v>0</v>
      </c>
      <c r="DH19" s="20">
        <v>0</v>
      </c>
      <c r="DI19" s="20" t="b">
        <v>0</v>
      </c>
      <c r="DK19" s="20">
        <v>0</v>
      </c>
      <c r="DM19" s="20" t="s">
        <v>187</v>
      </c>
      <c r="DN19" s="20">
        <v>0</v>
      </c>
      <c r="DO19" s="20">
        <v>0</v>
      </c>
      <c r="DP19" s="20">
        <v>0</v>
      </c>
    </row>
    <row r="20" spans="2:120">
      <c r="B20" s="20" cm="1">
        <f t="array" ref="B20">10000000+INDEX(编号表!$B$1:$B$112,MATCH(D20,编号表!$A$1:$A$112,0))*10000+I20</f>
        <v>10500006</v>
      </c>
      <c r="C20" s="20" t="s">
        <v>190</v>
      </c>
      <c r="D20" s="20" t="s">
        <v>191</v>
      </c>
      <c r="E20" s="20" t="s">
        <v>192</v>
      </c>
      <c r="F20" s="20" t="s">
        <v>191</v>
      </c>
      <c r="G20" s="20">
        <v>1</v>
      </c>
      <c r="H20" s="20" t="b">
        <v>0</v>
      </c>
      <c r="I20" s="20">
        <v>6</v>
      </c>
      <c r="J20" s="20" t="str">
        <f t="shared" si="4"/>
        <v>105000</v>
      </c>
      <c r="K20" s="20" t="s">
        <v>177</v>
      </c>
      <c r="L20" s="20">
        <f t="shared" si="5"/>
        <v>10500005</v>
      </c>
      <c r="M20" s="20">
        <f t="shared" si="3"/>
        <v>10500007</v>
      </c>
      <c r="N20" s="20" t="s">
        <v>193</v>
      </c>
      <c r="O20" s="20">
        <v>0</v>
      </c>
      <c r="P20" s="20">
        <v>0</v>
      </c>
      <c r="Q20" s="20">
        <v>0</v>
      </c>
      <c r="R20" s="20">
        <v>1</v>
      </c>
      <c r="T20" s="20">
        <v>100</v>
      </c>
      <c r="V20" s="20">
        <v>0</v>
      </c>
      <c r="W20" s="20">
        <v>0</v>
      </c>
      <c r="X20" s="20" t="s">
        <v>187</v>
      </c>
      <c r="Y20" s="20" t="s">
        <v>180</v>
      </c>
      <c r="Z20" s="20" t="s">
        <v>189</v>
      </c>
      <c r="AA20" s="20">
        <v>0</v>
      </c>
      <c r="AB20" s="20">
        <v>0</v>
      </c>
      <c r="AC20" s="20">
        <v>1</v>
      </c>
      <c r="AD20" s="20" t="s">
        <v>187</v>
      </c>
      <c r="AE20" s="20">
        <v>0</v>
      </c>
      <c r="AF20" s="20">
        <v>0</v>
      </c>
      <c r="AO20" s="20">
        <v>191</v>
      </c>
      <c r="AP20" s="20">
        <v>0</v>
      </c>
      <c r="CV20" s="20">
        <v>0</v>
      </c>
      <c r="CW20" s="20">
        <v>0</v>
      </c>
      <c r="CX20" s="20" t="s">
        <v>194</v>
      </c>
      <c r="CY20" s="20">
        <v>0</v>
      </c>
      <c r="DB20" s="20">
        <v>0</v>
      </c>
      <c r="DD20" s="20">
        <v>0</v>
      </c>
      <c r="DE20" s="20">
        <v>0</v>
      </c>
      <c r="DF20" s="20">
        <v>0</v>
      </c>
      <c r="DG20" s="20">
        <v>0</v>
      </c>
      <c r="DH20" s="20">
        <v>0</v>
      </c>
      <c r="DI20" s="20" t="b">
        <v>0</v>
      </c>
      <c r="DK20" s="20">
        <v>0</v>
      </c>
      <c r="DM20" s="20" t="s">
        <v>187</v>
      </c>
      <c r="DN20" s="20">
        <v>0</v>
      </c>
      <c r="DO20" s="20">
        <v>0</v>
      </c>
      <c r="DP20" s="20">
        <v>0</v>
      </c>
    </row>
    <row r="21" spans="2:120">
      <c r="B21" s="20" cm="1">
        <f t="array" ref="B21">10000000+INDEX(编号表!$B$1:$B$112,MATCH(D21,编号表!$A$1:$A$112,0))*10000+I21</f>
        <v>10500007</v>
      </c>
      <c r="C21" s="20" t="s">
        <v>190</v>
      </c>
      <c r="D21" s="20" t="s">
        <v>191</v>
      </c>
      <c r="E21" s="20" t="s">
        <v>192</v>
      </c>
      <c r="F21" s="20" t="s">
        <v>191</v>
      </c>
      <c r="G21" s="20">
        <v>1</v>
      </c>
      <c r="H21" s="20" t="b">
        <v>0</v>
      </c>
      <c r="I21" s="20">
        <v>7</v>
      </c>
      <c r="J21" s="20" t="str">
        <f t="shared" si="4"/>
        <v>105000</v>
      </c>
      <c r="K21" s="20" t="s">
        <v>177</v>
      </c>
      <c r="L21" s="20">
        <f t="shared" si="5"/>
        <v>10500006</v>
      </c>
      <c r="M21" s="20">
        <f t="shared" si="3"/>
        <v>10500008</v>
      </c>
      <c r="N21" s="20" t="s">
        <v>193</v>
      </c>
      <c r="O21" s="20">
        <v>0</v>
      </c>
      <c r="P21" s="20">
        <v>0</v>
      </c>
      <c r="Q21" s="20">
        <v>0</v>
      </c>
      <c r="R21" s="20">
        <v>1</v>
      </c>
      <c r="T21" s="20">
        <v>100</v>
      </c>
      <c r="V21" s="20">
        <v>0</v>
      </c>
      <c r="W21" s="20">
        <v>0</v>
      </c>
      <c r="X21" s="20" t="s">
        <v>187</v>
      </c>
      <c r="Y21" s="20" t="s">
        <v>180</v>
      </c>
      <c r="Z21" s="20" t="s">
        <v>189</v>
      </c>
      <c r="AA21" s="20">
        <v>0</v>
      </c>
      <c r="AB21" s="20">
        <v>0</v>
      </c>
      <c r="AC21" s="20">
        <v>1</v>
      </c>
      <c r="AD21" s="20" t="s">
        <v>187</v>
      </c>
      <c r="AE21" s="20">
        <v>0</v>
      </c>
      <c r="AF21" s="20">
        <v>0</v>
      </c>
      <c r="AO21" s="20">
        <v>191</v>
      </c>
      <c r="AP21" s="20">
        <v>0</v>
      </c>
      <c r="CV21" s="20">
        <v>0</v>
      </c>
      <c r="CW21" s="20">
        <v>0</v>
      </c>
      <c r="CX21" s="20" t="s">
        <v>194</v>
      </c>
      <c r="CY21" s="20">
        <v>0</v>
      </c>
      <c r="DB21" s="20">
        <v>0</v>
      </c>
      <c r="DD21" s="20">
        <v>0</v>
      </c>
      <c r="DE21" s="20">
        <v>0</v>
      </c>
      <c r="DF21" s="20">
        <v>0</v>
      </c>
      <c r="DG21" s="20">
        <v>0</v>
      </c>
      <c r="DH21" s="20">
        <v>0</v>
      </c>
      <c r="DI21" s="20" t="b">
        <v>0</v>
      </c>
      <c r="DK21" s="20">
        <v>0</v>
      </c>
      <c r="DM21" s="20" t="s">
        <v>187</v>
      </c>
      <c r="DN21" s="20">
        <v>0</v>
      </c>
      <c r="DO21" s="20">
        <v>0</v>
      </c>
      <c r="DP21" s="20">
        <v>0</v>
      </c>
    </row>
    <row r="22" spans="2:120">
      <c r="B22" s="20" cm="1">
        <f t="array" ref="B22">10000000+INDEX(编号表!$B$1:$B$112,MATCH(D22,编号表!$A$1:$A$112,0))*10000+I22</f>
        <v>10500008</v>
      </c>
      <c r="C22" s="20" t="s">
        <v>190</v>
      </c>
      <c r="D22" s="20" t="s">
        <v>191</v>
      </c>
      <c r="E22" s="20" t="s">
        <v>192</v>
      </c>
      <c r="F22" s="20" t="s">
        <v>191</v>
      </c>
      <c r="G22" s="20">
        <v>1</v>
      </c>
      <c r="H22" s="20" t="b">
        <v>0</v>
      </c>
      <c r="I22" s="20">
        <v>8</v>
      </c>
      <c r="J22" s="20" t="str">
        <f t="shared" si="4"/>
        <v>105000</v>
      </c>
      <c r="K22" s="20" t="s">
        <v>177</v>
      </c>
      <c r="L22" s="20">
        <f t="shared" si="5"/>
        <v>10500007</v>
      </c>
      <c r="N22" s="20" t="s">
        <v>193</v>
      </c>
      <c r="O22" s="20">
        <v>0</v>
      </c>
      <c r="P22" s="20">
        <v>0</v>
      </c>
      <c r="Q22" s="20">
        <v>0</v>
      </c>
      <c r="R22" s="20">
        <v>1</v>
      </c>
      <c r="T22" s="20">
        <v>100</v>
      </c>
      <c r="V22" s="20">
        <v>0</v>
      </c>
      <c r="W22" s="20">
        <v>0</v>
      </c>
      <c r="X22" s="20" t="s">
        <v>187</v>
      </c>
      <c r="Y22" s="20" t="s">
        <v>180</v>
      </c>
      <c r="Z22" s="20" t="s">
        <v>189</v>
      </c>
      <c r="AA22" s="20">
        <v>0</v>
      </c>
      <c r="AB22" s="20">
        <v>0</v>
      </c>
      <c r="AC22" s="20">
        <v>1</v>
      </c>
      <c r="AD22" s="20" t="s">
        <v>187</v>
      </c>
      <c r="AE22" s="20">
        <v>0</v>
      </c>
      <c r="AF22" s="20">
        <v>0</v>
      </c>
      <c r="AO22" s="20">
        <v>191</v>
      </c>
      <c r="AP22" s="20">
        <v>0</v>
      </c>
      <c r="CV22" s="20">
        <v>0</v>
      </c>
      <c r="CW22" s="20">
        <v>0</v>
      </c>
      <c r="CX22" s="20" t="s">
        <v>194</v>
      </c>
      <c r="CY22" s="20">
        <v>0</v>
      </c>
      <c r="DB22" s="20">
        <v>0</v>
      </c>
      <c r="DD22" s="20">
        <v>0</v>
      </c>
      <c r="DE22" s="20">
        <v>0</v>
      </c>
      <c r="DF22" s="20">
        <v>0</v>
      </c>
      <c r="DG22" s="20">
        <v>0</v>
      </c>
      <c r="DH22" s="20">
        <v>0</v>
      </c>
      <c r="DI22" s="20" t="b">
        <v>0</v>
      </c>
      <c r="DK22" s="20">
        <v>0</v>
      </c>
      <c r="DM22" s="20" t="s">
        <v>187</v>
      </c>
      <c r="DN22" s="20">
        <v>0</v>
      </c>
      <c r="DO22" s="20">
        <v>0</v>
      </c>
      <c r="DP22" s="20">
        <v>0</v>
      </c>
    </row>
    <row r="23" spans="2:120">
      <c r="B23" s="20" cm="1">
        <f t="array" ref="B23">10000000+INDEX(编号表!$B$1:$B$112,MATCH(D23,编号表!$A$1:$A$112,0))*10000+I23</f>
        <v>10510001</v>
      </c>
      <c r="C23" s="20" t="s">
        <v>195</v>
      </c>
      <c r="D23" s="20" t="s">
        <v>196</v>
      </c>
      <c r="E23" s="20" t="s">
        <v>192</v>
      </c>
      <c r="F23" s="20" t="s">
        <v>196</v>
      </c>
      <c r="G23" s="20">
        <v>1</v>
      </c>
      <c r="H23" s="20" t="b">
        <v>0</v>
      </c>
      <c r="I23" s="20">
        <v>1</v>
      </c>
      <c r="J23" s="20" t="str">
        <f t="shared" ref="J23:J30" si="6">LEFT(B23,6)</f>
        <v>105100</v>
      </c>
      <c r="K23" s="20" t="s">
        <v>177</v>
      </c>
      <c r="M23" s="20">
        <f t="shared" ref="M23:M29" si="7">B24</f>
        <v>10510002</v>
      </c>
      <c r="N23" s="20" t="s">
        <v>197</v>
      </c>
      <c r="O23" s="20">
        <v>0</v>
      </c>
      <c r="P23" s="20">
        <v>0</v>
      </c>
      <c r="Q23" s="20">
        <v>0</v>
      </c>
      <c r="R23" s="20">
        <v>1</v>
      </c>
      <c r="T23" s="20">
        <v>100</v>
      </c>
      <c r="AO23" s="20" t="s">
        <v>194</v>
      </c>
      <c r="AP23" s="20">
        <v>0</v>
      </c>
      <c r="CV23" s="20">
        <v>0</v>
      </c>
      <c r="CW23" s="20">
        <v>0</v>
      </c>
      <c r="CX23" s="20" t="s">
        <v>194</v>
      </c>
      <c r="CY23" s="20">
        <v>0</v>
      </c>
      <c r="DB23" s="20">
        <v>0</v>
      </c>
      <c r="DD23" s="20">
        <v>0</v>
      </c>
      <c r="DE23" s="20">
        <v>0</v>
      </c>
      <c r="DF23" s="20">
        <v>0</v>
      </c>
      <c r="DG23" s="20">
        <v>0</v>
      </c>
      <c r="DH23" s="20">
        <v>0</v>
      </c>
      <c r="DI23" s="20" t="b">
        <v>0</v>
      </c>
      <c r="DK23" s="20">
        <v>0</v>
      </c>
      <c r="DM23" s="20" t="s">
        <v>187</v>
      </c>
      <c r="DN23" s="20">
        <v>0</v>
      </c>
      <c r="DO23" s="20">
        <v>0</v>
      </c>
      <c r="DP23" s="20">
        <v>0</v>
      </c>
    </row>
    <row r="24" spans="2:120">
      <c r="B24" s="20" cm="1">
        <f t="array" ref="B24">10000000+INDEX(编号表!$B$1:$B$112,MATCH(D24,编号表!$A$1:$A$112,0))*10000+I24</f>
        <v>10510002</v>
      </c>
      <c r="C24" s="20" t="s">
        <v>195</v>
      </c>
      <c r="D24" s="20" t="s">
        <v>196</v>
      </c>
      <c r="E24" s="20" t="s">
        <v>192</v>
      </c>
      <c r="F24" s="20" t="s">
        <v>196</v>
      </c>
      <c r="G24" s="20">
        <v>1</v>
      </c>
      <c r="H24" s="20" t="b">
        <v>0</v>
      </c>
      <c r="I24" s="20">
        <v>2</v>
      </c>
      <c r="J24" s="20" t="str">
        <f t="shared" si="6"/>
        <v>105100</v>
      </c>
      <c r="K24" s="20" t="s">
        <v>177</v>
      </c>
      <c r="L24" s="20">
        <f t="shared" ref="L24:L30" si="8">B23</f>
        <v>10510001</v>
      </c>
      <c r="M24" s="20">
        <f t="shared" si="7"/>
        <v>10510003</v>
      </c>
      <c r="N24" s="20" t="s">
        <v>197</v>
      </c>
      <c r="O24" s="20">
        <v>0</v>
      </c>
      <c r="P24" s="20">
        <v>0</v>
      </c>
      <c r="Q24" s="20">
        <v>0</v>
      </c>
      <c r="R24" s="20">
        <v>1</v>
      </c>
      <c r="T24" s="20">
        <v>100</v>
      </c>
      <c r="AO24" s="20" t="s">
        <v>194</v>
      </c>
      <c r="AP24" s="20">
        <v>0</v>
      </c>
      <c r="CV24" s="20">
        <v>0</v>
      </c>
      <c r="CW24" s="20">
        <v>0</v>
      </c>
      <c r="CX24" s="20" t="s">
        <v>194</v>
      </c>
      <c r="CY24" s="20">
        <v>0</v>
      </c>
      <c r="DB24" s="20">
        <v>0</v>
      </c>
      <c r="DD24" s="20">
        <v>0</v>
      </c>
      <c r="DE24" s="20">
        <v>0</v>
      </c>
      <c r="DF24" s="20">
        <v>0</v>
      </c>
      <c r="DG24" s="20">
        <v>0</v>
      </c>
      <c r="DH24" s="20">
        <v>0</v>
      </c>
      <c r="DI24" s="20" t="b">
        <v>0</v>
      </c>
      <c r="DK24" s="20">
        <v>0</v>
      </c>
      <c r="DM24" s="20" t="s">
        <v>187</v>
      </c>
      <c r="DN24" s="20">
        <v>0</v>
      </c>
      <c r="DO24" s="20">
        <v>0</v>
      </c>
      <c r="DP24" s="20">
        <v>0</v>
      </c>
    </row>
    <row r="25" spans="2:120">
      <c r="B25" s="20" cm="1">
        <f t="array" ref="B25">10000000+INDEX(编号表!$B$1:$B$112,MATCH(D25,编号表!$A$1:$A$112,0))*10000+I25</f>
        <v>10510003</v>
      </c>
      <c r="C25" s="20" t="s">
        <v>195</v>
      </c>
      <c r="D25" s="20" t="s">
        <v>196</v>
      </c>
      <c r="E25" s="20" t="s">
        <v>192</v>
      </c>
      <c r="F25" s="20" t="s">
        <v>196</v>
      </c>
      <c r="G25" s="20">
        <v>1</v>
      </c>
      <c r="H25" s="20" t="b">
        <v>0</v>
      </c>
      <c r="I25" s="20">
        <v>3</v>
      </c>
      <c r="J25" s="20" t="str">
        <f t="shared" si="6"/>
        <v>105100</v>
      </c>
      <c r="K25" s="20" t="s">
        <v>177</v>
      </c>
      <c r="L25" s="20">
        <f t="shared" si="8"/>
        <v>10510002</v>
      </c>
      <c r="M25" s="20">
        <f t="shared" si="7"/>
        <v>10510004</v>
      </c>
      <c r="N25" s="20" t="s">
        <v>197</v>
      </c>
      <c r="O25" s="20">
        <v>0</v>
      </c>
      <c r="P25" s="20">
        <v>0</v>
      </c>
      <c r="Q25" s="20">
        <v>0</v>
      </c>
      <c r="R25" s="20">
        <v>1</v>
      </c>
      <c r="T25" s="20">
        <v>100</v>
      </c>
      <c r="AO25" s="20" t="s">
        <v>194</v>
      </c>
      <c r="AP25" s="20">
        <v>0</v>
      </c>
      <c r="CV25" s="20">
        <v>0</v>
      </c>
      <c r="CW25" s="20">
        <v>0</v>
      </c>
      <c r="CX25" s="20" t="s">
        <v>194</v>
      </c>
      <c r="CY25" s="20">
        <v>0</v>
      </c>
      <c r="DB25" s="20">
        <v>0</v>
      </c>
      <c r="DD25" s="20">
        <v>0</v>
      </c>
      <c r="DE25" s="20">
        <v>0</v>
      </c>
      <c r="DF25" s="20">
        <v>0</v>
      </c>
      <c r="DG25" s="20">
        <v>0</v>
      </c>
      <c r="DH25" s="20">
        <v>0</v>
      </c>
      <c r="DI25" s="20" t="b">
        <v>0</v>
      </c>
      <c r="DK25" s="20">
        <v>0</v>
      </c>
      <c r="DM25" s="20" t="s">
        <v>187</v>
      </c>
      <c r="DN25" s="20">
        <v>0</v>
      </c>
      <c r="DO25" s="20">
        <v>0</v>
      </c>
      <c r="DP25" s="20">
        <v>0</v>
      </c>
    </row>
    <row r="26" spans="2:120">
      <c r="B26" s="20" cm="1">
        <f t="array" ref="B26">10000000+INDEX(编号表!$B$1:$B$112,MATCH(D26,编号表!$A$1:$A$112,0))*10000+I26</f>
        <v>10510004</v>
      </c>
      <c r="C26" s="20" t="s">
        <v>195</v>
      </c>
      <c r="D26" s="20" t="s">
        <v>196</v>
      </c>
      <c r="E26" s="20" t="s">
        <v>192</v>
      </c>
      <c r="F26" s="20" t="s">
        <v>196</v>
      </c>
      <c r="G26" s="20">
        <v>1</v>
      </c>
      <c r="H26" s="20" t="b">
        <v>0</v>
      </c>
      <c r="I26" s="20">
        <v>4</v>
      </c>
      <c r="J26" s="20" t="str">
        <f t="shared" si="6"/>
        <v>105100</v>
      </c>
      <c r="K26" s="20" t="s">
        <v>177</v>
      </c>
      <c r="L26" s="20">
        <f t="shared" si="8"/>
        <v>10510003</v>
      </c>
      <c r="M26" s="20">
        <f t="shared" si="7"/>
        <v>10510005</v>
      </c>
      <c r="N26" s="20" t="s">
        <v>197</v>
      </c>
      <c r="O26" s="20">
        <v>0</v>
      </c>
      <c r="P26" s="20">
        <v>0</v>
      </c>
      <c r="Q26" s="20">
        <v>0</v>
      </c>
      <c r="R26" s="20">
        <v>1</v>
      </c>
      <c r="T26" s="20">
        <v>100</v>
      </c>
      <c r="AO26" s="20" t="s">
        <v>194</v>
      </c>
      <c r="AP26" s="20">
        <v>0</v>
      </c>
      <c r="CV26" s="20">
        <v>0</v>
      </c>
      <c r="CW26" s="20">
        <v>0</v>
      </c>
      <c r="CX26" s="20" t="s">
        <v>194</v>
      </c>
      <c r="CY26" s="20">
        <v>0</v>
      </c>
      <c r="DB26" s="20">
        <v>0</v>
      </c>
      <c r="DD26" s="20">
        <v>0</v>
      </c>
      <c r="DE26" s="20">
        <v>0</v>
      </c>
      <c r="DF26" s="20">
        <v>0</v>
      </c>
      <c r="DG26" s="20">
        <v>0</v>
      </c>
      <c r="DH26" s="20">
        <v>0</v>
      </c>
      <c r="DI26" s="20" t="b">
        <v>0</v>
      </c>
      <c r="DK26" s="20">
        <v>0</v>
      </c>
      <c r="DM26" s="20" t="s">
        <v>187</v>
      </c>
      <c r="DN26" s="20">
        <v>0</v>
      </c>
      <c r="DO26" s="20">
        <v>0</v>
      </c>
      <c r="DP26" s="20">
        <v>0</v>
      </c>
    </row>
    <row r="27" spans="2:120">
      <c r="B27" s="20" cm="1">
        <f t="array" ref="B27">10000000+INDEX(编号表!$B$1:$B$112,MATCH(D27,编号表!$A$1:$A$112,0))*10000+I27</f>
        <v>10510005</v>
      </c>
      <c r="C27" s="20" t="s">
        <v>195</v>
      </c>
      <c r="D27" s="20" t="s">
        <v>196</v>
      </c>
      <c r="E27" s="20" t="s">
        <v>192</v>
      </c>
      <c r="F27" s="20" t="s">
        <v>196</v>
      </c>
      <c r="G27" s="20">
        <v>1</v>
      </c>
      <c r="H27" s="20" t="b">
        <v>0</v>
      </c>
      <c r="I27" s="20">
        <v>5</v>
      </c>
      <c r="J27" s="20" t="str">
        <f t="shared" si="6"/>
        <v>105100</v>
      </c>
      <c r="K27" s="20" t="s">
        <v>177</v>
      </c>
      <c r="L27" s="20">
        <f t="shared" si="8"/>
        <v>10510004</v>
      </c>
      <c r="M27" s="20">
        <f t="shared" si="7"/>
        <v>10510006</v>
      </c>
      <c r="N27" s="20" t="s">
        <v>197</v>
      </c>
      <c r="O27" s="20">
        <v>0</v>
      </c>
      <c r="P27" s="20">
        <v>0</v>
      </c>
      <c r="Q27" s="20">
        <v>0</v>
      </c>
      <c r="R27" s="20">
        <v>1</v>
      </c>
      <c r="T27" s="20">
        <v>100</v>
      </c>
      <c r="AO27" s="20" t="s">
        <v>194</v>
      </c>
      <c r="AP27" s="20">
        <v>0</v>
      </c>
      <c r="CV27" s="20">
        <v>0</v>
      </c>
      <c r="CW27" s="20">
        <v>0</v>
      </c>
      <c r="CX27" s="20" t="s">
        <v>194</v>
      </c>
      <c r="CY27" s="20">
        <v>0</v>
      </c>
      <c r="DB27" s="20">
        <v>0</v>
      </c>
      <c r="DD27" s="20">
        <v>0</v>
      </c>
      <c r="DE27" s="20">
        <v>0</v>
      </c>
      <c r="DF27" s="20">
        <v>0</v>
      </c>
      <c r="DG27" s="20">
        <v>0</v>
      </c>
      <c r="DH27" s="20">
        <v>0</v>
      </c>
      <c r="DI27" s="20" t="b">
        <v>0</v>
      </c>
      <c r="DK27" s="20">
        <v>0</v>
      </c>
      <c r="DM27" s="20" t="s">
        <v>187</v>
      </c>
      <c r="DN27" s="20">
        <v>0</v>
      </c>
      <c r="DO27" s="20">
        <v>0</v>
      </c>
      <c r="DP27" s="20">
        <v>0</v>
      </c>
    </row>
    <row r="28" spans="2:120">
      <c r="B28" s="20" cm="1">
        <f t="array" ref="B28">10000000+INDEX(编号表!$B$1:$B$112,MATCH(D28,编号表!$A$1:$A$112,0))*10000+I28</f>
        <v>10510006</v>
      </c>
      <c r="C28" s="20" t="s">
        <v>195</v>
      </c>
      <c r="D28" s="20" t="s">
        <v>196</v>
      </c>
      <c r="E28" s="20" t="s">
        <v>192</v>
      </c>
      <c r="F28" s="20" t="s">
        <v>196</v>
      </c>
      <c r="G28" s="20">
        <v>1</v>
      </c>
      <c r="H28" s="20" t="b">
        <v>0</v>
      </c>
      <c r="I28" s="20">
        <v>6</v>
      </c>
      <c r="J28" s="20" t="str">
        <f t="shared" si="6"/>
        <v>105100</v>
      </c>
      <c r="K28" s="20" t="s">
        <v>177</v>
      </c>
      <c r="L28" s="20">
        <f t="shared" si="8"/>
        <v>10510005</v>
      </c>
      <c r="M28" s="20">
        <f t="shared" si="7"/>
        <v>10510007</v>
      </c>
      <c r="N28" s="20" t="s">
        <v>197</v>
      </c>
      <c r="O28" s="20">
        <v>0</v>
      </c>
      <c r="P28" s="20">
        <v>0</v>
      </c>
      <c r="Q28" s="20">
        <v>0</v>
      </c>
      <c r="R28" s="20">
        <v>1</v>
      </c>
      <c r="T28" s="20">
        <v>100</v>
      </c>
      <c r="AO28" s="20" t="s">
        <v>194</v>
      </c>
      <c r="AP28" s="20">
        <v>0</v>
      </c>
      <c r="CV28" s="20">
        <v>0</v>
      </c>
      <c r="CW28" s="20">
        <v>0</v>
      </c>
      <c r="CX28" s="20" t="s">
        <v>194</v>
      </c>
      <c r="CY28" s="20">
        <v>0</v>
      </c>
      <c r="DB28" s="20">
        <v>0</v>
      </c>
      <c r="DD28" s="20">
        <v>0</v>
      </c>
      <c r="DE28" s="20">
        <v>0</v>
      </c>
      <c r="DF28" s="20">
        <v>0</v>
      </c>
      <c r="DG28" s="20">
        <v>0</v>
      </c>
      <c r="DH28" s="20">
        <v>0</v>
      </c>
      <c r="DI28" s="20" t="b">
        <v>0</v>
      </c>
      <c r="DK28" s="20">
        <v>0</v>
      </c>
      <c r="DM28" s="20" t="s">
        <v>187</v>
      </c>
      <c r="DN28" s="20">
        <v>0</v>
      </c>
      <c r="DO28" s="20">
        <v>0</v>
      </c>
      <c r="DP28" s="20">
        <v>0</v>
      </c>
    </row>
    <row r="29" spans="2:120">
      <c r="B29" s="20" cm="1">
        <f t="array" ref="B29">10000000+INDEX(编号表!$B$1:$B$112,MATCH(D29,编号表!$A$1:$A$112,0))*10000+I29</f>
        <v>10510007</v>
      </c>
      <c r="C29" s="20" t="s">
        <v>195</v>
      </c>
      <c r="D29" s="20" t="s">
        <v>196</v>
      </c>
      <c r="E29" s="20" t="s">
        <v>192</v>
      </c>
      <c r="F29" s="20" t="s">
        <v>196</v>
      </c>
      <c r="G29" s="20">
        <v>1</v>
      </c>
      <c r="H29" s="20" t="b">
        <v>0</v>
      </c>
      <c r="I29" s="20">
        <v>7</v>
      </c>
      <c r="J29" s="20" t="str">
        <f t="shared" si="6"/>
        <v>105100</v>
      </c>
      <c r="K29" s="20" t="s">
        <v>177</v>
      </c>
      <c r="L29" s="20">
        <f t="shared" si="8"/>
        <v>10510006</v>
      </c>
      <c r="M29" s="20">
        <f t="shared" si="7"/>
        <v>10510008</v>
      </c>
      <c r="N29" s="20" t="s">
        <v>197</v>
      </c>
      <c r="O29" s="20">
        <v>0</v>
      </c>
      <c r="P29" s="20">
        <v>0</v>
      </c>
      <c r="Q29" s="20">
        <v>0</v>
      </c>
      <c r="R29" s="20">
        <v>1</v>
      </c>
      <c r="T29" s="20">
        <v>100</v>
      </c>
      <c r="AO29" s="20" t="s">
        <v>194</v>
      </c>
      <c r="AP29" s="20">
        <v>0</v>
      </c>
      <c r="CV29" s="20">
        <v>0</v>
      </c>
      <c r="CW29" s="20">
        <v>0</v>
      </c>
      <c r="CX29" s="20" t="s">
        <v>194</v>
      </c>
      <c r="CY29" s="20">
        <v>0</v>
      </c>
      <c r="DB29" s="20">
        <v>0</v>
      </c>
      <c r="DD29" s="20">
        <v>0</v>
      </c>
      <c r="DE29" s="20">
        <v>0</v>
      </c>
      <c r="DF29" s="20">
        <v>0</v>
      </c>
      <c r="DG29" s="20">
        <v>0</v>
      </c>
      <c r="DH29" s="20">
        <v>0</v>
      </c>
      <c r="DI29" s="20" t="b">
        <v>0</v>
      </c>
      <c r="DK29" s="20">
        <v>0</v>
      </c>
      <c r="DM29" s="20" t="s">
        <v>187</v>
      </c>
      <c r="DN29" s="20">
        <v>0</v>
      </c>
      <c r="DO29" s="20">
        <v>0</v>
      </c>
      <c r="DP29" s="20">
        <v>0</v>
      </c>
    </row>
    <row r="30" spans="2:120">
      <c r="B30" s="20" cm="1">
        <f t="array" ref="B30">10000000+INDEX(编号表!$B$1:$B$112,MATCH(D30,编号表!$A$1:$A$112,0))*10000+I30</f>
        <v>10510008</v>
      </c>
      <c r="C30" s="20" t="s">
        <v>195</v>
      </c>
      <c r="D30" s="20" t="s">
        <v>196</v>
      </c>
      <c r="E30" s="20" t="s">
        <v>192</v>
      </c>
      <c r="F30" s="20" t="s">
        <v>196</v>
      </c>
      <c r="G30" s="20">
        <v>1</v>
      </c>
      <c r="H30" s="20" t="b">
        <v>0</v>
      </c>
      <c r="I30" s="20">
        <v>8</v>
      </c>
      <c r="J30" s="20" t="str">
        <f t="shared" si="6"/>
        <v>105100</v>
      </c>
      <c r="K30" s="20" t="s">
        <v>177</v>
      </c>
      <c r="L30" s="20">
        <f t="shared" si="8"/>
        <v>10510007</v>
      </c>
      <c r="N30" s="20" t="s">
        <v>197</v>
      </c>
      <c r="O30" s="20">
        <v>0</v>
      </c>
      <c r="P30" s="20">
        <v>0</v>
      </c>
      <c r="Q30" s="20">
        <v>0</v>
      </c>
      <c r="R30" s="20">
        <v>1</v>
      </c>
      <c r="T30" s="20">
        <v>100</v>
      </c>
      <c r="AO30" s="20" t="s">
        <v>194</v>
      </c>
      <c r="AP30" s="20">
        <v>0</v>
      </c>
      <c r="CV30" s="20">
        <v>0</v>
      </c>
      <c r="CW30" s="20">
        <v>0</v>
      </c>
      <c r="CX30" s="20" t="s">
        <v>194</v>
      </c>
      <c r="CY30" s="20">
        <v>0</v>
      </c>
      <c r="DB30" s="20">
        <v>0</v>
      </c>
      <c r="DD30" s="20">
        <v>0</v>
      </c>
      <c r="DE30" s="20">
        <v>0</v>
      </c>
      <c r="DF30" s="20">
        <v>0</v>
      </c>
      <c r="DG30" s="20">
        <v>0</v>
      </c>
      <c r="DH30" s="20">
        <v>0</v>
      </c>
      <c r="DI30" s="20" t="b">
        <v>0</v>
      </c>
      <c r="DK30" s="20">
        <v>0</v>
      </c>
      <c r="DM30" s="20" t="s">
        <v>187</v>
      </c>
      <c r="DN30" s="20">
        <v>0</v>
      </c>
      <c r="DO30" s="20">
        <v>0</v>
      </c>
      <c r="DP30" s="20">
        <v>0</v>
      </c>
    </row>
    <row r="31" spans="2:120">
      <c r="B31" s="20" cm="1">
        <f t="array" ref="B31">10000000+INDEX(编号表!$B$1:$B$112,MATCH(D31,编号表!$A$1:$A$112,0))*10000+I31</f>
        <v>10520001</v>
      </c>
      <c r="C31" s="20" t="s">
        <v>198</v>
      </c>
      <c r="D31" s="20" t="s">
        <v>199</v>
      </c>
      <c r="E31" s="20" t="s">
        <v>192</v>
      </c>
      <c r="F31" s="20" t="s">
        <v>199</v>
      </c>
      <c r="G31" s="20">
        <v>1</v>
      </c>
      <c r="H31" s="20" t="b">
        <v>0</v>
      </c>
      <c r="I31" s="20">
        <v>1</v>
      </c>
      <c r="J31" s="20" t="str">
        <f t="shared" ref="J31:J38" si="9">LEFT(B31,6)</f>
        <v>105200</v>
      </c>
      <c r="K31" s="20" t="s">
        <v>177</v>
      </c>
      <c r="M31" s="20">
        <f t="shared" ref="M31:M37" si="10">B32</f>
        <v>10520002</v>
      </c>
      <c r="N31" s="20" t="s">
        <v>200</v>
      </c>
      <c r="O31" s="20">
        <v>0</v>
      </c>
      <c r="P31" s="20">
        <v>0</v>
      </c>
      <c r="Q31" s="20">
        <v>0</v>
      </c>
      <c r="R31" s="20">
        <v>1</v>
      </c>
      <c r="T31" s="20">
        <v>100</v>
      </c>
      <c r="AO31" s="20" t="s">
        <v>194</v>
      </c>
      <c r="AP31" s="20">
        <v>0</v>
      </c>
      <c r="CV31" s="20">
        <v>0</v>
      </c>
      <c r="CW31" s="20">
        <v>0</v>
      </c>
      <c r="CX31" s="20" t="s">
        <v>194</v>
      </c>
      <c r="CY31" s="20">
        <v>0</v>
      </c>
      <c r="DB31" s="20">
        <v>0</v>
      </c>
      <c r="DD31" s="20">
        <v>0</v>
      </c>
      <c r="DE31" s="20">
        <v>0</v>
      </c>
      <c r="DF31" s="20">
        <v>0</v>
      </c>
      <c r="DG31" s="20">
        <v>0</v>
      </c>
      <c r="DH31" s="20">
        <v>0</v>
      </c>
      <c r="DI31" s="20" t="b">
        <v>0</v>
      </c>
      <c r="DK31" s="20">
        <v>0</v>
      </c>
      <c r="DM31" s="20" t="s">
        <v>187</v>
      </c>
      <c r="DN31" s="20">
        <v>0</v>
      </c>
      <c r="DO31" s="20">
        <v>0</v>
      </c>
      <c r="DP31" s="20">
        <v>0</v>
      </c>
    </row>
    <row r="32" spans="2:120">
      <c r="B32" s="20" cm="1">
        <f t="array" ref="B32">10000000+INDEX(编号表!$B$1:$B$112,MATCH(D32,编号表!$A$1:$A$112,0))*10000+I32</f>
        <v>10520002</v>
      </c>
      <c r="C32" s="20" t="s">
        <v>198</v>
      </c>
      <c r="D32" s="20" t="s">
        <v>199</v>
      </c>
      <c r="E32" s="20" t="s">
        <v>192</v>
      </c>
      <c r="F32" s="20" t="s">
        <v>199</v>
      </c>
      <c r="G32" s="20">
        <v>1</v>
      </c>
      <c r="H32" s="20" t="b">
        <v>0</v>
      </c>
      <c r="I32" s="20">
        <v>2</v>
      </c>
      <c r="J32" s="20" t="str">
        <f t="shared" si="9"/>
        <v>105200</v>
      </c>
      <c r="K32" s="20" t="s">
        <v>177</v>
      </c>
      <c r="L32" s="20">
        <f t="shared" ref="L32:L38" si="11">B31</f>
        <v>10520001</v>
      </c>
      <c r="M32" s="20">
        <f t="shared" si="10"/>
        <v>10520003</v>
      </c>
      <c r="N32" s="20" t="s">
        <v>200</v>
      </c>
      <c r="O32" s="20">
        <v>0</v>
      </c>
      <c r="P32" s="20">
        <v>0</v>
      </c>
      <c r="Q32" s="20">
        <v>0</v>
      </c>
      <c r="R32" s="20">
        <v>1</v>
      </c>
      <c r="T32" s="20">
        <v>100</v>
      </c>
      <c r="AO32" s="20" t="s">
        <v>194</v>
      </c>
      <c r="AP32" s="20">
        <v>0</v>
      </c>
      <c r="CV32" s="20">
        <v>0</v>
      </c>
      <c r="CW32" s="20">
        <v>0</v>
      </c>
      <c r="CX32" s="20" t="s">
        <v>194</v>
      </c>
      <c r="CY32" s="20">
        <v>0</v>
      </c>
      <c r="DB32" s="20">
        <v>0</v>
      </c>
      <c r="DD32" s="20">
        <v>0</v>
      </c>
      <c r="DE32" s="20">
        <v>0</v>
      </c>
      <c r="DF32" s="20">
        <v>0</v>
      </c>
      <c r="DG32" s="20">
        <v>0</v>
      </c>
      <c r="DH32" s="20">
        <v>0</v>
      </c>
      <c r="DI32" s="20" t="b">
        <v>0</v>
      </c>
      <c r="DK32" s="20">
        <v>0</v>
      </c>
      <c r="DM32" s="20" t="s">
        <v>187</v>
      </c>
      <c r="DN32" s="20">
        <v>0</v>
      </c>
      <c r="DO32" s="20">
        <v>0</v>
      </c>
      <c r="DP32" s="20">
        <v>0</v>
      </c>
    </row>
    <row r="33" spans="2:120">
      <c r="B33" s="20" cm="1">
        <f t="array" ref="B33">10000000+INDEX(编号表!$B$1:$B$112,MATCH(D33,编号表!$A$1:$A$112,0))*10000+I33</f>
        <v>10520003</v>
      </c>
      <c r="C33" s="20" t="s">
        <v>198</v>
      </c>
      <c r="D33" s="20" t="s">
        <v>199</v>
      </c>
      <c r="E33" s="20" t="s">
        <v>192</v>
      </c>
      <c r="F33" s="20" t="s">
        <v>199</v>
      </c>
      <c r="G33" s="20">
        <v>1</v>
      </c>
      <c r="H33" s="20" t="b">
        <v>0</v>
      </c>
      <c r="I33" s="20">
        <v>3</v>
      </c>
      <c r="J33" s="20" t="str">
        <f t="shared" si="9"/>
        <v>105200</v>
      </c>
      <c r="K33" s="20" t="s">
        <v>177</v>
      </c>
      <c r="L33" s="20">
        <f t="shared" si="11"/>
        <v>10520002</v>
      </c>
      <c r="M33" s="20">
        <f t="shared" si="10"/>
        <v>10520004</v>
      </c>
      <c r="N33" s="20" t="s">
        <v>200</v>
      </c>
      <c r="O33" s="20">
        <v>0</v>
      </c>
      <c r="P33" s="20">
        <v>0</v>
      </c>
      <c r="Q33" s="20">
        <v>0</v>
      </c>
      <c r="R33" s="20">
        <v>1</v>
      </c>
      <c r="T33" s="20">
        <v>100</v>
      </c>
      <c r="AO33" s="20" t="s">
        <v>194</v>
      </c>
      <c r="AP33" s="20">
        <v>0</v>
      </c>
      <c r="CV33" s="20">
        <v>0</v>
      </c>
      <c r="CW33" s="20">
        <v>0</v>
      </c>
      <c r="CX33" s="20" t="s">
        <v>194</v>
      </c>
      <c r="CY33" s="20">
        <v>0</v>
      </c>
      <c r="DB33" s="20">
        <v>0</v>
      </c>
      <c r="DD33" s="20">
        <v>0</v>
      </c>
      <c r="DE33" s="20">
        <v>0</v>
      </c>
      <c r="DF33" s="20">
        <v>0</v>
      </c>
      <c r="DG33" s="20">
        <v>0</v>
      </c>
      <c r="DH33" s="20">
        <v>0</v>
      </c>
      <c r="DI33" s="20" t="b">
        <v>0</v>
      </c>
      <c r="DK33" s="20">
        <v>0</v>
      </c>
      <c r="DM33" s="20" t="s">
        <v>187</v>
      </c>
      <c r="DN33" s="20">
        <v>0</v>
      </c>
      <c r="DO33" s="20">
        <v>0</v>
      </c>
      <c r="DP33" s="20">
        <v>0</v>
      </c>
    </row>
    <row r="34" spans="2:120">
      <c r="B34" s="20" cm="1">
        <f t="array" ref="B34">10000000+INDEX(编号表!$B$1:$B$112,MATCH(D34,编号表!$A$1:$A$112,0))*10000+I34</f>
        <v>10520004</v>
      </c>
      <c r="C34" s="20" t="s">
        <v>198</v>
      </c>
      <c r="D34" s="20" t="s">
        <v>199</v>
      </c>
      <c r="E34" s="20" t="s">
        <v>192</v>
      </c>
      <c r="F34" s="20" t="s">
        <v>199</v>
      </c>
      <c r="G34" s="20">
        <v>1</v>
      </c>
      <c r="H34" s="20" t="b">
        <v>0</v>
      </c>
      <c r="I34" s="20">
        <v>4</v>
      </c>
      <c r="J34" s="20" t="str">
        <f t="shared" si="9"/>
        <v>105200</v>
      </c>
      <c r="K34" s="20" t="s">
        <v>177</v>
      </c>
      <c r="L34" s="20">
        <f t="shared" si="11"/>
        <v>10520003</v>
      </c>
      <c r="M34" s="20">
        <f t="shared" si="10"/>
        <v>10520005</v>
      </c>
      <c r="N34" s="20" t="s">
        <v>200</v>
      </c>
      <c r="O34" s="20">
        <v>0</v>
      </c>
      <c r="P34" s="20">
        <v>0</v>
      </c>
      <c r="Q34" s="20">
        <v>0</v>
      </c>
      <c r="R34" s="20">
        <v>1</v>
      </c>
      <c r="T34" s="20">
        <v>100</v>
      </c>
      <c r="AO34" s="20" t="s">
        <v>194</v>
      </c>
      <c r="AP34" s="20">
        <v>0</v>
      </c>
      <c r="CV34" s="20">
        <v>0</v>
      </c>
      <c r="CW34" s="20">
        <v>0</v>
      </c>
      <c r="CX34" s="20" t="s">
        <v>194</v>
      </c>
      <c r="CY34" s="20">
        <v>0</v>
      </c>
      <c r="DB34" s="20">
        <v>0</v>
      </c>
      <c r="DD34" s="20">
        <v>0</v>
      </c>
      <c r="DE34" s="20">
        <v>0</v>
      </c>
      <c r="DF34" s="20">
        <v>0</v>
      </c>
      <c r="DG34" s="20">
        <v>0</v>
      </c>
      <c r="DH34" s="20">
        <v>0</v>
      </c>
      <c r="DI34" s="20" t="b">
        <v>0</v>
      </c>
      <c r="DK34" s="20">
        <v>0</v>
      </c>
      <c r="DM34" s="20" t="s">
        <v>187</v>
      </c>
      <c r="DN34" s="20">
        <v>0</v>
      </c>
      <c r="DO34" s="20">
        <v>0</v>
      </c>
      <c r="DP34" s="20">
        <v>0</v>
      </c>
    </row>
    <row r="35" spans="2:120">
      <c r="B35" s="20" cm="1">
        <f t="array" ref="B35">10000000+INDEX(编号表!$B$1:$B$112,MATCH(D35,编号表!$A$1:$A$112,0))*10000+I35</f>
        <v>10520005</v>
      </c>
      <c r="C35" s="20" t="s">
        <v>198</v>
      </c>
      <c r="D35" s="20" t="s">
        <v>199</v>
      </c>
      <c r="E35" s="20" t="s">
        <v>192</v>
      </c>
      <c r="F35" s="20" t="s">
        <v>199</v>
      </c>
      <c r="G35" s="20">
        <v>1</v>
      </c>
      <c r="H35" s="20" t="b">
        <v>0</v>
      </c>
      <c r="I35" s="20">
        <v>5</v>
      </c>
      <c r="J35" s="20" t="str">
        <f t="shared" si="9"/>
        <v>105200</v>
      </c>
      <c r="K35" s="20" t="s">
        <v>177</v>
      </c>
      <c r="L35" s="20">
        <f t="shared" si="11"/>
        <v>10520004</v>
      </c>
      <c r="M35" s="20">
        <f t="shared" si="10"/>
        <v>10520006</v>
      </c>
      <c r="N35" s="20" t="s">
        <v>200</v>
      </c>
      <c r="O35" s="20">
        <v>0</v>
      </c>
      <c r="P35" s="20">
        <v>0</v>
      </c>
      <c r="Q35" s="20">
        <v>0</v>
      </c>
      <c r="R35" s="20">
        <v>1</v>
      </c>
      <c r="T35" s="20">
        <v>100</v>
      </c>
      <c r="AO35" s="20" t="s">
        <v>194</v>
      </c>
      <c r="AP35" s="20">
        <v>0</v>
      </c>
      <c r="CV35" s="20">
        <v>0</v>
      </c>
      <c r="CW35" s="20">
        <v>0</v>
      </c>
      <c r="CX35" s="20" t="s">
        <v>194</v>
      </c>
      <c r="CY35" s="20">
        <v>0</v>
      </c>
      <c r="DB35" s="20">
        <v>0</v>
      </c>
      <c r="DD35" s="20">
        <v>0</v>
      </c>
      <c r="DE35" s="20">
        <v>0</v>
      </c>
      <c r="DF35" s="20">
        <v>0</v>
      </c>
      <c r="DG35" s="20">
        <v>0</v>
      </c>
      <c r="DH35" s="20">
        <v>0</v>
      </c>
      <c r="DI35" s="20" t="b">
        <v>0</v>
      </c>
      <c r="DK35" s="20">
        <v>0</v>
      </c>
      <c r="DM35" s="20" t="s">
        <v>187</v>
      </c>
      <c r="DN35" s="20">
        <v>0</v>
      </c>
      <c r="DO35" s="20">
        <v>0</v>
      </c>
      <c r="DP35" s="20">
        <v>0</v>
      </c>
    </row>
    <row r="36" spans="2:120">
      <c r="B36" s="20" cm="1">
        <f t="array" ref="B36">10000000+INDEX(编号表!$B$1:$B$112,MATCH(D36,编号表!$A$1:$A$112,0))*10000+I36</f>
        <v>10520006</v>
      </c>
      <c r="C36" s="20" t="s">
        <v>198</v>
      </c>
      <c r="D36" s="20" t="s">
        <v>199</v>
      </c>
      <c r="E36" s="20" t="s">
        <v>192</v>
      </c>
      <c r="F36" s="20" t="s">
        <v>199</v>
      </c>
      <c r="G36" s="20">
        <v>1</v>
      </c>
      <c r="H36" s="20" t="b">
        <v>0</v>
      </c>
      <c r="I36" s="20">
        <v>6</v>
      </c>
      <c r="J36" s="20" t="str">
        <f t="shared" si="9"/>
        <v>105200</v>
      </c>
      <c r="K36" s="20" t="s">
        <v>177</v>
      </c>
      <c r="L36" s="20">
        <f t="shared" si="11"/>
        <v>10520005</v>
      </c>
      <c r="M36" s="20">
        <f t="shared" si="10"/>
        <v>10520007</v>
      </c>
      <c r="N36" s="20" t="s">
        <v>200</v>
      </c>
      <c r="O36" s="20">
        <v>0</v>
      </c>
      <c r="P36" s="20">
        <v>0</v>
      </c>
      <c r="Q36" s="20">
        <v>0</v>
      </c>
      <c r="R36" s="20">
        <v>1</v>
      </c>
      <c r="T36" s="20">
        <v>100</v>
      </c>
      <c r="AO36" s="20" t="s">
        <v>194</v>
      </c>
      <c r="AP36" s="20">
        <v>0</v>
      </c>
      <c r="CV36" s="20">
        <v>0</v>
      </c>
      <c r="CW36" s="20">
        <v>0</v>
      </c>
      <c r="CX36" s="20" t="s">
        <v>194</v>
      </c>
      <c r="CY36" s="20">
        <v>0</v>
      </c>
      <c r="DB36" s="20">
        <v>0</v>
      </c>
      <c r="DD36" s="20">
        <v>0</v>
      </c>
      <c r="DE36" s="20">
        <v>0</v>
      </c>
      <c r="DF36" s="20">
        <v>0</v>
      </c>
      <c r="DG36" s="20">
        <v>0</v>
      </c>
      <c r="DH36" s="20">
        <v>0</v>
      </c>
      <c r="DI36" s="20" t="b">
        <v>0</v>
      </c>
      <c r="DK36" s="20">
        <v>0</v>
      </c>
      <c r="DM36" s="20" t="s">
        <v>187</v>
      </c>
      <c r="DN36" s="20">
        <v>0</v>
      </c>
      <c r="DO36" s="20">
        <v>0</v>
      </c>
      <c r="DP36" s="20">
        <v>0</v>
      </c>
    </row>
    <row r="37" spans="2:120">
      <c r="B37" s="20" cm="1">
        <f t="array" ref="B37">10000000+INDEX(编号表!$B$1:$B$112,MATCH(D37,编号表!$A$1:$A$112,0))*10000+I37</f>
        <v>10520007</v>
      </c>
      <c r="C37" s="20" t="s">
        <v>198</v>
      </c>
      <c r="D37" s="20" t="s">
        <v>199</v>
      </c>
      <c r="E37" s="20" t="s">
        <v>192</v>
      </c>
      <c r="F37" s="20" t="s">
        <v>199</v>
      </c>
      <c r="G37" s="20">
        <v>1</v>
      </c>
      <c r="H37" s="20" t="b">
        <v>0</v>
      </c>
      <c r="I37" s="20">
        <v>7</v>
      </c>
      <c r="J37" s="20" t="str">
        <f t="shared" si="9"/>
        <v>105200</v>
      </c>
      <c r="K37" s="20" t="s">
        <v>177</v>
      </c>
      <c r="L37" s="20">
        <f t="shared" si="11"/>
        <v>10520006</v>
      </c>
      <c r="M37" s="20">
        <f t="shared" si="10"/>
        <v>10520008</v>
      </c>
      <c r="N37" s="20" t="s">
        <v>200</v>
      </c>
      <c r="O37" s="20">
        <v>0</v>
      </c>
      <c r="P37" s="20">
        <v>0</v>
      </c>
      <c r="Q37" s="20">
        <v>0</v>
      </c>
      <c r="R37" s="20">
        <v>1</v>
      </c>
      <c r="T37" s="20">
        <v>100</v>
      </c>
      <c r="AO37" s="20" t="s">
        <v>194</v>
      </c>
      <c r="AP37" s="20">
        <v>0</v>
      </c>
      <c r="CV37" s="20">
        <v>0</v>
      </c>
      <c r="CW37" s="20">
        <v>0</v>
      </c>
      <c r="CX37" s="20" t="s">
        <v>194</v>
      </c>
      <c r="CY37" s="20">
        <v>0</v>
      </c>
      <c r="DB37" s="20">
        <v>0</v>
      </c>
      <c r="DD37" s="20">
        <v>0</v>
      </c>
      <c r="DE37" s="20">
        <v>0</v>
      </c>
      <c r="DF37" s="20">
        <v>0</v>
      </c>
      <c r="DG37" s="20">
        <v>0</v>
      </c>
      <c r="DH37" s="20">
        <v>0</v>
      </c>
      <c r="DI37" s="20" t="b">
        <v>0</v>
      </c>
      <c r="DK37" s="20">
        <v>0</v>
      </c>
      <c r="DM37" s="20" t="s">
        <v>187</v>
      </c>
      <c r="DN37" s="20">
        <v>0</v>
      </c>
      <c r="DO37" s="20">
        <v>0</v>
      </c>
      <c r="DP37" s="20">
        <v>0</v>
      </c>
    </row>
    <row r="38" spans="2:120">
      <c r="B38" s="20" cm="1">
        <f t="array" ref="B38">10000000+INDEX(编号表!$B$1:$B$112,MATCH(D38,编号表!$A$1:$A$112,0))*10000+I38</f>
        <v>10520008</v>
      </c>
      <c r="C38" s="20" t="s">
        <v>198</v>
      </c>
      <c r="D38" s="20" t="s">
        <v>199</v>
      </c>
      <c r="E38" s="20" t="s">
        <v>192</v>
      </c>
      <c r="F38" s="20" t="s">
        <v>199</v>
      </c>
      <c r="G38" s="20">
        <v>1</v>
      </c>
      <c r="H38" s="20" t="b">
        <v>0</v>
      </c>
      <c r="I38" s="20">
        <v>8</v>
      </c>
      <c r="J38" s="20" t="str">
        <f t="shared" si="9"/>
        <v>105200</v>
      </c>
      <c r="K38" s="20" t="s">
        <v>177</v>
      </c>
      <c r="L38" s="20">
        <f t="shared" si="11"/>
        <v>10520007</v>
      </c>
      <c r="N38" s="20" t="s">
        <v>200</v>
      </c>
      <c r="O38" s="20">
        <v>0</v>
      </c>
      <c r="P38" s="20">
        <v>0</v>
      </c>
      <c r="Q38" s="20">
        <v>0</v>
      </c>
      <c r="R38" s="20">
        <v>1</v>
      </c>
      <c r="T38" s="20">
        <v>100</v>
      </c>
      <c r="AO38" s="20" t="s">
        <v>194</v>
      </c>
      <c r="AP38" s="20">
        <v>0</v>
      </c>
      <c r="CV38" s="20">
        <v>0</v>
      </c>
      <c r="CW38" s="20">
        <v>0</v>
      </c>
      <c r="CX38" s="20" t="s">
        <v>194</v>
      </c>
      <c r="CY38" s="20">
        <v>0</v>
      </c>
      <c r="DB38" s="20">
        <v>0</v>
      </c>
      <c r="DD38" s="20">
        <v>0</v>
      </c>
      <c r="DE38" s="20">
        <v>0</v>
      </c>
      <c r="DF38" s="20">
        <v>0</v>
      </c>
      <c r="DG38" s="20">
        <v>0</v>
      </c>
      <c r="DH38" s="20">
        <v>0</v>
      </c>
      <c r="DI38" s="20" t="b">
        <v>0</v>
      </c>
      <c r="DK38" s="20">
        <v>0</v>
      </c>
      <c r="DM38" s="20" t="s">
        <v>187</v>
      </c>
      <c r="DN38" s="20">
        <v>0</v>
      </c>
      <c r="DO38" s="20">
        <v>0</v>
      </c>
      <c r="DP38" s="20">
        <v>0</v>
      </c>
    </row>
    <row r="39" spans="2:120">
      <c r="B39" s="20" cm="1">
        <f t="array" ref="B39">10000000+INDEX(编号表!$B$1:$B$112,MATCH(D39,编号表!$A$1:$A$112,0))*10000+I39</f>
        <v>10530001</v>
      </c>
      <c r="C39" s="20" t="s">
        <v>201</v>
      </c>
      <c r="D39" s="20" t="s">
        <v>202</v>
      </c>
      <c r="E39" s="20" t="s">
        <v>192</v>
      </c>
      <c r="F39" s="20" t="s">
        <v>202</v>
      </c>
      <c r="G39" s="20">
        <v>1</v>
      </c>
      <c r="H39" s="20" t="b">
        <v>0</v>
      </c>
      <c r="I39" s="20">
        <v>1</v>
      </c>
      <c r="J39" s="20" t="str">
        <f t="shared" ref="J39:J46" si="12">LEFT(B39,6)</f>
        <v>105300</v>
      </c>
      <c r="K39" s="20" t="s">
        <v>177</v>
      </c>
      <c r="M39" s="20">
        <f t="shared" ref="M39:M45" si="13">B40</f>
        <v>10530002</v>
      </c>
      <c r="N39" s="20" t="s">
        <v>203</v>
      </c>
      <c r="O39" s="20">
        <v>0</v>
      </c>
      <c r="P39" s="20">
        <v>0</v>
      </c>
      <c r="Q39" s="20">
        <v>0</v>
      </c>
      <c r="R39" s="20">
        <v>1</v>
      </c>
      <c r="T39" s="20">
        <v>100</v>
      </c>
      <c r="AO39" s="20" t="s">
        <v>194</v>
      </c>
      <c r="AP39" s="20">
        <v>0</v>
      </c>
      <c r="CV39" s="20">
        <v>0</v>
      </c>
      <c r="CW39" s="20">
        <v>0</v>
      </c>
      <c r="CX39" s="20" t="s">
        <v>194</v>
      </c>
      <c r="CY39" s="20">
        <v>0</v>
      </c>
      <c r="DB39" s="20">
        <v>0</v>
      </c>
      <c r="DD39" s="20">
        <v>0</v>
      </c>
      <c r="DE39" s="20">
        <v>0</v>
      </c>
      <c r="DF39" s="20">
        <v>0</v>
      </c>
      <c r="DG39" s="20">
        <v>0</v>
      </c>
      <c r="DH39" s="20">
        <v>0</v>
      </c>
      <c r="DI39" s="20" t="b">
        <v>0</v>
      </c>
      <c r="DK39" s="20">
        <v>0</v>
      </c>
      <c r="DM39" s="20" t="s">
        <v>187</v>
      </c>
      <c r="DN39" s="20">
        <v>0</v>
      </c>
      <c r="DO39" s="20">
        <v>0</v>
      </c>
      <c r="DP39" s="20">
        <v>0</v>
      </c>
    </row>
    <row r="40" spans="2:120">
      <c r="B40" s="20" cm="1">
        <f t="array" ref="B40">10000000+INDEX(编号表!$B$1:$B$112,MATCH(D40,编号表!$A$1:$A$112,0))*10000+I40</f>
        <v>10530002</v>
      </c>
      <c r="C40" s="20" t="s">
        <v>201</v>
      </c>
      <c r="D40" s="20" t="s">
        <v>202</v>
      </c>
      <c r="E40" s="20" t="s">
        <v>192</v>
      </c>
      <c r="F40" s="20" t="s">
        <v>202</v>
      </c>
      <c r="G40" s="20">
        <v>1</v>
      </c>
      <c r="H40" s="20" t="b">
        <v>0</v>
      </c>
      <c r="I40" s="20">
        <v>2</v>
      </c>
      <c r="J40" s="20" t="str">
        <f t="shared" si="12"/>
        <v>105300</v>
      </c>
      <c r="K40" s="20" t="s">
        <v>177</v>
      </c>
      <c r="L40" s="20">
        <f t="shared" ref="L40:L46" si="14">B39</f>
        <v>10530001</v>
      </c>
      <c r="M40" s="20">
        <f t="shared" si="13"/>
        <v>10530003</v>
      </c>
      <c r="N40" s="20" t="s">
        <v>203</v>
      </c>
      <c r="O40" s="20">
        <v>0</v>
      </c>
      <c r="P40" s="20">
        <v>0</v>
      </c>
      <c r="Q40" s="20">
        <v>0</v>
      </c>
      <c r="R40" s="20">
        <v>1</v>
      </c>
      <c r="T40" s="20">
        <v>100</v>
      </c>
      <c r="AO40" s="20" t="s">
        <v>194</v>
      </c>
      <c r="AP40" s="20">
        <v>0</v>
      </c>
      <c r="CV40" s="20">
        <v>0</v>
      </c>
      <c r="CW40" s="20">
        <v>0</v>
      </c>
      <c r="CX40" s="20" t="s">
        <v>194</v>
      </c>
      <c r="CY40" s="20">
        <v>0</v>
      </c>
      <c r="DB40" s="20">
        <v>0</v>
      </c>
      <c r="DD40" s="20">
        <v>0</v>
      </c>
      <c r="DE40" s="20">
        <v>0</v>
      </c>
      <c r="DF40" s="20">
        <v>0</v>
      </c>
      <c r="DG40" s="20">
        <v>0</v>
      </c>
      <c r="DH40" s="20">
        <v>0</v>
      </c>
      <c r="DI40" s="20" t="b">
        <v>0</v>
      </c>
      <c r="DK40" s="20">
        <v>0</v>
      </c>
      <c r="DM40" s="20" t="s">
        <v>187</v>
      </c>
      <c r="DN40" s="20">
        <v>0</v>
      </c>
      <c r="DO40" s="20">
        <v>0</v>
      </c>
      <c r="DP40" s="20">
        <v>0</v>
      </c>
    </row>
    <row r="41" spans="2:120">
      <c r="B41" s="20" cm="1">
        <f t="array" ref="B41">10000000+INDEX(编号表!$B$1:$B$112,MATCH(D41,编号表!$A$1:$A$112,0))*10000+I41</f>
        <v>10530003</v>
      </c>
      <c r="C41" s="20" t="s">
        <v>201</v>
      </c>
      <c r="D41" s="20" t="s">
        <v>202</v>
      </c>
      <c r="E41" s="20" t="s">
        <v>192</v>
      </c>
      <c r="F41" s="20" t="s">
        <v>202</v>
      </c>
      <c r="G41" s="20">
        <v>1</v>
      </c>
      <c r="H41" s="20" t="b">
        <v>0</v>
      </c>
      <c r="I41" s="20">
        <v>3</v>
      </c>
      <c r="J41" s="20" t="str">
        <f t="shared" si="12"/>
        <v>105300</v>
      </c>
      <c r="K41" s="20" t="s">
        <v>177</v>
      </c>
      <c r="L41" s="20">
        <f t="shared" si="14"/>
        <v>10530002</v>
      </c>
      <c r="M41" s="20">
        <f t="shared" si="13"/>
        <v>10530004</v>
      </c>
      <c r="N41" s="20" t="s">
        <v>203</v>
      </c>
      <c r="O41" s="20">
        <v>0</v>
      </c>
      <c r="P41" s="20">
        <v>0</v>
      </c>
      <c r="Q41" s="20">
        <v>0</v>
      </c>
      <c r="R41" s="20">
        <v>1</v>
      </c>
      <c r="T41" s="20">
        <v>100</v>
      </c>
      <c r="AO41" s="20" t="s">
        <v>194</v>
      </c>
      <c r="AP41" s="20">
        <v>0</v>
      </c>
      <c r="CV41" s="20">
        <v>0</v>
      </c>
      <c r="CW41" s="20">
        <v>0</v>
      </c>
      <c r="CX41" s="20" t="s">
        <v>194</v>
      </c>
      <c r="CY41" s="20">
        <v>0</v>
      </c>
      <c r="DB41" s="20">
        <v>0</v>
      </c>
      <c r="DD41" s="20">
        <v>0</v>
      </c>
      <c r="DE41" s="20">
        <v>0</v>
      </c>
      <c r="DF41" s="20">
        <v>0</v>
      </c>
      <c r="DG41" s="20">
        <v>0</v>
      </c>
      <c r="DH41" s="20">
        <v>0</v>
      </c>
      <c r="DI41" s="20" t="b">
        <v>0</v>
      </c>
      <c r="DK41" s="20">
        <v>0</v>
      </c>
      <c r="DM41" s="20" t="s">
        <v>187</v>
      </c>
      <c r="DN41" s="20">
        <v>0</v>
      </c>
      <c r="DO41" s="20">
        <v>0</v>
      </c>
      <c r="DP41" s="20">
        <v>0</v>
      </c>
    </row>
    <row r="42" spans="2:120">
      <c r="B42" s="20" cm="1">
        <f t="array" ref="B42">10000000+INDEX(编号表!$B$1:$B$112,MATCH(D42,编号表!$A$1:$A$112,0))*10000+I42</f>
        <v>10530004</v>
      </c>
      <c r="C42" s="20" t="s">
        <v>201</v>
      </c>
      <c r="D42" s="20" t="s">
        <v>202</v>
      </c>
      <c r="E42" s="20" t="s">
        <v>192</v>
      </c>
      <c r="F42" s="20" t="s">
        <v>202</v>
      </c>
      <c r="G42" s="20">
        <v>1</v>
      </c>
      <c r="H42" s="20" t="b">
        <v>0</v>
      </c>
      <c r="I42" s="20">
        <v>4</v>
      </c>
      <c r="J42" s="20" t="str">
        <f t="shared" si="12"/>
        <v>105300</v>
      </c>
      <c r="K42" s="20" t="s">
        <v>177</v>
      </c>
      <c r="L42" s="20">
        <f t="shared" si="14"/>
        <v>10530003</v>
      </c>
      <c r="M42" s="20">
        <f t="shared" si="13"/>
        <v>10530005</v>
      </c>
      <c r="N42" s="20" t="s">
        <v>203</v>
      </c>
      <c r="O42" s="20">
        <v>0</v>
      </c>
      <c r="P42" s="20">
        <v>0</v>
      </c>
      <c r="Q42" s="20">
        <v>0</v>
      </c>
      <c r="R42" s="20">
        <v>1</v>
      </c>
      <c r="T42" s="20">
        <v>100</v>
      </c>
      <c r="AO42" s="20" t="s">
        <v>194</v>
      </c>
      <c r="AP42" s="20">
        <v>0</v>
      </c>
      <c r="CV42" s="20">
        <v>0</v>
      </c>
      <c r="CW42" s="20">
        <v>0</v>
      </c>
      <c r="CX42" s="20" t="s">
        <v>194</v>
      </c>
      <c r="CY42" s="20">
        <v>0</v>
      </c>
      <c r="DB42" s="20">
        <v>0</v>
      </c>
      <c r="DD42" s="20">
        <v>0</v>
      </c>
      <c r="DE42" s="20">
        <v>0</v>
      </c>
      <c r="DF42" s="20">
        <v>0</v>
      </c>
      <c r="DG42" s="20">
        <v>0</v>
      </c>
      <c r="DH42" s="20">
        <v>0</v>
      </c>
      <c r="DI42" s="20" t="b">
        <v>0</v>
      </c>
      <c r="DK42" s="20">
        <v>0</v>
      </c>
      <c r="DM42" s="20" t="s">
        <v>187</v>
      </c>
      <c r="DN42" s="20">
        <v>0</v>
      </c>
      <c r="DO42" s="20">
        <v>0</v>
      </c>
      <c r="DP42" s="20">
        <v>0</v>
      </c>
    </row>
    <row r="43" spans="2:120">
      <c r="B43" s="20" cm="1">
        <f t="array" ref="B43">10000000+INDEX(编号表!$B$1:$B$112,MATCH(D43,编号表!$A$1:$A$112,0))*10000+I43</f>
        <v>10530005</v>
      </c>
      <c r="C43" s="20" t="s">
        <v>201</v>
      </c>
      <c r="D43" s="20" t="s">
        <v>202</v>
      </c>
      <c r="E43" s="20" t="s">
        <v>192</v>
      </c>
      <c r="F43" s="20" t="s">
        <v>202</v>
      </c>
      <c r="G43" s="20">
        <v>1</v>
      </c>
      <c r="H43" s="20" t="b">
        <v>0</v>
      </c>
      <c r="I43" s="20">
        <v>5</v>
      </c>
      <c r="J43" s="20" t="str">
        <f t="shared" si="12"/>
        <v>105300</v>
      </c>
      <c r="K43" s="20" t="s">
        <v>177</v>
      </c>
      <c r="L43" s="20">
        <f t="shared" si="14"/>
        <v>10530004</v>
      </c>
      <c r="M43" s="20">
        <f t="shared" si="13"/>
        <v>10530006</v>
      </c>
      <c r="N43" s="20" t="s">
        <v>203</v>
      </c>
      <c r="O43" s="20">
        <v>0</v>
      </c>
      <c r="P43" s="20">
        <v>0</v>
      </c>
      <c r="Q43" s="20">
        <v>0</v>
      </c>
      <c r="R43" s="20">
        <v>1</v>
      </c>
      <c r="T43" s="20">
        <v>100</v>
      </c>
      <c r="AO43" s="20" t="s">
        <v>194</v>
      </c>
      <c r="AP43" s="20">
        <v>0</v>
      </c>
      <c r="CV43" s="20">
        <v>0</v>
      </c>
      <c r="CW43" s="20">
        <v>0</v>
      </c>
      <c r="CX43" s="20" t="s">
        <v>194</v>
      </c>
      <c r="CY43" s="20">
        <v>0</v>
      </c>
      <c r="DB43" s="20">
        <v>0</v>
      </c>
      <c r="DD43" s="20">
        <v>0</v>
      </c>
      <c r="DE43" s="20">
        <v>0</v>
      </c>
      <c r="DF43" s="20">
        <v>0</v>
      </c>
      <c r="DG43" s="20">
        <v>0</v>
      </c>
      <c r="DH43" s="20">
        <v>0</v>
      </c>
      <c r="DI43" s="20" t="b">
        <v>0</v>
      </c>
      <c r="DK43" s="20">
        <v>0</v>
      </c>
      <c r="DM43" s="20" t="s">
        <v>187</v>
      </c>
      <c r="DN43" s="20">
        <v>0</v>
      </c>
      <c r="DO43" s="20">
        <v>0</v>
      </c>
      <c r="DP43" s="20">
        <v>0</v>
      </c>
    </row>
    <row r="44" spans="2:120">
      <c r="B44" s="20" cm="1">
        <f t="array" ref="B44">10000000+INDEX(编号表!$B$1:$B$112,MATCH(D44,编号表!$A$1:$A$112,0))*10000+I44</f>
        <v>10530006</v>
      </c>
      <c r="C44" s="20" t="s">
        <v>201</v>
      </c>
      <c r="D44" s="20" t="s">
        <v>202</v>
      </c>
      <c r="E44" s="20" t="s">
        <v>192</v>
      </c>
      <c r="F44" s="20" t="s">
        <v>202</v>
      </c>
      <c r="G44" s="20">
        <v>1</v>
      </c>
      <c r="H44" s="20" t="b">
        <v>0</v>
      </c>
      <c r="I44" s="20">
        <v>6</v>
      </c>
      <c r="J44" s="20" t="str">
        <f t="shared" si="12"/>
        <v>105300</v>
      </c>
      <c r="K44" s="20" t="s">
        <v>177</v>
      </c>
      <c r="L44" s="20">
        <f t="shared" si="14"/>
        <v>10530005</v>
      </c>
      <c r="M44" s="20">
        <f t="shared" si="13"/>
        <v>10530007</v>
      </c>
      <c r="N44" s="20" t="s">
        <v>203</v>
      </c>
      <c r="O44" s="20">
        <v>0</v>
      </c>
      <c r="P44" s="20">
        <v>0</v>
      </c>
      <c r="Q44" s="20">
        <v>0</v>
      </c>
      <c r="R44" s="20">
        <v>1</v>
      </c>
      <c r="T44" s="20">
        <v>100</v>
      </c>
      <c r="AO44" s="20" t="s">
        <v>194</v>
      </c>
      <c r="AP44" s="20">
        <v>0</v>
      </c>
      <c r="CV44" s="20">
        <v>0</v>
      </c>
      <c r="CW44" s="20">
        <v>0</v>
      </c>
      <c r="CX44" s="20" t="s">
        <v>194</v>
      </c>
      <c r="CY44" s="20">
        <v>0</v>
      </c>
      <c r="DB44" s="20">
        <v>0</v>
      </c>
      <c r="DD44" s="20">
        <v>0</v>
      </c>
      <c r="DE44" s="20">
        <v>0</v>
      </c>
      <c r="DF44" s="20">
        <v>0</v>
      </c>
      <c r="DG44" s="20">
        <v>0</v>
      </c>
      <c r="DH44" s="20">
        <v>0</v>
      </c>
      <c r="DI44" s="20" t="b">
        <v>0</v>
      </c>
      <c r="DK44" s="20">
        <v>0</v>
      </c>
      <c r="DM44" s="20" t="s">
        <v>187</v>
      </c>
      <c r="DN44" s="20">
        <v>0</v>
      </c>
      <c r="DO44" s="20">
        <v>0</v>
      </c>
      <c r="DP44" s="20">
        <v>0</v>
      </c>
    </row>
    <row r="45" spans="2:120">
      <c r="B45" s="20" cm="1">
        <f t="array" ref="B45">10000000+INDEX(编号表!$B$1:$B$112,MATCH(D45,编号表!$A$1:$A$112,0))*10000+I45</f>
        <v>10530007</v>
      </c>
      <c r="C45" s="20" t="s">
        <v>201</v>
      </c>
      <c r="D45" s="20" t="s">
        <v>202</v>
      </c>
      <c r="E45" s="20" t="s">
        <v>192</v>
      </c>
      <c r="F45" s="20" t="s">
        <v>202</v>
      </c>
      <c r="G45" s="20">
        <v>1</v>
      </c>
      <c r="H45" s="20" t="b">
        <v>0</v>
      </c>
      <c r="I45" s="20">
        <v>7</v>
      </c>
      <c r="J45" s="20" t="str">
        <f t="shared" si="12"/>
        <v>105300</v>
      </c>
      <c r="K45" s="20" t="s">
        <v>177</v>
      </c>
      <c r="L45" s="20">
        <f t="shared" si="14"/>
        <v>10530006</v>
      </c>
      <c r="M45" s="20">
        <f t="shared" si="13"/>
        <v>10530008</v>
      </c>
      <c r="N45" s="20" t="s">
        <v>203</v>
      </c>
      <c r="O45" s="20">
        <v>0</v>
      </c>
      <c r="P45" s="20">
        <v>0</v>
      </c>
      <c r="Q45" s="20">
        <v>0</v>
      </c>
      <c r="R45" s="20">
        <v>1</v>
      </c>
      <c r="T45" s="20">
        <v>100</v>
      </c>
      <c r="AO45" s="20" t="s">
        <v>194</v>
      </c>
      <c r="AP45" s="20">
        <v>0</v>
      </c>
      <c r="CV45" s="20">
        <v>0</v>
      </c>
      <c r="CW45" s="20">
        <v>0</v>
      </c>
      <c r="CX45" s="20" t="s">
        <v>194</v>
      </c>
      <c r="CY45" s="20">
        <v>0</v>
      </c>
      <c r="DB45" s="20">
        <v>0</v>
      </c>
      <c r="DD45" s="20">
        <v>0</v>
      </c>
      <c r="DE45" s="20">
        <v>0</v>
      </c>
      <c r="DF45" s="20">
        <v>0</v>
      </c>
      <c r="DG45" s="20">
        <v>0</v>
      </c>
      <c r="DH45" s="20">
        <v>0</v>
      </c>
      <c r="DI45" s="20" t="b">
        <v>0</v>
      </c>
      <c r="DK45" s="20">
        <v>0</v>
      </c>
      <c r="DM45" s="20" t="s">
        <v>187</v>
      </c>
      <c r="DN45" s="20">
        <v>0</v>
      </c>
      <c r="DO45" s="20">
        <v>0</v>
      </c>
      <c r="DP45" s="20">
        <v>0</v>
      </c>
    </row>
    <row r="46" spans="2:120">
      <c r="B46" s="20" cm="1">
        <f t="array" ref="B46">10000000+INDEX(编号表!$B$1:$B$112,MATCH(D46,编号表!$A$1:$A$112,0))*10000+I46</f>
        <v>10530008</v>
      </c>
      <c r="C46" s="20" t="s">
        <v>201</v>
      </c>
      <c r="D46" s="20" t="s">
        <v>202</v>
      </c>
      <c r="E46" s="20" t="s">
        <v>192</v>
      </c>
      <c r="F46" s="20" t="s">
        <v>202</v>
      </c>
      <c r="G46" s="20">
        <v>1</v>
      </c>
      <c r="H46" s="20" t="b">
        <v>0</v>
      </c>
      <c r="I46" s="20">
        <v>8</v>
      </c>
      <c r="J46" s="20" t="str">
        <f t="shared" si="12"/>
        <v>105300</v>
      </c>
      <c r="K46" s="20" t="s">
        <v>177</v>
      </c>
      <c r="L46" s="20">
        <f t="shared" si="14"/>
        <v>10530007</v>
      </c>
      <c r="N46" s="20" t="s">
        <v>203</v>
      </c>
      <c r="O46" s="20">
        <v>0</v>
      </c>
      <c r="P46" s="20">
        <v>0</v>
      </c>
      <c r="Q46" s="20">
        <v>0</v>
      </c>
      <c r="R46" s="20">
        <v>1</v>
      </c>
      <c r="T46" s="20">
        <v>100</v>
      </c>
      <c r="AO46" s="20" t="s">
        <v>194</v>
      </c>
      <c r="AP46" s="20">
        <v>0</v>
      </c>
      <c r="CV46" s="20">
        <v>0</v>
      </c>
      <c r="CW46" s="20">
        <v>0</v>
      </c>
      <c r="CX46" s="20" t="s">
        <v>194</v>
      </c>
      <c r="CY46" s="20">
        <v>0</v>
      </c>
      <c r="DB46" s="20">
        <v>0</v>
      </c>
      <c r="DD46" s="20">
        <v>0</v>
      </c>
      <c r="DE46" s="20">
        <v>0</v>
      </c>
      <c r="DF46" s="20">
        <v>0</v>
      </c>
      <c r="DG46" s="20">
        <v>0</v>
      </c>
      <c r="DH46" s="20">
        <v>0</v>
      </c>
      <c r="DI46" s="20" t="b">
        <v>0</v>
      </c>
      <c r="DK46" s="20">
        <v>0</v>
      </c>
      <c r="DM46" s="20" t="s">
        <v>187</v>
      </c>
      <c r="DN46" s="20">
        <v>0</v>
      </c>
      <c r="DO46" s="20">
        <v>0</v>
      </c>
      <c r="DP46" s="20">
        <v>0</v>
      </c>
    </row>
    <row r="47" spans="2:120">
      <c r="B47" s="20" cm="1">
        <f t="array" ref="B47">10000000+INDEX(编号表!$B$1:$B$112,MATCH(D47,编号表!$A$1:$A$112,0))*10000+I47</f>
        <v>10540001</v>
      </c>
      <c r="C47" s="20" t="s">
        <v>204</v>
      </c>
      <c r="D47" s="20" t="s">
        <v>205</v>
      </c>
      <c r="E47" s="20" t="s">
        <v>192</v>
      </c>
      <c r="F47" s="20" t="s">
        <v>205</v>
      </c>
      <c r="G47" s="20">
        <v>1</v>
      </c>
      <c r="H47" s="20" t="b">
        <v>0</v>
      </c>
      <c r="I47" s="20">
        <v>1</v>
      </c>
      <c r="J47" s="20" t="str">
        <f t="shared" ref="J47:J54" si="15">LEFT(B47,6)</f>
        <v>105400</v>
      </c>
      <c r="K47" s="20" t="s">
        <v>177</v>
      </c>
      <c r="M47" s="20">
        <f t="shared" ref="M47:M53" si="16">B48</f>
        <v>10540002</v>
      </c>
      <c r="N47" s="20" t="s">
        <v>206</v>
      </c>
      <c r="O47" s="20">
        <v>0</v>
      </c>
      <c r="P47" s="20">
        <v>0</v>
      </c>
      <c r="Q47" s="20">
        <v>0</v>
      </c>
      <c r="R47" s="20">
        <v>1</v>
      </c>
      <c r="T47" s="20">
        <v>100</v>
      </c>
      <c r="AO47" s="20" t="s">
        <v>194</v>
      </c>
      <c r="AP47" s="20">
        <v>0</v>
      </c>
      <c r="CV47" s="20">
        <v>0</v>
      </c>
      <c r="CW47" s="20">
        <v>0</v>
      </c>
      <c r="CX47" s="20" t="s">
        <v>194</v>
      </c>
      <c r="CY47" s="20">
        <v>0</v>
      </c>
      <c r="DB47" s="20">
        <v>0</v>
      </c>
      <c r="DD47" s="20">
        <v>0</v>
      </c>
      <c r="DE47" s="20">
        <v>0</v>
      </c>
      <c r="DF47" s="20">
        <v>0</v>
      </c>
      <c r="DG47" s="20">
        <v>0</v>
      </c>
      <c r="DH47" s="20">
        <v>0</v>
      </c>
      <c r="DI47" s="20" t="b">
        <v>0</v>
      </c>
      <c r="DK47" s="20">
        <v>0</v>
      </c>
      <c r="DM47" s="20" t="s">
        <v>187</v>
      </c>
      <c r="DN47" s="20">
        <v>0</v>
      </c>
      <c r="DO47" s="20">
        <v>0</v>
      </c>
      <c r="DP47" s="20">
        <v>0</v>
      </c>
    </row>
    <row r="48" spans="2:120">
      <c r="B48" s="20" cm="1">
        <f t="array" ref="B48">10000000+INDEX(编号表!$B$1:$B$112,MATCH(D48,编号表!$A$1:$A$112,0))*10000+I48</f>
        <v>10540002</v>
      </c>
      <c r="C48" s="20" t="s">
        <v>204</v>
      </c>
      <c r="D48" s="20" t="s">
        <v>205</v>
      </c>
      <c r="E48" s="20" t="s">
        <v>192</v>
      </c>
      <c r="F48" s="20" t="s">
        <v>205</v>
      </c>
      <c r="G48" s="20">
        <v>1</v>
      </c>
      <c r="H48" s="20" t="b">
        <v>0</v>
      </c>
      <c r="I48" s="20">
        <v>2</v>
      </c>
      <c r="J48" s="20" t="str">
        <f t="shared" si="15"/>
        <v>105400</v>
      </c>
      <c r="K48" s="20" t="s">
        <v>177</v>
      </c>
      <c r="L48" s="20">
        <f t="shared" ref="L48:L54" si="17">B47</f>
        <v>10540001</v>
      </c>
      <c r="M48" s="20">
        <f t="shared" si="16"/>
        <v>10540003</v>
      </c>
      <c r="N48" s="20" t="s">
        <v>206</v>
      </c>
      <c r="O48" s="20">
        <v>0</v>
      </c>
      <c r="P48" s="20">
        <v>0</v>
      </c>
      <c r="Q48" s="20">
        <v>0</v>
      </c>
      <c r="R48" s="20">
        <v>1</v>
      </c>
      <c r="T48" s="20">
        <v>100</v>
      </c>
      <c r="AO48" s="20" t="s">
        <v>194</v>
      </c>
      <c r="AP48" s="20">
        <v>0</v>
      </c>
      <c r="CV48" s="20">
        <v>0</v>
      </c>
      <c r="CW48" s="20">
        <v>0</v>
      </c>
      <c r="CX48" s="20" t="s">
        <v>194</v>
      </c>
      <c r="CY48" s="20">
        <v>0</v>
      </c>
      <c r="DB48" s="20">
        <v>0</v>
      </c>
      <c r="DD48" s="20">
        <v>0</v>
      </c>
      <c r="DE48" s="20">
        <v>0</v>
      </c>
      <c r="DF48" s="20">
        <v>0</v>
      </c>
      <c r="DG48" s="20">
        <v>0</v>
      </c>
      <c r="DH48" s="20">
        <v>0</v>
      </c>
      <c r="DI48" s="20" t="b">
        <v>0</v>
      </c>
      <c r="DK48" s="20">
        <v>0</v>
      </c>
      <c r="DM48" s="20" t="s">
        <v>187</v>
      </c>
      <c r="DN48" s="20">
        <v>0</v>
      </c>
      <c r="DO48" s="20">
        <v>0</v>
      </c>
      <c r="DP48" s="20">
        <v>0</v>
      </c>
    </row>
    <row r="49" spans="2:120">
      <c r="B49" s="20" cm="1">
        <f t="array" ref="B49">10000000+INDEX(编号表!$B$1:$B$112,MATCH(D49,编号表!$A$1:$A$112,0))*10000+I49</f>
        <v>10540003</v>
      </c>
      <c r="C49" s="20" t="s">
        <v>204</v>
      </c>
      <c r="D49" s="20" t="s">
        <v>205</v>
      </c>
      <c r="E49" s="20" t="s">
        <v>192</v>
      </c>
      <c r="F49" s="20" t="s">
        <v>205</v>
      </c>
      <c r="G49" s="20">
        <v>1</v>
      </c>
      <c r="H49" s="20" t="b">
        <v>0</v>
      </c>
      <c r="I49" s="20">
        <v>3</v>
      </c>
      <c r="J49" s="20" t="str">
        <f t="shared" si="15"/>
        <v>105400</v>
      </c>
      <c r="K49" s="20" t="s">
        <v>177</v>
      </c>
      <c r="L49" s="20">
        <f t="shared" si="17"/>
        <v>10540002</v>
      </c>
      <c r="M49" s="20">
        <f t="shared" si="16"/>
        <v>10540004</v>
      </c>
      <c r="N49" s="20" t="s">
        <v>206</v>
      </c>
      <c r="O49" s="20">
        <v>0</v>
      </c>
      <c r="P49" s="20">
        <v>0</v>
      </c>
      <c r="Q49" s="20">
        <v>0</v>
      </c>
      <c r="R49" s="20">
        <v>1</v>
      </c>
      <c r="T49" s="20">
        <v>100</v>
      </c>
      <c r="AO49" s="20" t="s">
        <v>194</v>
      </c>
      <c r="AP49" s="20">
        <v>0</v>
      </c>
      <c r="CV49" s="20">
        <v>0</v>
      </c>
      <c r="CW49" s="20">
        <v>0</v>
      </c>
      <c r="CX49" s="20" t="s">
        <v>194</v>
      </c>
      <c r="CY49" s="20">
        <v>0</v>
      </c>
      <c r="DB49" s="20">
        <v>0</v>
      </c>
      <c r="DD49" s="20">
        <v>0</v>
      </c>
      <c r="DE49" s="20">
        <v>0</v>
      </c>
      <c r="DF49" s="20">
        <v>0</v>
      </c>
      <c r="DG49" s="20">
        <v>0</v>
      </c>
      <c r="DH49" s="20">
        <v>0</v>
      </c>
      <c r="DI49" s="20" t="b">
        <v>0</v>
      </c>
      <c r="DK49" s="20">
        <v>0</v>
      </c>
      <c r="DM49" s="20" t="s">
        <v>187</v>
      </c>
      <c r="DN49" s="20">
        <v>0</v>
      </c>
      <c r="DO49" s="20">
        <v>0</v>
      </c>
      <c r="DP49" s="20">
        <v>0</v>
      </c>
    </row>
    <row r="50" spans="2:120">
      <c r="B50" s="20" cm="1">
        <f t="array" ref="B50">10000000+INDEX(编号表!$B$1:$B$112,MATCH(D50,编号表!$A$1:$A$112,0))*10000+I50</f>
        <v>10540004</v>
      </c>
      <c r="C50" s="20" t="s">
        <v>204</v>
      </c>
      <c r="D50" s="20" t="s">
        <v>205</v>
      </c>
      <c r="E50" s="20" t="s">
        <v>192</v>
      </c>
      <c r="F50" s="20" t="s">
        <v>205</v>
      </c>
      <c r="G50" s="20">
        <v>1</v>
      </c>
      <c r="H50" s="20" t="b">
        <v>0</v>
      </c>
      <c r="I50" s="20">
        <v>4</v>
      </c>
      <c r="J50" s="20" t="str">
        <f t="shared" si="15"/>
        <v>105400</v>
      </c>
      <c r="K50" s="20" t="s">
        <v>177</v>
      </c>
      <c r="L50" s="20">
        <f t="shared" si="17"/>
        <v>10540003</v>
      </c>
      <c r="M50" s="20">
        <f t="shared" si="16"/>
        <v>10540005</v>
      </c>
      <c r="N50" s="20" t="s">
        <v>206</v>
      </c>
      <c r="O50" s="20">
        <v>0</v>
      </c>
      <c r="P50" s="20">
        <v>0</v>
      </c>
      <c r="Q50" s="20">
        <v>0</v>
      </c>
      <c r="R50" s="20">
        <v>1</v>
      </c>
      <c r="T50" s="20">
        <v>100</v>
      </c>
      <c r="AO50" s="20" t="s">
        <v>194</v>
      </c>
      <c r="AP50" s="20">
        <v>0</v>
      </c>
      <c r="CV50" s="20">
        <v>0</v>
      </c>
      <c r="CW50" s="20">
        <v>0</v>
      </c>
      <c r="CX50" s="20" t="s">
        <v>194</v>
      </c>
      <c r="CY50" s="20">
        <v>0</v>
      </c>
      <c r="DB50" s="20">
        <v>0</v>
      </c>
      <c r="DD50" s="20">
        <v>0</v>
      </c>
      <c r="DE50" s="20">
        <v>0</v>
      </c>
      <c r="DF50" s="20">
        <v>0</v>
      </c>
      <c r="DG50" s="20">
        <v>0</v>
      </c>
      <c r="DH50" s="20">
        <v>0</v>
      </c>
      <c r="DI50" s="20" t="b">
        <v>0</v>
      </c>
      <c r="DK50" s="20">
        <v>0</v>
      </c>
      <c r="DM50" s="20" t="s">
        <v>187</v>
      </c>
      <c r="DN50" s="20">
        <v>0</v>
      </c>
      <c r="DO50" s="20">
        <v>0</v>
      </c>
      <c r="DP50" s="20">
        <v>0</v>
      </c>
    </row>
    <row r="51" spans="2:120">
      <c r="B51" s="20" cm="1">
        <f t="array" ref="B51">10000000+INDEX(编号表!$B$1:$B$112,MATCH(D51,编号表!$A$1:$A$112,0))*10000+I51</f>
        <v>10540005</v>
      </c>
      <c r="C51" s="20" t="s">
        <v>204</v>
      </c>
      <c r="D51" s="20" t="s">
        <v>205</v>
      </c>
      <c r="E51" s="20" t="s">
        <v>192</v>
      </c>
      <c r="F51" s="20" t="s">
        <v>205</v>
      </c>
      <c r="G51" s="20">
        <v>1</v>
      </c>
      <c r="H51" s="20" t="b">
        <v>0</v>
      </c>
      <c r="I51" s="20">
        <v>5</v>
      </c>
      <c r="J51" s="20" t="str">
        <f t="shared" si="15"/>
        <v>105400</v>
      </c>
      <c r="K51" s="20" t="s">
        <v>177</v>
      </c>
      <c r="L51" s="20">
        <f t="shared" si="17"/>
        <v>10540004</v>
      </c>
      <c r="M51" s="20">
        <f t="shared" si="16"/>
        <v>10540006</v>
      </c>
      <c r="N51" s="20" t="s">
        <v>206</v>
      </c>
      <c r="O51" s="20">
        <v>0</v>
      </c>
      <c r="P51" s="20">
        <v>0</v>
      </c>
      <c r="Q51" s="20">
        <v>0</v>
      </c>
      <c r="R51" s="20">
        <v>1</v>
      </c>
      <c r="T51" s="20">
        <v>100</v>
      </c>
      <c r="AO51" s="20" t="s">
        <v>194</v>
      </c>
      <c r="AP51" s="20">
        <v>0</v>
      </c>
      <c r="CV51" s="20">
        <v>0</v>
      </c>
      <c r="CW51" s="20">
        <v>0</v>
      </c>
      <c r="CX51" s="20" t="s">
        <v>194</v>
      </c>
      <c r="CY51" s="20">
        <v>0</v>
      </c>
      <c r="DB51" s="20">
        <v>0</v>
      </c>
      <c r="DD51" s="20">
        <v>0</v>
      </c>
      <c r="DE51" s="20">
        <v>0</v>
      </c>
      <c r="DF51" s="20">
        <v>0</v>
      </c>
      <c r="DG51" s="20">
        <v>0</v>
      </c>
      <c r="DH51" s="20">
        <v>0</v>
      </c>
      <c r="DI51" s="20" t="b">
        <v>0</v>
      </c>
      <c r="DK51" s="20">
        <v>0</v>
      </c>
      <c r="DM51" s="20" t="s">
        <v>187</v>
      </c>
      <c r="DN51" s="20">
        <v>0</v>
      </c>
      <c r="DO51" s="20">
        <v>0</v>
      </c>
      <c r="DP51" s="20">
        <v>0</v>
      </c>
    </row>
    <row r="52" spans="2:120">
      <c r="B52" s="20" cm="1">
        <f t="array" ref="B52">10000000+INDEX(编号表!$B$1:$B$112,MATCH(D52,编号表!$A$1:$A$112,0))*10000+I52</f>
        <v>10540006</v>
      </c>
      <c r="C52" s="20" t="s">
        <v>204</v>
      </c>
      <c r="D52" s="20" t="s">
        <v>205</v>
      </c>
      <c r="E52" s="20" t="s">
        <v>192</v>
      </c>
      <c r="F52" s="20" t="s">
        <v>205</v>
      </c>
      <c r="G52" s="20">
        <v>1</v>
      </c>
      <c r="H52" s="20" t="b">
        <v>0</v>
      </c>
      <c r="I52" s="20">
        <v>6</v>
      </c>
      <c r="J52" s="20" t="str">
        <f t="shared" si="15"/>
        <v>105400</v>
      </c>
      <c r="K52" s="20" t="s">
        <v>177</v>
      </c>
      <c r="L52" s="20">
        <f t="shared" si="17"/>
        <v>10540005</v>
      </c>
      <c r="M52" s="20">
        <f t="shared" si="16"/>
        <v>10540007</v>
      </c>
      <c r="N52" s="20" t="s">
        <v>206</v>
      </c>
      <c r="O52" s="20">
        <v>0</v>
      </c>
      <c r="P52" s="20">
        <v>0</v>
      </c>
      <c r="Q52" s="20">
        <v>0</v>
      </c>
      <c r="R52" s="20">
        <v>1</v>
      </c>
      <c r="T52" s="20">
        <v>100</v>
      </c>
      <c r="AO52" s="20" t="s">
        <v>194</v>
      </c>
      <c r="AP52" s="20">
        <v>0</v>
      </c>
      <c r="CV52" s="20">
        <v>0</v>
      </c>
      <c r="CW52" s="20">
        <v>0</v>
      </c>
      <c r="CX52" s="20" t="s">
        <v>194</v>
      </c>
      <c r="CY52" s="20">
        <v>0</v>
      </c>
      <c r="DB52" s="20">
        <v>0</v>
      </c>
      <c r="DD52" s="20">
        <v>0</v>
      </c>
      <c r="DE52" s="20">
        <v>0</v>
      </c>
      <c r="DF52" s="20">
        <v>0</v>
      </c>
      <c r="DG52" s="20">
        <v>0</v>
      </c>
      <c r="DH52" s="20">
        <v>0</v>
      </c>
      <c r="DI52" s="20" t="b">
        <v>0</v>
      </c>
      <c r="DK52" s="20">
        <v>0</v>
      </c>
      <c r="DM52" s="20" t="s">
        <v>187</v>
      </c>
      <c r="DN52" s="20">
        <v>0</v>
      </c>
      <c r="DO52" s="20">
        <v>0</v>
      </c>
      <c r="DP52" s="20">
        <v>0</v>
      </c>
    </row>
    <row r="53" spans="2:120">
      <c r="B53" s="20" cm="1">
        <f t="array" ref="B53">10000000+INDEX(编号表!$B$1:$B$112,MATCH(D53,编号表!$A$1:$A$112,0))*10000+I53</f>
        <v>10540007</v>
      </c>
      <c r="C53" s="20" t="s">
        <v>204</v>
      </c>
      <c r="D53" s="20" t="s">
        <v>205</v>
      </c>
      <c r="E53" s="20" t="s">
        <v>192</v>
      </c>
      <c r="F53" s="20" t="s">
        <v>205</v>
      </c>
      <c r="G53" s="20">
        <v>1</v>
      </c>
      <c r="H53" s="20" t="b">
        <v>0</v>
      </c>
      <c r="I53" s="20">
        <v>7</v>
      </c>
      <c r="J53" s="20" t="str">
        <f t="shared" si="15"/>
        <v>105400</v>
      </c>
      <c r="K53" s="20" t="s">
        <v>177</v>
      </c>
      <c r="L53" s="20">
        <f t="shared" si="17"/>
        <v>10540006</v>
      </c>
      <c r="M53" s="20">
        <f t="shared" si="16"/>
        <v>10540008</v>
      </c>
      <c r="N53" s="20" t="s">
        <v>206</v>
      </c>
      <c r="O53" s="20">
        <v>0</v>
      </c>
      <c r="P53" s="20">
        <v>0</v>
      </c>
      <c r="Q53" s="20">
        <v>0</v>
      </c>
      <c r="R53" s="20">
        <v>1</v>
      </c>
      <c r="T53" s="20">
        <v>100</v>
      </c>
      <c r="AO53" s="20" t="s">
        <v>194</v>
      </c>
      <c r="AP53" s="20">
        <v>0</v>
      </c>
      <c r="CV53" s="20">
        <v>0</v>
      </c>
      <c r="CW53" s="20">
        <v>0</v>
      </c>
      <c r="CX53" s="20" t="s">
        <v>194</v>
      </c>
      <c r="CY53" s="20">
        <v>0</v>
      </c>
      <c r="DB53" s="20">
        <v>0</v>
      </c>
      <c r="DD53" s="20">
        <v>0</v>
      </c>
      <c r="DE53" s="20">
        <v>0</v>
      </c>
      <c r="DF53" s="20">
        <v>0</v>
      </c>
      <c r="DG53" s="20">
        <v>0</v>
      </c>
      <c r="DH53" s="20">
        <v>0</v>
      </c>
      <c r="DI53" s="20" t="b">
        <v>0</v>
      </c>
      <c r="DK53" s="20">
        <v>0</v>
      </c>
      <c r="DM53" s="20" t="s">
        <v>187</v>
      </c>
      <c r="DN53" s="20">
        <v>0</v>
      </c>
      <c r="DO53" s="20">
        <v>0</v>
      </c>
      <c r="DP53" s="20">
        <v>0</v>
      </c>
    </row>
    <row r="54" spans="2:120">
      <c r="B54" s="20" cm="1">
        <f t="array" ref="B54">10000000+INDEX(编号表!$B$1:$B$112,MATCH(D54,编号表!$A$1:$A$112,0))*10000+I54</f>
        <v>10540008</v>
      </c>
      <c r="C54" s="20" t="s">
        <v>204</v>
      </c>
      <c r="D54" s="20" t="s">
        <v>205</v>
      </c>
      <c r="E54" s="20" t="s">
        <v>192</v>
      </c>
      <c r="F54" s="20" t="s">
        <v>205</v>
      </c>
      <c r="G54" s="20">
        <v>1</v>
      </c>
      <c r="H54" s="20" t="b">
        <v>0</v>
      </c>
      <c r="I54" s="20">
        <v>8</v>
      </c>
      <c r="J54" s="20" t="str">
        <f t="shared" si="15"/>
        <v>105400</v>
      </c>
      <c r="K54" s="20" t="s">
        <v>177</v>
      </c>
      <c r="L54" s="20">
        <f t="shared" si="17"/>
        <v>10540007</v>
      </c>
      <c r="N54" s="20" t="s">
        <v>206</v>
      </c>
      <c r="O54" s="20">
        <v>0</v>
      </c>
      <c r="P54" s="20">
        <v>0</v>
      </c>
      <c r="Q54" s="20">
        <v>0</v>
      </c>
      <c r="R54" s="20">
        <v>1</v>
      </c>
      <c r="T54" s="20">
        <v>100</v>
      </c>
      <c r="AO54" s="20" t="s">
        <v>194</v>
      </c>
      <c r="AP54" s="20">
        <v>0</v>
      </c>
      <c r="CV54" s="20">
        <v>0</v>
      </c>
      <c r="CW54" s="20">
        <v>0</v>
      </c>
      <c r="CX54" s="20" t="s">
        <v>194</v>
      </c>
      <c r="CY54" s="20">
        <v>0</v>
      </c>
      <c r="DB54" s="20">
        <v>0</v>
      </c>
      <c r="DD54" s="20">
        <v>0</v>
      </c>
      <c r="DE54" s="20">
        <v>0</v>
      </c>
      <c r="DF54" s="20">
        <v>0</v>
      </c>
      <c r="DG54" s="20">
        <v>0</v>
      </c>
      <c r="DH54" s="20">
        <v>0</v>
      </c>
      <c r="DI54" s="20" t="b">
        <v>0</v>
      </c>
      <c r="DK54" s="20">
        <v>0</v>
      </c>
      <c r="DM54" s="20" t="s">
        <v>187</v>
      </c>
      <c r="DN54" s="20">
        <v>0</v>
      </c>
      <c r="DO54" s="20">
        <v>0</v>
      </c>
      <c r="DP54" s="20">
        <v>0</v>
      </c>
    </row>
    <row r="55" spans="2:120">
      <c r="B55" s="20" cm="1">
        <f t="array" ref="B55">10000000+INDEX(编号表!$B$1:$B$112,MATCH(D55,编号表!$A$1:$A$112,0))*10000+I55</f>
        <v>10550001</v>
      </c>
      <c r="C55" s="20" t="s">
        <v>207</v>
      </c>
      <c r="D55" s="20" t="s">
        <v>208</v>
      </c>
      <c r="E55" s="20" t="s">
        <v>192</v>
      </c>
      <c r="F55" s="20" t="s">
        <v>208</v>
      </c>
      <c r="G55" s="20">
        <v>1</v>
      </c>
      <c r="H55" s="20" t="b">
        <v>0</v>
      </c>
      <c r="I55" s="20">
        <v>1</v>
      </c>
      <c r="J55" s="20" t="str">
        <f t="shared" ref="J55:J62" si="18">LEFT(B55,6)</f>
        <v>105500</v>
      </c>
      <c r="K55" s="20" t="s">
        <v>177</v>
      </c>
      <c r="M55" s="20">
        <f t="shared" ref="M55:M61" si="19">B56</f>
        <v>10550002</v>
      </c>
      <c r="N55" s="20" t="s">
        <v>209</v>
      </c>
      <c r="O55" s="20">
        <v>0</v>
      </c>
      <c r="P55" s="20">
        <v>0</v>
      </c>
      <c r="Q55" s="20">
        <v>0</v>
      </c>
      <c r="R55" s="20">
        <v>1</v>
      </c>
      <c r="T55" s="20">
        <v>100</v>
      </c>
      <c r="AO55" s="20" t="s">
        <v>194</v>
      </c>
      <c r="AP55" s="20">
        <v>0</v>
      </c>
      <c r="CV55" s="20">
        <v>0</v>
      </c>
      <c r="CW55" s="20">
        <v>0</v>
      </c>
      <c r="CX55" s="20" t="s">
        <v>194</v>
      </c>
      <c r="CY55" s="20">
        <v>0</v>
      </c>
      <c r="DB55" s="20">
        <v>0</v>
      </c>
      <c r="DD55" s="20">
        <v>0</v>
      </c>
      <c r="DE55" s="20">
        <v>0</v>
      </c>
      <c r="DF55" s="20">
        <v>0</v>
      </c>
      <c r="DG55" s="20">
        <v>0</v>
      </c>
      <c r="DH55" s="20">
        <v>0</v>
      </c>
      <c r="DI55" s="20" t="b">
        <v>0</v>
      </c>
      <c r="DK55" s="20">
        <v>0</v>
      </c>
      <c r="DM55" s="20" t="s">
        <v>187</v>
      </c>
      <c r="DN55" s="20">
        <v>0</v>
      </c>
      <c r="DO55" s="20">
        <v>0</v>
      </c>
      <c r="DP55" s="20">
        <v>0</v>
      </c>
    </row>
    <row r="56" spans="2:120">
      <c r="B56" s="20" cm="1">
        <f t="array" ref="B56">10000000+INDEX(编号表!$B$1:$B$112,MATCH(D56,编号表!$A$1:$A$112,0))*10000+I56</f>
        <v>10550002</v>
      </c>
      <c r="C56" s="20" t="s">
        <v>207</v>
      </c>
      <c r="D56" s="20" t="s">
        <v>208</v>
      </c>
      <c r="E56" s="20" t="s">
        <v>192</v>
      </c>
      <c r="F56" s="20" t="s">
        <v>208</v>
      </c>
      <c r="G56" s="20">
        <v>1</v>
      </c>
      <c r="H56" s="20" t="b">
        <v>0</v>
      </c>
      <c r="I56" s="20">
        <v>2</v>
      </c>
      <c r="J56" s="20" t="str">
        <f t="shared" si="18"/>
        <v>105500</v>
      </c>
      <c r="K56" s="20" t="s">
        <v>177</v>
      </c>
      <c r="L56" s="20">
        <f t="shared" ref="L56:L62" si="20">B55</f>
        <v>10550001</v>
      </c>
      <c r="M56" s="20">
        <f t="shared" si="19"/>
        <v>10550003</v>
      </c>
      <c r="N56" s="20" t="s">
        <v>209</v>
      </c>
      <c r="O56" s="20">
        <v>0</v>
      </c>
      <c r="P56" s="20">
        <v>0</v>
      </c>
      <c r="Q56" s="20">
        <v>0</v>
      </c>
      <c r="R56" s="20">
        <v>1</v>
      </c>
      <c r="T56" s="20">
        <v>100</v>
      </c>
      <c r="AO56" s="20" t="s">
        <v>194</v>
      </c>
      <c r="AP56" s="20">
        <v>0</v>
      </c>
      <c r="CV56" s="20">
        <v>0</v>
      </c>
      <c r="CW56" s="20">
        <v>0</v>
      </c>
      <c r="CX56" s="20" t="s">
        <v>194</v>
      </c>
      <c r="CY56" s="20">
        <v>0</v>
      </c>
      <c r="DB56" s="20">
        <v>0</v>
      </c>
      <c r="DD56" s="20">
        <v>0</v>
      </c>
      <c r="DE56" s="20">
        <v>0</v>
      </c>
      <c r="DF56" s="20">
        <v>0</v>
      </c>
      <c r="DG56" s="20">
        <v>0</v>
      </c>
      <c r="DH56" s="20">
        <v>0</v>
      </c>
      <c r="DI56" s="20" t="b">
        <v>0</v>
      </c>
      <c r="DK56" s="20">
        <v>0</v>
      </c>
      <c r="DM56" s="20" t="s">
        <v>187</v>
      </c>
      <c r="DN56" s="20">
        <v>0</v>
      </c>
      <c r="DO56" s="20">
        <v>0</v>
      </c>
      <c r="DP56" s="20">
        <v>0</v>
      </c>
    </row>
    <row r="57" spans="2:120">
      <c r="B57" s="20" cm="1">
        <f t="array" ref="B57">10000000+INDEX(编号表!$B$1:$B$112,MATCH(D57,编号表!$A$1:$A$112,0))*10000+I57</f>
        <v>10550003</v>
      </c>
      <c r="C57" s="20" t="s">
        <v>207</v>
      </c>
      <c r="D57" s="20" t="s">
        <v>208</v>
      </c>
      <c r="E57" s="20" t="s">
        <v>192</v>
      </c>
      <c r="F57" s="20" t="s">
        <v>208</v>
      </c>
      <c r="G57" s="20">
        <v>1</v>
      </c>
      <c r="H57" s="20" t="b">
        <v>0</v>
      </c>
      <c r="I57" s="20">
        <v>3</v>
      </c>
      <c r="J57" s="20" t="str">
        <f t="shared" si="18"/>
        <v>105500</v>
      </c>
      <c r="K57" s="20" t="s">
        <v>177</v>
      </c>
      <c r="L57" s="20">
        <f t="shared" si="20"/>
        <v>10550002</v>
      </c>
      <c r="M57" s="20">
        <f t="shared" si="19"/>
        <v>10550004</v>
      </c>
      <c r="N57" s="20" t="s">
        <v>209</v>
      </c>
      <c r="O57" s="20">
        <v>0</v>
      </c>
      <c r="P57" s="20">
        <v>0</v>
      </c>
      <c r="Q57" s="20">
        <v>0</v>
      </c>
      <c r="R57" s="20">
        <v>1</v>
      </c>
      <c r="T57" s="20">
        <v>100</v>
      </c>
      <c r="AO57" s="20" t="s">
        <v>194</v>
      </c>
      <c r="AP57" s="20">
        <v>0</v>
      </c>
      <c r="CV57" s="20">
        <v>0</v>
      </c>
      <c r="CW57" s="20">
        <v>0</v>
      </c>
      <c r="CX57" s="20" t="s">
        <v>194</v>
      </c>
      <c r="CY57" s="20">
        <v>0</v>
      </c>
      <c r="DB57" s="20">
        <v>0</v>
      </c>
      <c r="DD57" s="20">
        <v>0</v>
      </c>
      <c r="DE57" s="20">
        <v>0</v>
      </c>
      <c r="DF57" s="20">
        <v>0</v>
      </c>
      <c r="DG57" s="20">
        <v>0</v>
      </c>
      <c r="DH57" s="20">
        <v>0</v>
      </c>
      <c r="DI57" s="20" t="b">
        <v>0</v>
      </c>
      <c r="DK57" s="20">
        <v>0</v>
      </c>
      <c r="DM57" s="20" t="s">
        <v>187</v>
      </c>
      <c r="DN57" s="20">
        <v>0</v>
      </c>
      <c r="DO57" s="20">
        <v>0</v>
      </c>
      <c r="DP57" s="20">
        <v>0</v>
      </c>
    </row>
    <row r="58" spans="2:120">
      <c r="B58" s="20" cm="1">
        <f t="array" ref="B58">10000000+INDEX(编号表!$B$1:$B$112,MATCH(D58,编号表!$A$1:$A$112,0))*10000+I58</f>
        <v>10550004</v>
      </c>
      <c r="C58" s="20" t="s">
        <v>207</v>
      </c>
      <c r="D58" s="20" t="s">
        <v>208</v>
      </c>
      <c r="E58" s="20" t="s">
        <v>192</v>
      </c>
      <c r="F58" s="20" t="s">
        <v>208</v>
      </c>
      <c r="G58" s="20">
        <v>1</v>
      </c>
      <c r="H58" s="20" t="b">
        <v>0</v>
      </c>
      <c r="I58" s="20">
        <v>4</v>
      </c>
      <c r="J58" s="20" t="str">
        <f t="shared" si="18"/>
        <v>105500</v>
      </c>
      <c r="K58" s="20" t="s">
        <v>177</v>
      </c>
      <c r="L58" s="20">
        <f t="shared" si="20"/>
        <v>10550003</v>
      </c>
      <c r="M58" s="20">
        <f t="shared" si="19"/>
        <v>10550005</v>
      </c>
      <c r="N58" s="20" t="s">
        <v>209</v>
      </c>
      <c r="O58" s="20">
        <v>0</v>
      </c>
      <c r="P58" s="20">
        <v>0</v>
      </c>
      <c r="Q58" s="20">
        <v>0</v>
      </c>
      <c r="R58" s="20">
        <v>1</v>
      </c>
      <c r="T58" s="20">
        <v>100</v>
      </c>
      <c r="AO58" s="20" t="s">
        <v>194</v>
      </c>
      <c r="AP58" s="20">
        <v>0</v>
      </c>
      <c r="CV58" s="20">
        <v>0</v>
      </c>
      <c r="CW58" s="20">
        <v>0</v>
      </c>
      <c r="CX58" s="20" t="s">
        <v>194</v>
      </c>
      <c r="CY58" s="20">
        <v>0</v>
      </c>
      <c r="DB58" s="20">
        <v>0</v>
      </c>
      <c r="DD58" s="20">
        <v>0</v>
      </c>
      <c r="DE58" s="20">
        <v>0</v>
      </c>
      <c r="DF58" s="20">
        <v>0</v>
      </c>
      <c r="DG58" s="20">
        <v>0</v>
      </c>
      <c r="DH58" s="20">
        <v>0</v>
      </c>
      <c r="DI58" s="20" t="b">
        <v>0</v>
      </c>
      <c r="DK58" s="20">
        <v>0</v>
      </c>
      <c r="DM58" s="20" t="s">
        <v>187</v>
      </c>
      <c r="DN58" s="20">
        <v>0</v>
      </c>
      <c r="DO58" s="20">
        <v>0</v>
      </c>
      <c r="DP58" s="20">
        <v>0</v>
      </c>
    </row>
    <row r="59" spans="2:120">
      <c r="B59" s="20" cm="1">
        <f t="array" ref="B59">10000000+INDEX(编号表!$B$1:$B$112,MATCH(D59,编号表!$A$1:$A$112,0))*10000+I59</f>
        <v>10550005</v>
      </c>
      <c r="C59" s="20" t="s">
        <v>207</v>
      </c>
      <c r="D59" s="20" t="s">
        <v>208</v>
      </c>
      <c r="E59" s="20" t="s">
        <v>192</v>
      </c>
      <c r="F59" s="20" t="s">
        <v>208</v>
      </c>
      <c r="G59" s="20">
        <v>1</v>
      </c>
      <c r="H59" s="20" t="b">
        <v>0</v>
      </c>
      <c r="I59" s="20">
        <v>5</v>
      </c>
      <c r="J59" s="20" t="str">
        <f t="shared" si="18"/>
        <v>105500</v>
      </c>
      <c r="K59" s="20" t="s">
        <v>177</v>
      </c>
      <c r="L59" s="20">
        <f t="shared" si="20"/>
        <v>10550004</v>
      </c>
      <c r="M59" s="20">
        <f t="shared" si="19"/>
        <v>10550006</v>
      </c>
      <c r="N59" s="20" t="s">
        <v>209</v>
      </c>
      <c r="O59" s="20">
        <v>0</v>
      </c>
      <c r="P59" s="20">
        <v>0</v>
      </c>
      <c r="Q59" s="20">
        <v>0</v>
      </c>
      <c r="R59" s="20">
        <v>1</v>
      </c>
      <c r="T59" s="20">
        <v>100</v>
      </c>
      <c r="AO59" s="20" t="s">
        <v>194</v>
      </c>
      <c r="AP59" s="20">
        <v>0</v>
      </c>
      <c r="CV59" s="20">
        <v>0</v>
      </c>
      <c r="CW59" s="20">
        <v>0</v>
      </c>
      <c r="CX59" s="20" t="s">
        <v>194</v>
      </c>
      <c r="CY59" s="20">
        <v>0</v>
      </c>
      <c r="DB59" s="20">
        <v>0</v>
      </c>
      <c r="DD59" s="20">
        <v>0</v>
      </c>
      <c r="DE59" s="20">
        <v>0</v>
      </c>
      <c r="DF59" s="20">
        <v>0</v>
      </c>
      <c r="DG59" s="20">
        <v>0</v>
      </c>
      <c r="DH59" s="20">
        <v>0</v>
      </c>
      <c r="DI59" s="20" t="b">
        <v>0</v>
      </c>
      <c r="DK59" s="20">
        <v>0</v>
      </c>
      <c r="DM59" s="20" t="s">
        <v>187</v>
      </c>
      <c r="DN59" s="20">
        <v>0</v>
      </c>
      <c r="DO59" s="20">
        <v>0</v>
      </c>
      <c r="DP59" s="20">
        <v>0</v>
      </c>
    </row>
    <row r="60" spans="2:120">
      <c r="B60" s="20" cm="1">
        <f t="array" ref="B60">10000000+INDEX(编号表!$B$1:$B$112,MATCH(D60,编号表!$A$1:$A$112,0))*10000+I60</f>
        <v>10550006</v>
      </c>
      <c r="C60" s="20" t="s">
        <v>207</v>
      </c>
      <c r="D60" s="20" t="s">
        <v>208</v>
      </c>
      <c r="E60" s="20" t="s">
        <v>192</v>
      </c>
      <c r="F60" s="20" t="s">
        <v>208</v>
      </c>
      <c r="G60" s="20">
        <v>1</v>
      </c>
      <c r="H60" s="20" t="b">
        <v>0</v>
      </c>
      <c r="I60" s="20">
        <v>6</v>
      </c>
      <c r="J60" s="20" t="str">
        <f t="shared" si="18"/>
        <v>105500</v>
      </c>
      <c r="K60" s="20" t="s">
        <v>177</v>
      </c>
      <c r="L60" s="20">
        <f t="shared" si="20"/>
        <v>10550005</v>
      </c>
      <c r="M60" s="20">
        <f t="shared" si="19"/>
        <v>10550007</v>
      </c>
      <c r="N60" s="20" t="s">
        <v>209</v>
      </c>
      <c r="O60" s="20">
        <v>0</v>
      </c>
      <c r="P60" s="20">
        <v>0</v>
      </c>
      <c r="Q60" s="20">
        <v>0</v>
      </c>
      <c r="R60" s="20">
        <v>1</v>
      </c>
      <c r="T60" s="20">
        <v>100</v>
      </c>
      <c r="AO60" s="20" t="s">
        <v>194</v>
      </c>
      <c r="AP60" s="20">
        <v>0</v>
      </c>
      <c r="CV60" s="20">
        <v>0</v>
      </c>
      <c r="CW60" s="20">
        <v>0</v>
      </c>
      <c r="CX60" s="20" t="s">
        <v>194</v>
      </c>
      <c r="CY60" s="20">
        <v>0</v>
      </c>
      <c r="DB60" s="20">
        <v>0</v>
      </c>
      <c r="DD60" s="20">
        <v>0</v>
      </c>
      <c r="DE60" s="20">
        <v>0</v>
      </c>
      <c r="DF60" s="20">
        <v>0</v>
      </c>
      <c r="DG60" s="20">
        <v>0</v>
      </c>
      <c r="DH60" s="20">
        <v>0</v>
      </c>
      <c r="DI60" s="20" t="b">
        <v>0</v>
      </c>
      <c r="DK60" s="20">
        <v>0</v>
      </c>
      <c r="DM60" s="20" t="s">
        <v>187</v>
      </c>
      <c r="DN60" s="20">
        <v>0</v>
      </c>
      <c r="DO60" s="20">
        <v>0</v>
      </c>
      <c r="DP60" s="20">
        <v>0</v>
      </c>
    </row>
    <row r="61" spans="2:120">
      <c r="B61" s="20" cm="1">
        <f t="array" ref="B61">10000000+INDEX(编号表!$B$1:$B$112,MATCH(D61,编号表!$A$1:$A$112,0))*10000+I61</f>
        <v>10550007</v>
      </c>
      <c r="C61" s="20" t="s">
        <v>207</v>
      </c>
      <c r="D61" s="20" t="s">
        <v>208</v>
      </c>
      <c r="E61" s="20" t="s">
        <v>192</v>
      </c>
      <c r="F61" s="20" t="s">
        <v>208</v>
      </c>
      <c r="G61" s="20">
        <v>1</v>
      </c>
      <c r="H61" s="20" t="b">
        <v>0</v>
      </c>
      <c r="I61" s="20">
        <v>7</v>
      </c>
      <c r="J61" s="20" t="str">
        <f t="shared" si="18"/>
        <v>105500</v>
      </c>
      <c r="K61" s="20" t="s">
        <v>177</v>
      </c>
      <c r="L61" s="20">
        <f t="shared" si="20"/>
        <v>10550006</v>
      </c>
      <c r="M61" s="20">
        <f t="shared" si="19"/>
        <v>10550008</v>
      </c>
      <c r="N61" s="20" t="s">
        <v>209</v>
      </c>
      <c r="O61" s="20">
        <v>0</v>
      </c>
      <c r="P61" s="20">
        <v>0</v>
      </c>
      <c r="Q61" s="20">
        <v>0</v>
      </c>
      <c r="R61" s="20">
        <v>1</v>
      </c>
      <c r="T61" s="20">
        <v>100</v>
      </c>
      <c r="AO61" s="20" t="s">
        <v>194</v>
      </c>
      <c r="AP61" s="20">
        <v>0</v>
      </c>
      <c r="CV61" s="20">
        <v>0</v>
      </c>
      <c r="CW61" s="20">
        <v>0</v>
      </c>
      <c r="CX61" s="20" t="s">
        <v>194</v>
      </c>
      <c r="CY61" s="20">
        <v>0</v>
      </c>
      <c r="DB61" s="20">
        <v>0</v>
      </c>
      <c r="DD61" s="20">
        <v>0</v>
      </c>
      <c r="DE61" s="20">
        <v>0</v>
      </c>
      <c r="DF61" s="20">
        <v>0</v>
      </c>
      <c r="DG61" s="20">
        <v>0</v>
      </c>
      <c r="DH61" s="20">
        <v>0</v>
      </c>
      <c r="DI61" s="20" t="b">
        <v>0</v>
      </c>
      <c r="DK61" s="20">
        <v>0</v>
      </c>
      <c r="DM61" s="20" t="s">
        <v>187</v>
      </c>
      <c r="DN61" s="20">
        <v>0</v>
      </c>
      <c r="DO61" s="20">
        <v>0</v>
      </c>
      <c r="DP61" s="20">
        <v>0</v>
      </c>
    </row>
    <row r="62" spans="2:120">
      <c r="B62" s="20" cm="1">
        <f t="array" ref="B62">10000000+INDEX(编号表!$B$1:$B$112,MATCH(D62,编号表!$A$1:$A$112,0))*10000+I62</f>
        <v>10550008</v>
      </c>
      <c r="C62" s="20" t="s">
        <v>207</v>
      </c>
      <c r="D62" s="20" t="s">
        <v>208</v>
      </c>
      <c r="E62" s="20" t="s">
        <v>192</v>
      </c>
      <c r="F62" s="20" t="s">
        <v>208</v>
      </c>
      <c r="G62" s="20">
        <v>1</v>
      </c>
      <c r="H62" s="20" t="b">
        <v>0</v>
      </c>
      <c r="I62" s="20">
        <v>8</v>
      </c>
      <c r="J62" s="20" t="str">
        <f t="shared" si="18"/>
        <v>105500</v>
      </c>
      <c r="K62" s="20" t="s">
        <v>177</v>
      </c>
      <c r="L62" s="20">
        <f t="shared" si="20"/>
        <v>10550007</v>
      </c>
      <c r="N62" s="20" t="s">
        <v>209</v>
      </c>
      <c r="O62" s="20">
        <v>0</v>
      </c>
      <c r="P62" s="20">
        <v>0</v>
      </c>
      <c r="Q62" s="20">
        <v>0</v>
      </c>
      <c r="R62" s="20">
        <v>1</v>
      </c>
      <c r="T62" s="20">
        <v>100</v>
      </c>
      <c r="AO62" s="20" t="s">
        <v>194</v>
      </c>
      <c r="AP62" s="20">
        <v>0</v>
      </c>
      <c r="CV62" s="20">
        <v>0</v>
      </c>
      <c r="CW62" s="20">
        <v>0</v>
      </c>
      <c r="CX62" s="20" t="s">
        <v>194</v>
      </c>
      <c r="CY62" s="20">
        <v>0</v>
      </c>
      <c r="DB62" s="20">
        <v>0</v>
      </c>
      <c r="DD62" s="20">
        <v>0</v>
      </c>
      <c r="DE62" s="20">
        <v>0</v>
      </c>
      <c r="DF62" s="20">
        <v>0</v>
      </c>
      <c r="DG62" s="20">
        <v>0</v>
      </c>
      <c r="DH62" s="20">
        <v>0</v>
      </c>
      <c r="DI62" s="20" t="b">
        <v>0</v>
      </c>
      <c r="DK62" s="20">
        <v>0</v>
      </c>
      <c r="DM62" s="20" t="s">
        <v>187</v>
      </c>
      <c r="DN62" s="20">
        <v>0</v>
      </c>
      <c r="DO62" s="20">
        <v>0</v>
      </c>
      <c r="DP62" s="20">
        <v>0</v>
      </c>
    </row>
    <row r="63" spans="2:120">
      <c r="B63" s="20" cm="1">
        <f t="array" ref="B63">10000000+INDEX(编号表!$B$1:$B$112,MATCH(D63,编号表!$A$1:$A$112,0))*10000+I63</f>
        <v>10560001</v>
      </c>
      <c r="C63" s="20" t="s">
        <v>210</v>
      </c>
      <c r="D63" s="20" t="s">
        <v>211</v>
      </c>
      <c r="E63" s="20" t="s">
        <v>192</v>
      </c>
      <c r="F63" s="20" t="s">
        <v>211</v>
      </c>
      <c r="G63" s="20">
        <v>1</v>
      </c>
      <c r="H63" s="20" t="b">
        <v>0</v>
      </c>
      <c r="I63" s="20">
        <v>1</v>
      </c>
      <c r="J63" s="20" t="str">
        <f t="shared" ref="J63:J70" si="21">LEFT(B63,6)</f>
        <v>105600</v>
      </c>
      <c r="K63" s="20" t="s">
        <v>177</v>
      </c>
      <c r="M63" s="20">
        <f t="shared" ref="M63:M69" si="22">B64</f>
        <v>10560002</v>
      </c>
      <c r="N63" s="20" t="s">
        <v>212</v>
      </c>
      <c r="O63" s="20">
        <v>0</v>
      </c>
      <c r="P63" s="20">
        <v>0</v>
      </c>
      <c r="Q63" s="20">
        <v>0</v>
      </c>
      <c r="R63" s="20">
        <v>1</v>
      </c>
      <c r="T63" s="20">
        <v>100</v>
      </c>
      <c r="AO63" s="20" t="s">
        <v>194</v>
      </c>
      <c r="AP63" s="20">
        <v>0</v>
      </c>
      <c r="CV63" s="20">
        <v>0</v>
      </c>
      <c r="CW63" s="20">
        <v>0</v>
      </c>
      <c r="CX63" s="20" t="s">
        <v>194</v>
      </c>
      <c r="CY63" s="20">
        <v>0</v>
      </c>
      <c r="DB63" s="20">
        <v>0</v>
      </c>
      <c r="DD63" s="20">
        <v>0</v>
      </c>
      <c r="DE63" s="20">
        <v>0</v>
      </c>
      <c r="DF63" s="20">
        <v>0</v>
      </c>
      <c r="DG63" s="20">
        <v>0</v>
      </c>
      <c r="DH63" s="20">
        <v>0</v>
      </c>
      <c r="DI63" s="20" t="b">
        <v>0</v>
      </c>
      <c r="DK63" s="20">
        <v>0</v>
      </c>
      <c r="DM63" s="20" t="s">
        <v>187</v>
      </c>
      <c r="DN63" s="20">
        <v>0</v>
      </c>
      <c r="DO63" s="20">
        <v>0</v>
      </c>
      <c r="DP63" s="20">
        <v>0</v>
      </c>
    </row>
    <row r="64" spans="2:120">
      <c r="B64" s="20" cm="1">
        <f t="array" ref="B64">10000000+INDEX(编号表!$B$1:$B$112,MATCH(D64,编号表!$A$1:$A$112,0))*10000+I64</f>
        <v>10560002</v>
      </c>
      <c r="C64" s="20" t="s">
        <v>210</v>
      </c>
      <c r="D64" s="20" t="s">
        <v>211</v>
      </c>
      <c r="E64" s="20" t="s">
        <v>192</v>
      </c>
      <c r="F64" s="20" t="s">
        <v>211</v>
      </c>
      <c r="G64" s="20">
        <v>1</v>
      </c>
      <c r="H64" s="20" t="b">
        <v>0</v>
      </c>
      <c r="I64" s="20">
        <v>2</v>
      </c>
      <c r="J64" s="20" t="str">
        <f t="shared" si="21"/>
        <v>105600</v>
      </c>
      <c r="K64" s="20" t="s">
        <v>177</v>
      </c>
      <c r="L64" s="20">
        <f t="shared" ref="L64:L70" si="23">B63</f>
        <v>10560001</v>
      </c>
      <c r="M64" s="20">
        <f t="shared" si="22"/>
        <v>10560003</v>
      </c>
      <c r="N64" s="20" t="s">
        <v>212</v>
      </c>
      <c r="O64" s="20">
        <v>0</v>
      </c>
      <c r="P64" s="20">
        <v>0</v>
      </c>
      <c r="Q64" s="20">
        <v>0</v>
      </c>
      <c r="R64" s="20">
        <v>1</v>
      </c>
      <c r="T64" s="20">
        <v>100</v>
      </c>
      <c r="AO64" s="20" t="s">
        <v>194</v>
      </c>
      <c r="AP64" s="20">
        <v>0</v>
      </c>
      <c r="CV64" s="20">
        <v>0</v>
      </c>
      <c r="CW64" s="20">
        <v>0</v>
      </c>
      <c r="CX64" s="20" t="s">
        <v>194</v>
      </c>
      <c r="CY64" s="20">
        <v>0</v>
      </c>
      <c r="DB64" s="20">
        <v>0</v>
      </c>
      <c r="DD64" s="20">
        <v>0</v>
      </c>
      <c r="DE64" s="20">
        <v>0</v>
      </c>
      <c r="DF64" s="20">
        <v>0</v>
      </c>
      <c r="DG64" s="20">
        <v>0</v>
      </c>
      <c r="DH64" s="20">
        <v>0</v>
      </c>
      <c r="DI64" s="20" t="b">
        <v>0</v>
      </c>
      <c r="DK64" s="20">
        <v>0</v>
      </c>
      <c r="DM64" s="20" t="s">
        <v>187</v>
      </c>
      <c r="DN64" s="20">
        <v>0</v>
      </c>
      <c r="DO64" s="20">
        <v>0</v>
      </c>
      <c r="DP64" s="20">
        <v>0</v>
      </c>
    </row>
    <row r="65" spans="2:120">
      <c r="B65" s="20" cm="1">
        <f t="array" ref="B65">10000000+INDEX(编号表!$B$1:$B$112,MATCH(D65,编号表!$A$1:$A$112,0))*10000+I65</f>
        <v>10560003</v>
      </c>
      <c r="C65" s="20" t="s">
        <v>210</v>
      </c>
      <c r="D65" s="20" t="s">
        <v>211</v>
      </c>
      <c r="E65" s="20" t="s">
        <v>192</v>
      </c>
      <c r="F65" s="20" t="s">
        <v>211</v>
      </c>
      <c r="G65" s="20">
        <v>1</v>
      </c>
      <c r="H65" s="20" t="b">
        <v>0</v>
      </c>
      <c r="I65" s="20">
        <v>3</v>
      </c>
      <c r="J65" s="20" t="str">
        <f t="shared" si="21"/>
        <v>105600</v>
      </c>
      <c r="K65" s="20" t="s">
        <v>177</v>
      </c>
      <c r="L65" s="20">
        <f t="shared" si="23"/>
        <v>10560002</v>
      </c>
      <c r="M65" s="20">
        <f t="shared" si="22"/>
        <v>10560004</v>
      </c>
      <c r="N65" s="20" t="s">
        <v>212</v>
      </c>
      <c r="O65" s="20">
        <v>0</v>
      </c>
      <c r="P65" s="20">
        <v>0</v>
      </c>
      <c r="Q65" s="20">
        <v>0</v>
      </c>
      <c r="R65" s="20">
        <v>1</v>
      </c>
      <c r="T65" s="20">
        <v>100</v>
      </c>
      <c r="AO65" s="20" t="s">
        <v>194</v>
      </c>
      <c r="AP65" s="20">
        <v>0</v>
      </c>
      <c r="CV65" s="20">
        <v>0</v>
      </c>
      <c r="CW65" s="20">
        <v>0</v>
      </c>
      <c r="CX65" s="20" t="s">
        <v>194</v>
      </c>
      <c r="CY65" s="20">
        <v>0</v>
      </c>
      <c r="DB65" s="20">
        <v>0</v>
      </c>
      <c r="DD65" s="20">
        <v>0</v>
      </c>
      <c r="DE65" s="20">
        <v>0</v>
      </c>
      <c r="DF65" s="20">
        <v>0</v>
      </c>
      <c r="DG65" s="20">
        <v>0</v>
      </c>
      <c r="DH65" s="20">
        <v>0</v>
      </c>
      <c r="DI65" s="20" t="b">
        <v>0</v>
      </c>
      <c r="DK65" s="20">
        <v>0</v>
      </c>
      <c r="DM65" s="20" t="s">
        <v>187</v>
      </c>
      <c r="DN65" s="20">
        <v>0</v>
      </c>
      <c r="DO65" s="20">
        <v>0</v>
      </c>
      <c r="DP65" s="20">
        <v>0</v>
      </c>
    </row>
    <row r="66" spans="2:120">
      <c r="B66" s="20" cm="1">
        <f t="array" ref="B66">10000000+INDEX(编号表!$B$1:$B$112,MATCH(D66,编号表!$A$1:$A$112,0))*10000+I66</f>
        <v>10560004</v>
      </c>
      <c r="C66" s="20" t="s">
        <v>210</v>
      </c>
      <c r="D66" s="20" t="s">
        <v>211</v>
      </c>
      <c r="E66" s="20" t="s">
        <v>192</v>
      </c>
      <c r="F66" s="20" t="s">
        <v>211</v>
      </c>
      <c r="G66" s="20">
        <v>1</v>
      </c>
      <c r="H66" s="20" t="b">
        <v>0</v>
      </c>
      <c r="I66" s="20">
        <v>4</v>
      </c>
      <c r="J66" s="20" t="str">
        <f t="shared" si="21"/>
        <v>105600</v>
      </c>
      <c r="K66" s="20" t="s">
        <v>177</v>
      </c>
      <c r="L66" s="20">
        <f t="shared" si="23"/>
        <v>10560003</v>
      </c>
      <c r="M66" s="20">
        <f t="shared" si="22"/>
        <v>10560005</v>
      </c>
      <c r="N66" s="20" t="s">
        <v>212</v>
      </c>
      <c r="O66" s="20">
        <v>0</v>
      </c>
      <c r="P66" s="20">
        <v>0</v>
      </c>
      <c r="Q66" s="20">
        <v>0</v>
      </c>
      <c r="R66" s="20">
        <v>1</v>
      </c>
      <c r="T66" s="20">
        <v>100</v>
      </c>
      <c r="AO66" s="20" t="s">
        <v>194</v>
      </c>
      <c r="AP66" s="20">
        <v>0</v>
      </c>
      <c r="CV66" s="20">
        <v>0</v>
      </c>
      <c r="CW66" s="20">
        <v>0</v>
      </c>
      <c r="CX66" s="20" t="s">
        <v>194</v>
      </c>
      <c r="CY66" s="20">
        <v>0</v>
      </c>
      <c r="DB66" s="20">
        <v>0</v>
      </c>
      <c r="DD66" s="20">
        <v>0</v>
      </c>
      <c r="DE66" s="20">
        <v>0</v>
      </c>
      <c r="DF66" s="20">
        <v>0</v>
      </c>
      <c r="DG66" s="20">
        <v>0</v>
      </c>
      <c r="DH66" s="20">
        <v>0</v>
      </c>
      <c r="DI66" s="20" t="b">
        <v>0</v>
      </c>
      <c r="DK66" s="20">
        <v>0</v>
      </c>
      <c r="DM66" s="20" t="s">
        <v>187</v>
      </c>
      <c r="DN66" s="20">
        <v>0</v>
      </c>
      <c r="DO66" s="20">
        <v>0</v>
      </c>
      <c r="DP66" s="20">
        <v>0</v>
      </c>
    </row>
    <row r="67" spans="2:120">
      <c r="B67" s="20" cm="1">
        <f t="array" ref="B67">10000000+INDEX(编号表!$B$1:$B$112,MATCH(D67,编号表!$A$1:$A$112,0))*10000+I67</f>
        <v>10560005</v>
      </c>
      <c r="C67" s="20" t="s">
        <v>210</v>
      </c>
      <c r="D67" s="20" t="s">
        <v>211</v>
      </c>
      <c r="E67" s="20" t="s">
        <v>192</v>
      </c>
      <c r="F67" s="20" t="s">
        <v>211</v>
      </c>
      <c r="G67" s="20">
        <v>1</v>
      </c>
      <c r="H67" s="20" t="b">
        <v>0</v>
      </c>
      <c r="I67" s="20">
        <v>5</v>
      </c>
      <c r="J67" s="20" t="str">
        <f t="shared" si="21"/>
        <v>105600</v>
      </c>
      <c r="K67" s="20" t="s">
        <v>177</v>
      </c>
      <c r="L67" s="20">
        <f t="shared" si="23"/>
        <v>10560004</v>
      </c>
      <c r="M67" s="20">
        <f t="shared" si="22"/>
        <v>10560006</v>
      </c>
      <c r="N67" s="20" t="s">
        <v>212</v>
      </c>
      <c r="O67" s="20">
        <v>0</v>
      </c>
      <c r="P67" s="20">
        <v>0</v>
      </c>
      <c r="Q67" s="20">
        <v>0</v>
      </c>
      <c r="R67" s="20">
        <v>1</v>
      </c>
      <c r="T67" s="20">
        <v>100</v>
      </c>
      <c r="AO67" s="20" t="s">
        <v>194</v>
      </c>
      <c r="AP67" s="20">
        <v>0</v>
      </c>
      <c r="CV67" s="20">
        <v>0</v>
      </c>
      <c r="CW67" s="20">
        <v>0</v>
      </c>
      <c r="CX67" s="20" t="s">
        <v>194</v>
      </c>
      <c r="CY67" s="20">
        <v>0</v>
      </c>
      <c r="DB67" s="20">
        <v>0</v>
      </c>
      <c r="DD67" s="20">
        <v>0</v>
      </c>
      <c r="DE67" s="20">
        <v>0</v>
      </c>
      <c r="DF67" s="20">
        <v>0</v>
      </c>
      <c r="DG67" s="20">
        <v>0</v>
      </c>
      <c r="DH67" s="20">
        <v>0</v>
      </c>
      <c r="DI67" s="20" t="b">
        <v>0</v>
      </c>
      <c r="DK67" s="20">
        <v>0</v>
      </c>
      <c r="DM67" s="20" t="s">
        <v>187</v>
      </c>
      <c r="DN67" s="20">
        <v>0</v>
      </c>
      <c r="DO67" s="20">
        <v>0</v>
      </c>
      <c r="DP67" s="20">
        <v>0</v>
      </c>
    </row>
    <row r="68" spans="2:120">
      <c r="B68" s="20" cm="1">
        <f t="array" ref="B68">10000000+INDEX(编号表!$B$1:$B$112,MATCH(D68,编号表!$A$1:$A$112,0))*10000+I68</f>
        <v>10560006</v>
      </c>
      <c r="C68" s="20" t="s">
        <v>210</v>
      </c>
      <c r="D68" s="20" t="s">
        <v>211</v>
      </c>
      <c r="E68" s="20" t="s">
        <v>192</v>
      </c>
      <c r="F68" s="20" t="s">
        <v>211</v>
      </c>
      <c r="G68" s="20">
        <v>1</v>
      </c>
      <c r="H68" s="20" t="b">
        <v>0</v>
      </c>
      <c r="I68" s="20">
        <v>6</v>
      </c>
      <c r="J68" s="20" t="str">
        <f t="shared" si="21"/>
        <v>105600</v>
      </c>
      <c r="K68" s="20" t="s">
        <v>177</v>
      </c>
      <c r="L68" s="20">
        <f t="shared" si="23"/>
        <v>10560005</v>
      </c>
      <c r="M68" s="20">
        <f t="shared" si="22"/>
        <v>10560007</v>
      </c>
      <c r="N68" s="20" t="s">
        <v>212</v>
      </c>
      <c r="O68" s="20">
        <v>0</v>
      </c>
      <c r="P68" s="20">
        <v>0</v>
      </c>
      <c r="Q68" s="20">
        <v>0</v>
      </c>
      <c r="R68" s="20">
        <v>1</v>
      </c>
      <c r="T68" s="20">
        <v>100</v>
      </c>
      <c r="AO68" s="20" t="s">
        <v>194</v>
      </c>
      <c r="AP68" s="20">
        <v>0</v>
      </c>
      <c r="CV68" s="20">
        <v>0</v>
      </c>
      <c r="CW68" s="20">
        <v>0</v>
      </c>
      <c r="CX68" s="20" t="s">
        <v>194</v>
      </c>
      <c r="CY68" s="20">
        <v>0</v>
      </c>
      <c r="DB68" s="20">
        <v>0</v>
      </c>
      <c r="DD68" s="20">
        <v>0</v>
      </c>
      <c r="DE68" s="20">
        <v>0</v>
      </c>
      <c r="DF68" s="20">
        <v>0</v>
      </c>
      <c r="DG68" s="20">
        <v>0</v>
      </c>
      <c r="DH68" s="20">
        <v>0</v>
      </c>
      <c r="DI68" s="20" t="b">
        <v>0</v>
      </c>
      <c r="DK68" s="20">
        <v>0</v>
      </c>
      <c r="DM68" s="20" t="s">
        <v>187</v>
      </c>
      <c r="DN68" s="20">
        <v>0</v>
      </c>
      <c r="DO68" s="20">
        <v>0</v>
      </c>
      <c r="DP68" s="20">
        <v>0</v>
      </c>
    </row>
    <row r="69" spans="2:120">
      <c r="B69" s="20" cm="1">
        <f t="array" ref="B69">10000000+INDEX(编号表!$B$1:$B$112,MATCH(D69,编号表!$A$1:$A$112,0))*10000+I69</f>
        <v>10560007</v>
      </c>
      <c r="C69" s="20" t="s">
        <v>210</v>
      </c>
      <c r="D69" s="20" t="s">
        <v>211</v>
      </c>
      <c r="E69" s="20" t="s">
        <v>192</v>
      </c>
      <c r="F69" s="20" t="s">
        <v>211</v>
      </c>
      <c r="G69" s="20">
        <v>1</v>
      </c>
      <c r="H69" s="20" t="b">
        <v>0</v>
      </c>
      <c r="I69" s="20">
        <v>7</v>
      </c>
      <c r="J69" s="20" t="str">
        <f t="shared" si="21"/>
        <v>105600</v>
      </c>
      <c r="K69" s="20" t="s">
        <v>177</v>
      </c>
      <c r="L69" s="20">
        <f t="shared" si="23"/>
        <v>10560006</v>
      </c>
      <c r="M69" s="20">
        <f t="shared" si="22"/>
        <v>10560008</v>
      </c>
      <c r="N69" s="20" t="s">
        <v>212</v>
      </c>
      <c r="O69" s="20">
        <v>0</v>
      </c>
      <c r="P69" s="20">
        <v>0</v>
      </c>
      <c r="Q69" s="20">
        <v>0</v>
      </c>
      <c r="R69" s="20">
        <v>1</v>
      </c>
      <c r="T69" s="20">
        <v>100</v>
      </c>
      <c r="AO69" s="20" t="s">
        <v>194</v>
      </c>
      <c r="AP69" s="20">
        <v>0</v>
      </c>
      <c r="CV69" s="20">
        <v>0</v>
      </c>
      <c r="CW69" s="20">
        <v>0</v>
      </c>
      <c r="CX69" s="20" t="s">
        <v>194</v>
      </c>
      <c r="CY69" s="20">
        <v>0</v>
      </c>
      <c r="DB69" s="20">
        <v>0</v>
      </c>
      <c r="DD69" s="20">
        <v>0</v>
      </c>
      <c r="DE69" s="20">
        <v>0</v>
      </c>
      <c r="DF69" s="20">
        <v>0</v>
      </c>
      <c r="DG69" s="20">
        <v>0</v>
      </c>
      <c r="DH69" s="20">
        <v>0</v>
      </c>
      <c r="DI69" s="20" t="b">
        <v>0</v>
      </c>
      <c r="DK69" s="20">
        <v>0</v>
      </c>
      <c r="DM69" s="20" t="s">
        <v>187</v>
      </c>
      <c r="DN69" s="20">
        <v>0</v>
      </c>
      <c r="DO69" s="20">
        <v>0</v>
      </c>
      <c r="DP69" s="20">
        <v>0</v>
      </c>
    </row>
    <row r="70" spans="2:120">
      <c r="B70" s="20" cm="1">
        <f t="array" ref="B70">10000000+INDEX(编号表!$B$1:$B$112,MATCH(D70,编号表!$A$1:$A$112,0))*10000+I70</f>
        <v>10560008</v>
      </c>
      <c r="C70" s="20" t="s">
        <v>210</v>
      </c>
      <c r="D70" s="20" t="s">
        <v>211</v>
      </c>
      <c r="E70" s="20" t="s">
        <v>192</v>
      </c>
      <c r="F70" s="20" t="s">
        <v>211</v>
      </c>
      <c r="G70" s="20">
        <v>1</v>
      </c>
      <c r="H70" s="20" t="b">
        <v>0</v>
      </c>
      <c r="I70" s="20">
        <v>8</v>
      </c>
      <c r="J70" s="20" t="str">
        <f t="shared" si="21"/>
        <v>105600</v>
      </c>
      <c r="K70" s="20" t="s">
        <v>177</v>
      </c>
      <c r="L70" s="20">
        <f t="shared" si="23"/>
        <v>10560007</v>
      </c>
      <c r="N70" s="20" t="s">
        <v>212</v>
      </c>
      <c r="O70" s="20">
        <v>0</v>
      </c>
      <c r="P70" s="20">
        <v>0</v>
      </c>
      <c r="Q70" s="20">
        <v>0</v>
      </c>
      <c r="R70" s="20">
        <v>1</v>
      </c>
      <c r="T70" s="20">
        <v>100</v>
      </c>
      <c r="AO70" s="20" t="s">
        <v>194</v>
      </c>
      <c r="AP70" s="20">
        <v>0</v>
      </c>
      <c r="CV70" s="20">
        <v>0</v>
      </c>
      <c r="CW70" s="20">
        <v>0</v>
      </c>
      <c r="CX70" s="20" t="s">
        <v>194</v>
      </c>
      <c r="CY70" s="20">
        <v>0</v>
      </c>
      <c r="DB70" s="20">
        <v>0</v>
      </c>
      <c r="DD70" s="20">
        <v>0</v>
      </c>
      <c r="DE70" s="20">
        <v>0</v>
      </c>
      <c r="DF70" s="20">
        <v>0</v>
      </c>
      <c r="DG70" s="20">
        <v>0</v>
      </c>
      <c r="DH70" s="20">
        <v>0</v>
      </c>
      <c r="DI70" s="20" t="b">
        <v>0</v>
      </c>
      <c r="DK70" s="20">
        <v>0</v>
      </c>
      <c r="DM70" s="20" t="s">
        <v>187</v>
      </c>
      <c r="DN70" s="20">
        <v>0</v>
      </c>
      <c r="DO70" s="20">
        <v>0</v>
      </c>
      <c r="DP70" s="20">
        <v>0</v>
      </c>
    </row>
    <row r="71" spans="2:120">
      <c r="B71" s="20" cm="1">
        <f t="array" ref="B71">10000000+INDEX(编号表!$B$1:$B$112,MATCH(D71,编号表!$A$1:$A$112,0))*10000+I71</f>
        <v>10570001</v>
      </c>
      <c r="C71" s="20" t="s">
        <v>213</v>
      </c>
      <c r="D71" s="20" t="s">
        <v>213</v>
      </c>
      <c r="E71" s="20" t="s">
        <v>214</v>
      </c>
      <c r="F71" s="20" t="s">
        <v>215</v>
      </c>
      <c r="G71" s="20">
        <v>1</v>
      </c>
      <c r="H71" s="20" t="b">
        <v>0</v>
      </c>
      <c r="I71" s="20">
        <v>1</v>
      </c>
      <c r="J71" s="20">
        <v>105700</v>
      </c>
      <c r="K71" s="20" t="s">
        <v>177</v>
      </c>
      <c r="M71" s="20">
        <v>10570002</v>
      </c>
      <c r="N71" s="20" t="s">
        <v>216</v>
      </c>
      <c r="O71" s="20">
        <v>0</v>
      </c>
      <c r="P71" s="20">
        <v>0</v>
      </c>
      <c r="Q71" s="20">
        <v>0</v>
      </c>
      <c r="R71" s="20">
        <v>1</v>
      </c>
      <c r="T71" s="20">
        <v>100</v>
      </c>
      <c r="AO71" s="20" t="s">
        <v>194</v>
      </c>
      <c r="AP71" s="20">
        <v>0</v>
      </c>
      <c r="CV71" s="20">
        <v>0</v>
      </c>
      <c r="CW71" s="20">
        <v>0</v>
      </c>
      <c r="CX71" s="20" t="s">
        <v>194</v>
      </c>
      <c r="CY71" s="20">
        <v>0</v>
      </c>
      <c r="DB71" s="20">
        <v>0</v>
      </c>
      <c r="DD71" s="20">
        <v>0</v>
      </c>
      <c r="DE71" s="20">
        <v>0</v>
      </c>
      <c r="DF71" s="20">
        <v>0</v>
      </c>
      <c r="DG71" s="20">
        <v>0</v>
      </c>
      <c r="DH71" s="20">
        <v>0</v>
      </c>
      <c r="DI71" s="20" t="b">
        <v>0</v>
      </c>
      <c r="DK71" s="20">
        <v>0</v>
      </c>
      <c r="DM71" s="20" t="s">
        <v>187</v>
      </c>
      <c r="DN71" s="20">
        <v>0</v>
      </c>
      <c r="DO71" s="20">
        <v>0</v>
      </c>
      <c r="DP71" s="20">
        <v>0</v>
      </c>
    </row>
    <row r="72" spans="2:120">
      <c r="B72" s="20" cm="1">
        <f t="array" ref="B72">10000000+INDEX(编号表!$B$1:$B$112,MATCH(D72,编号表!$A$1:$A$112,0))*10000+I72</f>
        <v>10570002</v>
      </c>
      <c r="C72" s="20" t="s">
        <v>213</v>
      </c>
      <c r="D72" s="20" t="s">
        <v>213</v>
      </c>
      <c r="E72" s="20" t="s">
        <v>214</v>
      </c>
      <c r="F72" s="20" t="s">
        <v>215</v>
      </c>
      <c r="G72" s="20">
        <v>1</v>
      </c>
      <c r="H72" s="20" t="b">
        <v>0</v>
      </c>
      <c r="I72" s="20">
        <v>2</v>
      </c>
      <c r="J72" s="20">
        <v>105700</v>
      </c>
      <c r="K72" s="20" t="s">
        <v>177</v>
      </c>
      <c r="L72" s="20">
        <v>10570001</v>
      </c>
      <c r="M72" s="20">
        <v>10570003</v>
      </c>
      <c r="N72" s="20" t="s">
        <v>216</v>
      </c>
      <c r="O72" s="20">
        <v>0</v>
      </c>
      <c r="P72" s="20">
        <v>0</v>
      </c>
      <c r="Q72" s="20">
        <v>0</v>
      </c>
      <c r="R72" s="20">
        <v>1</v>
      </c>
      <c r="T72" s="20">
        <v>100</v>
      </c>
      <c r="AO72" s="20" t="s">
        <v>194</v>
      </c>
      <c r="AP72" s="20">
        <v>0</v>
      </c>
      <c r="CV72" s="20">
        <v>0</v>
      </c>
      <c r="CW72" s="20">
        <v>0</v>
      </c>
      <c r="CX72" s="20" t="s">
        <v>194</v>
      </c>
      <c r="CY72" s="20">
        <v>0</v>
      </c>
      <c r="DB72" s="20">
        <v>0</v>
      </c>
      <c r="DD72" s="20">
        <v>0</v>
      </c>
      <c r="DE72" s="20">
        <v>0</v>
      </c>
      <c r="DF72" s="20">
        <v>0</v>
      </c>
      <c r="DG72" s="20">
        <v>0</v>
      </c>
      <c r="DH72" s="20">
        <v>0</v>
      </c>
      <c r="DI72" s="20" t="b">
        <v>0</v>
      </c>
      <c r="DK72" s="20">
        <v>0</v>
      </c>
      <c r="DM72" s="20" t="s">
        <v>187</v>
      </c>
      <c r="DN72" s="20">
        <v>0</v>
      </c>
      <c r="DO72" s="20">
        <v>0</v>
      </c>
      <c r="DP72" s="20">
        <v>0</v>
      </c>
    </row>
    <row r="73" spans="2:120">
      <c r="B73" s="20" cm="1">
        <f t="array" ref="B73">10000000+INDEX(编号表!$B$1:$B$112,MATCH(D73,编号表!$A$1:$A$112,0))*10000+I73</f>
        <v>10570003</v>
      </c>
      <c r="C73" s="20" t="s">
        <v>213</v>
      </c>
      <c r="D73" s="20" t="s">
        <v>213</v>
      </c>
      <c r="E73" s="20" t="s">
        <v>214</v>
      </c>
      <c r="F73" s="20" t="s">
        <v>215</v>
      </c>
      <c r="G73" s="20">
        <v>1</v>
      </c>
      <c r="H73" s="20" t="b">
        <v>0</v>
      </c>
      <c r="I73" s="20">
        <v>3</v>
      </c>
      <c r="J73" s="20">
        <v>105700</v>
      </c>
      <c r="K73" s="20" t="s">
        <v>177</v>
      </c>
      <c r="L73" s="20">
        <v>10570002</v>
      </c>
      <c r="M73" s="20">
        <v>10570004</v>
      </c>
      <c r="N73" s="20" t="s">
        <v>216</v>
      </c>
      <c r="O73" s="20">
        <v>0</v>
      </c>
      <c r="P73" s="20">
        <v>0</v>
      </c>
      <c r="Q73" s="20">
        <v>0</v>
      </c>
      <c r="R73" s="20">
        <v>1</v>
      </c>
      <c r="T73" s="20">
        <v>100</v>
      </c>
      <c r="AO73" s="20" t="s">
        <v>194</v>
      </c>
      <c r="AP73" s="20">
        <v>0</v>
      </c>
      <c r="CV73" s="20">
        <v>0</v>
      </c>
      <c r="CW73" s="20">
        <v>0</v>
      </c>
      <c r="CX73" s="20" t="s">
        <v>194</v>
      </c>
      <c r="CY73" s="20">
        <v>0</v>
      </c>
      <c r="DB73" s="20">
        <v>0</v>
      </c>
      <c r="DD73" s="20">
        <v>0</v>
      </c>
      <c r="DE73" s="20">
        <v>0</v>
      </c>
      <c r="DF73" s="20">
        <v>0</v>
      </c>
      <c r="DG73" s="20">
        <v>0</v>
      </c>
      <c r="DH73" s="20">
        <v>0</v>
      </c>
      <c r="DI73" s="20" t="b">
        <v>0</v>
      </c>
      <c r="DK73" s="20">
        <v>0</v>
      </c>
      <c r="DM73" s="20" t="s">
        <v>187</v>
      </c>
      <c r="DN73" s="20">
        <v>0</v>
      </c>
      <c r="DO73" s="20">
        <v>0</v>
      </c>
      <c r="DP73" s="20">
        <v>0</v>
      </c>
    </row>
    <row r="74" spans="2:120">
      <c r="B74" s="20" cm="1">
        <f t="array" ref="B74">10000000+INDEX(编号表!$B$1:$B$112,MATCH(D74,编号表!$A$1:$A$112,0))*10000+I74</f>
        <v>10570004</v>
      </c>
      <c r="C74" s="20" t="s">
        <v>213</v>
      </c>
      <c r="D74" s="20" t="s">
        <v>213</v>
      </c>
      <c r="E74" s="20" t="s">
        <v>214</v>
      </c>
      <c r="F74" s="20" t="s">
        <v>215</v>
      </c>
      <c r="G74" s="20">
        <v>1</v>
      </c>
      <c r="H74" s="20" t="b">
        <v>0</v>
      </c>
      <c r="I74" s="20">
        <v>4</v>
      </c>
      <c r="J74" s="20">
        <v>105700</v>
      </c>
      <c r="K74" s="20" t="s">
        <v>177</v>
      </c>
      <c r="L74" s="20">
        <v>10570003</v>
      </c>
      <c r="M74" s="20">
        <v>10570005</v>
      </c>
      <c r="N74" s="20" t="s">
        <v>216</v>
      </c>
      <c r="O74" s="20">
        <v>0</v>
      </c>
      <c r="P74" s="20">
        <v>0</v>
      </c>
      <c r="Q74" s="20">
        <v>0</v>
      </c>
      <c r="R74" s="20">
        <v>1</v>
      </c>
      <c r="T74" s="20">
        <v>100</v>
      </c>
      <c r="AO74" s="20" t="s">
        <v>194</v>
      </c>
      <c r="AP74" s="20">
        <v>0</v>
      </c>
      <c r="CV74" s="20">
        <v>0</v>
      </c>
      <c r="CW74" s="20">
        <v>0</v>
      </c>
      <c r="CX74" s="20" t="s">
        <v>194</v>
      </c>
      <c r="CY74" s="20">
        <v>0</v>
      </c>
      <c r="DB74" s="20">
        <v>0</v>
      </c>
      <c r="DD74" s="20">
        <v>0</v>
      </c>
      <c r="DE74" s="20">
        <v>0</v>
      </c>
      <c r="DF74" s="20">
        <v>0</v>
      </c>
      <c r="DG74" s="20">
        <v>0</v>
      </c>
      <c r="DH74" s="20">
        <v>0</v>
      </c>
      <c r="DI74" s="20" t="b">
        <v>0</v>
      </c>
      <c r="DK74" s="20">
        <v>0</v>
      </c>
      <c r="DM74" s="20" t="s">
        <v>187</v>
      </c>
      <c r="DN74" s="20">
        <v>0</v>
      </c>
      <c r="DO74" s="20">
        <v>0</v>
      </c>
      <c r="DP74" s="20">
        <v>0</v>
      </c>
    </row>
    <row r="75" spans="2:120">
      <c r="B75" s="20" cm="1">
        <f t="array" ref="B75">10000000+INDEX(编号表!$B$1:$B$112,MATCH(D75,编号表!$A$1:$A$112,0))*10000+I75</f>
        <v>10570005</v>
      </c>
      <c r="C75" s="20" t="s">
        <v>213</v>
      </c>
      <c r="D75" s="20" t="s">
        <v>213</v>
      </c>
      <c r="E75" s="20" t="s">
        <v>214</v>
      </c>
      <c r="F75" s="20" t="s">
        <v>215</v>
      </c>
      <c r="G75" s="20">
        <v>1</v>
      </c>
      <c r="H75" s="20" t="b">
        <v>0</v>
      </c>
      <c r="I75" s="20">
        <v>5</v>
      </c>
      <c r="J75" s="20">
        <v>105700</v>
      </c>
      <c r="K75" s="20" t="s">
        <v>177</v>
      </c>
      <c r="L75" s="20">
        <v>10570004</v>
      </c>
      <c r="M75" s="20">
        <v>10570006</v>
      </c>
      <c r="N75" s="20" t="s">
        <v>216</v>
      </c>
      <c r="O75" s="20">
        <v>0</v>
      </c>
      <c r="P75" s="20">
        <v>0</v>
      </c>
      <c r="Q75" s="20">
        <v>0</v>
      </c>
      <c r="R75" s="20">
        <v>1</v>
      </c>
      <c r="T75" s="20">
        <v>100</v>
      </c>
      <c r="AO75" s="20" t="s">
        <v>194</v>
      </c>
      <c r="AP75" s="20">
        <v>0</v>
      </c>
      <c r="CV75" s="20">
        <v>0</v>
      </c>
      <c r="CW75" s="20">
        <v>0</v>
      </c>
      <c r="CX75" s="20" t="s">
        <v>194</v>
      </c>
      <c r="CY75" s="20">
        <v>0</v>
      </c>
      <c r="DB75" s="20">
        <v>0</v>
      </c>
      <c r="DD75" s="20">
        <v>0</v>
      </c>
      <c r="DE75" s="20">
        <v>0</v>
      </c>
      <c r="DF75" s="20">
        <v>0</v>
      </c>
      <c r="DG75" s="20">
        <v>0</v>
      </c>
      <c r="DH75" s="20">
        <v>0</v>
      </c>
      <c r="DI75" s="20" t="b">
        <v>0</v>
      </c>
      <c r="DK75" s="20">
        <v>0</v>
      </c>
      <c r="DM75" s="20" t="s">
        <v>187</v>
      </c>
      <c r="DN75" s="20">
        <v>0</v>
      </c>
      <c r="DO75" s="20">
        <v>0</v>
      </c>
      <c r="DP75" s="20">
        <v>0</v>
      </c>
    </row>
    <row r="76" spans="2:120">
      <c r="B76" s="20" cm="1">
        <f t="array" ref="B76">10000000+INDEX(编号表!$B$1:$B$112,MATCH(D76,编号表!$A$1:$A$112,0))*10000+I76</f>
        <v>10570006</v>
      </c>
      <c r="C76" s="20" t="s">
        <v>213</v>
      </c>
      <c r="D76" s="20" t="s">
        <v>213</v>
      </c>
      <c r="E76" s="20" t="s">
        <v>214</v>
      </c>
      <c r="F76" s="20" t="s">
        <v>215</v>
      </c>
      <c r="G76" s="20">
        <v>1</v>
      </c>
      <c r="H76" s="20" t="b">
        <v>0</v>
      </c>
      <c r="I76" s="20">
        <v>6</v>
      </c>
      <c r="J76" s="20">
        <v>105700</v>
      </c>
      <c r="K76" s="20" t="s">
        <v>177</v>
      </c>
      <c r="L76" s="20">
        <v>10570005</v>
      </c>
      <c r="M76" s="20">
        <v>10570007</v>
      </c>
      <c r="N76" s="20" t="s">
        <v>216</v>
      </c>
      <c r="O76" s="20">
        <v>0</v>
      </c>
      <c r="P76" s="20">
        <v>0</v>
      </c>
      <c r="Q76" s="20">
        <v>0</v>
      </c>
      <c r="R76" s="20">
        <v>1</v>
      </c>
      <c r="T76" s="20">
        <v>100</v>
      </c>
      <c r="AO76" s="20" t="s">
        <v>194</v>
      </c>
      <c r="AP76" s="20">
        <v>0</v>
      </c>
      <c r="CV76" s="20">
        <v>0</v>
      </c>
      <c r="CW76" s="20">
        <v>0</v>
      </c>
      <c r="CX76" s="20" t="s">
        <v>194</v>
      </c>
      <c r="CY76" s="20">
        <v>0</v>
      </c>
      <c r="DB76" s="20">
        <v>0</v>
      </c>
      <c r="DD76" s="20">
        <v>0</v>
      </c>
      <c r="DE76" s="20">
        <v>0</v>
      </c>
      <c r="DF76" s="20">
        <v>0</v>
      </c>
      <c r="DG76" s="20">
        <v>0</v>
      </c>
      <c r="DH76" s="20">
        <v>0</v>
      </c>
      <c r="DI76" s="20" t="b">
        <v>0</v>
      </c>
      <c r="DK76" s="20">
        <v>0</v>
      </c>
      <c r="DM76" s="20" t="s">
        <v>187</v>
      </c>
      <c r="DN76" s="20">
        <v>0</v>
      </c>
      <c r="DO76" s="20">
        <v>0</v>
      </c>
      <c r="DP76" s="20">
        <v>0</v>
      </c>
    </row>
    <row r="77" spans="2:120">
      <c r="B77" s="20" cm="1">
        <f t="array" ref="B77">10000000+INDEX(编号表!$B$1:$B$112,MATCH(D77,编号表!$A$1:$A$112,0))*10000+I77</f>
        <v>10570007</v>
      </c>
      <c r="C77" s="20" t="s">
        <v>213</v>
      </c>
      <c r="D77" s="20" t="s">
        <v>213</v>
      </c>
      <c r="E77" s="20" t="s">
        <v>214</v>
      </c>
      <c r="F77" s="20" t="s">
        <v>215</v>
      </c>
      <c r="G77" s="20">
        <v>1</v>
      </c>
      <c r="H77" s="20" t="b">
        <v>0</v>
      </c>
      <c r="I77" s="20">
        <v>7</v>
      </c>
      <c r="J77" s="20">
        <v>105700</v>
      </c>
      <c r="K77" s="20" t="s">
        <v>177</v>
      </c>
      <c r="L77" s="20">
        <v>10570006</v>
      </c>
      <c r="M77" s="20">
        <v>10570008</v>
      </c>
      <c r="N77" s="20" t="s">
        <v>216</v>
      </c>
      <c r="O77" s="20">
        <v>0</v>
      </c>
      <c r="P77" s="20">
        <v>0</v>
      </c>
      <c r="Q77" s="20">
        <v>0</v>
      </c>
      <c r="R77" s="20">
        <v>1</v>
      </c>
      <c r="T77" s="20">
        <v>100</v>
      </c>
      <c r="AO77" s="20" t="s">
        <v>194</v>
      </c>
      <c r="AP77" s="20">
        <v>0</v>
      </c>
      <c r="CV77" s="20">
        <v>0</v>
      </c>
      <c r="CW77" s="20">
        <v>0</v>
      </c>
      <c r="CX77" s="20" t="s">
        <v>194</v>
      </c>
      <c r="CY77" s="20">
        <v>0</v>
      </c>
      <c r="DB77" s="20">
        <v>0</v>
      </c>
      <c r="DD77" s="20">
        <v>0</v>
      </c>
      <c r="DE77" s="20">
        <v>0</v>
      </c>
      <c r="DF77" s="20">
        <v>0</v>
      </c>
      <c r="DG77" s="20">
        <v>0</v>
      </c>
      <c r="DH77" s="20">
        <v>0</v>
      </c>
      <c r="DI77" s="20" t="b">
        <v>0</v>
      </c>
      <c r="DK77" s="20">
        <v>0</v>
      </c>
      <c r="DM77" s="20" t="s">
        <v>187</v>
      </c>
      <c r="DN77" s="20">
        <v>0</v>
      </c>
      <c r="DO77" s="20">
        <v>0</v>
      </c>
      <c r="DP77" s="20">
        <v>0</v>
      </c>
    </row>
    <row r="78" spans="2:120">
      <c r="B78" s="20" cm="1">
        <f t="array" ref="B78">10000000+INDEX(编号表!$B$1:$B$112,MATCH(D78,编号表!$A$1:$A$112,0))*10000+I78</f>
        <v>10570008</v>
      </c>
      <c r="C78" s="20" t="s">
        <v>213</v>
      </c>
      <c r="D78" s="20" t="s">
        <v>213</v>
      </c>
      <c r="E78" s="20" t="s">
        <v>214</v>
      </c>
      <c r="F78" s="20" t="s">
        <v>215</v>
      </c>
      <c r="G78" s="20">
        <v>1</v>
      </c>
      <c r="H78" s="20" t="b">
        <v>0</v>
      </c>
      <c r="I78" s="20">
        <v>8</v>
      </c>
      <c r="J78" s="20">
        <v>105700</v>
      </c>
      <c r="K78" s="20" t="s">
        <v>177</v>
      </c>
      <c r="L78" s="20">
        <v>10570007</v>
      </c>
      <c r="M78" s="20">
        <v>10570009</v>
      </c>
      <c r="N78" s="20" t="s">
        <v>216</v>
      </c>
      <c r="O78" s="20">
        <v>0</v>
      </c>
      <c r="P78" s="20">
        <v>0</v>
      </c>
      <c r="Q78" s="20">
        <v>0</v>
      </c>
      <c r="R78" s="20">
        <v>1</v>
      </c>
      <c r="T78" s="20">
        <v>100</v>
      </c>
      <c r="AO78" s="20" t="s">
        <v>194</v>
      </c>
      <c r="AP78" s="20">
        <v>0</v>
      </c>
      <c r="CV78" s="20">
        <v>0</v>
      </c>
      <c r="CW78" s="20">
        <v>0</v>
      </c>
      <c r="CX78" s="20" t="s">
        <v>194</v>
      </c>
      <c r="CY78" s="20">
        <v>0</v>
      </c>
      <c r="DB78" s="20">
        <v>0</v>
      </c>
      <c r="DD78" s="20">
        <v>0</v>
      </c>
      <c r="DE78" s="20">
        <v>0</v>
      </c>
      <c r="DF78" s="20">
        <v>0</v>
      </c>
      <c r="DG78" s="20">
        <v>0</v>
      </c>
      <c r="DH78" s="20">
        <v>0</v>
      </c>
      <c r="DI78" s="20" t="b">
        <v>0</v>
      </c>
      <c r="DK78" s="20">
        <v>0</v>
      </c>
      <c r="DM78" s="20" t="s">
        <v>187</v>
      </c>
      <c r="DN78" s="20">
        <v>0</v>
      </c>
      <c r="DO78" s="20">
        <v>0</v>
      </c>
      <c r="DP78" s="20">
        <v>0</v>
      </c>
    </row>
    <row r="79" spans="2:120">
      <c r="B79" s="20" cm="1">
        <f t="array" ref="B79">10000000+INDEX(编号表!$B$1:$B$112,MATCH(D79,编号表!$A$1:$A$112,0))*10000+I79</f>
        <v>10570009</v>
      </c>
      <c r="C79" s="20" t="s">
        <v>213</v>
      </c>
      <c r="D79" s="20" t="s">
        <v>213</v>
      </c>
      <c r="E79" s="20" t="s">
        <v>214</v>
      </c>
      <c r="F79" s="20" t="s">
        <v>215</v>
      </c>
      <c r="G79" s="20">
        <v>1</v>
      </c>
      <c r="H79" s="20" t="b">
        <v>0</v>
      </c>
      <c r="I79" s="20">
        <v>9</v>
      </c>
      <c r="J79" s="20">
        <v>105700</v>
      </c>
      <c r="K79" s="20" t="s">
        <v>177</v>
      </c>
      <c r="L79" s="20">
        <v>10570008</v>
      </c>
      <c r="M79" s="20">
        <v>10570010</v>
      </c>
      <c r="N79" s="20" t="s">
        <v>216</v>
      </c>
      <c r="O79" s="20">
        <v>0</v>
      </c>
      <c r="P79" s="20">
        <v>0</v>
      </c>
      <c r="Q79" s="20">
        <v>0</v>
      </c>
      <c r="R79" s="20">
        <v>1</v>
      </c>
      <c r="T79" s="20">
        <v>100</v>
      </c>
      <c r="AO79" s="20" t="s">
        <v>194</v>
      </c>
      <c r="AP79" s="20">
        <v>0</v>
      </c>
      <c r="CV79" s="20">
        <v>0</v>
      </c>
      <c r="CW79" s="20">
        <v>0</v>
      </c>
      <c r="CX79" s="20" t="s">
        <v>194</v>
      </c>
      <c r="CY79" s="20">
        <v>0</v>
      </c>
      <c r="DB79" s="20">
        <v>0</v>
      </c>
      <c r="DD79" s="20">
        <v>0</v>
      </c>
      <c r="DE79" s="20">
        <v>0</v>
      </c>
      <c r="DF79" s="20">
        <v>0</v>
      </c>
      <c r="DG79" s="20">
        <v>0</v>
      </c>
      <c r="DH79" s="20">
        <v>0</v>
      </c>
      <c r="DI79" s="20" t="b">
        <v>0</v>
      </c>
      <c r="DK79" s="20">
        <v>0</v>
      </c>
      <c r="DM79" s="20" t="s">
        <v>187</v>
      </c>
      <c r="DN79" s="20">
        <v>0</v>
      </c>
      <c r="DO79" s="20">
        <v>0</v>
      </c>
      <c r="DP79" s="20">
        <v>0</v>
      </c>
    </row>
    <row r="80" spans="2:120">
      <c r="B80" s="20" cm="1">
        <f t="array" ref="B80">10000000+INDEX(编号表!$B$1:$B$112,MATCH(D80,编号表!$A$1:$A$112,0))*10000+I80</f>
        <v>10570010</v>
      </c>
      <c r="C80" s="20" t="s">
        <v>213</v>
      </c>
      <c r="D80" s="20" t="s">
        <v>213</v>
      </c>
      <c r="E80" s="20" t="s">
        <v>214</v>
      </c>
      <c r="F80" s="20" t="s">
        <v>215</v>
      </c>
      <c r="G80" s="20">
        <v>1</v>
      </c>
      <c r="H80" s="20" t="b">
        <v>0</v>
      </c>
      <c r="I80" s="20">
        <v>10</v>
      </c>
      <c r="J80" s="20">
        <v>105700</v>
      </c>
      <c r="K80" s="20" t="s">
        <v>177</v>
      </c>
      <c r="L80" s="20">
        <v>10570009</v>
      </c>
      <c r="N80" s="20" t="s">
        <v>216</v>
      </c>
      <c r="O80" s="20">
        <v>0</v>
      </c>
      <c r="P80" s="20">
        <v>0</v>
      </c>
      <c r="Q80" s="20">
        <v>0</v>
      </c>
      <c r="R80" s="20">
        <v>1</v>
      </c>
      <c r="T80" s="20">
        <v>100</v>
      </c>
      <c r="AO80" s="20" t="s">
        <v>194</v>
      </c>
      <c r="AP80" s="20">
        <v>0</v>
      </c>
      <c r="CV80" s="20">
        <v>0</v>
      </c>
      <c r="CW80" s="20">
        <v>0</v>
      </c>
      <c r="CX80" s="20" t="s">
        <v>194</v>
      </c>
      <c r="CY80" s="20">
        <v>0</v>
      </c>
      <c r="DB80" s="20">
        <v>0</v>
      </c>
      <c r="DD80" s="20">
        <v>0</v>
      </c>
      <c r="DE80" s="20">
        <v>0</v>
      </c>
      <c r="DF80" s="20">
        <v>0</v>
      </c>
      <c r="DG80" s="20">
        <v>0</v>
      </c>
      <c r="DH80" s="20">
        <v>0</v>
      </c>
      <c r="DI80" s="20" t="b">
        <v>0</v>
      </c>
      <c r="DK80" s="20">
        <v>0</v>
      </c>
      <c r="DM80" s="20" t="s">
        <v>187</v>
      </c>
      <c r="DN80" s="20">
        <v>0</v>
      </c>
      <c r="DO80" s="20">
        <v>0</v>
      </c>
      <c r="DP80" s="20">
        <v>0</v>
      </c>
    </row>
    <row r="81" spans="2:120">
      <c r="B81" s="20" cm="1">
        <f t="array" ref="B81">10000000+INDEX(编号表!$B$1:$B$112,MATCH(D81,编号表!$A$1:$A$112,0))*10000+I81</f>
        <v>10580001</v>
      </c>
      <c r="C81" s="20" t="s">
        <v>217</v>
      </c>
      <c r="D81" s="20" t="s">
        <v>217</v>
      </c>
      <c r="E81" s="20" t="s">
        <v>214</v>
      </c>
      <c r="F81" s="20" t="s">
        <v>215</v>
      </c>
      <c r="G81" s="20">
        <v>1</v>
      </c>
      <c r="H81" s="20" t="b">
        <v>0</v>
      </c>
      <c r="I81" s="20">
        <v>1</v>
      </c>
      <c r="J81" s="20">
        <v>105800</v>
      </c>
      <c r="K81" s="20" t="s">
        <v>177</v>
      </c>
      <c r="M81" s="20">
        <v>10580002</v>
      </c>
      <c r="N81" s="20" t="s">
        <v>218</v>
      </c>
      <c r="O81" s="20">
        <v>0</v>
      </c>
      <c r="P81" s="20">
        <v>0</v>
      </c>
      <c r="Q81" s="20">
        <v>0</v>
      </c>
      <c r="R81" s="20">
        <v>1</v>
      </c>
      <c r="T81" s="20">
        <v>100</v>
      </c>
      <c r="AO81" s="20" t="s">
        <v>194</v>
      </c>
      <c r="AP81" s="20">
        <v>0</v>
      </c>
      <c r="CV81" s="20">
        <v>0</v>
      </c>
      <c r="CW81" s="20">
        <v>0</v>
      </c>
      <c r="CX81" s="20" t="s">
        <v>194</v>
      </c>
      <c r="CY81" s="20">
        <v>0</v>
      </c>
      <c r="DB81" s="20">
        <v>0</v>
      </c>
      <c r="DD81" s="20">
        <v>0</v>
      </c>
      <c r="DE81" s="20">
        <v>0</v>
      </c>
      <c r="DF81" s="20">
        <v>0</v>
      </c>
      <c r="DG81" s="20">
        <v>0</v>
      </c>
      <c r="DH81" s="20">
        <v>0</v>
      </c>
      <c r="DI81" s="20" t="b">
        <v>0</v>
      </c>
      <c r="DK81" s="20">
        <v>0</v>
      </c>
      <c r="DM81" s="20" t="s">
        <v>187</v>
      </c>
      <c r="DN81" s="20">
        <v>0</v>
      </c>
      <c r="DO81" s="20">
        <v>0</v>
      </c>
      <c r="DP81" s="20">
        <v>0</v>
      </c>
    </row>
    <row r="82" spans="2:120">
      <c r="B82" s="20" cm="1">
        <f t="array" ref="B82">10000000+INDEX(编号表!$B$1:$B$112,MATCH(D82,编号表!$A$1:$A$112,0))*10000+I82</f>
        <v>10580002</v>
      </c>
      <c r="C82" s="20" t="s">
        <v>217</v>
      </c>
      <c r="D82" s="20" t="s">
        <v>217</v>
      </c>
      <c r="E82" s="20" t="s">
        <v>214</v>
      </c>
      <c r="F82" s="20" t="s">
        <v>215</v>
      </c>
      <c r="G82" s="20">
        <v>1</v>
      </c>
      <c r="H82" s="20" t="b">
        <v>0</v>
      </c>
      <c r="I82" s="20">
        <v>2</v>
      </c>
      <c r="J82" s="20">
        <v>105800</v>
      </c>
      <c r="K82" s="20" t="s">
        <v>177</v>
      </c>
      <c r="L82" s="20">
        <v>10580001</v>
      </c>
      <c r="M82" s="20">
        <v>10580003</v>
      </c>
      <c r="N82" s="20" t="s">
        <v>218</v>
      </c>
      <c r="O82" s="20">
        <v>0</v>
      </c>
      <c r="P82" s="20">
        <v>0</v>
      </c>
      <c r="Q82" s="20">
        <v>0</v>
      </c>
      <c r="R82" s="20">
        <v>1</v>
      </c>
      <c r="T82" s="20">
        <v>100</v>
      </c>
      <c r="AO82" s="20" t="s">
        <v>194</v>
      </c>
      <c r="AP82" s="20">
        <v>0</v>
      </c>
      <c r="CV82" s="20">
        <v>0</v>
      </c>
      <c r="CW82" s="20">
        <v>0</v>
      </c>
      <c r="CX82" s="20" t="s">
        <v>194</v>
      </c>
      <c r="CY82" s="20">
        <v>0</v>
      </c>
      <c r="DB82" s="20">
        <v>0</v>
      </c>
      <c r="DD82" s="20">
        <v>0</v>
      </c>
      <c r="DE82" s="20">
        <v>0</v>
      </c>
      <c r="DF82" s="20">
        <v>0</v>
      </c>
      <c r="DG82" s="20">
        <v>0</v>
      </c>
      <c r="DH82" s="20">
        <v>0</v>
      </c>
      <c r="DI82" s="20" t="b">
        <v>0</v>
      </c>
      <c r="DK82" s="20">
        <v>0</v>
      </c>
      <c r="DM82" s="20" t="s">
        <v>187</v>
      </c>
      <c r="DN82" s="20">
        <v>0</v>
      </c>
      <c r="DO82" s="20">
        <v>0</v>
      </c>
      <c r="DP82" s="20">
        <v>0</v>
      </c>
    </row>
    <row r="83" spans="2:120">
      <c r="B83" s="20" cm="1">
        <f t="array" ref="B83">10000000+INDEX(编号表!$B$1:$B$112,MATCH(D83,编号表!$A$1:$A$112,0))*10000+I83</f>
        <v>10580003</v>
      </c>
      <c r="C83" s="20" t="s">
        <v>217</v>
      </c>
      <c r="D83" s="20" t="s">
        <v>217</v>
      </c>
      <c r="E83" s="20" t="s">
        <v>214</v>
      </c>
      <c r="F83" s="20" t="s">
        <v>215</v>
      </c>
      <c r="G83" s="20">
        <v>1</v>
      </c>
      <c r="H83" s="20" t="b">
        <v>0</v>
      </c>
      <c r="I83" s="20">
        <v>3</v>
      </c>
      <c r="J83" s="20">
        <v>105800</v>
      </c>
      <c r="K83" s="20" t="s">
        <v>177</v>
      </c>
      <c r="L83" s="20">
        <v>10580002</v>
      </c>
      <c r="M83" s="20">
        <v>10580004</v>
      </c>
      <c r="N83" s="20" t="s">
        <v>218</v>
      </c>
      <c r="O83" s="20">
        <v>0</v>
      </c>
      <c r="P83" s="20">
        <v>0</v>
      </c>
      <c r="Q83" s="20">
        <v>0</v>
      </c>
      <c r="R83" s="20">
        <v>1</v>
      </c>
      <c r="T83" s="20">
        <v>100</v>
      </c>
      <c r="AO83" s="20" t="s">
        <v>194</v>
      </c>
      <c r="AP83" s="20">
        <v>0</v>
      </c>
      <c r="CV83" s="20">
        <v>0</v>
      </c>
      <c r="CW83" s="20">
        <v>0</v>
      </c>
      <c r="CX83" s="20" t="s">
        <v>194</v>
      </c>
      <c r="CY83" s="20">
        <v>0</v>
      </c>
      <c r="DB83" s="20">
        <v>0</v>
      </c>
      <c r="DD83" s="20">
        <v>0</v>
      </c>
      <c r="DE83" s="20">
        <v>0</v>
      </c>
      <c r="DF83" s="20">
        <v>0</v>
      </c>
      <c r="DG83" s="20">
        <v>0</v>
      </c>
      <c r="DH83" s="20">
        <v>0</v>
      </c>
      <c r="DI83" s="20" t="b">
        <v>0</v>
      </c>
      <c r="DK83" s="20">
        <v>0</v>
      </c>
      <c r="DM83" s="20" t="s">
        <v>187</v>
      </c>
      <c r="DN83" s="20">
        <v>0</v>
      </c>
      <c r="DO83" s="20">
        <v>0</v>
      </c>
      <c r="DP83" s="20">
        <v>0</v>
      </c>
    </row>
    <row r="84" spans="2:120">
      <c r="B84" s="20" cm="1">
        <f t="array" ref="B84">10000000+INDEX(编号表!$B$1:$B$112,MATCH(D84,编号表!$A$1:$A$112,0))*10000+I84</f>
        <v>10580004</v>
      </c>
      <c r="C84" s="20" t="s">
        <v>217</v>
      </c>
      <c r="D84" s="20" t="s">
        <v>217</v>
      </c>
      <c r="E84" s="20" t="s">
        <v>214</v>
      </c>
      <c r="F84" s="20" t="s">
        <v>215</v>
      </c>
      <c r="G84" s="20">
        <v>1</v>
      </c>
      <c r="H84" s="20" t="b">
        <v>0</v>
      </c>
      <c r="I84" s="20">
        <v>4</v>
      </c>
      <c r="J84" s="20">
        <v>105800</v>
      </c>
      <c r="K84" s="20" t="s">
        <v>177</v>
      </c>
      <c r="L84" s="20">
        <v>10580003</v>
      </c>
      <c r="M84" s="20">
        <v>10580005</v>
      </c>
      <c r="N84" s="20" t="s">
        <v>218</v>
      </c>
      <c r="O84" s="20">
        <v>0</v>
      </c>
      <c r="P84" s="20">
        <v>0</v>
      </c>
      <c r="Q84" s="20">
        <v>0</v>
      </c>
      <c r="R84" s="20">
        <v>1</v>
      </c>
      <c r="T84" s="20">
        <v>100</v>
      </c>
      <c r="AO84" s="20" t="s">
        <v>194</v>
      </c>
      <c r="AP84" s="20">
        <v>0</v>
      </c>
      <c r="CV84" s="20">
        <v>0</v>
      </c>
      <c r="CW84" s="20">
        <v>0</v>
      </c>
      <c r="CX84" s="20" t="s">
        <v>194</v>
      </c>
      <c r="CY84" s="20">
        <v>0</v>
      </c>
      <c r="DB84" s="20">
        <v>0</v>
      </c>
      <c r="DD84" s="20">
        <v>0</v>
      </c>
      <c r="DE84" s="20">
        <v>0</v>
      </c>
      <c r="DF84" s="20">
        <v>0</v>
      </c>
      <c r="DG84" s="20">
        <v>0</v>
      </c>
      <c r="DH84" s="20">
        <v>0</v>
      </c>
      <c r="DI84" s="20" t="b">
        <v>0</v>
      </c>
      <c r="DK84" s="20">
        <v>0</v>
      </c>
      <c r="DM84" s="20" t="s">
        <v>187</v>
      </c>
      <c r="DN84" s="20">
        <v>0</v>
      </c>
      <c r="DO84" s="20">
        <v>0</v>
      </c>
      <c r="DP84" s="20">
        <v>0</v>
      </c>
    </row>
    <row r="85" spans="2:120">
      <c r="B85" s="20" cm="1">
        <f t="array" ref="B85">10000000+INDEX(编号表!$B$1:$B$112,MATCH(D85,编号表!$A$1:$A$112,0))*10000+I85</f>
        <v>10580005</v>
      </c>
      <c r="C85" s="20" t="s">
        <v>217</v>
      </c>
      <c r="D85" s="20" t="s">
        <v>217</v>
      </c>
      <c r="E85" s="20" t="s">
        <v>214</v>
      </c>
      <c r="F85" s="20" t="s">
        <v>215</v>
      </c>
      <c r="G85" s="20">
        <v>1</v>
      </c>
      <c r="H85" s="20" t="b">
        <v>0</v>
      </c>
      <c r="I85" s="20">
        <v>5</v>
      </c>
      <c r="J85" s="20">
        <v>105800</v>
      </c>
      <c r="K85" s="20" t="s">
        <v>177</v>
      </c>
      <c r="L85" s="20">
        <v>10580004</v>
      </c>
      <c r="M85" s="20">
        <v>10580006</v>
      </c>
      <c r="N85" s="20" t="s">
        <v>218</v>
      </c>
      <c r="O85" s="20">
        <v>0</v>
      </c>
      <c r="P85" s="20">
        <v>0</v>
      </c>
      <c r="Q85" s="20">
        <v>0</v>
      </c>
      <c r="R85" s="20">
        <v>1</v>
      </c>
      <c r="T85" s="20">
        <v>100</v>
      </c>
      <c r="AO85" s="20" t="s">
        <v>194</v>
      </c>
      <c r="AP85" s="20">
        <v>0</v>
      </c>
      <c r="CV85" s="20">
        <v>0</v>
      </c>
      <c r="CW85" s="20">
        <v>0</v>
      </c>
      <c r="CX85" s="20" t="s">
        <v>194</v>
      </c>
      <c r="CY85" s="20">
        <v>0</v>
      </c>
      <c r="DB85" s="20">
        <v>0</v>
      </c>
      <c r="DD85" s="20">
        <v>0</v>
      </c>
      <c r="DE85" s="20">
        <v>0</v>
      </c>
      <c r="DF85" s="20">
        <v>0</v>
      </c>
      <c r="DG85" s="20">
        <v>0</v>
      </c>
      <c r="DH85" s="20">
        <v>0</v>
      </c>
      <c r="DI85" s="20" t="b">
        <v>0</v>
      </c>
      <c r="DK85" s="20">
        <v>0</v>
      </c>
      <c r="DM85" s="20" t="s">
        <v>187</v>
      </c>
      <c r="DN85" s="20">
        <v>0</v>
      </c>
      <c r="DO85" s="20">
        <v>0</v>
      </c>
      <c r="DP85" s="20">
        <v>0</v>
      </c>
    </row>
    <row r="86" spans="2:120">
      <c r="B86" s="20" cm="1">
        <f t="array" ref="B86">10000000+INDEX(编号表!$B$1:$B$112,MATCH(D86,编号表!$A$1:$A$112,0))*10000+I86</f>
        <v>10580006</v>
      </c>
      <c r="C86" s="20" t="s">
        <v>217</v>
      </c>
      <c r="D86" s="20" t="s">
        <v>217</v>
      </c>
      <c r="E86" s="20" t="s">
        <v>214</v>
      </c>
      <c r="F86" s="20" t="s">
        <v>215</v>
      </c>
      <c r="G86" s="20">
        <v>1</v>
      </c>
      <c r="H86" s="20" t="b">
        <v>0</v>
      </c>
      <c r="I86" s="20">
        <v>6</v>
      </c>
      <c r="J86" s="20">
        <v>105800</v>
      </c>
      <c r="K86" s="20" t="s">
        <v>177</v>
      </c>
      <c r="L86" s="20">
        <v>10580005</v>
      </c>
      <c r="M86" s="20">
        <v>10580007</v>
      </c>
      <c r="N86" s="20" t="s">
        <v>218</v>
      </c>
      <c r="O86" s="20">
        <v>0</v>
      </c>
      <c r="P86" s="20">
        <v>0</v>
      </c>
      <c r="Q86" s="20">
        <v>0</v>
      </c>
      <c r="R86" s="20">
        <v>1</v>
      </c>
      <c r="T86" s="20">
        <v>100</v>
      </c>
      <c r="AO86" s="20" t="s">
        <v>194</v>
      </c>
      <c r="AP86" s="20">
        <v>0</v>
      </c>
      <c r="CV86" s="20">
        <v>0</v>
      </c>
      <c r="CW86" s="20">
        <v>0</v>
      </c>
      <c r="CX86" s="20" t="s">
        <v>194</v>
      </c>
      <c r="CY86" s="20">
        <v>0</v>
      </c>
      <c r="DB86" s="20">
        <v>0</v>
      </c>
      <c r="DD86" s="20">
        <v>0</v>
      </c>
      <c r="DE86" s="20">
        <v>0</v>
      </c>
      <c r="DF86" s="20">
        <v>0</v>
      </c>
      <c r="DG86" s="20">
        <v>0</v>
      </c>
      <c r="DH86" s="20">
        <v>0</v>
      </c>
      <c r="DI86" s="20" t="b">
        <v>0</v>
      </c>
      <c r="DK86" s="20">
        <v>0</v>
      </c>
      <c r="DM86" s="20" t="s">
        <v>187</v>
      </c>
      <c r="DN86" s="20">
        <v>0</v>
      </c>
      <c r="DO86" s="20">
        <v>0</v>
      </c>
      <c r="DP86" s="20">
        <v>0</v>
      </c>
    </row>
    <row r="87" spans="2:120">
      <c r="B87" s="20" cm="1">
        <f t="array" ref="B87">10000000+INDEX(编号表!$B$1:$B$112,MATCH(D87,编号表!$A$1:$A$112,0))*10000+I87</f>
        <v>10580007</v>
      </c>
      <c r="C87" s="20" t="s">
        <v>217</v>
      </c>
      <c r="D87" s="20" t="s">
        <v>217</v>
      </c>
      <c r="E87" s="20" t="s">
        <v>214</v>
      </c>
      <c r="F87" s="20" t="s">
        <v>215</v>
      </c>
      <c r="G87" s="20">
        <v>1</v>
      </c>
      <c r="H87" s="20" t="b">
        <v>0</v>
      </c>
      <c r="I87" s="20">
        <v>7</v>
      </c>
      <c r="J87" s="20">
        <v>105800</v>
      </c>
      <c r="K87" s="20" t="s">
        <v>177</v>
      </c>
      <c r="L87" s="20">
        <v>10580006</v>
      </c>
      <c r="M87" s="20">
        <v>10580008</v>
      </c>
      <c r="N87" s="20" t="s">
        <v>218</v>
      </c>
      <c r="O87" s="20">
        <v>0</v>
      </c>
      <c r="P87" s="20">
        <v>0</v>
      </c>
      <c r="Q87" s="20">
        <v>0</v>
      </c>
      <c r="R87" s="20">
        <v>1</v>
      </c>
      <c r="T87" s="20">
        <v>100</v>
      </c>
      <c r="AO87" s="20" t="s">
        <v>194</v>
      </c>
      <c r="AP87" s="20">
        <v>0</v>
      </c>
      <c r="CV87" s="20">
        <v>0</v>
      </c>
      <c r="CW87" s="20">
        <v>0</v>
      </c>
      <c r="CX87" s="20" t="s">
        <v>194</v>
      </c>
      <c r="CY87" s="20">
        <v>0</v>
      </c>
      <c r="DB87" s="20">
        <v>0</v>
      </c>
      <c r="DD87" s="20">
        <v>0</v>
      </c>
      <c r="DE87" s="20">
        <v>0</v>
      </c>
      <c r="DF87" s="20">
        <v>0</v>
      </c>
      <c r="DG87" s="20">
        <v>0</v>
      </c>
      <c r="DH87" s="20">
        <v>0</v>
      </c>
      <c r="DI87" s="20" t="b">
        <v>0</v>
      </c>
      <c r="DK87" s="20">
        <v>0</v>
      </c>
      <c r="DM87" s="20" t="s">
        <v>187</v>
      </c>
      <c r="DN87" s="20">
        <v>0</v>
      </c>
      <c r="DO87" s="20">
        <v>0</v>
      </c>
      <c r="DP87" s="20">
        <v>0</v>
      </c>
    </row>
    <row r="88" spans="2:120">
      <c r="B88" s="20" cm="1">
        <f t="array" ref="B88">10000000+INDEX(编号表!$B$1:$B$112,MATCH(D88,编号表!$A$1:$A$112,0))*10000+I88</f>
        <v>10580008</v>
      </c>
      <c r="C88" s="20" t="s">
        <v>217</v>
      </c>
      <c r="D88" s="20" t="s">
        <v>217</v>
      </c>
      <c r="E88" s="20" t="s">
        <v>214</v>
      </c>
      <c r="F88" s="20" t="s">
        <v>215</v>
      </c>
      <c r="G88" s="20">
        <v>1</v>
      </c>
      <c r="H88" s="20" t="b">
        <v>0</v>
      </c>
      <c r="I88" s="20">
        <v>8</v>
      </c>
      <c r="J88" s="20">
        <v>105800</v>
      </c>
      <c r="K88" s="20" t="s">
        <v>177</v>
      </c>
      <c r="L88" s="20">
        <v>10580007</v>
      </c>
      <c r="M88" s="20">
        <v>10580009</v>
      </c>
      <c r="N88" s="20" t="s">
        <v>218</v>
      </c>
      <c r="O88" s="20">
        <v>0</v>
      </c>
      <c r="P88" s="20">
        <v>0</v>
      </c>
      <c r="Q88" s="20">
        <v>0</v>
      </c>
      <c r="R88" s="20">
        <v>1</v>
      </c>
      <c r="T88" s="20">
        <v>100</v>
      </c>
      <c r="AO88" s="20" t="s">
        <v>194</v>
      </c>
      <c r="AP88" s="20">
        <v>0</v>
      </c>
      <c r="CV88" s="20">
        <v>0</v>
      </c>
      <c r="CW88" s="20">
        <v>0</v>
      </c>
      <c r="CX88" s="20" t="s">
        <v>194</v>
      </c>
      <c r="CY88" s="20">
        <v>0</v>
      </c>
      <c r="DB88" s="20">
        <v>0</v>
      </c>
      <c r="DD88" s="20">
        <v>0</v>
      </c>
      <c r="DE88" s="20">
        <v>0</v>
      </c>
      <c r="DF88" s="20">
        <v>0</v>
      </c>
      <c r="DG88" s="20">
        <v>0</v>
      </c>
      <c r="DH88" s="20">
        <v>0</v>
      </c>
      <c r="DI88" s="20" t="b">
        <v>0</v>
      </c>
      <c r="DK88" s="20">
        <v>0</v>
      </c>
      <c r="DM88" s="20" t="s">
        <v>187</v>
      </c>
      <c r="DN88" s="20">
        <v>0</v>
      </c>
      <c r="DO88" s="20">
        <v>0</v>
      </c>
      <c r="DP88" s="20">
        <v>0</v>
      </c>
    </row>
    <row r="89" spans="2:120">
      <c r="B89" s="20" cm="1">
        <f t="array" ref="B89">10000000+INDEX(编号表!$B$1:$B$112,MATCH(D89,编号表!$A$1:$A$112,0))*10000+I89</f>
        <v>10580009</v>
      </c>
      <c r="C89" s="20" t="s">
        <v>217</v>
      </c>
      <c r="D89" s="20" t="s">
        <v>217</v>
      </c>
      <c r="E89" s="20" t="s">
        <v>214</v>
      </c>
      <c r="F89" s="20" t="s">
        <v>215</v>
      </c>
      <c r="G89" s="20">
        <v>1</v>
      </c>
      <c r="H89" s="20" t="b">
        <v>0</v>
      </c>
      <c r="I89" s="20">
        <v>9</v>
      </c>
      <c r="J89" s="20">
        <v>105800</v>
      </c>
      <c r="K89" s="20" t="s">
        <v>177</v>
      </c>
      <c r="L89" s="20">
        <v>10580008</v>
      </c>
      <c r="M89" s="20">
        <v>10580010</v>
      </c>
      <c r="N89" s="20" t="s">
        <v>218</v>
      </c>
      <c r="O89" s="20">
        <v>0</v>
      </c>
      <c r="P89" s="20">
        <v>0</v>
      </c>
      <c r="Q89" s="20">
        <v>0</v>
      </c>
      <c r="R89" s="20">
        <v>1</v>
      </c>
      <c r="T89" s="20">
        <v>100</v>
      </c>
      <c r="AO89" s="20" t="s">
        <v>194</v>
      </c>
      <c r="AP89" s="20">
        <v>0</v>
      </c>
      <c r="CV89" s="20">
        <v>0</v>
      </c>
      <c r="CW89" s="20">
        <v>0</v>
      </c>
      <c r="CX89" s="20" t="s">
        <v>194</v>
      </c>
      <c r="CY89" s="20">
        <v>0</v>
      </c>
      <c r="DB89" s="20">
        <v>0</v>
      </c>
      <c r="DD89" s="20">
        <v>0</v>
      </c>
      <c r="DE89" s="20">
        <v>0</v>
      </c>
      <c r="DF89" s="20">
        <v>0</v>
      </c>
      <c r="DG89" s="20">
        <v>0</v>
      </c>
      <c r="DH89" s="20">
        <v>0</v>
      </c>
      <c r="DI89" s="20" t="b">
        <v>0</v>
      </c>
      <c r="DK89" s="20">
        <v>0</v>
      </c>
      <c r="DM89" s="20" t="s">
        <v>187</v>
      </c>
      <c r="DN89" s="20">
        <v>0</v>
      </c>
      <c r="DO89" s="20">
        <v>0</v>
      </c>
      <c r="DP89" s="20">
        <v>0</v>
      </c>
    </row>
    <row r="90" spans="2:120">
      <c r="B90" s="20" cm="1">
        <f t="array" ref="B90">10000000+INDEX(编号表!$B$1:$B$112,MATCH(D90,编号表!$A$1:$A$112,0))*10000+I90</f>
        <v>10580010</v>
      </c>
      <c r="C90" s="20" t="s">
        <v>217</v>
      </c>
      <c r="D90" s="20" t="s">
        <v>217</v>
      </c>
      <c r="E90" s="20" t="s">
        <v>214</v>
      </c>
      <c r="F90" s="20" t="s">
        <v>215</v>
      </c>
      <c r="G90" s="20">
        <v>1</v>
      </c>
      <c r="H90" s="20" t="b">
        <v>0</v>
      </c>
      <c r="I90" s="20">
        <v>10</v>
      </c>
      <c r="J90" s="20">
        <v>105800</v>
      </c>
      <c r="K90" s="20" t="s">
        <v>177</v>
      </c>
      <c r="L90" s="20">
        <v>10580009</v>
      </c>
      <c r="N90" s="20" t="s">
        <v>218</v>
      </c>
      <c r="O90" s="20">
        <v>0</v>
      </c>
      <c r="P90" s="20">
        <v>0</v>
      </c>
      <c r="Q90" s="20">
        <v>0</v>
      </c>
      <c r="R90" s="20">
        <v>1</v>
      </c>
      <c r="T90" s="20">
        <v>100</v>
      </c>
      <c r="AO90" s="20" t="s">
        <v>194</v>
      </c>
      <c r="AP90" s="20">
        <v>0</v>
      </c>
      <c r="CV90" s="20">
        <v>0</v>
      </c>
      <c r="CW90" s="20">
        <v>0</v>
      </c>
      <c r="CX90" s="20" t="s">
        <v>194</v>
      </c>
      <c r="CY90" s="20">
        <v>0</v>
      </c>
      <c r="DB90" s="20">
        <v>0</v>
      </c>
      <c r="DD90" s="20">
        <v>0</v>
      </c>
      <c r="DE90" s="20">
        <v>0</v>
      </c>
      <c r="DF90" s="20">
        <v>0</v>
      </c>
      <c r="DG90" s="20">
        <v>0</v>
      </c>
      <c r="DH90" s="20">
        <v>0</v>
      </c>
      <c r="DI90" s="20" t="b">
        <v>0</v>
      </c>
      <c r="DK90" s="20">
        <v>0</v>
      </c>
      <c r="DM90" s="20" t="s">
        <v>187</v>
      </c>
      <c r="DN90" s="20">
        <v>0</v>
      </c>
      <c r="DO90" s="20">
        <v>0</v>
      </c>
      <c r="DP90" s="20">
        <v>0</v>
      </c>
    </row>
    <row r="91" spans="2:120">
      <c r="B91" s="20" cm="1">
        <f t="array" ref="B91">10000000+INDEX(编号表!$B$1:$B$112,MATCH(D91,编号表!$A$1:$A$112,0))*10000+I91</f>
        <v>10590001</v>
      </c>
      <c r="C91" s="20" t="s">
        <v>219</v>
      </c>
      <c r="D91" s="20" t="s">
        <v>219</v>
      </c>
      <c r="E91" s="20" t="s">
        <v>214</v>
      </c>
      <c r="F91" s="20" t="s">
        <v>215</v>
      </c>
      <c r="G91" s="20">
        <v>1</v>
      </c>
      <c r="H91" s="20" t="b">
        <v>0</v>
      </c>
      <c r="I91" s="20">
        <v>1</v>
      </c>
      <c r="J91" s="20">
        <v>105900</v>
      </c>
      <c r="K91" s="20" t="s">
        <v>177</v>
      </c>
      <c r="M91" s="20">
        <v>10590002</v>
      </c>
      <c r="N91" s="20" t="s">
        <v>220</v>
      </c>
      <c r="O91" s="20">
        <v>0</v>
      </c>
      <c r="P91" s="20">
        <v>0</v>
      </c>
      <c r="Q91" s="20">
        <v>0</v>
      </c>
      <c r="R91" s="20">
        <v>1</v>
      </c>
      <c r="T91" s="20">
        <v>100</v>
      </c>
      <c r="AO91" s="20" t="s">
        <v>194</v>
      </c>
      <c r="AP91" s="20">
        <v>0</v>
      </c>
      <c r="CV91" s="20">
        <v>0</v>
      </c>
      <c r="CW91" s="20">
        <v>0</v>
      </c>
      <c r="CX91" s="20" t="s">
        <v>194</v>
      </c>
      <c r="CY91" s="20">
        <v>0</v>
      </c>
      <c r="DB91" s="20">
        <v>0</v>
      </c>
      <c r="DD91" s="20">
        <v>0</v>
      </c>
      <c r="DE91" s="20">
        <v>0</v>
      </c>
      <c r="DF91" s="20">
        <v>0</v>
      </c>
      <c r="DG91" s="20">
        <v>0</v>
      </c>
      <c r="DH91" s="20">
        <v>0</v>
      </c>
      <c r="DI91" s="20" t="b">
        <v>0</v>
      </c>
      <c r="DK91" s="20">
        <v>0</v>
      </c>
      <c r="DM91" s="20" t="s">
        <v>187</v>
      </c>
      <c r="DN91" s="20">
        <v>0</v>
      </c>
      <c r="DO91" s="20">
        <v>0</v>
      </c>
      <c r="DP91" s="20">
        <v>0</v>
      </c>
    </row>
    <row r="92" spans="2:120">
      <c r="B92" s="20" cm="1">
        <f t="array" ref="B92">10000000+INDEX(编号表!$B$1:$B$112,MATCH(D92,编号表!$A$1:$A$112,0))*10000+I92</f>
        <v>10590002</v>
      </c>
      <c r="C92" s="20" t="s">
        <v>219</v>
      </c>
      <c r="D92" s="20" t="s">
        <v>219</v>
      </c>
      <c r="E92" s="20" t="s">
        <v>214</v>
      </c>
      <c r="F92" s="20" t="s">
        <v>215</v>
      </c>
      <c r="G92" s="20">
        <v>1</v>
      </c>
      <c r="H92" s="20" t="b">
        <v>0</v>
      </c>
      <c r="I92" s="20">
        <v>2</v>
      </c>
      <c r="J92" s="20">
        <v>105900</v>
      </c>
      <c r="K92" s="20" t="s">
        <v>177</v>
      </c>
      <c r="L92" s="20">
        <v>10590001</v>
      </c>
      <c r="M92" s="20">
        <v>10590003</v>
      </c>
      <c r="N92" s="20" t="s">
        <v>220</v>
      </c>
      <c r="O92" s="20">
        <v>0</v>
      </c>
      <c r="P92" s="20">
        <v>0</v>
      </c>
      <c r="Q92" s="20">
        <v>0</v>
      </c>
      <c r="R92" s="20">
        <v>1</v>
      </c>
      <c r="T92" s="20">
        <v>100</v>
      </c>
      <c r="AO92" s="20" t="s">
        <v>194</v>
      </c>
      <c r="AP92" s="20">
        <v>0</v>
      </c>
      <c r="CV92" s="20">
        <v>0</v>
      </c>
      <c r="CW92" s="20">
        <v>0</v>
      </c>
      <c r="CX92" s="20" t="s">
        <v>194</v>
      </c>
      <c r="CY92" s="20">
        <v>0</v>
      </c>
      <c r="DB92" s="20">
        <v>0</v>
      </c>
      <c r="DD92" s="20">
        <v>0</v>
      </c>
      <c r="DE92" s="20">
        <v>0</v>
      </c>
      <c r="DF92" s="20">
        <v>0</v>
      </c>
      <c r="DG92" s="20">
        <v>0</v>
      </c>
      <c r="DH92" s="20">
        <v>0</v>
      </c>
      <c r="DI92" s="20" t="b">
        <v>0</v>
      </c>
      <c r="DK92" s="20">
        <v>0</v>
      </c>
      <c r="DM92" s="20" t="s">
        <v>187</v>
      </c>
      <c r="DN92" s="20">
        <v>0</v>
      </c>
      <c r="DO92" s="20">
        <v>0</v>
      </c>
      <c r="DP92" s="20">
        <v>0</v>
      </c>
    </row>
    <row r="93" spans="2:120">
      <c r="B93" s="20" cm="1">
        <f t="array" ref="B93">10000000+INDEX(编号表!$B$1:$B$112,MATCH(D93,编号表!$A$1:$A$112,0))*10000+I93</f>
        <v>10590003</v>
      </c>
      <c r="C93" s="20" t="s">
        <v>219</v>
      </c>
      <c r="D93" s="20" t="s">
        <v>219</v>
      </c>
      <c r="E93" s="20" t="s">
        <v>214</v>
      </c>
      <c r="F93" s="20" t="s">
        <v>215</v>
      </c>
      <c r="G93" s="20">
        <v>1</v>
      </c>
      <c r="H93" s="20" t="b">
        <v>0</v>
      </c>
      <c r="I93" s="20">
        <v>3</v>
      </c>
      <c r="J93" s="20">
        <v>105900</v>
      </c>
      <c r="K93" s="20" t="s">
        <v>177</v>
      </c>
      <c r="L93" s="20">
        <v>10590002</v>
      </c>
      <c r="M93" s="20">
        <v>10590004</v>
      </c>
      <c r="N93" s="20" t="s">
        <v>220</v>
      </c>
      <c r="O93" s="20">
        <v>0</v>
      </c>
      <c r="P93" s="20">
        <v>0</v>
      </c>
      <c r="Q93" s="20">
        <v>0</v>
      </c>
      <c r="R93" s="20">
        <v>1</v>
      </c>
      <c r="T93" s="20">
        <v>100</v>
      </c>
      <c r="AO93" s="20" t="s">
        <v>194</v>
      </c>
      <c r="AP93" s="20">
        <v>0</v>
      </c>
      <c r="CV93" s="20">
        <v>0</v>
      </c>
      <c r="CW93" s="20">
        <v>0</v>
      </c>
      <c r="CX93" s="20" t="s">
        <v>194</v>
      </c>
      <c r="CY93" s="20">
        <v>0</v>
      </c>
      <c r="DB93" s="20">
        <v>0</v>
      </c>
      <c r="DD93" s="20">
        <v>0</v>
      </c>
      <c r="DE93" s="20">
        <v>0</v>
      </c>
      <c r="DF93" s="20">
        <v>0</v>
      </c>
      <c r="DG93" s="20">
        <v>0</v>
      </c>
      <c r="DH93" s="20">
        <v>0</v>
      </c>
      <c r="DI93" s="20" t="b">
        <v>0</v>
      </c>
      <c r="DK93" s="20">
        <v>0</v>
      </c>
      <c r="DM93" s="20" t="s">
        <v>187</v>
      </c>
      <c r="DN93" s="20">
        <v>0</v>
      </c>
      <c r="DO93" s="20">
        <v>0</v>
      </c>
      <c r="DP93" s="20">
        <v>0</v>
      </c>
    </row>
    <row r="94" spans="2:120">
      <c r="B94" s="20" cm="1">
        <f t="array" ref="B94">10000000+INDEX(编号表!$B$1:$B$112,MATCH(D94,编号表!$A$1:$A$112,0))*10000+I94</f>
        <v>10590004</v>
      </c>
      <c r="C94" s="20" t="s">
        <v>219</v>
      </c>
      <c r="D94" s="20" t="s">
        <v>219</v>
      </c>
      <c r="E94" s="20" t="s">
        <v>214</v>
      </c>
      <c r="F94" s="20" t="s">
        <v>215</v>
      </c>
      <c r="G94" s="20">
        <v>1</v>
      </c>
      <c r="H94" s="20" t="b">
        <v>0</v>
      </c>
      <c r="I94" s="20">
        <v>4</v>
      </c>
      <c r="J94" s="20">
        <v>105900</v>
      </c>
      <c r="K94" s="20" t="s">
        <v>177</v>
      </c>
      <c r="L94" s="20">
        <v>10590003</v>
      </c>
      <c r="M94" s="20">
        <v>10590005</v>
      </c>
      <c r="N94" s="20" t="s">
        <v>220</v>
      </c>
      <c r="O94" s="20">
        <v>0</v>
      </c>
      <c r="P94" s="20">
        <v>0</v>
      </c>
      <c r="Q94" s="20">
        <v>0</v>
      </c>
      <c r="R94" s="20">
        <v>1</v>
      </c>
      <c r="T94" s="20">
        <v>100</v>
      </c>
      <c r="AO94" s="20" t="s">
        <v>194</v>
      </c>
      <c r="AP94" s="20">
        <v>0</v>
      </c>
      <c r="CV94" s="20">
        <v>0</v>
      </c>
      <c r="CW94" s="20">
        <v>0</v>
      </c>
      <c r="CX94" s="20" t="s">
        <v>194</v>
      </c>
      <c r="CY94" s="20">
        <v>0</v>
      </c>
      <c r="DB94" s="20">
        <v>0</v>
      </c>
      <c r="DD94" s="20">
        <v>0</v>
      </c>
      <c r="DE94" s="20">
        <v>0</v>
      </c>
      <c r="DF94" s="20">
        <v>0</v>
      </c>
      <c r="DG94" s="20">
        <v>0</v>
      </c>
      <c r="DH94" s="20">
        <v>0</v>
      </c>
      <c r="DI94" s="20" t="b">
        <v>0</v>
      </c>
      <c r="DK94" s="20">
        <v>0</v>
      </c>
      <c r="DM94" s="20" t="s">
        <v>187</v>
      </c>
      <c r="DN94" s="20">
        <v>0</v>
      </c>
      <c r="DO94" s="20">
        <v>0</v>
      </c>
      <c r="DP94" s="20">
        <v>0</v>
      </c>
    </row>
    <row r="95" spans="2:120">
      <c r="B95" s="20" cm="1">
        <f t="array" ref="B95">10000000+INDEX(编号表!$B$1:$B$112,MATCH(D95,编号表!$A$1:$A$112,0))*10000+I95</f>
        <v>10590005</v>
      </c>
      <c r="C95" s="20" t="s">
        <v>219</v>
      </c>
      <c r="D95" s="20" t="s">
        <v>219</v>
      </c>
      <c r="E95" s="20" t="s">
        <v>214</v>
      </c>
      <c r="F95" s="20" t="s">
        <v>215</v>
      </c>
      <c r="G95" s="20">
        <v>1</v>
      </c>
      <c r="H95" s="20" t="b">
        <v>0</v>
      </c>
      <c r="I95" s="20">
        <v>5</v>
      </c>
      <c r="J95" s="20">
        <v>105900</v>
      </c>
      <c r="K95" s="20" t="s">
        <v>177</v>
      </c>
      <c r="L95" s="20">
        <v>10590004</v>
      </c>
      <c r="M95" s="20">
        <v>10590006</v>
      </c>
      <c r="N95" s="20" t="s">
        <v>220</v>
      </c>
      <c r="O95" s="20">
        <v>0</v>
      </c>
      <c r="P95" s="20">
        <v>0</v>
      </c>
      <c r="Q95" s="20">
        <v>0</v>
      </c>
      <c r="R95" s="20">
        <v>1</v>
      </c>
      <c r="T95" s="20">
        <v>100</v>
      </c>
      <c r="AO95" s="20" t="s">
        <v>194</v>
      </c>
      <c r="AP95" s="20">
        <v>0</v>
      </c>
      <c r="CV95" s="20">
        <v>0</v>
      </c>
      <c r="CW95" s="20">
        <v>0</v>
      </c>
      <c r="CX95" s="20" t="s">
        <v>194</v>
      </c>
      <c r="CY95" s="20">
        <v>0</v>
      </c>
      <c r="DB95" s="20">
        <v>0</v>
      </c>
      <c r="DD95" s="20">
        <v>0</v>
      </c>
      <c r="DE95" s="20">
        <v>0</v>
      </c>
      <c r="DF95" s="20">
        <v>0</v>
      </c>
      <c r="DG95" s="20">
        <v>0</v>
      </c>
      <c r="DH95" s="20">
        <v>0</v>
      </c>
      <c r="DI95" s="20" t="b">
        <v>0</v>
      </c>
      <c r="DK95" s="20">
        <v>0</v>
      </c>
      <c r="DM95" s="20" t="s">
        <v>187</v>
      </c>
      <c r="DN95" s="20">
        <v>0</v>
      </c>
      <c r="DO95" s="20">
        <v>0</v>
      </c>
      <c r="DP95" s="20">
        <v>0</v>
      </c>
    </row>
    <row r="96" spans="2:120">
      <c r="B96" s="20" cm="1">
        <f t="array" ref="B96">10000000+INDEX(编号表!$B$1:$B$112,MATCH(D96,编号表!$A$1:$A$112,0))*10000+I96</f>
        <v>10590006</v>
      </c>
      <c r="C96" s="20" t="s">
        <v>219</v>
      </c>
      <c r="D96" s="20" t="s">
        <v>219</v>
      </c>
      <c r="E96" s="20" t="s">
        <v>214</v>
      </c>
      <c r="F96" s="20" t="s">
        <v>215</v>
      </c>
      <c r="G96" s="20">
        <v>1</v>
      </c>
      <c r="H96" s="20" t="b">
        <v>0</v>
      </c>
      <c r="I96" s="20">
        <v>6</v>
      </c>
      <c r="J96" s="20">
        <v>105900</v>
      </c>
      <c r="K96" s="20" t="s">
        <v>177</v>
      </c>
      <c r="L96" s="20">
        <v>10590005</v>
      </c>
      <c r="M96" s="20">
        <v>10590007</v>
      </c>
      <c r="N96" s="20" t="s">
        <v>220</v>
      </c>
      <c r="O96" s="20">
        <v>0</v>
      </c>
      <c r="P96" s="20">
        <v>0</v>
      </c>
      <c r="Q96" s="20">
        <v>0</v>
      </c>
      <c r="R96" s="20">
        <v>1</v>
      </c>
      <c r="T96" s="20">
        <v>100</v>
      </c>
      <c r="AO96" s="20" t="s">
        <v>194</v>
      </c>
      <c r="AP96" s="20">
        <v>0</v>
      </c>
      <c r="CV96" s="20">
        <v>0</v>
      </c>
      <c r="CW96" s="20">
        <v>0</v>
      </c>
      <c r="CX96" s="20" t="s">
        <v>194</v>
      </c>
      <c r="CY96" s="20">
        <v>0</v>
      </c>
      <c r="DB96" s="20">
        <v>0</v>
      </c>
      <c r="DD96" s="20">
        <v>0</v>
      </c>
      <c r="DE96" s="20">
        <v>0</v>
      </c>
      <c r="DF96" s="20">
        <v>0</v>
      </c>
      <c r="DG96" s="20">
        <v>0</v>
      </c>
      <c r="DH96" s="20">
        <v>0</v>
      </c>
      <c r="DI96" s="20" t="b">
        <v>0</v>
      </c>
      <c r="DK96" s="20">
        <v>0</v>
      </c>
      <c r="DM96" s="20" t="s">
        <v>187</v>
      </c>
      <c r="DN96" s="20">
        <v>0</v>
      </c>
      <c r="DO96" s="20">
        <v>0</v>
      </c>
      <c r="DP96" s="20">
        <v>0</v>
      </c>
    </row>
    <row r="97" spans="2:120">
      <c r="B97" s="20" cm="1">
        <f t="array" ref="B97">10000000+INDEX(编号表!$B$1:$B$112,MATCH(D97,编号表!$A$1:$A$112,0))*10000+I97</f>
        <v>10590007</v>
      </c>
      <c r="C97" s="20" t="s">
        <v>219</v>
      </c>
      <c r="D97" s="20" t="s">
        <v>219</v>
      </c>
      <c r="E97" s="20" t="s">
        <v>214</v>
      </c>
      <c r="F97" s="20" t="s">
        <v>215</v>
      </c>
      <c r="G97" s="20">
        <v>1</v>
      </c>
      <c r="H97" s="20" t="b">
        <v>0</v>
      </c>
      <c r="I97" s="20">
        <v>7</v>
      </c>
      <c r="J97" s="20">
        <v>105900</v>
      </c>
      <c r="K97" s="20" t="s">
        <v>177</v>
      </c>
      <c r="L97" s="20">
        <v>10590006</v>
      </c>
      <c r="M97" s="20">
        <v>10590008</v>
      </c>
      <c r="N97" s="20" t="s">
        <v>220</v>
      </c>
      <c r="O97" s="20">
        <v>0</v>
      </c>
      <c r="P97" s="20">
        <v>0</v>
      </c>
      <c r="Q97" s="20">
        <v>0</v>
      </c>
      <c r="R97" s="20">
        <v>1</v>
      </c>
      <c r="T97" s="20">
        <v>100</v>
      </c>
      <c r="AO97" s="20" t="s">
        <v>194</v>
      </c>
      <c r="AP97" s="20">
        <v>0</v>
      </c>
      <c r="CV97" s="20">
        <v>0</v>
      </c>
      <c r="CW97" s="20">
        <v>0</v>
      </c>
      <c r="CX97" s="20" t="s">
        <v>194</v>
      </c>
      <c r="CY97" s="20">
        <v>0</v>
      </c>
      <c r="DB97" s="20">
        <v>0</v>
      </c>
      <c r="DD97" s="20">
        <v>0</v>
      </c>
      <c r="DE97" s="20">
        <v>0</v>
      </c>
      <c r="DF97" s="20">
        <v>0</v>
      </c>
      <c r="DG97" s="20">
        <v>0</v>
      </c>
      <c r="DH97" s="20">
        <v>0</v>
      </c>
      <c r="DI97" s="20" t="b">
        <v>0</v>
      </c>
      <c r="DK97" s="20">
        <v>0</v>
      </c>
      <c r="DM97" s="20" t="s">
        <v>187</v>
      </c>
      <c r="DN97" s="20">
        <v>0</v>
      </c>
      <c r="DO97" s="20">
        <v>0</v>
      </c>
      <c r="DP97" s="20">
        <v>0</v>
      </c>
    </row>
    <row r="98" spans="2:120">
      <c r="B98" s="20" cm="1">
        <f t="array" ref="B98">10000000+INDEX(编号表!$B$1:$B$112,MATCH(D98,编号表!$A$1:$A$112,0))*10000+I98</f>
        <v>10590008</v>
      </c>
      <c r="C98" s="20" t="s">
        <v>219</v>
      </c>
      <c r="D98" s="20" t="s">
        <v>219</v>
      </c>
      <c r="E98" s="20" t="s">
        <v>214</v>
      </c>
      <c r="F98" s="20" t="s">
        <v>215</v>
      </c>
      <c r="G98" s="20">
        <v>1</v>
      </c>
      <c r="H98" s="20" t="b">
        <v>0</v>
      </c>
      <c r="I98" s="20">
        <v>8</v>
      </c>
      <c r="J98" s="20">
        <v>105900</v>
      </c>
      <c r="K98" s="20" t="s">
        <v>177</v>
      </c>
      <c r="L98" s="20">
        <v>10590007</v>
      </c>
      <c r="M98" s="20">
        <v>10590009</v>
      </c>
      <c r="N98" s="20" t="s">
        <v>220</v>
      </c>
      <c r="O98" s="20">
        <v>0</v>
      </c>
      <c r="P98" s="20">
        <v>0</v>
      </c>
      <c r="Q98" s="20">
        <v>0</v>
      </c>
      <c r="R98" s="20">
        <v>1</v>
      </c>
      <c r="T98" s="20">
        <v>100</v>
      </c>
      <c r="AO98" s="20" t="s">
        <v>194</v>
      </c>
      <c r="AP98" s="20">
        <v>0</v>
      </c>
      <c r="CV98" s="20">
        <v>0</v>
      </c>
      <c r="CW98" s="20">
        <v>0</v>
      </c>
      <c r="CX98" s="20" t="s">
        <v>194</v>
      </c>
      <c r="CY98" s="20">
        <v>0</v>
      </c>
      <c r="DB98" s="20">
        <v>0</v>
      </c>
      <c r="DD98" s="20">
        <v>0</v>
      </c>
      <c r="DE98" s="20">
        <v>0</v>
      </c>
      <c r="DF98" s="20">
        <v>0</v>
      </c>
      <c r="DG98" s="20">
        <v>0</v>
      </c>
      <c r="DH98" s="20">
        <v>0</v>
      </c>
      <c r="DI98" s="20" t="b">
        <v>0</v>
      </c>
      <c r="DK98" s="20">
        <v>0</v>
      </c>
      <c r="DM98" s="20" t="s">
        <v>187</v>
      </c>
      <c r="DN98" s="20">
        <v>0</v>
      </c>
      <c r="DO98" s="20">
        <v>0</v>
      </c>
      <c r="DP98" s="20">
        <v>0</v>
      </c>
    </row>
    <row r="99" spans="2:120">
      <c r="B99" s="20" cm="1">
        <f t="array" ref="B99">10000000+INDEX(编号表!$B$1:$B$112,MATCH(D99,编号表!$A$1:$A$112,0))*10000+I99</f>
        <v>10590009</v>
      </c>
      <c r="C99" s="20" t="s">
        <v>219</v>
      </c>
      <c r="D99" s="20" t="s">
        <v>219</v>
      </c>
      <c r="E99" s="20" t="s">
        <v>214</v>
      </c>
      <c r="F99" s="20" t="s">
        <v>215</v>
      </c>
      <c r="G99" s="20">
        <v>1</v>
      </c>
      <c r="H99" s="20" t="b">
        <v>0</v>
      </c>
      <c r="I99" s="20">
        <v>9</v>
      </c>
      <c r="J99" s="20">
        <v>105900</v>
      </c>
      <c r="K99" s="20" t="s">
        <v>177</v>
      </c>
      <c r="L99" s="20">
        <v>10590008</v>
      </c>
      <c r="M99" s="20">
        <v>10590010</v>
      </c>
      <c r="N99" s="20" t="s">
        <v>220</v>
      </c>
      <c r="O99" s="20">
        <v>0</v>
      </c>
      <c r="P99" s="20">
        <v>0</v>
      </c>
      <c r="Q99" s="20">
        <v>0</v>
      </c>
      <c r="R99" s="20">
        <v>1</v>
      </c>
      <c r="T99" s="20">
        <v>100</v>
      </c>
      <c r="AO99" s="20" t="s">
        <v>194</v>
      </c>
      <c r="AP99" s="20">
        <v>0</v>
      </c>
      <c r="CV99" s="20">
        <v>0</v>
      </c>
      <c r="CW99" s="20">
        <v>0</v>
      </c>
      <c r="CX99" s="20" t="s">
        <v>194</v>
      </c>
      <c r="CY99" s="20">
        <v>0</v>
      </c>
      <c r="DB99" s="20">
        <v>0</v>
      </c>
      <c r="DD99" s="20">
        <v>0</v>
      </c>
      <c r="DE99" s="20">
        <v>0</v>
      </c>
      <c r="DF99" s="20">
        <v>0</v>
      </c>
      <c r="DG99" s="20">
        <v>0</v>
      </c>
      <c r="DH99" s="20">
        <v>0</v>
      </c>
      <c r="DI99" s="20" t="b">
        <v>0</v>
      </c>
      <c r="DK99" s="20">
        <v>0</v>
      </c>
      <c r="DM99" s="20" t="s">
        <v>187</v>
      </c>
      <c r="DN99" s="20">
        <v>0</v>
      </c>
      <c r="DO99" s="20">
        <v>0</v>
      </c>
      <c r="DP99" s="20">
        <v>0</v>
      </c>
    </row>
    <row r="100" spans="2:120">
      <c r="B100" s="20" cm="1">
        <f t="array" ref="B100">10000000+INDEX(编号表!$B$1:$B$112,MATCH(D100,编号表!$A$1:$A$112,0))*10000+I100</f>
        <v>10590010</v>
      </c>
      <c r="C100" s="20" t="s">
        <v>219</v>
      </c>
      <c r="D100" s="20" t="s">
        <v>219</v>
      </c>
      <c r="E100" s="20" t="s">
        <v>214</v>
      </c>
      <c r="F100" s="20" t="s">
        <v>215</v>
      </c>
      <c r="G100" s="20">
        <v>1</v>
      </c>
      <c r="H100" s="20" t="b">
        <v>0</v>
      </c>
      <c r="I100" s="20">
        <v>10</v>
      </c>
      <c r="J100" s="20">
        <v>105900</v>
      </c>
      <c r="K100" s="20" t="s">
        <v>177</v>
      </c>
      <c r="L100" s="20">
        <v>10590009</v>
      </c>
      <c r="N100" s="20" t="s">
        <v>220</v>
      </c>
      <c r="O100" s="20">
        <v>0</v>
      </c>
      <c r="P100" s="20">
        <v>0</v>
      </c>
      <c r="Q100" s="20">
        <v>0</v>
      </c>
      <c r="R100" s="20">
        <v>1</v>
      </c>
      <c r="T100" s="20">
        <v>100</v>
      </c>
      <c r="AO100" s="20" t="s">
        <v>194</v>
      </c>
      <c r="AP100" s="20">
        <v>0</v>
      </c>
      <c r="CV100" s="20">
        <v>0</v>
      </c>
      <c r="CW100" s="20">
        <v>0</v>
      </c>
      <c r="CX100" s="20" t="s">
        <v>194</v>
      </c>
      <c r="CY100" s="20">
        <v>0</v>
      </c>
      <c r="DB100" s="20">
        <v>0</v>
      </c>
      <c r="DD100" s="20">
        <v>0</v>
      </c>
      <c r="DE100" s="20">
        <v>0</v>
      </c>
      <c r="DF100" s="20">
        <v>0</v>
      </c>
      <c r="DG100" s="20">
        <v>0</v>
      </c>
      <c r="DH100" s="20">
        <v>0</v>
      </c>
      <c r="DI100" s="20" t="b">
        <v>0</v>
      </c>
      <c r="DK100" s="20">
        <v>0</v>
      </c>
      <c r="DM100" s="20" t="s">
        <v>187</v>
      </c>
      <c r="DN100" s="20">
        <v>0</v>
      </c>
      <c r="DO100" s="20">
        <v>0</v>
      </c>
      <c r="DP100" s="20">
        <v>0</v>
      </c>
    </row>
    <row r="101" spans="2:120">
      <c r="B101" s="20" cm="1">
        <f t="array" ref="B101">10000000+INDEX(编号表!$B$1:$B$112,MATCH(D101,编号表!$A$1:$A$112,0))*10000+I101</f>
        <v>10600001</v>
      </c>
      <c r="C101" s="20" t="s">
        <v>221</v>
      </c>
      <c r="D101" s="20" t="s">
        <v>221</v>
      </c>
      <c r="E101" s="20" t="s">
        <v>214</v>
      </c>
      <c r="F101" s="20" t="s">
        <v>215</v>
      </c>
      <c r="G101" s="20">
        <v>1</v>
      </c>
      <c r="H101" s="20" t="b">
        <v>0</v>
      </c>
      <c r="I101" s="20">
        <v>1</v>
      </c>
      <c r="J101" s="20">
        <v>106000</v>
      </c>
      <c r="K101" s="20" t="s">
        <v>177</v>
      </c>
      <c r="M101" s="20">
        <v>10600002</v>
      </c>
      <c r="N101" s="20" t="s">
        <v>222</v>
      </c>
      <c r="O101" s="20">
        <v>0</v>
      </c>
      <c r="P101" s="20">
        <v>0</v>
      </c>
      <c r="Q101" s="20">
        <v>0</v>
      </c>
      <c r="R101" s="20">
        <v>1</v>
      </c>
      <c r="T101" s="20">
        <v>100</v>
      </c>
      <c r="AO101" s="20" t="s">
        <v>194</v>
      </c>
      <c r="AP101" s="20">
        <v>0</v>
      </c>
      <c r="CV101" s="20">
        <v>0</v>
      </c>
      <c r="CW101" s="20">
        <v>0</v>
      </c>
      <c r="CX101" s="20" t="s">
        <v>194</v>
      </c>
      <c r="CY101" s="20">
        <v>0</v>
      </c>
      <c r="DB101" s="20">
        <v>0</v>
      </c>
      <c r="DD101" s="20">
        <v>0</v>
      </c>
      <c r="DE101" s="20">
        <v>0</v>
      </c>
      <c r="DF101" s="20">
        <v>0</v>
      </c>
      <c r="DG101" s="20">
        <v>0</v>
      </c>
      <c r="DH101" s="20">
        <v>0</v>
      </c>
      <c r="DI101" s="20" t="b">
        <v>0</v>
      </c>
      <c r="DK101" s="20">
        <v>0</v>
      </c>
      <c r="DM101" s="20" t="s">
        <v>187</v>
      </c>
      <c r="DN101" s="20">
        <v>0</v>
      </c>
      <c r="DO101" s="20">
        <v>0</v>
      </c>
      <c r="DP101" s="20">
        <v>0</v>
      </c>
    </row>
    <row r="102" spans="2:120">
      <c r="B102" s="20" cm="1">
        <f t="array" ref="B102">10000000+INDEX(编号表!$B$1:$B$112,MATCH(D102,编号表!$A$1:$A$112,0))*10000+I102</f>
        <v>10600002</v>
      </c>
      <c r="C102" s="20" t="s">
        <v>221</v>
      </c>
      <c r="D102" s="20" t="s">
        <v>221</v>
      </c>
      <c r="E102" s="20" t="s">
        <v>214</v>
      </c>
      <c r="F102" s="20" t="s">
        <v>215</v>
      </c>
      <c r="G102" s="20">
        <v>1</v>
      </c>
      <c r="H102" s="20" t="b">
        <v>0</v>
      </c>
      <c r="I102" s="20">
        <v>2</v>
      </c>
      <c r="J102" s="20">
        <v>106000</v>
      </c>
      <c r="K102" s="20" t="s">
        <v>177</v>
      </c>
      <c r="L102" s="20">
        <v>10600001</v>
      </c>
      <c r="M102" s="20">
        <v>10600003</v>
      </c>
      <c r="N102" s="20" t="s">
        <v>222</v>
      </c>
      <c r="O102" s="20">
        <v>0</v>
      </c>
      <c r="P102" s="20">
        <v>0</v>
      </c>
      <c r="Q102" s="20">
        <v>0</v>
      </c>
      <c r="R102" s="20">
        <v>1</v>
      </c>
      <c r="T102" s="20">
        <v>100</v>
      </c>
      <c r="AO102" s="20" t="s">
        <v>194</v>
      </c>
      <c r="AP102" s="20">
        <v>0</v>
      </c>
      <c r="CV102" s="20">
        <v>0</v>
      </c>
      <c r="CW102" s="20">
        <v>0</v>
      </c>
      <c r="CX102" s="20" t="s">
        <v>194</v>
      </c>
      <c r="CY102" s="20">
        <v>0</v>
      </c>
      <c r="DB102" s="20">
        <v>0</v>
      </c>
      <c r="DD102" s="20">
        <v>0</v>
      </c>
      <c r="DE102" s="20">
        <v>0</v>
      </c>
      <c r="DF102" s="20">
        <v>0</v>
      </c>
      <c r="DG102" s="20">
        <v>0</v>
      </c>
      <c r="DH102" s="20">
        <v>0</v>
      </c>
      <c r="DI102" s="20" t="b">
        <v>0</v>
      </c>
      <c r="DK102" s="20">
        <v>0</v>
      </c>
      <c r="DM102" s="20" t="s">
        <v>187</v>
      </c>
      <c r="DN102" s="20">
        <v>0</v>
      </c>
      <c r="DO102" s="20">
        <v>0</v>
      </c>
      <c r="DP102" s="20">
        <v>0</v>
      </c>
    </row>
    <row r="103" spans="2:120">
      <c r="B103" s="20" cm="1">
        <f t="array" ref="B103">10000000+INDEX(编号表!$B$1:$B$112,MATCH(D103,编号表!$A$1:$A$112,0))*10000+I103</f>
        <v>10600003</v>
      </c>
      <c r="C103" s="20" t="s">
        <v>221</v>
      </c>
      <c r="D103" s="20" t="s">
        <v>221</v>
      </c>
      <c r="E103" s="20" t="s">
        <v>214</v>
      </c>
      <c r="F103" s="20" t="s">
        <v>215</v>
      </c>
      <c r="G103" s="20">
        <v>1</v>
      </c>
      <c r="H103" s="20" t="b">
        <v>0</v>
      </c>
      <c r="I103" s="20">
        <v>3</v>
      </c>
      <c r="J103" s="20">
        <v>106000</v>
      </c>
      <c r="K103" s="20" t="s">
        <v>177</v>
      </c>
      <c r="L103" s="20">
        <v>10600002</v>
      </c>
      <c r="M103" s="20">
        <v>10600004</v>
      </c>
      <c r="N103" s="20" t="s">
        <v>222</v>
      </c>
      <c r="O103" s="20">
        <v>0</v>
      </c>
      <c r="P103" s="20">
        <v>0</v>
      </c>
      <c r="Q103" s="20">
        <v>0</v>
      </c>
      <c r="R103" s="20">
        <v>1</v>
      </c>
      <c r="T103" s="20">
        <v>100</v>
      </c>
      <c r="AO103" s="20" t="s">
        <v>194</v>
      </c>
      <c r="AP103" s="20">
        <v>0</v>
      </c>
      <c r="CV103" s="20">
        <v>0</v>
      </c>
      <c r="CW103" s="20">
        <v>0</v>
      </c>
      <c r="CX103" s="20" t="s">
        <v>194</v>
      </c>
      <c r="CY103" s="20">
        <v>0</v>
      </c>
      <c r="DB103" s="20">
        <v>0</v>
      </c>
      <c r="DD103" s="20">
        <v>0</v>
      </c>
      <c r="DE103" s="20">
        <v>0</v>
      </c>
      <c r="DF103" s="20">
        <v>0</v>
      </c>
      <c r="DG103" s="20">
        <v>0</v>
      </c>
      <c r="DH103" s="20">
        <v>0</v>
      </c>
      <c r="DI103" s="20" t="b">
        <v>0</v>
      </c>
      <c r="DK103" s="20">
        <v>0</v>
      </c>
      <c r="DM103" s="20" t="s">
        <v>187</v>
      </c>
      <c r="DN103" s="20">
        <v>0</v>
      </c>
      <c r="DO103" s="20">
        <v>0</v>
      </c>
      <c r="DP103" s="20">
        <v>0</v>
      </c>
    </row>
    <row r="104" spans="2:120">
      <c r="B104" s="20" cm="1">
        <f t="array" ref="B104">10000000+INDEX(编号表!$B$1:$B$112,MATCH(D104,编号表!$A$1:$A$112,0))*10000+I104</f>
        <v>10600004</v>
      </c>
      <c r="C104" s="20" t="s">
        <v>221</v>
      </c>
      <c r="D104" s="20" t="s">
        <v>221</v>
      </c>
      <c r="E104" s="20" t="s">
        <v>214</v>
      </c>
      <c r="F104" s="20" t="s">
        <v>215</v>
      </c>
      <c r="G104" s="20">
        <v>1</v>
      </c>
      <c r="H104" s="20" t="b">
        <v>0</v>
      </c>
      <c r="I104" s="20">
        <v>4</v>
      </c>
      <c r="J104" s="20">
        <v>106000</v>
      </c>
      <c r="K104" s="20" t="s">
        <v>177</v>
      </c>
      <c r="L104" s="20">
        <v>10600003</v>
      </c>
      <c r="M104" s="20">
        <v>10600005</v>
      </c>
      <c r="N104" s="20" t="s">
        <v>222</v>
      </c>
      <c r="O104" s="20">
        <v>0</v>
      </c>
      <c r="P104" s="20">
        <v>0</v>
      </c>
      <c r="Q104" s="20">
        <v>0</v>
      </c>
      <c r="R104" s="20">
        <v>1</v>
      </c>
      <c r="T104" s="20">
        <v>100</v>
      </c>
      <c r="AO104" s="20" t="s">
        <v>194</v>
      </c>
      <c r="AP104" s="20">
        <v>0</v>
      </c>
      <c r="CV104" s="20">
        <v>0</v>
      </c>
      <c r="CW104" s="20">
        <v>0</v>
      </c>
      <c r="CX104" s="20" t="s">
        <v>194</v>
      </c>
      <c r="CY104" s="20">
        <v>0</v>
      </c>
      <c r="DB104" s="20">
        <v>0</v>
      </c>
      <c r="DD104" s="20">
        <v>0</v>
      </c>
      <c r="DE104" s="20">
        <v>0</v>
      </c>
      <c r="DF104" s="20">
        <v>0</v>
      </c>
      <c r="DG104" s="20">
        <v>0</v>
      </c>
      <c r="DH104" s="20">
        <v>0</v>
      </c>
      <c r="DI104" s="20" t="b">
        <v>0</v>
      </c>
      <c r="DK104" s="20">
        <v>0</v>
      </c>
      <c r="DM104" s="20" t="s">
        <v>187</v>
      </c>
      <c r="DN104" s="20">
        <v>0</v>
      </c>
      <c r="DO104" s="20">
        <v>0</v>
      </c>
      <c r="DP104" s="20">
        <v>0</v>
      </c>
    </row>
    <row r="105" spans="2:120">
      <c r="B105" s="20" cm="1">
        <f t="array" ref="B105">10000000+INDEX(编号表!$B$1:$B$112,MATCH(D105,编号表!$A$1:$A$112,0))*10000+I105</f>
        <v>10600005</v>
      </c>
      <c r="C105" s="20" t="s">
        <v>221</v>
      </c>
      <c r="D105" s="20" t="s">
        <v>221</v>
      </c>
      <c r="E105" s="20" t="s">
        <v>214</v>
      </c>
      <c r="F105" s="20" t="s">
        <v>215</v>
      </c>
      <c r="G105" s="20">
        <v>1</v>
      </c>
      <c r="H105" s="20" t="b">
        <v>0</v>
      </c>
      <c r="I105" s="20">
        <v>5</v>
      </c>
      <c r="J105" s="20">
        <v>106000</v>
      </c>
      <c r="K105" s="20" t="s">
        <v>177</v>
      </c>
      <c r="L105" s="20">
        <v>10600004</v>
      </c>
      <c r="M105" s="20">
        <v>10600006</v>
      </c>
      <c r="N105" s="20" t="s">
        <v>222</v>
      </c>
      <c r="O105" s="20">
        <v>0</v>
      </c>
      <c r="P105" s="20">
        <v>0</v>
      </c>
      <c r="Q105" s="20">
        <v>0</v>
      </c>
      <c r="R105" s="20">
        <v>1</v>
      </c>
      <c r="T105" s="20">
        <v>100</v>
      </c>
      <c r="AO105" s="20" t="s">
        <v>194</v>
      </c>
      <c r="AP105" s="20">
        <v>0</v>
      </c>
      <c r="CV105" s="20">
        <v>0</v>
      </c>
      <c r="CW105" s="20">
        <v>0</v>
      </c>
      <c r="CX105" s="20" t="s">
        <v>194</v>
      </c>
      <c r="CY105" s="20">
        <v>0</v>
      </c>
      <c r="DB105" s="20">
        <v>0</v>
      </c>
      <c r="DD105" s="20">
        <v>0</v>
      </c>
      <c r="DE105" s="20">
        <v>0</v>
      </c>
      <c r="DF105" s="20">
        <v>0</v>
      </c>
      <c r="DG105" s="20">
        <v>0</v>
      </c>
      <c r="DH105" s="20">
        <v>0</v>
      </c>
      <c r="DI105" s="20" t="b">
        <v>0</v>
      </c>
      <c r="DK105" s="20">
        <v>0</v>
      </c>
      <c r="DM105" s="20" t="s">
        <v>187</v>
      </c>
      <c r="DN105" s="20">
        <v>0</v>
      </c>
      <c r="DO105" s="20">
        <v>0</v>
      </c>
      <c r="DP105" s="20">
        <v>0</v>
      </c>
    </row>
    <row r="106" spans="2:120">
      <c r="B106" s="20" cm="1">
        <f t="array" ref="B106">10000000+INDEX(编号表!$B$1:$B$112,MATCH(D106,编号表!$A$1:$A$112,0))*10000+I106</f>
        <v>10600006</v>
      </c>
      <c r="C106" s="20" t="s">
        <v>221</v>
      </c>
      <c r="D106" s="20" t="s">
        <v>221</v>
      </c>
      <c r="E106" s="20" t="s">
        <v>214</v>
      </c>
      <c r="F106" s="20" t="s">
        <v>215</v>
      </c>
      <c r="G106" s="20">
        <v>1</v>
      </c>
      <c r="H106" s="20" t="b">
        <v>0</v>
      </c>
      <c r="I106" s="20">
        <v>6</v>
      </c>
      <c r="J106" s="20">
        <v>106000</v>
      </c>
      <c r="K106" s="20" t="s">
        <v>177</v>
      </c>
      <c r="L106" s="20">
        <v>10600005</v>
      </c>
      <c r="M106" s="20">
        <v>10600007</v>
      </c>
      <c r="N106" s="20" t="s">
        <v>222</v>
      </c>
      <c r="O106" s="20">
        <v>0</v>
      </c>
      <c r="P106" s="20">
        <v>0</v>
      </c>
      <c r="Q106" s="20">
        <v>0</v>
      </c>
      <c r="R106" s="20">
        <v>1</v>
      </c>
      <c r="T106" s="20">
        <v>100</v>
      </c>
      <c r="AO106" s="20" t="s">
        <v>194</v>
      </c>
      <c r="AP106" s="20">
        <v>0</v>
      </c>
      <c r="CV106" s="20">
        <v>0</v>
      </c>
      <c r="CW106" s="20">
        <v>0</v>
      </c>
      <c r="CX106" s="20" t="s">
        <v>194</v>
      </c>
      <c r="CY106" s="20">
        <v>0</v>
      </c>
      <c r="DB106" s="20">
        <v>0</v>
      </c>
      <c r="DD106" s="20">
        <v>0</v>
      </c>
      <c r="DE106" s="20">
        <v>0</v>
      </c>
      <c r="DF106" s="20">
        <v>0</v>
      </c>
      <c r="DG106" s="20">
        <v>0</v>
      </c>
      <c r="DH106" s="20">
        <v>0</v>
      </c>
      <c r="DI106" s="20" t="b">
        <v>0</v>
      </c>
      <c r="DK106" s="20">
        <v>0</v>
      </c>
      <c r="DM106" s="20" t="s">
        <v>187</v>
      </c>
      <c r="DN106" s="20">
        <v>0</v>
      </c>
      <c r="DO106" s="20">
        <v>0</v>
      </c>
      <c r="DP106" s="20">
        <v>0</v>
      </c>
    </row>
    <row r="107" spans="2:120">
      <c r="B107" s="20" cm="1">
        <f t="array" ref="B107">10000000+INDEX(编号表!$B$1:$B$112,MATCH(D107,编号表!$A$1:$A$112,0))*10000+I107</f>
        <v>10600007</v>
      </c>
      <c r="C107" s="20" t="s">
        <v>221</v>
      </c>
      <c r="D107" s="20" t="s">
        <v>221</v>
      </c>
      <c r="E107" s="20" t="s">
        <v>214</v>
      </c>
      <c r="F107" s="20" t="s">
        <v>215</v>
      </c>
      <c r="G107" s="20">
        <v>1</v>
      </c>
      <c r="H107" s="20" t="b">
        <v>0</v>
      </c>
      <c r="I107" s="20">
        <v>7</v>
      </c>
      <c r="J107" s="20">
        <v>106000</v>
      </c>
      <c r="K107" s="20" t="s">
        <v>177</v>
      </c>
      <c r="L107" s="20">
        <v>10600006</v>
      </c>
      <c r="M107" s="20">
        <v>10600008</v>
      </c>
      <c r="N107" s="20" t="s">
        <v>222</v>
      </c>
      <c r="O107" s="20">
        <v>0</v>
      </c>
      <c r="P107" s="20">
        <v>0</v>
      </c>
      <c r="Q107" s="20">
        <v>0</v>
      </c>
      <c r="R107" s="20">
        <v>1</v>
      </c>
      <c r="T107" s="20">
        <v>100</v>
      </c>
      <c r="AO107" s="20" t="s">
        <v>194</v>
      </c>
      <c r="AP107" s="20">
        <v>0</v>
      </c>
      <c r="CV107" s="20">
        <v>0</v>
      </c>
      <c r="CW107" s="20">
        <v>0</v>
      </c>
      <c r="CX107" s="20" t="s">
        <v>194</v>
      </c>
      <c r="CY107" s="20">
        <v>0</v>
      </c>
      <c r="DB107" s="20">
        <v>0</v>
      </c>
      <c r="DD107" s="20">
        <v>0</v>
      </c>
      <c r="DE107" s="20">
        <v>0</v>
      </c>
      <c r="DF107" s="20">
        <v>0</v>
      </c>
      <c r="DG107" s="20">
        <v>0</v>
      </c>
      <c r="DH107" s="20">
        <v>0</v>
      </c>
      <c r="DI107" s="20" t="b">
        <v>0</v>
      </c>
      <c r="DK107" s="20">
        <v>0</v>
      </c>
      <c r="DM107" s="20" t="s">
        <v>187</v>
      </c>
      <c r="DN107" s="20">
        <v>0</v>
      </c>
      <c r="DO107" s="20">
        <v>0</v>
      </c>
      <c r="DP107" s="20">
        <v>0</v>
      </c>
    </row>
    <row r="108" spans="2:120">
      <c r="B108" s="20" cm="1">
        <f t="array" ref="B108">10000000+INDEX(编号表!$B$1:$B$112,MATCH(D108,编号表!$A$1:$A$112,0))*10000+I108</f>
        <v>10600008</v>
      </c>
      <c r="C108" s="20" t="s">
        <v>221</v>
      </c>
      <c r="D108" s="20" t="s">
        <v>221</v>
      </c>
      <c r="E108" s="20" t="s">
        <v>214</v>
      </c>
      <c r="F108" s="20" t="s">
        <v>215</v>
      </c>
      <c r="G108" s="20">
        <v>1</v>
      </c>
      <c r="H108" s="20" t="b">
        <v>0</v>
      </c>
      <c r="I108" s="20">
        <v>8</v>
      </c>
      <c r="J108" s="20">
        <v>106000</v>
      </c>
      <c r="K108" s="20" t="s">
        <v>177</v>
      </c>
      <c r="L108" s="20">
        <v>10600007</v>
      </c>
      <c r="M108" s="20">
        <v>10600009</v>
      </c>
      <c r="N108" s="20" t="s">
        <v>222</v>
      </c>
      <c r="O108" s="20">
        <v>0</v>
      </c>
      <c r="P108" s="20">
        <v>0</v>
      </c>
      <c r="Q108" s="20">
        <v>0</v>
      </c>
      <c r="R108" s="20">
        <v>1</v>
      </c>
      <c r="T108" s="20">
        <v>100</v>
      </c>
      <c r="AO108" s="20" t="s">
        <v>194</v>
      </c>
      <c r="AP108" s="20">
        <v>0</v>
      </c>
      <c r="CV108" s="20">
        <v>0</v>
      </c>
      <c r="CW108" s="20">
        <v>0</v>
      </c>
      <c r="CX108" s="20" t="s">
        <v>194</v>
      </c>
      <c r="CY108" s="20">
        <v>0</v>
      </c>
      <c r="DB108" s="20">
        <v>0</v>
      </c>
      <c r="DD108" s="20">
        <v>0</v>
      </c>
      <c r="DE108" s="20">
        <v>0</v>
      </c>
      <c r="DF108" s="20">
        <v>0</v>
      </c>
      <c r="DG108" s="20">
        <v>0</v>
      </c>
      <c r="DH108" s="20">
        <v>0</v>
      </c>
      <c r="DI108" s="20" t="b">
        <v>0</v>
      </c>
      <c r="DK108" s="20">
        <v>0</v>
      </c>
      <c r="DM108" s="20" t="s">
        <v>187</v>
      </c>
      <c r="DN108" s="20">
        <v>0</v>
      </c>
      <c r="DO108" s="20">
        <v>0</v>
      </c>
      <c r="DP108" s="20">
        <v>0</v>
      </c>
    </row>
    <row r="109" spans="2:120">
      <c r="B109" s="20" cm="1">
        <f t="array" ref="B109">10000000+INDEX(编号表!$B$1:$B$112,MATCH(D109,编号表!$A$1:$A$112,0))*10000+I109</f>
        <v>10600009</v>
      </c>
      <c r="C109" s="20" t="s">
        <v>221</v>
      </c>
      <c r="D109" s="20" t="s">
        <v>221</v>
      </c>
      <c r="E109" s="20" t="s">
        <v>214</v>
      </c>
      <c r="F109" s="20" t="s">
        <v>215</v>
      </c>
      <c r="G109" s="20">
        <v>1</v>
      </c>
      <c r="H109" s="20" t="b">
        <v>0</v>
      </c>
      <c r="I109" s="20">
        <v>9</v>
      </c>
      <c r="J109" s="20">
        <v>106000</v>
      </c>
      <c r="K109" s="20" t="s">
        <v>177</v>
      </c>
      <c r="L109" s="20">
        <v>10600008</v>
      </c>
      <c r="M109" s="20">
        <v>10600010</v>
      </c>
      <c r="N109" s="20" t="s">
        <v>222</v>
      </c>
      <c r="O109" s="20">
        <v>0</v>
      </c>
      <c r="P109" s="20">
        <v>0</v>
      </c>
      <c r="Q109" s="20">
        <v>0</v>
      </c>
      <c r="R109" s="20">
        <v>1</v>
      </c>
      <c r="T109" s="20">
        <v>100</v>
      </c>
      <c r="AO109" s="20" t="s">
        <v>194</v>
      </c>
      <c r="AP109" s="20">
        <v>0</v>
      </c>
      <c r="CV109" s="20">
        <v>0</v>
      </c>
      <c r="CW109" s="20">
        <v>0</v>
      </c>
      <c r="CX109" s="20" t="s">
        <v>194</v>
      </c>
      <c r="CY109" s="20">
        <v>0</v>
      </c>
      <c r="DB109" s="20">
        <v>0</v>
      </c>
      <c r="DD109" s="20">
        <v>0</v>
      </c>
      <c r="DE109" s="20">
        <v>0</v>
      </c>
      <c r="DF109" s="20">
        <v>0</v>
      </c>
      <c r="DG109" s="20">
        <v>0</v>
      </c>
      <c r="DH109" s="20">
        <v>0</v>
      </c>
      <c r="DI109" s="20" t="b">
        <v>0</v>
      </c>
      <c r="DK109" s="20">
        <v>0</v>
      </c>
      <c r="DM109" s="20" t="s">
        <v>187</v>
      </c>
      <c r="DN109" s="20">
        <v>0</v>
      </c>
      <c r="DO109" s="20">
        <v>0</v>
      </c>
      <c r="DP109" s="20">
        <v>0</v>
      </c>
    </row>
    <row r="110" spans="2:120">
      <c r="B110" s="20" cm="1">
        <f t="array" ref="B110">10000000+INDEX(编号表!$B$1:$B$112,MATCH(D110,编号表!$A$1:$A$112,0))*10000+I110</f>
        <v>10600010</v>
      </c>
      <c r="C110" s="20" t="s">
        <v>221</v>
      </c>
      <c r="D110" s="20" t="s">
        <v>221</v>
      </c>
      <c r="E110" s="20" t="s">
        <v>214</v>
      </c>
      <c r="F110" s="20" t="s">
        <v>215</v>
      </c>
      <c r="G110" s="20">
        <v>1</v>
      </c>
      <c r="H110" s="20" t="b">
        <v>0</v>
      </c>
      <c r="I110" s="20">
        <v>10</v>
      </c>
      <c r="J110" s="20">
        <v>106000</v>
      </c>
      <c r="K110" s="20" t="s">
        <v>177</v>
      </c>
      <c r="L110" s="20">
        <v>10600009</v>
      </c>
      <c r="N110" s="20" t="s">
        <v>222</v>
      </c>
      <c r="O110" s="20">
        <v>0</v>
      </c>
      <c r="P110" s="20">
        <v>0</v>
      </c>
      <c r="Q110" s="20">
        <v>0</v>
      </c>
      <c r="R110" s="20">
        <v>1</v>
      </c>
      <c r="T110" s="20">
        <v>100</v>
      </c>
      <c r="AO110" s="20" t="s">
        <v>194</v>
      </c>
      <c r="AP110" s="20">
        <v>0</v>
      </c>
      <c r="CV110" s="20">
        <v>0</v>
      </c>
      <c r="CW110" s="20">
        <v>0</v>
      </c>
      <c r="CX110" s="20" t="s">
        <v>194</v>
      </c>
      <c r="CY110" s="20">
        <v>0</v>
      </c>
      <c r="DB110" s="20">
        <v>0</v>
      </c>
      <c r="DD110" s="20">
        <v>0</v>
      </c>
      <c r="DE110" s="20">
        <v>0</v>
      </c>
      <c r="DF110" s="20">
        <v>0</v>
      </c>
      <c r="DG110" s="20">
        <v>0</v>
      </c>
      <c r="DH110" s="20">
        <v>0</v>
      </c>
      <c r="DI110" s="20" t="b">
        <v>0</v>
      </c>
      <c r="DK110" s="20">
        <v>0</v>
      </c>
      <c r="DM110" s="20" t="s">
        <v>187</v>
      </c>
      <c r="DN110" s="20">
        <v>0</v>
      </c>
      <c r="DO110" s="20">
        <v>0</v>
      </c>
      <c r="DP110" s="20">
        <v>0</v>
      </c>
    </row>
    <row r="111" spans="2:120">
      <c r="B111" s="20" cm="1">
        <f t="array" ref="B111">10000000+INDEX(编号表!$B$1:$B$112,MATCH(D111,编号表!$A$1:$A$112,0))*10000+I111</f>
        <v>10610001</v>
      </c>
      <c r="C111" s="20" t="s">
        <v>223</v>
      </c>
      <c r="D111" s="20" t="s">
        <v>223</v>
      </c>
      <c r="E111" s="20" t="s">
        <v>214</v>
      </c>
      <c r="F111" s="20" t="s">
        <v>215</v>
      </c>
      <c r="G111" s="20">
        <v>1</v>
      </c>
      <c r="H111" s="20" t="b">
        <v>0</v>
      </c>
      <c r="I111" s="20">
        <v>1</v>
      </c>
      <c r="J111" s="20">
        <v>106100</v>
      </c>
      <c r="K111" s="20" t="s">
        <v>177</v>
      </c>
      <c r="M111" s="20">
        <v>10610002</v>
      </c>
      <c r="N111" s="20" t="s">
        <v>224</v>
      </c>
      <c r="O111" s="20">
        <v>0</v>
      </c>
      <c r="P111" s="20">
        <v>0</v>
      </c>
      <c r="Q111" s="20">
        <v>0</v>
      </c>
      <c r="R111" s="20">
        <v>1</v>
      </c>
      <c r="T111" s="20">
        <v>100</v>
      </c>
      <c r="AO111" s="20" t="s">
        <v>194</v>
      </c>
      <c r="AP111" s="20">
        <v>0</v>
      </c>
      <c r="CV111" s="20">
        <v>0</v>
      </c>
      <c r="CW111" s="20">
        <v>0</v>
      </c>
      <c r="CX111" s="20" t="s">
        <v>194</v>
      </c>
      <c r="CY111" s="20">
        <v>0</v>
      </c>
      <c r="DB111" s="20">
        <v>0</v>
      </c>
      <c r="DD111" s="20">
        <v>0</v>
      </c>
      <c r="DE111" s="20">
        <v>0</v>
      </c>
      <c r="DF111" s="20">
        <v>0</v>
      </c>
      <c r="DG111" s="20">
        <v>0</v>
      </c>
      <c r="DH111" s="20">
        <v>0</v>
      </c>
      <c r="DI111" s="20" t="b">
        <v>0</v>
      </c>
      <c r="DK111" s="20">
        <v>0</v>
      </c>
      <c r="DM111" s="20" t="s">
        <v>187</v>
      </c>
      <c r="DN111" s="20">
        <v>0</v>
      </c>
      <c r="DO111" s="20">
        <v>0</v>
      </c>
      <c r="DP111" s="20">
        <v>0</v>
      </c>
    </row>
    <row r="112" spans="2:120">
      <c r="B112" s="20" cm="1">
        <f t="array" ref="B112">10000000+INDEX(编号表!$B$1:$B$112,MATCH(D112,编号表!$A$1:$A$112,0))*10000+I112</f>
        <v>10610002</v>
      </c>
      <c r="C112" s="20" t="s">
        <v>223</v>
      </c>
      <c r="D112" s="20" t="s">
        <v>223</v>
      </c>
      <c r="E112" s="20" t="s">
        <v>214</v>
      </c>
      <c r="F112" s="20" t="s">
        <v>215</v>
      </c>
      <c r="G112" s="20">
        <v>1</v>
      </c>
      <c r="H112" s="20" t="b">
        <v>0</v>
      </c>
      <c r="I112" s="20">
        <v>2</v>
      </c>
      <c r="J112" s="20">
        <v>106100</v>
      </c>
      <c r="K112" s="20" t="s">
        <v>177</v>
      </c>
      <c r="L112" s="20">
        <v>10610001</v>
      </c>
      <c r="M112" s="20">
        <v>10610003</v>
      </c>
      <c r="N112" s="20" t="s">
        <v>224</v>
      </c>
      <c r="O112" s="20">
        <v>0</v>
      </c>
      <c r="P112" s="20">
        <v>0</v>
      </c>
      <c r="Q112" s="20">
        <v>0</v>
      </c>
      <c r="R112" s="20">
        <v>1</v>
      </c>
      <c r="T112" s="20">
        <v>100</v>
      </c>
      <c r="AO112" s="20" t="s">
        <v>194</v>
      </c>
      <c r="AP112" s="20">
        <v>0</v>
      </c>
      <c r="CV112" s="20">
        <v>0</v>
      </c>
      <c r="CW112" s="20">
        <v>0</v>
      </c>
      <c r="CX112" s="20" t="s">
        <v>194</v>
      </c>
      <c r="CY112" s="20">
        <v>0</v>
      </c>
      <c r="DB112" s="20">
        <v>0</v>
      </c>
      <c r="DD112" s="20">
        <v>0</v>
      </c>
      <c r="DE112" s="20">
        <v>0</v>
      </c>
      <c r="DF112" s="20">
        <v>0</v>
      </c>
      <c r="DG112" s="20">
        <v>0</v>
      </c>
      <c r="DH112" s="20">
        <v>0</v>
      </c>
      <c r="DI112" s="20" t="b">
        <v>0</v>
      </c>
      <c r="DK112" s="20">
        <v>0</v>
      </c>
      <c r="DM112" s="20" t="s">
        <v>187</v>
      </c>
      <c r="DN112" s="20">
        <v>0</v>
      </c>
      <c r="DO112" s="20">
        <v>0</v>
      </c>
      <c r="DP112" s="20">
        <v>0</v>
      </c>
    </row>
    <row r="113" spans="2:120">
      <c r="B113" s="20" cm="1">
        <f t="array" ref="B113">10000000+INDEX(编号表!$B$1:$B$112,MATCH(D113,编号表!$A$1:$A$112,0))*10000+I113</f>
        <v>10610003</v>
      </c>
      <c r="C113" s="20" t="s">
        <v>223</v>
      </c>
      <c r="D113" s="20" t="s">
        <v>223</v>
      </c>
      <c r="E113" s="20" t="s">
        <v>214</v>
      </c>
      <c r="F113" s="20" t="s">
        <v>215</v>
      </c>
      <c r="G113" s="20">
        <v>1</v>
      </c>
      <c r="H113" s="20" t="b">
        <v>0</v>
      </c>
      <c r="I113" s="20">
        <v>3</v>
      </c>
      <c r="J113" s="20">
        <v>106100</v>
      </c>
      <c r="K113" s="20" t="s">
        <v>177</v>
      </c>
      <c r="L113" s="20">
        <v>10610002</v>
      </c>
      <c r="M113" s="20">
        <v>10610004</v>
      </c>
      <c r="N113" s="20" t="s">
        <v>224</v>
      </c>
      <c r="O113" s="20">
        <v>0</v>
      </c>
      <c r="P113" s="20">
        <v>0</v>
      </c>
      <c r="Q113" s="20">
        <v>0</v>
      </c>
      <c r="R113" s="20">
        <v>1</v>
      </c>
      <c r="T113" s="20">
        <v>100</v>
      </c>
      <c r="AO113" s="20" t="s">
        <v>194</v>
      </c>
      <c r="AP113" s="20">
        <v>0</v>
      </c>
      <c r="CV113" s="20">
        <v>0</v>
      </c>
      <c r="CW113" s="20">
        <v>0</v>
      </c>
      <c r="CX113" s="20" t="s">
        <v>194</v>
      </c>
      <c r="CY113" s="20">
        <v>0</v>
      </c>
      <c r="DB113" s="20">
        <v>0</v>
      </c>
      <c r="DD113" s="20">
        <v>0</v>
      </c>
      <c r="DE113" s="20">
        <v>0</v>
      </c>
      <c r="DF113" s="20">
        <v>0</v>
      </c>
      <c r="DG113" s="20">
        <v>0</v>
      </c>
      <c r="DH113" s="20">
        <v>0</v>
      </c>
      <c r="DI113" s="20" t="b">
        <v>0</v>
      </c>
      <c r="DK113" s="20">
        <v>0</v>
      </c>
      <c r="DM113" s="20" t="s">
        <v>187</v>
      </c>
      <c r="DN113" s="20">
        <v>0</v>
      </c>
      <c r="DO113" s="20">
        <v>0</v>
      </c>
      <c r="DP113" s="20">
        <v>0</v>
      </c>
    </row>
    <row r="114" spans="2:120">
      <c r="B114" s="20" cm="1">
        <f t="array" ref="B114">10000000+INDEX(编号表!$B$1:$B$112,MATCH(D114,编号表!$A$1:$A$112,0))*10000+I114</f>
        <v>10610004</v>
      </c>
      <c r="C114" s="20" t="s">
        <v>223</v>
      </c>
      <c r="D114" s="20" t="s">
        <v>223</v>
      </c>
      <c r="E114" s="20" t="s">
        <v>214</v>
      </c>
      <c r="F114" s="20" t="s">
        <v>215</v>
      </c>
      <c r="G114" s="20">
        <v>1</v>
      </c>
      <c r="H114" s="20" t="b">
        <v>0</v>
      </c>
      <c r="I114" s="20">
        <v>4</v>
      </c>
      <c r="J114" s="20">
        <v>106100</v>
      </c>
      <c r="K114" s="20" t="s">
        <v>177</v>
      </c>
      <c r="L114" s="20">
        <v>10610003</v>
      </c>
      <c r="M114" s="20">
        <v>10610005</v>
      </c>
      <c r="N114" s="20" t="s">
        <v>224</v>
      </c>
      <c r="O114" s="20">
        <v>0</v>
      </c>
      <c r="P114" s="20">
        <v>0</v>
      </c>
      <c r="Q114" s="20">
        <v>0</v>
      </c>
      <c r="R114" s="20">
        <v>1</v>
      </c>
      <c r="T114" s="20">
        <v>100</v>
      </c>
      <c r="AO114" s="20" t="s">
        <v>194</v>
      </c>
      <c r="AP114" s="20">
        <v>0</v>
      </c>
      <c r="CV114" s="20">
        <v>0</v>
      </c>
      <c r="CW114" s="20">
        <v>0</v>
      </c>
      <c r="CX114" s="20" t="s">
        <v>194</v>
      </c>
      <c r="CY114" s="20">
        <v>0</v>
      </c>
      <c r="DB114" s="20">
        <v>0</v>
      </c>
      <c r="DD114" s="20">
        <v>0</v>
      </c>
      <c r="DE114" s="20">
        <v>0</v>
      </c>
      <c r="DF114" s="20">
        <v>0</v>
      </c>
      <c r="DG114" s="20">
        <v>0</v>
      </c>
      <c r="DH114" s="20">
        <v>0</v>
      </c>
      <c r="DI114" s="20" t="b">
        <v>0</v>
      </c>
      <c r="DK114" s="20">
        <v>0</v>
      </c>
      <c r="DM114" s="20" t="s">
        <v>187</v>
      </c>
      <c r="DN114" s="20">
        <v>0</v>
      </c>
      <c r="DO114" s="20">
        <v>0</v>
      </c>
      <c r="DP114" s="20">
        <v>0</v>
      </c>
    </row>
    <row r="115" spans="2:120">
      <c r="B115" s="20" cm="1">
        <f t="array" ref="B115">10000000+INDEX(编号表!$B$1:$B$112,MATCH(D115,编号表!$A$1:$A$112,0))*10000+I115</f>
        <v>10610005</v>
      </c>
      <c r="C115" s="20" t="s">
        <v>223</v>
      </c>
      <c r="D115" s="20" t="s">
        <v>223</v>
      </c>
      <c r="E115" s="20" t="s">
        <v>214</v>
      </c>
      <c r="F115" s="20" t="s">
        <v>215</v>
      </c>
      <c r="G115" s="20">
        <v>1</v>
      </c>
      <c r="H115" s="20" t="b">
        <v>0</v>
      </c>
      <c r="I115" s="20">
        <v>5</v>
      </c>
      <c r="J115" s="20">
        <v>106100</v>
      </c>
      <c r="K115" s="20" t="s">
        <v>177</v>
      </c>
      <c r="L115" s="20">
        <v>10610004</v>
      </c>
      <c r="M115" s="20">
        <v>10610006</v>
      </c>
      <c r="N115" s="20" t="s">
        <v>224</v>
      </c>
      <c r="O115" s="20">
        <v>0</v>
      </c>
      <c r="P115" s="20">
        <v>0</v>
      </c>
      <c r="Q115" s="20">
        <v>0</v>
      </c>
      <c r="R115" s="20">
        <v>1</v>
      </c>
      <c r="T115" s="20">
        <v>100</v>
      </c>
      <c r="AO115" s="20" t="s">
        <v>194</v>
      </c>
      <c r="AP115" s="20">
        <v>0</v>
      </c>
      <c r="CV115" s="20">
        <v>0</v>
      </c>
      <c r="CW115" s="20">
        <v>0</v>
      </c>
      <c r="CX115" s="20" t="s">
        <v>194</v>
      </c>
      <c r="CY115" s="20">
        <v>0</v>
      </c>
      <c r="DB115" s="20">
        <v>0</v>
      </c>
      <c r="DD115" s="20">
        <v>0</v>
      </c>
      <c r="DE115" s="20">
        <v>0</v>
      </c>
      <c r="DF115" s="20">
        <v>0</v>
      </c>
      <c r="DG115" s="20">
        <v>0</v>
      </c>
      <c r="DH115" s="20">
        <v>0</v>
      </c>
      <c r="DI115" s="20" t="b">
        <v>0</v>
      </c>
      <c r="DK115" s="20">
        <v>0</v>
      </c>
      <c r="DM115" s="20" t="s">
        <v>187</v>
      </c>
      <c r="DN115" s="20">
        <v>0</v>
      </c>
      <c r="DO115" s="20">
        <v>0</v>
      </c>
      <c r="DP115" s="20">
        <v>0</v>
      </c>
    </row>
    <row r="116" spans="2:120">
      <c r="B116" s="20" cm="1">
        <f t="array" ref="B116">10000000+INDEX(编号表!$B$1:$B$112,MATCH(D116,编号表!$A$1:$A$112,0))*10000+I116</f>
        <v>10610006</v>
      </c>
      <c r="C116" s="20" t="s">
        <v>223</v>
      </c>
      <c r="D116" s="20" t="s">
        <v>223</v>
      </c>
      <c r="E116" s="20" t="s">
        <v>214</v>
      </c>
      <c r="F116" s="20" t="s">
        <v>215</v>
      </c>
      <c r="G116" s="20">
        <v>1</v>
      </c>
      <c r="H116" s="20" t="b">
        <v>0</v>
      </c>
      <c r="I116" s="20">
        <v>6</v>
      </c>
      <c r="J116" s="20">
        <v>106100</v>
      </c>
      <c r="K116" s="20" t="s">
        <v>177</v>
      </c>
      <c r="L116" s="20">
        <v>10610005</v>
      </c>
      <c r="M116" s="20">
        <v>10610007</v>
      </c>
      <c r="N116" s="20" t="s">
        <v>224</v>
      </c>
      <c r="O116" s="20">
        <v>0</v>
      </c>
      <c r="P116" s="20">
        <v>0</v>
      </c>
      <c r="Q116" s="20">
        <v>0</v>
      </c>
      <c r="R116" s="20">
        <v>1</v>
      </c>
      <c r="T116" s="20">
        <v>100</v>
      </c>
      <c r="AO116" s="20" t="s">
        <v>194</v>
      </c>
      <c r="AP116" s="20">
        <v>0</v>
      </c>
      <c r="CV116" s="20">
        <v>0</v>
      </c>
      <c r="CW116" s="20">
        <v>0</v>
      </c>
      <c r="CX116" s="20" t="s">
        <v>194</v>
      </c>
      <c r="CY116" s="20">
        <v>0</v>
      </c>
      <c r="DB116" s="20">
        <v>0</v>
      </c>
      <c r="DD116" s="20">
        <v>0</v>
      </c>
      <c r="DE116" s="20">
        <v>0</v>
      </c>
      <c r="DF116" s="20">
        <v>0</v>
      </c>
      <c r="DG116" s="20">
        <v>0</v>
      </c>
      <c r="DH116" s="20">
        <v>0</v>
      </c>
      <c r="DI116" s="20" t="b">
        <v>0</v>
      </c>
      <c r="DK116" s="20">
        <v>0</v>
      </c>
      <c r="DM116" s="20" t="s">
        <v>187</v>
      </c>
      <c r="DN116" s="20">
        <v>0</v>
      </c>
      <c r="DO116" s="20">
        <v>0</v>
      </c>
      <c r="DP116" s="20">
        <v>0</v>
      </c>
    </row>
    <row r="117" spans="2:120">
      <c r="B117" s="20" cm="1">
        <f t="array" ref="B117">10000000+INDEX(编号表!$B$1:$B$112,MATCH(D117,编号表!$A$1:$A$112,0))*10000+I117</f>
        <v>10610007</v>
      </c>
      <c r="C117" s="20" t="s">
        <v>223</v>
      </c>
      <c r="D117" s="20" t="s">
        <v>223</v>
      </c>
      <c r="E117" s="20" t="s">
        <v>214</v>
      </c>
      <c r="F117" s="20" t="s">
        <v>215</v>
      </c>
      <c r="G117" s="20">
        <v>1</v>
      </c>
      <c r="H117" s="20" t="b">
        <v>0</v>
      </c>
      <c r="I117" s="20">
        <v>7</v>
      </c>
      <c r="J117" s="20">
        <v>106100</v>
      </c>
      <c r="K117" s="20" t="s">
        <v>177</v>
      </c>
      <c r="L117" s="20">
        <v>10610006</v>
      </c>
      <c r="M117" s="20">
        <v>10610008</v>
      </c>
      <c r="N117" s="20" t="s">
        <v>224</v>
      </c>
      <c r="O117" s="20">
        <v>0</v>
      </c>
      <c r="P117" s="20">
        <v>0</v>
      </c>
      <c r="Q117" s="20">
        <v>0</v>
      </c>
      <c r="R117" s="20">
        <v>1</v>
      </c>
      <c r="T117" s="20">
        <v>100</v>
      </c>
      <c r="AO117" s="20" t="s">
        <v>194</v>
      </c>
      <c r="AP117" s="20">
        <v>0</v>
      </c>
      <c r="CV117" s="20">
        <v>0</v>
      </c>
      <c r="CW117" s="20">
        <v>0</v>
      </c>
      <c r="CX117" s="20" t="s">
        <v>194</v>
      </c>
      <c r="CY117" s="20">
        <v>0</v>
      </c>
      <c r="DB117" s="20">
        <v>0</v>
      </c>
      <c r="DD117" s="20">
        <v>0</v>
      </c>
      <c r="DE117" s="20">
        <v>0</v>
      </c>
      <c r="DF117" s="20">
        <v>0</v>
      </c>
      <c r="DG117" s="20">
        <v>0</v>
      </c>
      <c r="DH117" s="20">
        <v>0</v>
      </c>
      <c r="DI117" s="20" t="b">
        <v>0</v>
      </c>
      <c r="DK117" s="20">
        <v>0</v>
      </c>
      <c r="DM117" s="20" t="s">
        <v>187</v>
      </c>
      <c r="DN117" s="20">
        <v>0</v>
      </c>
      <c r="DO117" s="20">
        <v>0</v>
      </c>
      <c r="DP117" s="20">
        <v>0</v>
      </c>
    </row>
    <row r="118" spans="2:120">
      <c r="B118" s="20" cm="1">
        <f t="array" ref="B118">10000000+INDEX(编号表!$B$1:$B$112,MATCH(D118,编号表!$A$1:$A$112,0))*10000+I118</f>
        <v>10610008</v>
      </c>
      <c r="C118" s="20" t="s">
        <v>223</v>
      </c>
      <c r="D118" s="20" t="s">
        <v>223</v>
      </c>
      <c r="E118" s="20" t="s">
        <v>214</v>
      </c>
      <c r="F118" s="20" t="s">
        <v>215</v>
      </c>
      <c r="G118" s="20">
        <v>1</v>
      </c>
      <c r="H118" s="20" t="b">
        <v>0</v>
      </c>
      <c r="I118" s="20">
        <v>8</v>
      </c>
      <c r="J118" s="20">
        <v>106100</v>
      </c>
      <c r="K118" s="20" t="s">
        <v>177</v>
      </c>
      <c r="L118" s="20">
        <v>10610007</v>
      </c>
      <c r="M118" s="20">
        <v>10610009</v>
      </c>
      <c r="N118" s="20" t="s">
        <v>224</v>
      </c>
      <c r="O118" s="20">
        <v>0</v>
      </c>
      <c r="P118" s="20">
        <v>0</v>
      </c>
      <c r="Q118" s="20">
        <v>0</v>
      </c>
      <c r="R118" s="20">
        <v>1</v>
      </c>
      <c r="T118" s="20">
        <v>100</v>
      </c>
      <c r="AO118" s="20" t="s">
        <v>194</v>
      </c>
      <c r="AP118" s="20">
        <v>0</v>
      </c>
      <c r="CV118" s="20">
        <v>0</v>
      </c>
      <c r="CW118" s="20">
        <v>0</v>
      </c>
      <c r="CX118" s="20" t="s">
        <v>194</v>
      </c>
      <c r="CY118" s="20">
        <v>0</v>
      </c>
      <c r="DB118" s="20">
        <v>0</v>
      </c>
      <c r="DD118" s="20">
        <v>0</v>
      </c>
      <c r="DE118" s="20">
        <v>0</v>
      </c>
      <c r="DF118" s="20">
        <v>0</v>
      </c>
      <c r="DG118" s="20">
        <v>0</v>
      </c>
      <c r="DH118" s="20">
        <v>0</v>
      </c>
      <c r="DI118" s="20" t="b">
        <v>0</v>
      </c>
      <c r="DK118" s="20">
        <v>0</v>
      </c>
      <c r="DM118" s="20" t="s">
        <v>187</v>
      </c>
      <c r="DN118" s="20">
        <v>0</v>
      </c>
      <c r="DO118" s="20">
        <v>0</v>
      </c>
      <c r="DP118" s="20">
        <v>0</v>
      </c>
    </row>
    <row r="119" spans="2:120">
      <c r="B119" s="20" cm="1">
        <f t="array" ref="B119">10000000+INDEX(编号表!$B$1:$B$112,MATCH(D119,编号表!$A$1:$A$112,0))*10000+I119</f>
        <v>10610009</v>
      </c>
      <c r="C119" s="20" t="s">
        <v>223</v>
      </c>
      <c r="D119" s="20" t="s">
        <v>223</v>
      </c>
      <c r="E119" s="20" t="s">
        <v>214</v>
      </c>
      <c r="F119" s="20" t="s">
        <v>215</v>
      </c>
      <c r="G119" s="20">
        <v>1</v>
      </c>
      <c r="H119" s="20" t="b">
        <v>0</v>
      </c>
      <c r="I119" s="20">
        <v>9</v>
      </c>
      <c r="J119" s="20">
        <v>106100</v>
      </c>
      <c r="K119" s="20" t="s">
        <v>177</v>
      </c>
      <c r="L119" s="20">
        <v>10610008</v>
      </c>
      <c r="M119" s="20">
        <v>10610010</v>
      </c>
      <c r="N119" s="20" t="s">
        <v>224</v>
      </c>
      <c r="O119" s="20">
        <v>0</v>
      </c>
      <c r="P119" s="20">
        <v>0</v>
      </c>
      <c r="Q119" s="20">
        <v>0</v>
      </c>
      <c r="R119" s="20">
        <v>1</v>
      </c>
      <c r="T119" s="20">
        <v>100</v>
      </c>
      <c r="AO119" s="20" t="s">
        <v>194</v>
      </c>
      <c r="AP119" s="20">
        <v>0</v>
      </c>
      <c r="CV119" s="20">
        <v>0</v>
      </c>
      <c r="CW119" s="20">
        <v>0</v>
      </c>
      <c r="CX119" s="20" t="s">
        <v>194</v>
      </c>
      <c r="CY119" s="20">
        <v>0</v>
      </c>
      <c r="DB119" s="20">
        <v>0</v>
      </c>
      <c r="DD119" s="20">
        <v>0</v>
      </c>
      <c r="DE119" s="20">
        <v>0</v>
      </c>
      <c r="DF119" s="20">
        <v>0</v>
      </c>
      <c r="DG119" s="20">
        <v>0</v>
      </c>
      <c r="DH119" s="20">
        <v>0</v>
      </c>
      <c r="DI119" s="20" t="b">
        <v>0</v>
      </c>
      <c r="DK119" s="20">
        <v>0</v>
      </c>
      <c r="DM119" s="20" t="s">
        <v>187</v>
      </c>
      <c r="DN119" s="20">
        <v>0</v>
      </c>
      <c r="DO119" s="20">
        <v>0</v>
      </c>
      <c r="DP119" s="20">
        <v>0</v>
      </c>
    </row>
    <row r="120" spans="2:120">
      <c r="B120" s="20" cm="1">
        <f t="array" ref="B120">10000000+INDEX(编号表!$B$1:$B$112,MATCH(D120,编号表!$A$1:$A$112,0))*10000+I120</f>
        <v>10610010</v>
      </c>
      <c r="C120" s="20" t="s">
        <v>223</v>
      </c>
      <c r="D120" s="20" t="s">
        <v>223</v>
      </c>
      <c r="E120" s="20" t="s">
        <v>214</v>
      </c>
      <c r="F120" s="20" t="s">
        <v>215</v>
      </c>
      <c r="G120" s="20">
        <v>1</v>
      </c>
      <c r="H120" s="20" t="b">
        <v>0</v>
      </c>
      <c r="I120" s="20">
        <v>10</v>
      </c>
      <c r="J120" s="20">
        <v>106100</v>
      </c>
      <c r="K120" s="20" t="s">
        <v>177</v>
      </c>
      <c r="L120" s="20">
        <v>10610009</v>
      </c>
      <c r="N120" s="20" t="s">
        <v>224</v>
      </c>
      <c r="O120" s="20">
        <v>0</v>
      </c>
      <c r="P120" s="20">
        <v>0</v>
      </c>
      <c r="Q120" s="20">
        <v>0</v>
      </c>
      <c r="R120" s="20">
        <v>1</v>
      </c>
      <c r="T120" s="20">
        <v>100</v>
      </c>
      <c r="AO120" s="20" t="s">
        <v>194</v>
      </c>
      <c r="AP120" s="20">
        <v>0</v>
      </c>
      <c r="CV120" s="20">
        <v>0</v>
      </c>
      <c r="CW120" s="20">
        <v>0</v>
      </c>
      <c r="CX120" s="20" t="s">
        <v>194</v>
      </c>
      <c r="CY120" s="20">
        <v>0</v>
      </c>
      <c r="DB120" s="20">
        <v>0</v>
      </c>
      <c r="DD120" s="20">
        <v>0</v>
      </c>
      <c r="DE120" s="20">
        <v>0</v>
      </c>
      <c r="DF120" s="20">
        <v>0</v>
      </c>
      <c r="DG120" s="20">
        <v>0</v>
      </c>
      <c r="DH120" s="20">
        <v>0</v>
      </c>
      <c r="DI120" s="20" t="b">
        <v>0</v>
      </c>
      <c r="DK120" s="20">
        <v>0</v>
      </c>
      <c r="DM120" s="20" t="s">
        <v>187</v>
      </c>
      <c r="DN120" s="20">
        <v>0</v>
      </c>
      <c r="DO120" s="20">
        <v>0</v>
      </c>
      <c r="DP120" s="20">
        <v>0</v>
      </c>
    </row>
    <row r="121" spans="2:120">
      <c r="B121" s="20" cm="1">
        <f t="array" ref="B121">10000000+INDEX(编号表!$B$1:$B$112,MATCH(D121,编号表!$A$1:$A$112,0))*10000+I121</f>
        <v>10620001</v>
      </c>
      <c r="C121" s="20" t="s">
        <v>225</v>
      </c>
      <c r="D121" s="20" t="s">
        <v>225</v>
      </c>
      <c r="E121" s="20" t="s">
        <v>214</v>
      </c>
      <c r="F121" s="20" t="s">
        <v>215</v>
      </c>
      <c r="G121" s="20">
        <v>1</v>
      </c>
      <c r="H121" s="20" t="b">
        <v>0</v>
      </c>
      <c r="I121" s="20">
        <v>1</v>
      </c>
      <c r="J121" s="20">
        <v>106200</v>
      </c>
      <c r="K121" s="20" t="s">
        <v>177</v>
      </c>
      <c r="M121" s="20">
        <v>10620002</v>
      </c>
      <c r="N121" s="20" t="s">
        <v>226</v>
      </c>
      <c r="O121" s="20">
        <v>0</v>
      </c>
      <c r="P121" s="20">
        <v>0</v>
      </c>
      <c r="Q121" s="20">
        <v>0</v>
      </c>
      <c r="R121" s="20">
        <v>1</v>
      </c>
      <c r="T121" s="20">
        <v>100</v>
      </c>
      <c r="AO121" s="20" t="s">
        <v>194</v>
      </c>
      <c r="AP121" s="20">
        <v>0</v>
      </c>
      <c r="CV121" s="20">
        <v>0</v>
      </c>
      <c r="CW121" s="20">
        <v>0</v>
      </c>
      <c r="CX121" s="20" t="s">
        <v>194</v>
      </c>
      <c r="CY121" s="20">
        <v>0</v>
      </c>
      <c r="DB121" s="20">
        <v>0</v>
      </c>
      <c r="DD121" s="20">
        <v>0</v>
      </c>
      <c r="DE121" s="20">
        <v>0</v>
      </c>
      <c r="DF121" s="20">
        <v>0</v>
      </c>
      <c r="DG121" s="20">
        <v>0</v>
      </c>
      <c r="DH121" s="20">
        <v>0</v>
      </c>
      <c r="DI121" s="20" t="b">
        <v>0</v>
      </c>
      <c r="DK121" s="20">
        <v>0</v>
      </c>
      <c r="DM121" s="20" t="s">
        <v>187</v>
      </c>
      <c r="DN121" s="20">
        <v>0</v>
      </c>
      <c r="DO121" s="20">
        <v>0</v>
      </c>
      <c r="DP121" s="20">
        <v>0</v>
      </c>
    </row>
    <row r="122" spans="2:120">
      <c r="B122" s="20" cm="1">
        <f t="array" ref="B122">10000000+INDEX(编号表!$B$1:$B$112,MATCH(D122,编号表!$A$1:$A$112,0))*10000+I122</f>
        <v>10620002</v>
      </c>
      <c r="C122" s="20" t="s">
        <v>225</v>
      </c>
      <c r="D122" s="20" t="s">
        <v>225</v>
      </c>
      <c r="E122" s="20" t="s">
        <v>214</v>
      </c>
      <c r="F122" s="20" t="s">
        <v>215</v>
      </c>
      <c r="G122" s="20">
        <v>1</v>
      </c>
      <c r="H122" s="20" t="b">
        <v>0</v>
      </c>
      <c r="I122" s="20">
        <v>2</v>
      </c>
      <c r="J122" s="20">
        <v>106200</v>
      </c>
      <c r="K122" s="20" t="s">
        <v>177</v>
      </c>
      <c r="L122" s="20">
        <v>10620001</v>
      </c>
      <c r="M122" s="20">
        <v>10620003</v>
      </c>
      <c r="N122" s="20" t="s">
        <v>226</v>
      </c>
      <c r="O122" s="20">
        <v>0</v>
      </c>
      <c r="P122" s="20">
        <v>0</v>
      </c>
      <c r="Q122" s="20">
        <v>0</v>
      </c>
      <c r="R122" s="20">
        <v>1</v>
      </c>
      <c r="T122" s="20">
        <v>100</v>
      </c>
      <c r="AO122" s="20" t="s">
        <v>194</v>
      </c>
      <c r="AP122" s="20">
        <v>0</v>
      </c>
      <c r="CV122" s="20">
        <v>0</v>
      </c>
      <c r="CW122" s="20">
        <v>0</v>
      </c>
      <c r="CX122" s="20" t="s">
        <v>194</v>
      </c>
      <c r="CY122" s="20">
        <v>0</v>
      </c>
      <c r="DB122" s="20">
        <v>0</v>
      </c>
      <c r="DD122" s="20">
        <v>0</v>
      </c>
      <c r="DE122" s="20">
        <v>0</v>
      </c>
      <c r="DF122" s="20">
        <v>0</v>
      </c>
      <c r="DG122" s="20">
        <v>0</v>
      </c>
      <c r="DH122" s="20">
        <v>0</v>
      </c>
      <c r="DI122" s="20" t="b">
        <v>0</v>
      </c>
      <c r="DK122" s="20">
        <v>0</v>
      </c>
      <c r="DM122" s="20" t="s">
        <v>187</v>
      </c>
      <c r="DN122" s="20">
        <v>0</v>
      </c>
      <c r="DO122" s="20">
        <v>0</v>
      </c>
      <c r="DP122" s="20">
        <v>0</v>
      </c>
    </row>
    <row r="123" spans="2:120">
      <c r="B123" s="20" cm="1">
        <f t="array" ref="B123">10000000+INDEX(编号表!$B$1:$B$112,MATCH(D123,编号表!$A$1:$A$112,0))*10000+I123</f>
        <v>10620003</v>
      </c>
      <c r="C123" s="20" t="s">
        <v>225</v>
      </c>
      <c r="D123" s="20" t="s">
        <v>225</v>
      </c>
      <c r="E123" s="20" t="s">
        <v>214</v>
      </c>
      <c r="F123" s="20" t="s">
        <v>215</v>
      </c>
      <c r="G123" s="20">
        <v>1</v>
      </c>
      <c r="H123" s="20" t="b">
        <v>0</v>
      </c>
      <c r="I123" s="20">
        <v>3</v>
      </c>
      <c r="J123" s="20">
        <v>106200</v>
      </c>
      <c r="K123" s="20" t="s">
        <v>177</v>
      </c>
      <c r="L123" s="20">
        <v>10620002</v>
      </c>
      <c r="M123" s="20">
        <v>10620004</v>
      </c>
      <c r="N123" s="20" t="s">
        <v>226</v>
      </c>
      <c r="O123" s="20">
        <v>0</v>
      </c>
      <c r="P123" s="20">
        <v>0</v>
      </c>
      <c r="Q123" s="20">
        <v>0</v>
      </c>
      <c r="R123" s="20">
        <v>1</v>
      </c>
      <c r="T123" s="20">
        <v>100</v>
      </c>
      <c r="AO123" s="20" t="s">
        <v>194</v>
      </c>
      <c r="AP123" s="20">
        <v>0</v>
      </c>
      <c r="CV123" s="20">
        <v>0</v>
      </c>
      <c r="CW123" s="20">
        <v>0</v>
      </c>
      <c r="CX123" s="20" t="s">
        <v>194</v>
      </c>
      <c r="CY123" s="20">
        <v>0</v>
      </c>
      <c r="DB123" s="20">
        <v>0</v>
      </c>
      <c r="DD123" s="20">
        <v>0</v>
      </c>
      <c r="DE123" s="20">
        <v>0</v>
      </c>
      <c r="DF123" s="20">
        <v>0</v>
      </c>
      <c r="DG123" s="20">
        <v>0</v>
      </c>
      <c r="DH123" s="20">
        <v>0</v>
      </c>
      <c r="DI123" s="20" t="b">
        <v>0</v>
      </c>
      <c r="DK123" s="20">
        <v>0</v>
      </c>
      <c r="DM123" s="20" t="s">
        <v>187</v>
      </c>
      <c r="DN123" s="20">
        <v>0</v>
      </c>
      <c r="DO123" s="20">
        <v>0</v>
      </c>
      <c r="DP123" s="20">
        <v>0</v>
      </c>
    </row>
    <row r="124" spans="2:120">
      <c r="B124" s="20" cm="1">
        <f t="array" ref="B124">10000000+INDEX(编号表!$B$1:$B$112,MATCH(D124,编号表!$A$1:$A$112,0))*10000+I124</f>
        <v>10620004</v>
      </c>
      <c r="C124" s="20" t="s">
        <v>225</v>
      </c>
      <c r="D124" s="20" t="s">
        <v>225</v>
      </c>
      <c r="E124" s="20" t="s">
        <v>214</v>
      </c>
      <c r="F124" s="20" t="s">
        <v>215</v>
      </c>
      <c r="G124" s="20">
        <v>1</v>
      </c>
      <c r="H124" s="20" t="b">
        <v>0</v>
      </c>
      <c r="I124" s="20">
        <v>4</v>
      </c>
      <c r="J124" s="20">
        <v>106200</v>
      </c>
      <c r="K124" s="20" t="s">
        <v>177</v>
      </c>
      <c r="L124" s="20">
        <v>10620003</v>
      </c>
      <c r="M124" s="20">
        <v>10620005</v>
      </c>
      <c r="N124" s="20" t="s">
        <v>226</v>
      </c>
      <c r="O124" s="20">
        <v>0</v>
      </c>
      <c r="P124" s="20">
        <v>0</v>
      </c>
      <c r="Q124" s="20">
        <v>0</v>
      </c>
      <c r="R124" s="20">
        <v>1</v>
      </c>
      <c r="T124" s="20">
        <v>100</v>
      </c>
      <c r="AO124" s="20" t="s">
        <v>194</v>
      </c>
      <c r="AP124" s="20">
        <v>0</v>
      </c>
      <c r="CV124" s="20">
        <v>0</v>
      </c>
      <c r="CW124" s="20">
        <v>0</v>
      </c>
      <c r="CX124" s="20" t="s">
        <v>194</v>
      </c>
      <c r="CY124" s="20">
        <v>0</v>
      </c>
      <c r="DB124" s="20">
        <v>0</v>
      </c>
      <c r="DD124" s="20">
        <v>0</v>
      </c>
      <c r="DE124" s="20">
        <v>0</v>
      </c>
      <c r="DF124" s="20">
        <v>0</v>
      </c>
      <c r="DG124" s="20">
        <v>0</v>
      </c>
      <c r="DH124" s="20">
        <v>0</v>
      </c>
      <c r="DI124" s="20" t="b">
        <v>0</v>
      </c>
      <c r="DK124" s="20">
        <v>0</v>
      </c>
      <c r="DM124" s="20" t="s">
        <v>187</v>
      </c>
      <c r="DN124" s="20">
        <v>0</v>
      </c>
      <c r="DO124" s="20">
        <v>0</v>
      </c>
      <c r="DP124" s="20">
        <v>0</v>
      </c>
    </row>
    <row r="125" spans="2:120">
      <c r="B125" s="20" cm="1">
        <f t="array" ref="B125">10000000+INDEX(编号表!$B$1:$B$112,MATCH(D125,编号表!$A$1:$A$112,0))*10000+I125</f>
        <v>10620005</v>
      </c>
      <c r="C125" s="20" t="s">
        <v>225</v>
      </c>
      <c r="D125" s="20" t="s">
        <v>225</v>
      </c>
      <c r="E125" s="20" t="s">
        <v>214</v>
      </c>
      <c r="F125" s="20" t="s">
        <v>215</v>
      </c>
      <c r="G125" s="20">
        <v>1</v>
      </c>
      <c r="H125" s="20" t="b">
        <v>0</v>
      </c>
      <c r="I125" s="20">
        <v>5</v>
      </c>
      <c r="J125" s="20">
        <v>106200</v>
      </c>
      <c r="K125" s="20" t="s">
        <v>177</v>
      </c>
      <c r="L125" s="20">
        <v>10620004</v>
      </c>
      <c r="M125" s="20">
        <v>10620006</v>
      </c>
      <c r="N125" s="20" t="s">
        <v>226</v>
      </c>
      <c r="O125" s="20">
        <v>0</v>
      </c>
      <c r="P125" s="20">
        <v>0</v>
      </c>
      <c r="Q125" s="20">
        <v>0</v>
      </c>
      <c r="R125" s="20">
        <v>1</v>
      </c>
      <c r="T125" s="20">
        <v>100</v>
      </c>
      <c r="AO125" s="20" t="s">
        <v>194</v>
      </c>
      <c r="AP125" s="20">
        <v>0</v>
      </c>
      <c r="CV125" s="20">
        <v>0</v>
      </c>
      <c r="CW125" s="20">
        <v>0</v>
      </c>
      <c r="CX125" s="20" t="s">
        <v>194</v>
      </c>
      <c r="CY125" s="20">
        <v>0</v>
      </c>
      <c r="DB125" s="20">
        <v>0</v>
      </c>
      <c r="DD125" s="20">
        <v>0</v>
      </c>
      <c r="DE125" s="20">
        <v>0</v>
      </c>
      <c r="DF125" s="20">
        <v>0</v>
      </c>
      <c r="DG125" s="20">
        <v>0</v>
      </c>
      <c r="DH125" s="20">
        <v>0</v>
      </c>
      <c r="DI125" s="20" t="b">
        <v>0</v>
      </c>
      <c r="DK125" s="20">
        <v>0</v>
      </c>
      <c r="DM125" s="20" t="s">
        <v>187</v>
      </c>
      <c r="DN125" s="20">
        <v>0</v>
      </c>
      <c r="DO125" s="20">
        <v>0</v>
      </c>
      <c r="DP125" s="20">
        <v>0</v>
      </c>
    </row>
    <row r="126" spans="2:120">
      <c r="B126" s="20" cm="1">
        <f t="array" ref="B126">10000000+INDEX(编号表!$B$1:$B$112,MATCH(D126,编号表!$A$1:$A$112,0))*10000+I126</f>
        <v>10620006</v>
      </c>
      <c r="C126" s="20" t="s">
        <v>225</v>
      </c>
      <c r="D126" s="20" t="s">
        <v>225</v>
      </c>
      <c r="E126" s="20" t="s">
        <v>214</v>
      </c>
      <c r="F126" s="20" t="s">
        <v>215</v>
      </c>
      <c r="G126" s="20">
        <v>1</v>
      </c>
      <c r="H126" s="20" t="b">
        <v>0</v>
      </c>
      <c r="I126" s="20">
        <v>6</v>
      </c>
      <c r="J126" s="20">
        <v>106200</v>
      </c>
      <c r="K126" s="20" t="s">
        <v>177</v>
      </c>
      <c r="L126" s="20">
        <v>10620005</v>
      </c>
      <c r="M126" s="20">
        <v>10620007</v>
      </c>
      <c r="N126" s="20" t="s">
        <v>226</v>
      </c>
      <c r="O126" s="20">
        <v>0</v>
      </c>
      <c r="P126" s="20">
        <v>0</v>
      </c>
      <c r="Q126" s="20">
        <v>0</v>
      </c>
      <c r="R126" s="20">
        <v>1</v>
      </c>
      <c r="T126" s="20">
        <v>100</v>
      </c>
      <c r="AO126" s="20" t="s">
        <v>194</v>
      </c>
      <c r="AP126" s="20">
        <v>0</v>
      </c>
      <c r="CV126" s="20">
        <v>0</v>
      </c>
      <c r="CW126" s="20">
        <v>0</v>
      </c>
      <c r="CX126" s="20" t="s">
        <v>194</v>
      </c>
      <c r="CY126" s="20">
        <v>0</v>
      </c>
      <c r="DB126" s="20">
        <v>0</v>
      </c>
      <c r="DD126" s="20">
        <v>0</v>
      </c>
      <c r="DE126" s="20">
        <v>0</v>
      </c>
      <c r="DF126" s="20">
        <v>0</v>
      </c>
      <c r="DG126" s="20">
        <v>0</v>
      </c>
      <c r="DH126" s="20">
        <v>0</v>
      </c>
      <c r="DI126" s="20" t="b">
        <v>0</v>
      </c>
      <c r="DK126" s="20">
        <v>0</v>
      </c>
      <c r="DM126" s="20" t="s">
        <v>187</v>
      </c>
      <c r="DN126" s="20">
        <v>0</v>
      </c>
      <c r="DO126" s="20">
        <v>0</v>
      </c>
      <c r="DP126" s="20">
        <v>0</v>
      </c>
    </row>
    <row r="127" spans="2:120">
      <c r="B127" s="20" cm="1">
        <f t="array" ref="B127">10000000+INDEX(编号表!$B$1:$B$112,MATCH(D127,编号表!$A$1:$A$112,0))*10000+I127</f>
        <v>10620007</v>
      </c>
      <c r="C127" s="20" t="s">
        <v>225</v>
      </c>
      <c r="D127" s="20" t="s">
        <v>225</v>
      </c>
      <c r="E127" s="20" t="s">
        <v>214</v>
      </c>
      <c r="F127" s="20" t="s">
        <v>215</v>
      </c>
      <c r="G127" s="20">
        <v>1</v>
      </c>
      <c r="H127" s="20" t="b">
        <v>0</v>
      </c>
      <c r="I127" s="20">
        <v>7</v>
      </c>
      <c r="J127" s="20">
        <v>106200</v>
      </c>
      <c r="K127" s="20" t="s">
        <v>177</v>
      </c>
      <c r="L127" s="20">
        <v>10620006</v>
      </c>
      <c r="M127" s="20">
        <v>10620008</v>
      </c>
      <c r="N127" s="20" t="s">
        <v>226</v>
      </c>
      <c r="O127" s="20">
        <v>0</v>
      </c>
      <c r="P127" s="20">
        <v>0</v>
      </c>
      <c r="Q127" s="20">
        <v>0</v>
      </c>
      <c r="R127" s="20">
        <v>1</v>
      </c>
      <c r="T127" s="20">
        <v>100</v>
      </c>
      <c r="AO127" s="20" t="s">
        <v>194</v>
      </c>
      <c r="AP127" s="20">
        <v>0</v>
      </c>
      <c r="CV127" s="20">
        <v>0</v>
      </c>
      <c r="CW127" s="20">
        <v>0</v>
      </c>
      <c r="CX127" s="20" t="s">
        <v>194</v>
      </c>
      <c r="CY127" s="20">
        <v>0</v>
      </c>
      <c r="DB127" s="20">
        <v>0</v>
      </c>
      <c r="DD127" s="20">
        <v>0</v>
      </c>
      <c r="DE127" s="20">
        <v>0</v>
      </c>
      <c r="DF127" s="20">
        <v>0</v>
      </c>
      <c r="DG127" s="20">
        <v>0</v>
      </c>
      <c r="DH127" s="20">
        <v>0</v>
      </c>
      <c r="DI127" s="20" t="b">
        <v>0</v>
      </c>
      <c r="DK127" s="20">
        <v>0</v>
      </c>
      <c r="DM127" s="20" t="s">
        <v>187</v>
      </c>
      <c r="DN127" s="20">
        <v>0</v>
      </c>
      <c r="DO127" s="20">
        <v>0</v>
      </c>
      <c r="DP127" s="20">
        <v>0</v>
      </c>
    </row>
    <row r="128" spans="2:120">
      <c r="B128" s="20" cm="1">
        <f t="array" ref="B128">10000000+INDEX(编号表!$B$1:$B$112,MATCH(D128,编号表!$A$1:$A$112,0))*10000+I128</f>
        <v>10620008</v>
      </c>
      <c r="C128" s="20" t="s">
        <v>225</v>
      </c>
      <c r="D128" s="20" t="s">
        <v>225</v>
      </c>
      <c r="E128" s="20" t="s">
        <v>214</v>
      </c>
      <c r="F128" s="20" t="s">
        <v>215</v>
      </c>
      <c r="G128" s="20">
        <v>1</v>
      </c>
      <c r="H128" s="20" t="b">
        <v>0</v>
      </c>
      <c r="I128" s="20">
        <v>8</v>
      </c>
      <c r="J128" s="20">
        <v>106200</v>
      </c>
      <c r="K128" s="20" t="s">
        <v>177</v>
      </c>
      <c r="L128" s="20">
        <v>10620007</v>
      </c>
      <c r="M128" s="20">
        <v>10620009</v>
      </c>
      <c r="N128" s="20" t="s">
        <v>226</v>
      </c>
      <c r="O128" s="20">
        <v>0</v>
      </c>
      <c r="P128" s="20">
        <v>0</v>
      </c>
      <c r="Q128" s="20">
        <v>0</v>
      </c>
      <c r="R128" s="20">
        <v>1</v>
      </c>
      <c r="T128" s="20">
        <v>100</v>
      </c>
      <c r="AO128" s="20" t="s">
        <v>194</v>
      </c>
      <c r="AP128" s="20">
        <v>0</v>
      </c>
      <c r="CV128" s="20">
        <v>0</v>
      </c>
      <c r="CW128" s="20">
        <v>0</v>
      </c>
      <c r="CX128" s="20" t="s">
        <v>194</v>
      </c>
      <c r="CY128" s="20">
        <v>0</v>
      </c>
      <c r="DB128" s="20">
        <v>0</v>
      </c>
      <c r="DD128" s="20">
        <v>0</v>
      </c>
      <c r="DE128" s="20">
        <v>0</v>
      </c>
      <c r="DF128" s="20">
        <v>0</v>
      </c>
      <c r="DG128" s="20">
        <v>0</v>
      </c>
      <c r="DH128" s="20">
        <v>0</v>
      </c>
      <c r="DI128" s="20" t="b">
        <v>0</v>
      </c>
      <c r="DK128" s="20">
        <v>0</v>
      </c>
      <c r="DM128" s="20" t="s">
        <v>187</v>
      </c>
      <c r="DN128" s="20">
        <v>0</v>
      </c>
      <c r="DO128" s="20">
        <v>0</v>
      </c>
      <c r="DP128" s="20">
        <v>0</v>
      </c>
    </row>
    <row r="129" spans="2:120">
      <c r="B129" s="20" cm="1">
        <f t="array" ref="B129">10000000+INDEX(编号表!$B$1:$B$112,MATCH(D129,编号表!$A$1:$A$112,0))*10000+I129</f>
        <v>10620009</v>
      </c>
      <c r="C129" s="20" t="s">
        <v>225</v>
      </c>
      <c r="D129" s="20" t="s">
        <v>225</v>
      </c>
      <c r="E129" s="20" t="s">
        <v>214</v>
      </c>
      <c r="F129" s="20" t="s">
        <v>215</v>
      </c>
      <c r="G129" s="20">
        <v>1</v>
      </c>
      <c r="H129" s="20" t="b">
        <v>0</v>
      </c>
      <c r="I129" s="20">
        <v>9</v>
      </c>
      <c r="J129" s="20">
        <v>106200</v>
      </c>
      <c r="K129" s="20" t="s">
        <v>177</v>
      </c>
      <c r="L129" s="20">
        <v>10620008</v>
      </c>
      <c r="M129" s="20">
        <v>10620010</v>
      </c>
      <c r="N129" s="20" t="s">
        <v>226</v>
      </c>
      <c r="O129" s="20">
        <v>0</v>
      </c>
      <c r="P129" s="20">
        <v>0</v>
      </c>
      <c r="Q129" s="20">
        <v>0</v>
      </c>
      <c r="R129" s="20">
        <v>1</v>
      </c>
      <c r="T129" s="20">
        <v>100</v>
      </c>
      <c r="AO129" s="20" t="s">
        <v>194</v>
      </c>
      <c r="AP129" s="20">
        <v>0</v>
      </c>
      <c r="CV129" s="20">
        <v>0</v>
      </c>
      <c r="CW129" s="20">
        <v>0</v>
      </c>
      <c r="CX129" s="20" t="s">
        <v>194</v>
      </c>
      <c r="CY129" s="20">
        <v>0</v>
      </c>
      <c r="DB129" s="20">
        <v>0</v>
      </c>
      <c r="DD129" s="20">
        <v>0</v>
      </c>
      <c r="DE129" s="20">
        <v>0</v>
      </c>
      <c r="DF129" s="20">
        <v>0</v>
      </c>
      <c r="DG129" s="20">
        <v>0</v>
      </c>
      <c r="DH129" s="20">
        <v>0</v>
      </c>
      <c r="DI129" s="20" t="b">
        <v>0</v>
      </c>
      <c r="DK129" s="20">
        <v>0</v>
      </c>
      <c r="DM129" s="20" t="s">
        <v>187</v>
      </c>
      <c r="DN129" s="20">
        <v>0</v>
      </c>
      <c r="DO129" s="20">
        <v>0</v>
      </c>
      <c r="DP129" s="20">
        <v>0</v>
      </c>
    </row>
    <row r="130" spans="2:120">
      <c r="B130" s="20" cm="1">
        <f t="array" ref="B130">10000000+INDEX(编号表!$B$1:$B$112,MATCH(D130,编号表!$A$1:$A$112,0))*10000+I130</f>
        <v>10620010</v>
      </c>
      <c r="C130" s="20" t="s">
        <v>225</v>
      </c>
      <c r="D130" s="20" t="s">
        <v>225</v>
      </c>
      <c r="E130" s="20" t="s">
        <v>214</v>
      </c>
      <c r="F130" s="20" t="s">
        <v>215</v>
      </c>
      <c r="G130" s="20">
        <v>1</v>
      </c>
      <c r="H130" s="20" t="b">
        <v>0</v>
      </c>
      <c r="I130" s="20">
        <v>10</v>
      </c>
      <c r="J130" s="20">
        <v>106200</v>
      </c>
      <c r="K130" s="20" t="s">
        <v>177</v>
      </c>
      <c r="L130" s="20">
        <v>10620009</v>
      </c>
      <c r="N130" s="20" t="s">
        <v>226</v>
      </c>
      <c r="O130" s="20">
        <v>0</v>
      </c>
      <c r="P130" s="20">
        <v>0</v>
      </c>
      <c r="Q130" s="20">
        <v>0</v>
      </c>
      <c r="R130" s="20">
        <v>1</v>
      </c>
      <c r="T130" s="20">
        <v>100</v>
      </c>
      <c r="AO130" s="20" t="s">
        <v>194</v>
      </c>
      <c r="AP130" s="20">
        <v>0</v>
      </c>
      <c r="CV130" s="20">
        <v>0</v>
      </c>
      <c r="CW130" s="20">
        <v>0</v>
      </c>
      <c r="CX130" s="20" t="s">
        <v>194</v>
      </c>
      <c r="CY130" s="20">
        <v>0</v>
      </c>
      <c r="DB130" s="20">
        <v>0</v>
      </c>
      <c r="DD130" s="20">
        <v>0</v>
      </c>
      <c r="DE130" s="20">
        <v>0</v>
      </c>
      <c r="DF130" s="20">
        <v>0</v>
      </c>
      <c r="DG130" s="20">
        <v>0</v>
      </c>
      <c r="DH130" s="20">
        <v>0</v>
      </c>
      <c r="DI130" s="20" t="b">
        <v>0</v>
      </c>
      <c r="DK130" s="20">
        <v>0</v>
      </c>
      <c r="DM130" s="20" t="s">
        <v>187</v>
      </c>
      <c r="DN130" s="20">
        <v>0</v>
      </c>
      <c r="DO130" s="20">
        <v>0</v>
      </c>
      <c r="DP130" s="20">
        <v>0</v>
      </c>
    </row>
    <row r="131" spans="2:120">
      <c r="B131" s="20" cm="1">
        <f t="array" ref="B131">10000000+INDEX(编号表!$B$1:$B$112,MATCH(D131,编号表!$A$1:$A$112,0))*10000+I131</f>
        <v>10630001</v>
      </c>
      <c r="C131" s="20" t="s">
        <v>227</v>
      </c>
      <c r="D131" s="20" t="s">
        <v>227</v>
      </c>
      <c r="E131" s="20" t="s">
        <v>214</v>
      </c>
      <c r="F131" s="20" t="s">
        <v>215</v>
      </c>
      <c r="G131" s="20">
        <v>1</v>
      </c>
      <c r="H131" s="20" t="b">
        <v>0</v>
      </c>
      <c r="I131" s="20">
        <v>1</v>
      </c>
      <c r="J131" s="20">
        <v>106300</v>
      </c>
      <c r="K131" s="20" t="s">
        <v>177</v>
      </c>
      <c r="M131" s="20">
        <v>10630002</v>
      </c>
      <c r="N131" s="20" t="s">
        <v>228</v>
      </c>
      <c r="O131" s="20">
        <v>0</v>
      </c>
      <c r="P131" s="20">
        <v>0</v>
      </c>
      <c r="Q131" s="20">
        <v>0</v>
      </c>
      <c r="R131" s="20">
        <v>1</v>
      </c>
      <c r="T131" s="20">
        <v>100</v>
      </c>
      <c r="AO131" s="20" t="s">
        <v>194</v>
      </c>
      <c r="AP131" s="20">
        <v>0</v>
      </c>
      <c r="CV131" s="20">
        <v>0</v>
      </c>
      <c r="CW131" s="20">
        <v>0</v>
      </c>
      <c r="CX131" s="20" t="s">
        <v>194</v>
      </c>
      <c r="CY131" s="20">
        <v>0</v>
      </c>
      <c r="DB131" s="20">
        <v>0</v>
      </c>
      <c r="DD131" s="20">
        <v>0</v>
      </c>
      <c r="DE131" s="20">
        <v>0</v>
      </c>
      <c r="DF131" s="20">
        <v>0</v>
      </c>
      <c r="DG131" s="20">
        <v>0</v>
      </c>
      <c r="DH131" s="20">
        <v>0</v>
      </c>
      <c r="DI131" s="20" t="b">
        <v>0</v>
      </c>
      <c r="DK131" s="20">
        <v>0</v>
      </c>
      <c r="DM131" s="20" t="s">
        <v>187</v>
      </c>
      <c r="DN131" s="20">
        <v>0</v>
      </c>
      <c r="DO131" s="20">
        <v>0</v>
      </c>
      <c r="DP131" s="20">
        <v>0</v>
      </c>
    </row>
    <row r="132" spans="2:120">
      <c r="B132" s="20" cm="1">
        <f t="array" ref="B132">10000000+INDEX(编号表!$B$1:$B$112,MATCH(D132,编号表!$A$1:$A$112,0))*10000+I132</f>
        <v>10630002</v>
      </c>
      <c r="C132" s="20" t="s">
        <v>227</v>
      </c>
      <c r="D132" s="20" t="s">
        <v>227</v>
      </c>
      <c r="E132" s="20" t="s">
        <v>214</v>
      </c>
      <c r="F132" s="20" t="s">
        <v>215</v>
      </c>
      <c r="G132" s="20">
        <v>1</v>
      </c>
      <c r="H132" s="20" t="b">
        <v>0</v>
      </c>
      <c r="I132" s="20">
        <v>2</v>
      </c>
      <c r="J132" s="20">
        <v>106300</v>
      </c>
      <c r="K132" s="20" t="s">
        <v>177</v>
      </c>
      <c r="L132" s="20">
        <v>10630001</v>
      </c>
      <c r="M132" s="20">
        <v>10630003</v>
      </c>
      <c r="N132" s="20" t="s">
        <v>228</v>
      </c>
      <c r="O132" s="20">
        <v>0</v>
      </c>
      <c r="P132" s="20">
        <v>0</v>
      </c>
      <c r="Q132" s="20">
        <v>0</v>
      </c>
      <c r="R132" s="20">
        <v>1</v>
      </c>
      <c r="T132" s="20">
        <v>100</v>
      </c>
      <c r="AO132" s="20" t="s">
        <v>194</v>
      </c>
      <c r="AP132" s="20">
        <v>0</v>
      </c>
      <c r="CV132" s="20">
        <v>0</v>
      </c>
      <c r="CW132" s="20">
        <v>0</v>
      </c>
      <c r="CX132" s="20" t="s">
        <v>194</v>
      </c>
      <c r="CY132" s="20">
        <v>0</v>
      </c>
      <c r="DB132" s="20">
        <v>0</v>
      </c>
      <c r="DD132" s="20">
        <v>0</v>
      </c>
      <c r="DE132" s="20">
        <v>0</v>
      </c>
      <c r="DF132" s="20">
        <v>0</v>
      </c>
      <c r="DG132" s="20">
        <v>0</v>
      </c>
      <c r="DH132" s="20">
        <v>0</v>
      </c>
      <c r="DI132" s="20" t="b">
        <v>0</v>
      </c>
      <c r="DK132" s="20">
        <v>0</v>
      </c>
      <c r="DM132" s="20" t="s">
        <v>187</v>
      </c>
      <c r="DN132" s="20">
        <v>0</v>
      </c>
      <c r="DO132" s="20">
        <v>0</v>
      </c>
      <c r="DP132" s="20">
        <v>0</v>
      </c>
    </row>
    <row r="133" spans="2:120">
      <c r="B133" s="20" cm="1">
        <f t="array" ref="B133">10000000+INDEX(编号表!$B$1:$B$112,MATCH(D133,编号表!$A$1:$A$112,0))*10000+I133</f>
        <v>10630003</v>
      </c>
      <c r="C133" s="20" t="s">
        <v>227</v>
      </c>
      <c r="D133" s="20" t="s">
        <v>227</v>
      </c>
      <c r="E133" s="20" t="s">
        <v>214</v>
      </c>
      <c r="F133" s="20" t="s">
        <v>215</v>
      </c>
      <c r="G133" s="20">
        <v>1</v>
      </c>
      <c r="H133" s="20" t="b">
        <v>0</v>
      </c>
      <c r="I133" s="20">
        <v>3</v>
      </c>
      <c r="J133" s="20">
        <v>106300</v>
      </c>
      <c r="K133" s="20" t="s">
        <v>177</v>
      </c>
      <c r="L133" s="20">
        <v>10630002</v>
      </c>
      <c r="M133" s="20">
        <v>10630004</v>
      </c>
      <c r="N133" s="20" t="s">
        <v>228</v>
      </c>
      <c r="O133" s="20">
        <v>0</v>
      </c>
      <c r="P133" s="20">
        <v>0</v>
      </c>
      <c r="Q133" s="20">
        <v>0</v>
      </c>
      <c r="R133" s="20">
        <v>1</v>
      </c>
      <c r="T133" s="20">
        <v>100</v>
      </c>
      <c r="AO133" s="20" t="s">
        <v>194</v>
      </c>
      <c r="AP133" s="20">
        <v>0</v>
      </c>
      <c r="CV133" s="20">
        <v>0</v>
      </c>
      <c r="CW133" s="20">
        <v>0</v>
      </c>
      <c r="CX133" s="20" t="s">
        <v>194</v>
      </c>
      <c r="CY133" s="20">
        <v>0</v>
      </c>
      <c r="DB133" s="20">
        <v>0</v>
      </c>
      <c r="DD133" s="20">
        <v>0</v>
      </c>
      <c r="DE133" s="20">
        <v>0</v>
      </c>
      <c r="DF133" s="20">
        <v>0</v>
      </c>
      <c r="DG133" s="20">
        <v>0</v>
      </c>
      <c r="DH133" s="20">
        <v>0</v>
      </c>
      <c r="DI133" s="20" t="b">
        <v>0</v>
      </c>
      <c r="DK133" s="20">
        <v>0</v>
      </c>
      <c r="DM133" s="20" t="s">
        <v>187</v>
      </c>
      <c r="DN133" s="20">
        <v>0</v>
      </c>
      <c r="DO133" s="20">
        <v>0</v>
      </c>
      <c r="DP133" s="20">
        <v>0</v>
      </c>
    </row>
    <row r="134" spans="2:120">
      <c r="B134" s="20" cm="1">
        <f t="array" ref="B134">10000000+INDEX(编号表!$B$1:$B$112,MATCH(D134,编号表!$A$1:$A$112,0))*10000+I134</f>
        <v>10630004</v>
      </c>
      <c r="C134" s="20" t="s">
        <v>227</v>
      </c>
      <c r="D134" s="20" t="s">
        <v>227</v>
      </c>
      <c r="E134" s="20" t="s">
        <v>214</v>
      </c>
      <c r="F134" s="20" t="s">
        <v>215</v>
      </c>
      <c r="G134" s="20">
        <v>1</v>
      </c>
      <c r="H134" s="20" t="b">
        <v>0</v>
      </c>
      <c r="I134" s="20">
        <v>4</v>
      </c>
      <c r="J134" s="20">
        <v>106300</v>
      </c>
      <c r="K134" s="20" t="s">
        <v>177</v>
      </c>
      <c r="L134" s="20">
        <v>10630003</v>
      </c>
      <c r="M134" s="20">
        <v>10630005</v>
      </c>
      <c r="N134" s="20" t="s">
        <v>228</v>
      </c>
      <c r="O134" s="20">
        <v>0</v>
      </c>
      <c r="P134" s="20">
        <v>0</v>
      </c>
      <c r="Q134" s="20">
        <v>0</v>
      </c>
      <c r="R134" s="20">
        <v>1</v>
      </c>
      <c r="T134" s="20">
        <v>100</v>
      </c>
      <c r="AO134" s="20" t="s">
        <v>194</v>
      </c>
      <c r="AP134" s="20">
        <v>0</v>
      </c>
      <c r="CV134" s="20">
        <v>0</v>
      </c>
      <c r="CW134" s="20">
        <v>0</v>
      </c>
      <c r="CX134" s="20" t="s">
        <v>194</v>
      </c>
      <c r="CY134" s="20">
        <v>0</v>
      </c>
      <c r="DB134" s="20">
        <v>0</v>
      </c>
      <c r="DD134" s="20">
        <v>0</v>
      </c>
      <c r="DE134" s="20">
        <v>0</v>
      </c>
      <c r="DF134" s="20">
        <v>0</v>
      </c>
      <c r="DG134" s="20">
        <v>0</v>
      </c>
      <c r="DH134" s="20">
        <v>0</v>
      </c>
      <c r="DI134" s="20" t="b">
        <v>0</v>
      </c>
      <c r="DK134" s="20">
        <v>0</v>
      </c>
      <c r="DM134" s="20" t="s">
        <v>187</v>
      </c>
      <c r="DN134" s="20">
        <v>0</v>
      </c>
      <c r="DO134" s="20">
        <v>0</v>
      </c>
      <c r="DP134" s="20">
        <v>0</v>
      </c>
    </row>
    <row r="135" spans="2:120">
      <c r="B135" s="20" cm="1">
        <f t="array" ref="B135">10000000+INDEX(编号表!$B$1:$B$112,MATCH(D135,编号表!$A$1:$A$112,0))*10000+I135</f>
        <v>10630005</v>
      </c>
      <c r="C135" s="20" t="s">
        <v>227</v>
      </c>
      <c r="D135" s="20" t="s">
        <v>227</v>
      </c>
      <c r="E135" s="20" t="s">
        <v>214</v>
      </c>
      <c r="F135" s="20" t="s">
        <v>215</v>
      </c>
      <c r="G135" s="20">
        <v>1</v>
      </c>
      <c r="H135" s="20" t="b">
        <v>0</v>
      </c>
      <c r="I135" s="20">
        <v>5</v>
      </c>
      <c r="J135" s="20">
        <v>106300</v>
      </c>
      <c r="K135" s="20" t="s">
        <v>177</v>
      </c>
      <c r="L135" s="20">
        <v>10630004</v>
      </c>
      <c r="M135" s="20">
        <v>10630006</v>
      </c>
      <c r="N135" s="20" t="s">
        <v>228</v>
      </c>
      <c r="O135" s="20">
        <v>0</v>
      </c>
      <c r="P135" s="20">
        <v>0</v>
      </c>
      <c r="Q135" s="20">
        <v>0</v>
      </c>
      <c r="R135" s="20">
        <v>1</v>
      </c>
      <c r="T135" s="20">
        <v>100</v>
      </c>
      <c r="AO135" s="20" t="s">
        <v>194</v>
      </c>
      <c r="AP135" s="20">
        <v>0</v>
      </c>
      <c r="CV135" s="20">
        <v>0</v>
      </c>
      <c r="CW135" s="20">
        <v>0</v>
      </c>
      <c r="CX135" s="20" t="s">
        <v>194</v>
      </c>
      <c r="CY135" s="20">
        <v>0</v>
      </c>
      <c r="DB135" s="20">
        <v>0</v>
      </c>
      <c r="DD135" s="20">
        <v>0</v>
      </c>
      <c r="DE135" s="20">
        <v>0</v>
      </c>
      <c r="DF135" s="20">
        <v>0</v>
      </c>
      <c r="DG135" s="20">
        <v>0</v>
      </c>
      <c r="DH135" s="20">
        <v>0</v>
      </c>
      <c r="DI135" s="20" t="b">
        <v>0</v>
      </c>
      <c r="DK135" s="20">
        <v>0</v>
      </c>
      <c r="DM135" s="20" t="s">
        <v>187</v>
      </c>
      <c r="DN135" s="20">
        <v>0</v>
      </c>
      <c r="DO135" s="20">
        <v>0</v>
      </c>
      <c r="DP135" s="20">
        <v>0</v>
      </c>
    </row>
    <row r="136" spans="2:120">
      <c r="B136" s="20" cm="1">
        <f t="array" ref="B136">10000000+INDEX(编号表!$B$1:$B$112,MATCH(D136,编号表!$A$1:$A$112,0))*10000+I136</f>
        <v>10630006</v>
      </c>
      <c r="C136" s="20" t="s">
        <v>227</v>
      </c>
      <c r="D136" s="20" t="s">
        <v>227</v>
      </c>
      <c r="E136" s="20" t="s">
        <v>214</v>
      </c>
      <c r="F136" s="20" t="s">
        <v>215</v>
      </c>
      <c r="G136" s="20">
        <v>1</v>
      </c>
      <c r="H136" s="20" t="b">
        <v>0</v>
      </c>
      <c r="I136" s="20">
        <v>6</v>
      </c>
      <c r="J136" s="20">
        <v>106300</v>
      </c>
      <c r="K136" s="20" t="s">
        <v>177</v>
      </c>
      <c r="L136" s="20">
        <v>10630005</v>
      </c>
      <c r="M136" s="20">
        <v>10630007</v>
      </c>
      <c r="N136" s="20" t="s">
        <v>228</v>
      </c>
      <c r="O136" s="20">
        <v>0</v>
      </c>
      <c r="P136" s="20">
        <v>0</v>
      </c>
      <c r="Q136" s="20">
        <v>0</v>
      </c>
      <c r="R136" s="20">
        <v>1</v>
      </c>
      <c r="T136" s="20">
        <v>100</v>
      </c>
      <c r="AO136" s="20" t="s">
        <v>194</v>
      </c>
      <c r="AP136" s="20">
        <v>0</v>
      </c>
      <c r="CV136" s="20">
        <v>0</v>
      </c>
      <c r="CW136" s="20">
        <v>0</v>
      </c>
      <c r="CX136" s="20" t="s">
        <v>194</v>
      </c>
      <c r="CY136" s="20">
        <v>0</v>
      </c>
      <c r="DB136" s="20">
        <v>0</v>
      </c>
      <c r="DD136" s="20">
        <v>0</v>
      </c>
      <c r="DE136" s="20">
        <v>0</v>
      </c>
      <c r="DF136" s="20">
        <v>0</v>
      </c>
      <c r="DG136" s="20">
        <v>0</v>
      </c>
      <c r="DH136" s="20">
        <v>0</v>
      </c>
      <c r="DI136" s="20" t="b">
        <v>0</v>
      </c>
      <c r="DK136" s="20">
        <v>0</v>
      </c>
      <c r="DM136" s="20" t="s">
        <v>187</v>
      </c>
      <c r="DN136" s="20">
        <v>0</v>
      </c>
      <c r="DO136" s="20">
        <v>0</v>
      </c>
      <c r="DP136" s="20">
        <v>0</v>
      </c>
    </row>
    <row r="137" spans="2:120">
      <c r="B137" s="20" cm="1">
        <f t="array" ref="B137">10000000+INDEX(编号表!$B$1:$B$112,MATCH(D137,编号表!$A$1:$A$112,0))*10000+I137</f>
        <v>10630007</v>
      </c>
      <c r="C137" s="20" t="s">
        <v>227</v>
      </c>
      <c r="D137" s="20" t="s">
        <v>227</v>
      </c>
      <c r="E137" s="20" t="s">
        <v>214</v>
      </c>
      <c r="F137" s="20" t="s">
        <v>215</v>
      </c>
      <c r="G137" s="20">
        <v>1</v>
      </c>
      <c r="H137" s="20" t="b">
        <v>0</v>
      </c>
      <c r="I137" s="20">
        <v>7</v>
      </c>
      <c r="J137" s="20">
        <v>106300</v>
      </c>
      <c r="K137" s="20" t="s">
        <v>177</v>
      </c>
      <c r="L137" s="20">
        <v>10630006</v>
      </c>
      <c r="M137" s="20">
        <v>10630008</v>
      </c>
      <c r="N137" s="20" t="s">
        <v>228</v>
      </c>
      <c r="O137" s="20">
        <v>0</v>
      </c>
      <c r="P137" s="20">
        <v>0</v>
      </c>
      <c r="Q137" s="20">
        <v>0</v>
      </c>
      <c r="R137" s="20">
        <v>1</v>
      </c>
      <c r="T137" s="20">
        <v>100</v>
      </c>
      <c r="AO137" s="20" t="s">
        <v>194</v>
      </c>
      <c r="AP137" s="20">
        <v>0</v>
      </c>
      <c r="CV137" s="20">
        <v>0</v>
      </c>
      <c r="CW137" s="20">
        <v>0</v>
      </c>
      <c r="CX137" s="20" t="s">
        <v>194</v>
      </c>
      <c r="CY137" s="20">
        <v>0</v>
      </c>
      <c r="DB137" s="20">
        <v>0</v>
      </c>
      <c r="DD137" s="20">
        <v>0</v>
      </c>
      <c r="DE137" s="20">
        <v>0</v>
      </c>
      <c r="DF137" s="20">
        <v>0</v>
      </c>
      <c r="DG137" s="20">
        <v>0</v>
      </c>
      <c r="DH137" s="20">
        <v>0</v>
      </c>
      <c r="DI137" s="20" t="b">
        <v>0</v>
      </c>
      <c r="DK137" s="20">
        <v>0</v>
      </c>
      <c r="DM137" s="20" t="s">
        <v>187</v>
      </c>
      <c r="DN137" s="20">
        <v>0</v>
      </c>
      <c r="DO137" s="20">
        <v>0</v>
      </c>
      <c r="DP137" s="20">
        <v>0</v>
      </c>
    </row>
    <row r="138" spans="2:120">
      <c r="B138" s="20" cm="1">
        <f t="array" ref="B138">10000000+INDEX(编号表!$B$1:$B$112,MATCH(D138,编号表!$A$1:$A$112,0))*10000+I138</f>
        <v>10630008</v>
      </c>
      <c r="C138" s="20" t="s">
        <v>227</v>
      </c>
      <c r="D138" s="20" t="s">
        <v>227</v>
      </c>
      <c r="E138" s="20" t="s">
        <v>214</v>
      </c>
      <c r="F138" s="20" t="s">
        <v>215</v>
      </c>
      <c r="G138" s="20">
        <v>1</v>
      </c>
      <c r="H138" s="20" t="b">
        <v>0</v>
      </c>
      <c r="I138" s="20">
        <v>8</v>
      </c>
      <c r="J138" s="20">
        <v>106300</v>
      </c>
      <c r="K138" s="20" t="s">
        <v>177</v>
      </c>
      <c r="L138" s="20">
        <v>10630007</v>
      </c>
      <c r="M138" s="20">
        <v>10630009</v>
      </c>
      <c r="N138" s="20" t="s">
        <v>228</v>
      </c>
      <c r="O138" s="20">
        <v>0</v>
      </c>
      <c r="P138" s="20">
        <v>0</v>
      </c>
      <c r="Q138" s="20">
        <v>0</v>
      </c>
      <c r="R138" s="20">
        <v>1</v>
      </c>
      <c r="T138" s="20">
        <v>100</v>
      </c>
      <c r="AO138" s="20" t="s">
        <v>194</v>
      </c>
      <c r="AP138" s="20">
        <v>0</v>
      </c>
      <c r="CV138" s="20">
        <v>0</v>
      </c>
      <c r="CW138" s="20">
        <v>0</v>
      </c>
      <c r="CX138" s="20" t="s">
        <v>194</v>
      </c>
      <c r="CY138" s="20">
        <v>0</v>
      </c>
      <c r="DB138" s="20">
        <v>0</v>
      </c>
      <c r="DD138" s="20">
        <v>0</v>
      </c>
      <c r="DE138" s="20">
        <v>0</v>
      </c>
      <c r="DF138" s="20">
        <v>0</v>
      </c>
      <c r="DG138" s="20">
        <v>0</v>
      </c>
      <c r="DH138" s="20">
        <v>0</v>
      </c>
      <c r="DI138" s="20" t="b">
        <v>0</v>
      </c>
      <c r="DK138" s="20">
        <v>0</v>
      </c>
      <c r="DM138" s="20" t="s">
        <v>187</v>
      </c>
      <c r="DN138" s="20">
        <v>0</v>
      </c>
      <c r="DO138" s="20">
        <v>0</v>
      </c>
      <c r="DP138" s="20">
        <v>0</v>
      </c>
    </row>
    <row r="139" spans="2:120">
      <c r="B139" s="20" cm="1">
        <f t="array" ref="B139">10000000+INDEX(编号表!$B$1:$B$112,MATCH(D139,编号表!$A$1:$A$112,0))*10000+I139</f>
        <v>10630009</v>
      </c>
      <c r="C139" s="20" t="s">
        <v>227</v>
      </c>
      <c r="D139" s="20" t="s">
        <v>227</v>
      </c>
      <c r="E139" s="20" t="s">
        <v>214</v>
      </c>
      <c r="F139" s="20" t="s">
        <v>215</v>
      </c>
      <c r="G139" s="20">
        <v>1</v>
      </c>
      <c r="H139" s="20" t="b">
        <v>0</v>
      </c>
      <c r="I139" s="20">
        <v>9</v>
      </c>
      <c r="J139" s="20">
        <v>106300</v>
      </c>
      <c r="K139" s="20" t="s">
        <v>177</v>
      </c>
      <c r="L139" s="20">
        <v>10630008</v>
      </c>
      <c r="M139" s="20">
        <v>10630010</v>
      </c>
      <c r="N139" s="20" t="s">
        <v>228</v>
      </c>
      <c r="O139" s="20">
        <v>0</v>
      </c>
      <c r="P139" s="20">
        <v>0</v>
      </c>
      <c r="Q139" s="20">
        <v>0</v>
      </c>
      <c r="R139" s="20">
        <v>1</v>
      </c>
      <c r="T139" s="20">
        <v>100</v>
      </c>
      <c r="AO139" s="20" t="s">
        <v>194</v>
      </c>
      <c r="AP139" s="20">
        <v>0</v>
      </c>
      <c r="CV139" s="20">
        <v>0</v>
      </c>
      <c r="CW139" s="20">
        <v>0</v>
      </c>
      <c r="CX139" s="20" t="s">
        <v>194</v>
      </c>
      <c r="CY139" s="20">
        <v>0</v>
      </c>
      <c r="DB139" s="20">
        <v>0</v>
      </c>
      <c r="DD139" s="20">
        <v>0</v>
      </c>
      <c r="DE139" s="20">
        <v>0</v>
      </c>
      <c r="DF139" s="20">
        <v>0</v>
      </c>
      <c r="DG139" s="20">
        <v>0</v>
      </c>
      <c r="DH139" s="20">
        <v>0</v>
      </c>
      <c r="DI139" s="20" t="b">
        <v>0</v>
      </c>
      <c r="DK139" s="20">
        <v>0</v>
      </c>
      <c r="DM139" s="20" t="s">
        <v>187</v>
      </c>
      <c r="DN139" s="20">
        <v>0</v>
      </c>
      <c r="DO139" s="20">
        <v>0</v>
      </c>
      <c r="DP139" s="20">
        <v>0</v>
      </c>
    </row>
    <row r="140" spans="2:120">
      <c r="B140" s="20" cm="1">
        <f t="array" ref="B140">10000000+INDEX(编号表!$B$1:$B$112,MATCH(D140,编号表!$A$1:$A$112,0))*10000+I140</f>
        <v>10630010</v>
      </c>
      <c r="C140" s="20" t="s">
        <v>227</v>
      </c>
      <c r="D140" s="20" t="s">
        <v>227</v>
      </c>
      <c r="E140" s="20" t="s">
        <v>214</v>
      </c>
      <c r="F140" s="20" t="s">
        <v>215</v>
      </c>
      <c r="G140" s="20">
        <v>1</v>
      </c>
      <c r="H140" s="20" t="b">
        <v>0</v>
      </c>
      <c r="I140" s="20">
        <v>10</v>
      </c>
      <c r="J140" s="20">
        <v>106300</v>
      </c>
      <c r="K140" s="20" t="s">
        <v>177</v>
      </c>
      <c r="L140" s="20">
        <v>10630009</v>
      </c>
      <c r="N140" s="20" t="s">
        <v>228</v>
      </c>
      <c r="O140" s="20">
        <v>0</v>
      </c>
      <c r="P140" s="20">
        <v>0</v>
      </c>
      <c r="Q140" s="20">
        <v>0</v>
      </c>
      <c r="R140" s="20">
        <v>1</v>
      </c>
      <c r="T140" s="20">
        <v>100</v>
      </c>
      <c r="AO140" s="20" t="s">
        <v>194</v>
      </c>
      <c r="AP140" s="20">
        <v>0</v>
      </c>
      <c r="CV140" s="20">
        <v>0</v>
      </c>
      <c r="CW140" s="20">
        <v>0</v>
      </c>
      <c r="CX140" s="20" t="s">
        <v>194</v>
      </c>
      <c r="CY140" s="20">
        <v>0</v>
      </c>
      <c r="DB140" s="20">
        <v>0</v>
      </c>
      <c r="DD140" s="20">
        <v>0</v>
      </c>
      <c r="DE140" s="20">
        <v>0</v>
      </c>
      <c r="DF140" s="20">
        <v>0</v>
      </c>
      <c r="DG140" s="20">
        <v>0</v>
      </c>
      <c r="DH140" s="20">
        <v>0</v>
      </c>
      <c r="DI140" s="20" t="b">
        <v>0</v>
      </c>
      <c r="DK140" s="20">
        <v>0</v>
      </c>
      <c r="DM140" s="20" t="s">
        <v>187</v>
      </c>
      <c r="DN140" s="20">
        <v>0</v>
      </c>
      <c r="DO140" s="20">
        <v>0</v>
      </c>
      <c r="DP140" s="20">
        <v>0</v>
      </c>
    </row>
    <row r="141" spans="2:120">
      <c r="B141" s="20" cm="1">
        <f t="array" ref="B141">10000000+INDEX(编号表!$B$1:$B$112,MATCH(D141,编号表!$A$1:$A$112,0))*10000+I141</f>
        <v>10640001</v>
      </c>
      <c r="C141" s="20" t="s">
        <v>229</v>
      </c>
      <c r="D141" s="20" t="s">
        <v>229</v>
      </c>
      <c r="E141" s="20" t="s">
        <v>214</v>
      </c>
      <c r="F141" s="20" t="s">
        <v>215</v>
      </c>
      <c r="G141" s="20">
        <v>1</v>
      </c>
      <c r="H141" s="20" t="b">
        <v>0</v>
      </c>
      <c r="I141" s="20">
        <v>1</v>
      </c>
      <c r="J141" s="20">
        <v>106400</v>
      </c>
      <c r="K141" s="20" t="s">
        <v>177</v>
      </c>
      <c r="M141" s="20">
        <v>10640002</v>
      </c>
      <c r="N141" s="20" t="s">
        <v>230</v>
      </c>
      <c r="O141" s="20">
        <v>0</v>
      </c>
      <c r="P141" s="20">
        <v>0</v>
      </c>
      <c r="Q141" s="20">
        <v>0</v>
      </c>
      <c r="R141" s="20">
        <v>1</v>
      </c>
      <c r="T141" s="20">
        <v>100</v>
      </c>
      <c r="AO141" s="20" t="s">
        <v>194</v>
      </c>
      <c r="AP141" s="20">
        <v>0</v>
      </c>
      <c r="CV141" s="20">
        <v>0</v>
      </c>
      <c r="CW141" s="20">
        <v>0</v>
      </c>
      <c r="CX141" s="20" t="s">
        <v>194</v>
      </c>
      <c r="CY141" s="20">
        <v>0</v>
      </c>
      <c r="DB141" s="20">
        <v>0</v>
      </c>
      <c r="DD141" s="20">
        <v>0</v>
      </c>
      <c r="DE141" s="20">
        <v>0</v>
      </c>
      <c r="DF141" s="20">
        <v>0</v>
      </c>
      <c r="DG141" s="20">
        <v>0</v>
      </c>
      <c r="DH141" s="20">
        <v>0</v>
      </c>
      <c r="DI141" s="20" t="b">
        <v>0</v>
      </c>
      <c r="DK141" s="20">
        <v>0</v>
      </c>
      <c r="DM141" s="20" t="s">
        <v>187</v>
      </c>
      <c r="DN141" s="20">
        <v>0</v>
      </c>
      <c r="DO141" s="20">
        <v>0</v>
      </c>
      <c r="DP141" s="20">
        <v>0</v>
      </c>
    </row>
    <row r="142" spans="2:120">
      <c r="B142" s="20" cm="1">
        <f t="array" ref="B142">10000000+INDEX(编号表!$B$1:$B$112,MATCH(D142,编号表!$A$1:$A$112,0))*10000+I142</f>
        <v>10640002</v>
      </c>
      <c r="C142" s="20" t="s">
        <v>229</v>
      </c>
      <c r="D142" s="20" t="s">
        <v>229</v>
      </c>
      <c r="E142" s="20" t="s">
        <v>214</v>
      </c>
      <c r="F142" s="20" t="s">
        <v>215</v>
      </c>
      <c r="G142" s="20">
        <v>1</v>
      </c>
      <c r="H142" s="20" t="b">
        <v>0</v>
      </c>
      <c r="I142" s="20">
        <v>2</v>
      </c>
      <c r="J142" s="20">
        <v>106400</v>
      </c>
      <c r="K142" s="20" t="s">
        <v>177</v>
      </c>
      <c r="L142" s="20">
        <v>10640001</v>
      </c>
      <c r="M142" s="20">
        <v>10640003</v>
      </c>
      <c r="N142" s="20" t="s">
        <v>230</v>
      </c>
      <c r="O142" s="20">
        <v>0</v>
      </c>
      <c r="P142" s="20">
        <v>0</v>
      </c>
      <c r="Q142" s="20">
        <v>0</v>
      </c>
      <c r="R142" s="20">
        <v>1</v>
      </c>
      <c r="T142" s="20">
        <v>100</v>
      </c>
      <c r="AO142" s="20" t="s">
        <v>194</v>
      </c>
      <c r="AP142" s="20">
        <v>0</v>
      </c>
      <c r="CV142" s="20">
        <v>0</v>
      </c>
      <c r="CW142" s="20">
        <v>0</v>
      </c>
      <c r="CX142" s="20" t="s">
        <v>194</v>
      </c>
      <c r="CY142" s="20">
        <v>0</v>
      </c>
      <c r="DB142" s="20">
        <v>0</v>
      </c>
      <c r="DD142" s="20">
        <v>0</v>
      </c>
      <c r="DE142" s="20">
        <v>0</v>
      </c>
      <c r="DF142" s="20">
        <v>0</v>
      </c>
      <c r="DG142" s="20">
        <v>0</v>
      </c>
      <c r="DH142" s="20">
        <v>0</v>
      </c>
      <c r="DI142" s="20" t="b">
        <v>0</v>
      </c>
      <c r="DK142" s="20">
        <v>0</v>
      </c>
      <c r="DM142" s="20" t="s">
        <v>187</v>
      </c>
      <c r="DN142" s="20">
        <v>0</v>
      </c>
      <c r="DO142" s="20">
        <v>0</v>
      </c>
      <c r="DP142" s="20">
        <v>0</v>
      </c>
    </row>
    <row r="143" spans="2:120">
      <c r="B143" s="20" cm="1">
        <f t="array" ref="B143">10000000+INDEX(编号表!$B$1:$B$112,MATCH(D143,编号表!$A$1:$A$112,0))*10000+I143</f>
        <v>10640003</v>
      </c>
      <c r="C143" s="20" t="s">
        <v>229</v>
      </c>
      <c r="D143" s="20" t="s">
        <v>229</v>
      </c>
      <c r="E143" s="20" t="s">
        <v>214</v>
      </c>
      <c r="F143" s="20" t="s">
        <v>215</v>
      </c>
      <c r="G143" s="20">
        <v>1</v>
      </c>
      <c r="H143" s="20" t="b">
        <v>0</v>
      </c>
      <c r="I143" s="20">
        <v>3</v>
      </c>
      <c r="J143" s="20">
        <v>106400</v>
      </c>
      <c r="K143" s="20" t="s">
        <v>177</v>
      </c>
      <c r="L143" s="20">
        <v>10640002</v>
      </c>
      <c r="M143" s="20">
        <v>10640004</v>
      </c>
      <c r="N143" s="20" t="s">
        <v>230</v>
      </c>
      <c r="O143" s="20">
        <v>0</v>
      </c>
      <c r="P143" s="20">
        <v>0</v>
      </c>
      <c r="Q143" s="20">
        <v>0</v>
      </c>
      <c r="R143" s="20">
        <v>1</v>
      </c>
      <c r="T143" s="20">
        <v>100</v>
      </c>
      <c r="AO143" s="20" t="s">
        <v>194</v>
      </c>
      <c r="AP143" s="20">
        <v>0</v>
      </c>
      <c r="CV143" s="20">
        <v>0</v>
      </c>
      <c r="CW143" s="20">
        <v>0</v>
      </c>
      <c r="CX143" s="20" t="s">
        <v>194</v>
      </c>
      <c r="CY143" s="20">
        <v>0</v>
      </c>
      <c r="DB143" s="20">
        <v>0</v>
      </c>
      <c r="DD143" s="20">
        <v>0</v>
      </c>
      <c r="DE143" s="20">
        <v>0</v>
      </c>
      <c r="DF143" s="20">
        <v>0</v>
      </c>
      <c r="DG143" s="20">
        <v>0</v>
      </c>
      <c r="DH143" s="20">
        <v>0</v>
      </c>
      <c r="DI143" s="20" t="b">
        <v>0</v>
      </c>
      <c r="DK143" s="20">
        <v>0</v>
      </c>
      <c r="DM143" s="20" t="s">
        <v>187</v>
      </c>
      <c r="DN143" s="20">
        <v>0</v>
      </c>
      <c r="DO143" s="20">
        <v>0</v>
      </c>
      <c r="DP143" s="20">
        <v>0</v>
      </c>
    </row>
    <row r="144" spans="2:120">
      <c r="B144" s="20" cm="1">
        <f t="array" ref="B144">10000000+INDEX(编号表!$B$1:$B$112,MATCH(D144,编号表!$A$1:$A$112,0))*10000+I144</f>
        <v>10640004</v>
      </c>
      <c r="C144" s="20" t="s">
        <v>229</v>
      </c>
      <c r="D144" s="20" t="s">
        <v>229</v>
      </c>
      <c r="E144" s="20" t="s">
        <v>214</v>
      </c>
      <c r="F144" s="20" t="s">
        <v>215</v>
      </c>
      <c r="G144" s="20">
        <v>1</v>
      </c>
      <c r="H144" s="20" t="b">
        <v>0</v>
      </c>
      <c r="I144" s="20">
        <v>4</v>
      </c>
      <c r="J144" s="20">
        <v>106400</v>
      </c>
      <c r="K144" s="20" t="s">
        <v>177</v>
      </c>
      <c r="L144" s="20">
        <v>10640003</v>
      </c>
      <c r="M144" s="20">
        <v>10640005</v>
      </c>
      <c r="N144" s="20" t="s">
        <v>230</v>
      </c>
      <c r="O144" s="20">
        <v>0</v>
      </c>
      <c r="P144" s="20">
        <v>0</v>
      </c>
      <c r="Q144" s="20">
        <v>0</v>
      </c>
      <c r="R144" s="20">
        <v>1</v>
      </c>
      <c r="T144" s="20">
        <v>100</v>
      </c>
      <c r="AO144" s="20" t="s">
        <v>194</v>
      </c>
      <c r="AP144" s="20">
        <v>0</v>
      </c>
      <c r="CV144" s="20">
        <v>0</v>
      </c>
      <c r="CW144" s="20">
        <v>0</v>
      </c>
      <c r="CX144" s="20" t="s">
        <v>194</v>
      </c>
      <c r="CY144" s="20">
        <v>0</v>
      </c>
      <c r="DB144" s="20">
        <v>0</v>
      </c>
      <c r="DD144" s="20">
        <v>0</v>
      </c>
      <c r="DE144" s="20">
        <v>0</v>
      </c>
      <c r="DF144" s="20">
        <v>0</v>
      </c>
      <c r="DG144" s="20">
        <v>0</v>
      </c>
      <c r="DH144" s="20">
        <v>0</v>
      </c>
      <c r="DI144" s="20" t="b">
        <v>0</v>
      </c>
      <c r="DK144" s="20">
        <v>0</v>
      </c>
      <c r="DM144" s="20" t="s">
        <v>187</v>
      </c>
      <c r="DN144" s="20">
        <v>0</v>
      </c>
      <c r="DO144" s="20">
        <v>0</v>
      </c>
      <c r="DP144" s="20">
        <v>0</v>
      </c>
    </row>
    <row r="145" spans="2:120">
      <c r="B145" s="20" cm="1">
        <f t="array" ref="B145">10000000+INDEX(编号表!$B$1:$B$112,MATCH(D145,编号表!$A$1:$A$112,0))*10000+I145</f>
        <v>10640005</v>
      </c>
      <c r="C145" s="20" t="s">
        <v>229</v>
      </c>
      <c r="D145" s="20" t="s">
        <v>229</v>
      </c>
      <c r="E145" s="20" t="s">
        <v>214</v>
      </c>
      <c r="F145" s="20" t="s">
        <v>215</v>
      </c>
      <c r="G145" s="20">
        <v>1</v>
      </c>
      <c r="H145" s="20" t="b">
        <v>0</v>
      </c>
      <c r="I145" s="20">
        <v>5</v>
      </c>
      <c r="J145" s="20">
        <v>106400</v>
      </c>
      <c r="K145" s="20" t="s">
        <v>177</v>
      </c>
      <c r="L145" s="20">
        <v>10640004</v>
      </c>
      <c r="M145" s="20">
        <v>10640006</v>
      </c>
      <c r="N145" s="20" t="s">
        <v>230</v>
      </c>
      <c r="O145" s="20">
        <v>0</v>
      </c>
      <c r="P145" s="20">
        <v>0</v>
      </c>
      <c r="Q145" s="20">
        <v>0</v>
      </c>
      <c r="R145" s="20">
        <v>1</v>
      </c>
      <c r="T145" s="20">
        <v>100</v>
      </c>
      <c r="AO145" s="20" t="s">
        <v>194</v>
      </c>
      <c r="AP145" s="20">
        <v>0</v>
      </c>
      <c r="CV145" s="20">
        <v>0</v>
      </c>
      <c r="CW145" s="20">
        <v>0</v>
      </c>
      <c r="CX145" s="20" t="s">
        <v>194</v>
      </c>
      <c r="CY145" s="20">
        <v>0</v>
      </c>
      <c r="DB145" s="20">
        <v>0</v>
      </c>
      <c r="DD145" s="20">
        <v>0</v>
      </c>
      <c r="DE145" s="20">
        <v>0</v>
      </c>
      <c r="DF145" s="20">
        <v>0</v>
      </c>
      <c r="DG145" s="20">
        <v>0</v>
      </c>
      <c r="DH145" s="20">
        <v>0</v>
      </c>
      <c r="DI145" s="20" t="b">
        <v>0</v>
      </c>
      <c r="DK145" s="20">
        <v>0</v>
      </c>
      <c r="DM145" s="20" t="s">
        <v>187</v>
      </c>
      <c r="DN145" s="20">
        <v>0</v>
      </c>
      <c r="DO145" s="20">
        <v>0</v>
      </c>
      <c r="DP145" s="20">
        <v>0</v>
      </c>
    </row>
    <row r="146" spans="2:120">
      <c r="B146" s="20" cm="1">
        <f t="array" ref="B146">10000000+INDEX(编号表!$B$1:$B$112,MATCH(D146,编号表!$A$1:$A$112,0))*10000+I146</f>
        <v>10640006</v>
      </c>
      <c r="C146" s="20" t="s">
        <v>229</v>
      </c>
      <c r="D146" s="20" t="s">
        <v>229</v>
      </c>
      <c r="E146" s="20" t="s">
        <v>214</v>
      </c>
      <c r="F146" s="20" t="s">
        <v>215</v>
      </c>
      <c r="G146" s="20">
        <v>1</v>
      </c>
      <c r="H146" s="20" t="b">
        <v>0</v>
      </c>
      <c r="I146" s="20">
        <v>6</v>
      </c>
      <c r="J146" s="20">
        <v>106400</v>
      </c>
      <c r="K146" s="20" t="s">
        <v>177</v>
      </c>
      <c r="L146" s="20">
        <v>10640005</v>
      </c>
      <c r="M146" s="20">
        <v>10640007</v>
      </c>
      <c r="N146" s="20" t="s">
        <v>230</v>
      </c>
      <c r="O146" s="20">
        <v>0</v>
      </c>
      <c r="P146" s="20">
        <v>0</v>
      </c>
      <c r="Q146" s="20">
        <v>0</v>
      </c>
      <c r="R146" s="20">
        <v>1</v>
      </c>
      <c r="T146" s="20">
        <v>100</v>
      </c>
      <c r="AO146" s="20" t="s">
        <v>194</v>
      </c>
      <c r="AP146" s="20">
        <v>0</v>
      </c>
      <c r="CV146" s="20">
        <v>0</v>
      </c>
      <c r="CW146" s="20">
        <v>0</v>
      </c>
      <c r="CX146" s="20" t="s">
        <v>194</v>
      </c>
      <c r="CY146" s="20">
        <v>0</v>
      </c>
      <c r="DB146" s="20">
        <v>0</v>
      </c>
      <c r="DD146" s="20">
        <v>0</v>
      </c>
      <c r="DE146" s="20">
        <v>0</v>
      </c>
      <c r="DF146" s="20">
        <v>0</v>
      </c>
      <c r="DG146" s="20">
        <v>0</v>
      </c>
      <c r="DH146" s="20">
        <v>0</v>
      </c>
      <c r="DI146" s="20" t="b">
        <v>0</v>
      </c>
      <c r="DK146" s="20">
        <v>0</v>
      </c>
      <c r="DM146" s="20" t="s">
        <v>187</v>
      </c>
      <c r="DN146" s="20">
        <v>0</v>
      </c>
      <c r="DO146" s="20">
        <v>0</v>
      </c>
      <c r="DP146" s="20">
        <v>0</v>
      </c>
    </row>
    <row r="147" spans="2:120">
      <c r="B147" s="20" cm="1">
        <f t="array" ref="B147">10000000+INDEX(编号表!$B$1:$B$112,MATCH(D147,编号表!$A$1:$A$112,0))*10000+I147</f>
        <v>10640007</v>
      </c>
      <c r="C147" s="20" t="s">
        <v>229</v>
      </c>
      <c r="D147" s="20" t="s">
        <v>229</v>
      </c>
      <c r="E147" s="20" t="s">
        <v>214</v>
      </c>
      <c r="F147" s="20" t="s">
        <v>215</v>
      </c>
      <c r="G147" s="20">
        <v>1</v>
      </c>
      <c r="H147" s="20" t="b">
        <v>0</v>
      </c>
      <c r="I147" s="20">
        <v>7</v>
      </c>
      <c r="J147" s="20">
        <v>106400</v>
      </c>
      <c r="K147" s="20" t="s">
        <v>177</v>
      </c>
      <c r="L147" s="20">
        <v>10640006</v>
      </c>
      <c r="M147" s="20">
        <v>10640008</v>
      </c>
      <c r="N147" s="20" t="s">
        <v>230</v>
      </c>
      <c r="O147" s="20">
        <v>0</v>
      </c>
      <c r="P147" s="20">
        <v>0</v>
      </c>
      <c r="Q147" s="20">
        <v>0</v>
      </c>
      <c r="R147" s="20">
        <v>1</v>
      </c>
      <c r="T147" s="20">
        <v>100</v>
      </c>
      <c r="AO147" s="20" t="s">
        <v>194</v>
      </c>
      <c r="AP147" s="20">
        <v>0</v>
      </c>
      <c r="CV147" s="20">
        <v>0</v>
      </c>
      <c r="CW147" s="20">
        <v>0</v>
      </c>
      <c r="CX147" s="20" t="s">
        <v>194</v>
      </c>
      <c r="CY147" s="20">
        <v>0</v>
      </c>
      <c r="DB147" s="20">
        <v>0</v>
      </c>
      <c r="DD147" s="20">
        <v>0</v>
      </c>
      <c r="DE147" s="20">
        <v>0</v>
      </c>
      <c r="DF147" s="20">
        <v>0</v>
      </c>
      <c r="DG147" s="20">
        <v>0</v>
      </c>
      <c r="DH147" s="20">
        <v>0</v>
      </c>
      <c r="DI147" s="20" t="b">
        <v>0</v>
      </c>
      <c r="DK147" s="20">
        <v>0</v>
      </c>
      <c r="DM147" s="20" t="s">
        <v>187</v>
      </c>
      <c r="DN147" s="20">
        <v>0</v>
      </c>
      <c r="DO147" s="20">
        <v>0</v>
      </c>
      <c r="DP147" s="20">
        <v>0</v>
      </c>
    </row>
    <row r="148" spans="2:120">
      <c r="B148" s="20" cm="1">
        <f t="array" ref="B148">10000000+INDEX(编号表!$B$1:$B$112,MATCH(D148,编号表!$A$1:$A$112,0))*10000+I148</f>
        <v>10640008</v>
      </c>
      <c r="C148" s="20" t="s">
        <v>229</v>
      </c>
      <c r="D148" s="20" t="s">
        <v>229</v>
      </c>
      <c r="E148" s="20" t="s">
        <v>214</v>
      </c>
      <c r="F148" s="20" t="s">
        <v>215</v>
      </c>
      <c r="G148" s="20">
        <v>1</v>
      </c>
      <c r="H148" s="20" t="b">
        <v>0</v>
      </c>
      <c r="I148" s="20">
        <v>8</v>
      </c>
      <c r="J148" s="20">
        <v>106400</v>
      </c>
      <c r="K148" s="20" t="s">
        <v>177</v>
      </c>
      <c r="L148" s="20">
        <v>10640007</v>
      </c>
      <c r="M148" s="20">
        <v>10640009</v>
      </c>
      <c r="N148" s="20" t="s">
        <v>230</v>
      </c>
      <c r="O148" s="20">
        <v>0</v>
      </c>
      <c r="P148" s="20">
        <v>0</v>
      </c>
      <c r="Q148" s="20">
        <v>0</v>
      </c>
      <c r="R148" s="20">
        <v>1</v>
      </c>
      <c r="T148" s="20">
        <v>100</v>
      </c>
      <c r="AO148" s="20" t="s">
        <v>194</v>
      </c>
      <c r="AP148" s="20">
        <v>0</v>
      </c>
      <c r="CV148" s="20">
        <v>0</v>
      </c>
      <c r="CW148" s="20">
        <v>0</v>
      </c>
      <c r="CX148" s="20" t="s">
        <v>194</v>
      </c>
      <c r="CY148" s="20">
        <v>0</v>
      </c>
      <c r="DB148" s="20">
        <v>0</v>
      </c>
      <c r="DD148" s="20">
        <v>0</v>
      </c>
      <c r="DE148" s="20">
        <v>0</v>
      </c>
      <c r="DF148" s="20">
        <v>0</v>
      </c>
      <c r="DG148" s="20">
        <v>0</v>
      </c>
      <c r="DH148" s="20">
        <v>0</v>
      </c>
      <c r="DI148" s="20" t="b">
        <v>0</v>
      </c>
      <c r="DK148" s="20">
        <v>0</v>
      </c>
      <c r="DM148" s="20" t="s">
        <v>187</v>
      </c>
      <c r="DN148" s="20">
        <v>0</v>
      </c>
      <c r="DO148" s="20">
        <v>0</v>
      </c>
      <c r="DP148" s="20">
        <v>0</v>
      </c>
    </row>
    <row r="149" spans="2:120">
      <c r="B149" s="20" cm="1">
        <f t="array" ref="B149">10000000+INDEX(编号表!$B$1:$B$112,MATCH(D149,编号表!$A$1:$A$112,0))*10000+I149</f>
        <v>10640009</v>
      </c>
      <c r="C149" s="20" t="s">
        <v>229</v>
      </c>
      <c r="D149" s="20" t="s">
        <v>229</v>
      </c>
      <c r="E149" s="20" t="s">
        <v>214</v>
      </c>
      <c r="F149" s="20" t="s">
        <v>215</v>
      </c>
      <c r="G149" s="20">
        <v>1</v>
      </c>
      <c r="H149" s="20" t="b">
        <v>0</v>
      </c>
      <c r="I149" s="20">
        <v>9</v>
      </c>
      <c r="J149" s="20">
        <v>106400</v>
      </c>
      <c r="K149" s="20" t="s">
        <v>177</v>
      </c>
      <c r="L149" s="20">
        <v>10640008</v>
      </c>
      <c r="M149" s="20">
        <v>10640010</v>
      </c>
      <c r="N149" s="20" t="s">
        <v>230</v>
      </c>
      <c r="O149" s="20">
        <v>0</v>
      </c>
      <c r="P149" s="20">
        <v>0</v>
      </c>
      <c r="Q149" s="20">
        <v>0</v>
      </c>
      <c r="R149" s="20">
        <v>1</v>
      </c>
      <c r="T149" s="20">
        <v>100</v>
      </c>
      <c r="AO149" s="20" t="s">
        <v>194</v>
      </c>
      <c r="AP149" s="20">
        <v>0</v>
      </c>
      <c r="CV149" s="20">
        <v>0</v>
      </c>
      <c r="CW149" s="20">
        <v>0</v>
      </c>
      <c r="CX149" s="20" t="s">
        <v>194</v>
      </c>
      <c r="CY149" s="20">
        <v>0</v>
      </c>
      <c r="DB149" s="20">
        <v>0</v>
      </c>
      <c r="DD149" s="20">
        <v>0</v>
      </c>
      <c r="DE149" s="20">
        <v>0</v>
      </c>
      <c r="DF149" s="20">
        <v>0</v>
      </c>
      <c r="DG149" s="20">
        <v>0</v>
      </c>
      <c r="DH149" s="20">
        <v>0</v>
      </c>
      <c r="DI149" s="20" t="b">
        <v>0</v>
      </c>
      <c r="DK149" s="20">
        <v>0</v>
      </c>
      <c r="DM149" s="20" t="s">
        <v>187</v>
      </c>
      <c r="DN149" s="20">
        <v>0</v>
      </c>
      <c r="DO149" s="20">
        <v>0</v>
      </c>
      <c r="DP149" s="20">
        <v>0</v>
      </c>
    </row>
    <row r="150" spans="2:120">
      <c r="B150" s="20" cm="1">
        <f t="array" ref="B150">10000000+INDEX(编号表!$B$1:$B$112,MATCH(D150,编号表!$A$1:$A$112,0))*10000+I150</f>
        <v>10640010</v>
      </c>
      <c r="C150" s="20" t="s">
        <v>229</v>
      </c>
      <c r="D150" s="20" t="s">
        <v>229</v>
      </c>
      <c r="E150" s="20" t="s">
        <v>214</v>
      </c>
      <c r="F150" s="20" t="s">
        <v>215</v>
      </c>
      <c r="G150" s="20">
        <v>1</v>
      </c>
      <c r="H150" s="20" t="b">
        <v>0</v>
      </c>
      <c r="I150" s="20">
        <v>10</v>
      </c>
      <c r="J150" s="20">
        <v>106400</v>
      </c>
      <c r="K150" s="20" t="s">
        <v>177</v>
      </c>
      <c r="L150" s="20">
        <v>10640009</v>
      </c>
      <c r="N150" s="20" t="s">
        <v>230</v>
      </c>
      <c r="O150" s="20">
        <v>0</v>
      </c>
      <c r="P150" s="20">
        <v>0</v>
      </c>
      <c r="Q150" s="20">
        <v>0</v>
      </c>
      <c r="R150" s="20">
        <v>1</v>
      </c>
      <c r="T150" s="20">
        <v>100</v>
      </c>
      <c r="AO150" s="20" t="s">
        <v>194</v>
      </c>
      <c r="AP150" s="20">
        <v>0</v>
      </c>
      <c r="CV150" s="20">
        <v>0</v>
      </c>
      <c r="CW150" s="20">
        <v>0</v>
      </c>
      <c r="CX150" s="20" t="s">
        <v>194</v>
      </c>
      <c r="CY150" s="20">
        <v>0</v>
      </c>
      <c r="DB150" s="20">
        <v>0</v>
      </c>
      <c r="DD150" s="20">
        <v>0</v>
      </c>
      <c r="DE150" s="20">
        <v>0</v>
      </c>
      <c r="DF150" s="20">
        <v>0</v>
      </c>
      <c r="DG150" s="20">
        <v>0</v>
      </c>
      <c r="DH150" s="20">
        <v>0</v>
      </c>
      <c r="DI150" s="20" t="b">
        <v>0</v>
      </c>
      <c r="DK150" s="20">
        <v>0</v>
      </c>
      <c r="DM150" s="20" t="s">
        <v>187</v>
      </c>
      <c r="DN150" s="20">
        <v>0</v>
      </c>
      <c r="DO150" s="20">
        <v>0</v>
      </c>
      <c r="DP150" s="20">
        <v>0</v>
      </c>
    </row>
    <row r="151" spans="2:120">
      <c r="B151" s="20" cm="1">
        <f t="array" ref="B151">10000000+INDEX(编号表!$B$1:$B$112,MATCH(D151,编号表!$A$1:$A$112,0))*10000+I151</f>
        <v>10650001</v>
      </c>
      <c r="C151" s="20" t="s">
        <v>231</v>
      </c>
      <c r="D151" s="20" t="s">
        <v>231</v>
      </c>
      <c r="E151" s="20" t="s">
        <v>214</v>
      </c>
      <c r="F151" s="20" t="s">
        <v>215</v>
      </c>
      <c r="G151" s="20">
        <v>1</v>
      </c>
      <c r="H151" s="20" t="b">
        <v>0</v>
      </c>
      <c r="I151" s="20">
        <v>1</v>
      </c>
      <c r="J151" s="20">
        <v>106500</v>
      </c>
      <c r="K151" s="20" t="s">
        <v>177</v>
      </c>
      <c r="M151" s="20">
        <v>10650002</v>
      </c>
      <c r="N151" s="20" t="s">
        <v>232</v>
      </c>
      <c r="O151" s="20">
        <v>0</v>
      </c>
      <c r="P151" s="20">
        <v>0</v>
      </c>
      <c r="Q151" s="20">
        <v>0</v>
      </c>
      <c r="R151" s="20">
        <v>1</v>
      </c>
      <c r="T151" s="20">
        <v>100</v>
      </c>
      <c r="AO151" s="20" t="s">
        <v>194</v>
      </c>
      <c r="AP151" s="20">
        <v>0</v>
      </c>
      <c r="CV151" s="20">
        <v>0</v>
      </c>
      <c r="CW151" s="20">
        <v>0</v>
      </c>
      <c r="CX151" s="20" t="s">
        <v>194</v>
      </c>
      <c r="CY151" s="20">
        <v>0</v>
      </c>
      <c r="DB151" s="20">
        <v>0</v>
      </c>
      <c r="DD151" s="20">
        <v>0</v>
      </c>
      <c r="DE151" s="20">
        <v>0</v>
      </c>
      <c r="DF151" s="20">
        <v>0</v>
      </c>
      <c r="DG151" s="20">
        <v>0</v>
      </c>
      <c r="DH151" s="20">
        <v>0</v>
      </c>
      <c r="DI151" s="20" t="b">
        <v>0</v>
      </c>
      <c r="DK151" s="20">
        <v>0</v>
      </c>
      <c r="DM151" s="20" t="s">
        <v>187</v>
      </c>
      <c r="DN151" s="20">
        <v>0</v>
      </c>
      <c r="DO151" s="20">
        <v>0</v>
      </c>
      <c r="DP151" s="20">
        <v>0</v>
      </c>
    </row>
    <row r="152" spans="2:120">
      <c r="B152" s="20" cm="1">
        <f t="array" ref="B152">10000000+INDEX(编号表!$B$1:$B$112,MATCH(D152,编号表!$A$1:$A$112,0))*10000+I152</f>
        <v>10650002</v>
      </c>
      <c r="C152" s="20" t="s">
        <v>231</v>
      </c>
      <c r="D152" s="20" t="s">
        <v>231</v>
      </c>
      <c r="E152" s="20" t="s">
        <v>214</v>
      </c>
      <c r="F152" s="20" t="s">
        <v>215</v>
      </c>
      <c r="G152" s="20">
        <v>1</v>
      </c>
      <c r="H152" s="20" t="b">
        <v>0</v>
      </c>
      <c r="I152" s="20">
        <v>2</v>
      </c>
      <c r="J152" s="20">
        <v>106500</v>
      </c>
      <c r="K152" s="20" t="s">
        <v>177</v>
      </c>
      <c r="L152" s="20">
        <v>10650001</v>
      </c>
      <c r="M152" s="20">
        <v>10650003</v>
      </c>
      <c r="N152" s="20" t="s">
        <v>232</v>
      </c>
      <c r="O152" s="20">
        <v>0</v>
      </c>
      <c r="P152" s="20">
        <v>0</v>
      </c>
      <c r="Q152" s="20">
        <v>0</v>
      </c>
      <c r="R152" s="20">
        <v>1</v>
      </c>
      <c r="T152" s="20">
        <v>100</v>
      </c>
      <c r="AO152" s="20" t="s">
        <v>194</v>
      </c>
      <c r="AP152" s="20">
        <v>0</v>
      </c>
      <c r="CV152" s="20">
        <v>0</v>
      </c>
      <c r="CW152" s="20">
        <v>0</v>
      </c>
      <c r="CX152" s="20" t="s">
        <v>194</v>
      </c>
      <c r="CY152" s="20">
        <v>0</v>
      </c>
      <c r="DB152" s="20">
        <v>0</v>
      </c>
      <c r="DD152" s="20">
        <v>0</v>
      </c>
      <c r="DE152" s="20">
        <v>0</v>
      </c>
      <c r="DF152" s="20">
        <v>0</v>
      </c>
      <c r="DG152" s="20">
        <v>0</v>
      </c>
      <c r="DH152" s="20">
        <v>0</v>
      </c>
      <c r="DI152" s="20" t="b">
        <v>0</v>
      </c>
      <c r="DK152" s="20">
        <v>0</v>
      </c>
      <c r="DM152" s="20" t="s">
        <v>187</v>
      </c>
      <c r="DN152" s="20">
        <v>0</v>
      </c>
      <c r="DO152" s="20">
        <v>0</v>
      </c>
      <c r="DP152" s="20">
        <v>0</v>
      </c>
    </row>
    <row r="153" spans="2:120">
      <c r="B153" s="20" cm="1">
        <f t="array" ref="B153">10000000+INDEX(编号表!$B$1:$B$112,MATCH(D153,编号表!$A$1:$A$112,0))*10000+I153</f>
        <v>10650003</v>
      </c>
      <c r="C153" s="20" t="s">
        <v>231</v>
      </c>
      <c r="D153" s="20" t="s">
        <v>231</v>
      </c>
      <c r="E153" s="20" t="s">
        <v>214</v>
      </c>
      <c r="F153" s="20" t="s">
        <v>215</v>
      </c>
      <c r="G153" s="20">
        <v>1</v>
      </c>
      <c r="H153" s="20" t="b">
        <v>0</v>
      </c>
      <c r="I153" s="20">
        <v>3</v>
      </c>
      <c r="J153" s="20">
        <v>106500</v>
      </c>
      <c r="K153" s="20" t="s">
        <v>177</v>
      </c>
      <c r="L153" s="20">
        <v>10650002</v>
      </c>
      <c r="M153" s="20">
        <v>10650004</v>
      </c>
      <c r="N153" s="20" t="s">
        <v>232</v>
      </c>
      <c r="O153" s="20">
        <v>0</v>
      </c>
      <c r="P153" s="20">
        <v>0</v>
      </c>
      <c r="Q153" s="20">
        <v>0</v>
      </c>
      <c r="R153" s="20">
        <v>1</v>
      </c>
      <c r="T153" s="20">
        <v>100</v>
      </c>
      <c r="AO153" s="20" t="s">
        <v>194</v>
      </c>
      <c r="AP153" s="20">
        <v>0</v>
      </c>
      <c r="CV153" s="20">
        <v>0</v>
      </c>
      <c r="CW153" s="20">
        <v>0</v>
      </c>
      <c r="CX153" s="20" t="s">
        <v>194</v>
      </c>
      <c r="CY153" s="20">
        <v>0</v>
      </c>
      <c r="DB153" s="20">
        <v>0</v>
      </c>
      <c r="DD153" s="20">
        <v>0</v>
      </c>
      <c r="DE153" s="20">
        <v>0</v>
      </c>
      <c r="DF153" s="20">
        <v>0</v>
      </c>
      <c r="DG153" s="20">
        <v>0</v>
      </c>
      <c r="DH153" s="20">
        <v>0</v>
      </c>
      <c r="DI153" s="20" t="b">
        <v>0</v>
      </c>
      <c r="DK153" s="20">
        <v>0</v>
      </c>
      <c r="DM153" s="20" t="s">
        <v>187</v>
      </c>
      <c r="DN153" s="20">
        <v>0</v>
      </c>
      <c r="DO153" s="20">
        <v>0</v>
      </c>
      <c r="DP153" s="20">
        <v>0</v>
      </c>
    </row>
    <row r="154" spans="2:120">
      <c r="B154" s="20" cm="1">
        <f t="array" ref="B154">10000000+INDEX(编号表!$B$1:$B$112,MATCH(D154,编号表!$A$1:$A$112,0))*10000+I154</f>
        <v>10650004</v>
      </c>
      <c r="C154" s="20" t="s">
        <v>231</v>
      </c>
      <c r="D154" s="20" t="s">
        <v>231</v>
      </c>
      <c r="E154" s="20" t="s">
        <v>214</v>
      </c>
      <c r="F154" s="20" t="s">
        <v>215</v>
      </c>
      <c r="G154" s="20">
        <v>1</v>
      </c>
      <c r="H154" s="20" t="b">
        <v>0</v>
      </c>
      <c r="I154" s="20">
        <v>4</v>
      </c>
      <c r="J154" s="20">
        <v>106500</v>
      </c>
      <c r="K154" s="20" t="s">
        <v>177</v>
      </c>
      <c r="L154" s="20">
        <v>10650003</v>
      </c>
      <c r="M154" s="20">
        <v>10650005</v>
      </c>
      <c r="N154" s="20" t="s">
        <v>232</v>
      </c>
      <c r="O154" s="20">
        <v>0</v>
      </c>
      <c r="P154" s="20">
        <v>0</v>
      </c>
      <c r="Q154" s="20">
        <v>0</v>
      </c>
      <c r="R154" s="20">
        <v>1</v>
      </c>
      <c r="T154" s="20">
        <v>100</v>
      </c>
      <c r="AO154" s="20" t="s">
        <v>194</v>
      </c>
      <c r="AP154" s="20">
        <v>0</v>
      </c>
      <c r="CV154" s="20">
        <v>0</v>
      </c>
      <c r="CW154" s="20">
        <v>0</v>
      </c>
      <c r="CX154" s="20" t="s">
        <v>194</v>
      </c>
      <c r="CY154" s="20">
        <v>0</v>
      </c>
      <c r="DB154" s="20">
        <v>0</v>
      </c>
      <c r="DD154" s="20">
        <v>0</v>
      </c>
      <c r="DE154" s="20">
        <v>0</v>
      </c>
      <c r="DF154" s="20">
        <v>0</v>
      </c>
      <c r="DG154" s="20">
        <v>0</v>
      </c>
      <c r="DH154" s="20">
        <v>0</v>
      </c>
      <c r="DI154" s="20" t="b">
        <v>0</v>
      </c>
      <c r="DK154" s="20">
        <v>0</v>
      </c>
      <c r="DM154" s="20" t="s">
        <v>187</v>
      </c>
      <c r="DN154" s="20">
        <v>0</v>
      </c>
      <c r="DO154" s="20">
        <v>0</v>
      </c>
      <c r="DP154" s="20">
        <v>0</v>
      </c>
    </row>
    <row r="155" spans="2:120">
      <c r="B155" s="20" cm="1">
        <f t="array" ref="B155">10000000+INDEX(编号表!$B$1:$B$112,MATCH(D155,编号表!$A$1:$A$112,0))*10000+I155</f>
        <v>10650005</v>
      </c>
      <c r="C155" s="20" t="s">
        <v>231</v>
      </c>
      <c r="D155" s="20" t="s">
        <v>231</v>
      </c>
      <c r="E155" s="20" t="s">
        <v>214</v>
      </c>
      <c r="F155" s="20" t="s">
        <v>215</v>
      </c>
      <c r="G155" s="20">
        <v>1</v>
      </c>
      <c r="H155" s="20" t="b">
        <v>0</v>
      </c>
      <c r="I155" s="20">
        <v>5</v>
      </c>
      <c r="J155" s="20">
        <v>106500</v>
      </c>
      <c r="K155" s="20" t="s">
        <v>177</v>
      </c>
      <c r="L155" s="20">
        <v>10650004</v>
      </c>
      <c r="M155" s="20">
        <v>10650006</v>
      </c>
      <c r="N155" s="20" t="s">
        <v>232</v>
      </c>
      <c r="O155" s="20">
        <v>0</v>
      </c>
      <c r="P155" s="20">
        <v>0</v>
      </c>
      <c r="Q155" s="20">
        <v>0</v>
      </c>
      <c r="R155" s="20">
        <v>1</v>
      </c>
      <c r="T155" s="20">
        <v>100</v>
      </c>
      <c r="AO155" s="20" t="s">
        <v>194</v>
      </c>
      <c r="AP155" s="20">
        <v>0</v>
      </c>
      <c r="CV155" s="20">
        <v>0</v>
      </c>
      <c r="CW155" s="20">
        <v>0</v>
      </c>
      <c r="CX155" s="20" t="s">
        <v>194</v>
      </c>
      <c r="CY155" s="20">
        <v>0</v>
      </c>
      <c r="DB155" s="20">
        <v>0</v>
      </c>
      <c r="DD155" s="20">
        <v>0</v>
      </c>
      <c r="DE155" s="20">
        <v>0</v>
      </c>
      <c r="DF155" s="20">
        <v>0</v>
      </c>
      <c r="DG155" s="20">
        <v>0</v>
      </c>
      <c r="DH155" s="20">
        <v>0</v>
      </c>
      <c r="DI155" s="20" t="b">
        <v>0</v>
      </c>
      <c r="DK155" s="20">
        <v>0</v>
      </c>
      <c r="DM155" s="20" t="s">
        <v>187</v>
      </c>
      <c r="DN155" s="20">
        <v>0</v>
      </c>
      <c r="DO155" s="20">
        <v>0</v>
      </c>
      <c r="DP155" s="20">
        <v>0</v>
      </c>
    </row>
    <row r="156" spans="2:120">
      <c r="B156" s="20" cm="1">
        <f t="array" ref="B156">10000000+INDEX(编号表!$B$1:$B$112,MATCH(D156,编号表!$A$1:$A$112,0))*10000+I156</f>
        <v>10650006</v>
      </c>
      <c r="C156" s="20" t="s">
        <v>231</v>
      </c>
      <c r="D156" s="20" t="s">
        <v>231</v>
      </c>
      <c r="E156" s="20" t="s">
        <v>214</v>
      </c>
      <c r="F156" s="20" t="s">
        <v>215</v>
      </c>
      <c r="G156" s="20">
        <v>1</v>
      </c>
      <c r="H156" s="20" t="b">
        <v>0</v>
      </c>
      <c r="I156" s="20">
        <v>6</v>
      </c>
      <c r="J156" s="20">
        <v>106500</v>
      </c>
      <c r="K156" s="20" t="s">
        <v>177</v>
      </c>
      <c r="L156" s="20">
        <v>10650005</v>
      </c>
      <c r="M156" s="20">
        <v>10650007</v>
      </c>
      <c r="N156" s="20" t="s">
        <v>232</v>
      </c>
      <c r="O156" s="20">
        <v>0</v>
      </c>
      <c r="P156" s="20">
        <v>0</v>
      </c>
      <c r="Q156" s="20">
        <v>0</v>
      </c>
      <c r="R156" s="20">
        <v>1</v>
      </c>
      <c r="T156" s="20">
        <v>100</v>
      </c>
      <c r="AO156" s="20" t="s">
        <v>194</v>
      </c>
      <c r="AP156" s="20">
        <v>0</v>
      </c>
      <c r="CV156" s="20">
        <v>0</v>
      </c>
      <c r="CW156" s="20">
        <v>0</v>
      </c>
      <c r="CX156" s="20" t="s">
        <v>194</v>
      </c>
      <c r="CY156" s="20">
        <v>0</v>
      </c>
      <c r="DB156" s="20">
        <v>0</v>
      </c>
      <c r="DD156" s="20">
        <v>0</v>
      </c>
      <c r="DE156" s="20">
        <v>0</v>
      </c>
      <c r="DF156" s="20">
        <v>0</v>
      </c>
      <c r="DG156" s="20">
        <v>0</v>
      </c>
      <c r="DH156" s="20">
        <v>0</v>
      </c>
      <c r="DI156" s="20" t="b">
        <v>0</v>
      </c>
      <c r="DK156" s="20">
        <v>0</v>
      </c>
      <c r="DM156" s="20" t="s">
        <v>187</v>
      </c>
      <c r="DN156" s="20">
        <v>0</v>
      </c>
      <c r="DO156" s="20">
        <v>0</v>
      </c>
      <c r="DP156" s="20">
        <v>0</v>
      </c>
    </row>
    <row r="157" spans="2:120">
      <c r="B157" s="20" cm="1">
        <f t="array" ref="B157">10000000+INDEX(编号表!$B$1:$B$112,MATCH(D157,编号表!$A$1:$A$112,0))*10000+I157</f>
        <v>10650007</v>
      </c>
      <c r="C157" s="20" t="s">
        <v>231</v>
      </c>
      <c r="D157" s="20" t="s">
        <v>231</v>
      </c>
      <c r="E157" s="20" t="s">
        <v>214</v>
      </c>
      <c r="F157" s="20" t="s">
        <v>215</v>
      </c>
      <c r="G157" s="20">
        <v>1</v>
      </c>
      <c r="H157" s="20" t="b">
        <v>0</v>
      </c>
      <c r="I157" s="20">
        <v>7</v>
      </c>
      <c r="J157" s="20">
        <v>106500</v>
      </c>
      <c r="K157" s="20" t="s">
        <v>177</v>
      </c>
      <c r="L157" s="20">
        <v>10650006</v>
      </c>
      <c r="M157" s="20">
        <v>10650008</v>
      </c>
      <c r="N157" s="20" t="s">
        <v>232</v>
      </c>
      <c r="O157" s="20">
        <v>0</v>
      </c>
      <c r="P157" s="20">
        <v>0</v>
      </c>
      <c r="Q157" s="20">
        <v>0</v>
      </c>
      <c r="R157" s="20">
        <v>1</v>
      </c>
      <c r="T157" s="20">
        <v>100</v>
      </c>
      <c r="AO157" s="20" t="s">
        <v>194</v>
      </c>
      <c r="AP157" s="20">
        <v>0</v>
      </c>
      <c r="CV157" s="20">
        <v>0</v>
      </c>
      <c r="CW157" s="20">
        <v>0</v>
      </c>
      <c r="CX157" s="20" t="s">
        <v>194</v>
      </c>
      <c r="CY157" s="20">
        <v>0</v>
      </c>
      <c r="DB157" s="20">
        <v>0</v>
      </c>
      <c r="DD157" s="20">
        <v>0</v>
      </c>
      <c r="DE157" s="20">
        <v>0</v>
      </c>
      <c r="DF157" s="20">
        <v>0</v>
      </c>
      <c r="DG157" s="20">
        <v>0</v>
      </c>
      <c r="DH157" s="20">
        <v>0</v>
      </c>
      <c r="DI157" s="20" t="b">
        <v>0</v>
      </c>
      <c r="DK157" s="20">
        <v>0</v>
      </c>
      <c r="DM157" s="20" t="s">
        <v>187</v>
      </c>
      <c r="DN157" s="20">
        <v>0</v>
      </c>
      <c r="DO157" s="20">
        <v>0</v>
      </c>
      <c r="DP157" s="20">
        <v>0</v>
      </c>
    </row>
    <row r="158" spans="2:120">
      <c r="B158" s="20" cm="1">
        <f t="array" ref="B158">10000000+INDEX(编号表!$B$1:$B$112,MATCH(D158,编号表!$A$1:$A$112,0))*10000+I158</f>
        <v>10650008</v>
      </c>
      <c r="C158" s="20" t="s">
        <v>231</v>
      </c>
      <c r="D158" s="20" t="s">
        <v>231</v>
      </c>
      <c r="E158" s="20" t="s">
        <v>214</v>
      </c>
      <c r="F158" s="20" t="s">
        <v>215</v>
      </c>
      <c r="G158" s="20">
        <v>1</v>
      </c>
      <c r="H158" s="20" t="b">
        <v>0</v>
      </c>
      <c r="I158" s="20">
        <v>8</v>
      </c>
      <c r="J158" s="20">
        <v>106500</v>
      </c>
      <c r="K158" s="20" t="s">
        <v>177</v>
      </c>
      <c r="L158" s="20">
        <v>10650007</v>
      </c>
      <c r="M158" s="20">
        <v>10650009</v>
      </c>
      <c r="N158" s="20" t="s">
        <v>232</v>
      </c>
      <c r="O158" s="20">
        <v>0</v>
      </c>
      <c r="P158" s="20">
        <v>0</v>
      </c>
      <c r="Q158" s="20">
        <v>0</v>
      </c>
      <c r="R158" s="20">
        <v>1</v>
      </c>
      <c r="T158" s="20">
        <v>100</v>
      </c>
      <c r="AO158" s="20" t="s">
        <v>194</v>
      </c>
      <c r="AP158" s="20">
        <v>0</v>
      </c>
      <c r="CV158" s="20">
        <v>0</v>
      </c>
      <c r="CW158" s="20">
        <v>0</v>
      </c>
      <c r="CX158" s="20" t="s">
        <v>194</v>
      </c>
      <c r="CY158" s="20">
        <v>0</v>
      </c>
      <c r="DB158" s="20">
        <v>0</v>
      </c>
      <c r="DD158" s="20">
        <v>0</v>
      </c>
      <c r="DE158" s="20">
        <v>0</v>
      </c>
      <c r="DF158" s="20">
        <v>0</v>
      </c>
      <c r="DG158" s="20">
        <v>0</v>
      </c>
      <c r="DH158" s="20">
        <v>0</v>
      </c>
      <c r="DI158" s="20" t="b">
        <v>0</v>
      </c>
      <c r="DK158" s="20">
        <v>0</v>
      </c>
      <c r="DM158" s="20" t="s">
        <v>187</v>
      </c>
      <c r="DN158" s="20">
        <v>0</v>
      </c>
      <c r="DO158" s="20">
        <v>0</v>
      </c>
      <c r="DP158" s="20">
        <v>0</v>
      </c>
    </row>
    <row r="159" spans="2:120">
      <c r="B159" s="20" cm="1">
        <f t="array" ref="B159">10000000+INDEX(编号表!$B$1:$B$112,MATCH(D159,编号表!$A$1:$A$112,0))*10000+I159</f>
        <v>10650009</v>
      </c>
      <c r="C159" s="20" t="s">
        <v>231</v>
      </c>
      <c r="D159" s="20" t="s">
        <v>231</v>
      </c>
      <c r="E159" s="20" t="s">
        <v>214</v>
      </c>
      <c r="F159" s="20" t="s">
        <v>215</v>
      </c>
      <c r="G159" s="20">
        <v>1</v>
      </c>
      <c r="H159" s="20" t="b">
        <v>0</v>
      </c>
      <c r="I159" s="20">
        <v>9</v>
      </c>
      <c r="J159" s="20">
        <v>106500</v>
      </c>
      <c r="K159" s="20" t="s">
        <v>177</v>
      </c>
      <c r="L159" s="20">
        <v>10650008</v>
      </c>
      <c r="M159" s="20">
        <v>10650010</v>
      </c>
      <c r="N159" s="20" t="s">
        <v>232</v>
      </c>
      <c r="O159" s="20">
        <v>0</v>
      </c>
      <c r="P159" s="20">
        <v>0</v>
      </c>
      <c r="Q159" s="20">
        <v>0</v>
      </c>
      <c r="R159" s="20">
        <v>1</v>
      </c>
      <c r="T159" s="20">
        <v>100</v>
      </c>
      <c r="AO159" s="20" t="s">
        <v>194</v>
      </c>
      <c r="AP159" s="20">
        <v>0</v>
      </c>
      <c r="CV159" s="20">
        <v>0</v>
      </c>
      <c r="CW159" s="20">
        <v>0</v>
      </c>
      <c r="CX159" s="20" t="s">
        <v>194</v>
      </c>
      <c r="CY159" s="20">
        <v>0</v>
      </c>
      <c r="DB159" s="20">
        <v>0</v>
      </c>
      <c r="DD159" s="20">
        <v>0</v>
      </c>
      <c r="DE159" s="20">
        <v>0</v>
      </c>
      <c r="DF159" s="20">
        <v>0</v>
      </c>
      <c r="DG159" s="20">
        <v>0</v>
      </c>
      <c r="DH159" s="20">
        <v>0</v>
      </c>
      <c r="DI159" s="20" t="b">
        <v>0</v>
      </c>
      <c r="DK159" s="20">
        <v>0</v>
      </c>
      <c r="DM159" s="20" t="s">
        <v>187</v>
      </c>
      <c r="DN159" s="20">
        <v>0</v>
      </c>
      <c r="DO159" s="20">
        <v>0</v>
      </c>
      <c r="DP159" s="20">
        <v>0</v>
      </c>
    </row>
    <row r="160" spans="2:120">
      <c r="B160" s="20" cm="1">
        <f t="array" ref="B160">10000000+INDEX(编号表!$B$1:$B$112,MATCH(D160,编号表!$A$1:$A$112,0))*10000+I160</f>
        <v>10650010</v>
      </c>
      <c r="C160" s="20" t="s">
        <v>231</v>
      </c>
      <c r="D160" s="20" t="s">
        <v>231</v>
      </c>
      <c r="E160" s="20" t="s">
        <v>214</v>
      </c>
      <c r="F160" s="20" t="s">
        <v>215</v>
      </c>
      <c r="G160" s="20">
        <v>1</v>
      </c>
      <c r="H160" s="20" t="b">
        <v>0</v>
      </c>
      <c r="I160" s="20">
        <v>10</v>
      </c>
      <c r="J160" s="20">
        <v>106500</v>
      </c>
      <c r="K160" s="20" t="s">
        <v>177</v>
      </c>
      <c r="L160" s="20">
        <v>10650009</v>
      </c>
      <c r="N160" s="20" t="s">
        <v>232</v>
      </c>
      <c r="O160" s="20">
        <v>0</v>
      </c>
      <c r="P160" s="20">
        <v>0</v>
      </c>
      <c r="Q160" s="20">
        <v>0</v>
      </c>
      <c r="R160" s="20">
        <v>1</v>
      </c>
      <c r="T160" s="20">
        <v>100</v>
      </c>
      <c r="AO160" s="20" t="s">
        <v>194</v>
      </c>
      <c r="AP160" s="20">
        <v>0</v>
      </c>
      <c r="CV160" s="20">
        <v>0</v>
      </c>
      <c r="CW160" s="20">
        <v>0</v>
      </c>
      <c r="CX160" s="20" t="s">
        <v>194</v>
      </c>
      <c r="CY160" s="20">
        <v>0</v>
      </c>
      <c r="DB160" s="20">
        <v>0</v>
      </c>
      <c r="DD160" s="20">
        <v>0</v>
      </c>
      <c r="DE160" s="20">
        <v>0</v>
      </c>
      <c r="DF160" s="20">
        <v>0</v>
      </c>
      <c r="DG160" s="20">
        <v>0</v>
      </c>
      <c r="DH160" s="20">
        <v>0</v>
      </c>
      <c r="DI160" s="20" t="b">
        <v>0</v>
      </c>
      <c r="DK160" s="20">
        <v>0</v>
      </c>
      <c r="DM160" s="20" t="s">
        <v>187</v>
      </c>
      <c r="DN160" s="20">
        <v>0</v>
      </c>
      <c r="DO160" s="20">
        <v>0</v>
      </c>
      <c r="DP160" s="20">
        <v>0</v>
      </c>
    </row>
    <row r="161" spans="2:120">
      <c r="B161" s="20" cm="1">
        <f t="array" ref="B161">10000000+INDEX(编号表!$B$1:$B$112,MATCH(D161,编号表!$A$1:$A$112,0))*10000+I161</f>
        <v>10660001</v>
      </c>
      <c r="C161" s="20" t="s">
        <v>233</v>
      </c>
      <c r="D161" s="20" t="s">
        <v>233</v>
      </c>
      <c r="E161" s="20" t="s">
        <v>214</v>
      </c>
      <c r="F161" s="20" t="s">
        <v>234</v>
      </c>
      <c r="G161" s="20">
        <v>1</v>
      </c>
      <c r="H161" s="20" t="b">
        <v>0</v>
      </c>
      <c r="I161" s="20">
        <v>1</v>
      </c>
      <c r="J161" s="20">
        <v>106600</v>
      </c>
      <c r="K161" s="20" t="s">
        <v>177</v>
      </c>
      <c r="M161" s="20">
        <v>10660002</v>
      </c>
      <c r="N161" s="20" t="s">
        <v>235</v>
      </c>
      <c r="O161" s="20">
        <v>0</v>
      </c>
      <c r="P161" s="20">
        <v>0</v>
      </c>
      <c r="Q161" s="20">
        <v>0</v>
      </c>
      <c r="R161" s="20">
        <v>1</v>
      </c>
      <c r="AO161" s="20" t="s">
        <v>194</v>
      </c>
      <c r="AP161" s="20">
        <v>0</v>
      </c>
      <c r="CV161" s="20">
        <v>0</v>
      </c>
      <c r="CW161" s="20">
        <v>0</v>
      </c>
      <c r="CX161" s="20" t="s">
        <v>194</v>
      </c>
      <c r="CY161" s="20">
        <v>0</v>
      </c>
      <c r="DB161" s="20">
        <v>0</v>
      </c>
      <c r="DD161" s="20">
        <v>0</v>
      </c>
      <c r="DE161" s="20">
        <v>0</v>
      </c>
      <c r="DF161" s="20">
        <v>0</v>
      </c>
      <c r="DG161" s="20">
        <v>0</v>
      </c>
      <c r="DH161" s="20">
        <v>0</v>
      </c>
      <c r="DI161" s="20" t="b">
        <v>0</v>
      </c>
      <c r="DK161" s="20">
        <v>0</v>
      </c>
      <c r="DM161" s="20" t="s">
        <v>187</v>
      </c>
      <c r="DN161" s="20">
        <v>0</v>
      </c>
      <c r="DO161" s="20">
        <v>0</v>
      </c>
      <c r="DP161" s="20">
        <v>0</v>
      </c>
    </row>
    <row r="162" spans="2:120">
      <c r="B162" s="20" cm="1">
        <f t="array" ref="B162">10000000+INDEX(编号表!$B$1:$B$112,MATCH(D162,编号表!$A$1:$A$112,0))*10000+I162</f>
        <v>10660002</v>
      </c>
      <c r="C162" s="20" t="s">
        <v>233</v>
      </c>
      <c r="D162" s="20" t="s">
        <v>233</v>
      </c>
      <c r="E162" s="20" t="s">
        <v>214</v>
      </c>
      <c r="F162" s="20" t="s">
        <v>234</v>
      </c>
      <c r="G162" s="20">
        <v>1</v>
      </c>
      <c r="H162" s="20" t="b">
        <v>0</v>
      </c>
      <c r="I162" s="20">
        <v>2</v>
      </c>
      <c r="J162" s="20">
        <v>106600</v>
      </c>
      <c r="K162" s="20" t="s">
        <v>177</v>
      </c>
      <c r="L162" s="20">
        <v>10660001</v>
      </c>
      <c r="M162" s="20">
        <v>10660003</v>
      </c>
      <c r="N162" s="20" t="s">
        <v>235</v>
      </c>
      <c r="O162" s="20">
        <v>0</v>
      </c>
      <c r="P162" s="20">
        <v>0</v>
      </c>
      <c r="Q162" s="20">
        <v>0</v>
      </c>
      <c r="R162" s="20">
        <v>1</v>
      </c>
      <c r="AO162" s="20" t="s">
        <v>194</v>
      </c>
      <c r="AP162" s="20">
        <v>0</v>
      </c>
      <c r="CV162" s="20">
        <v>0</v>
      </c>
      <c r="CW162" s="20">
        <v>0</v>
      </c>
      <c r="CX162" s="20" t="s">
        <v>194</v>
      </c>
      <c r="CY162" s="20">
        <v>0</v>
      </c>
      <c r="DB162" s="20">
        <v>0</v>
      </c>
      <c r="DD162" s="20">
        <v>0</v>
      </c>
      <c r="DE162" s="20">
        <v>0</v>
      </c>
      <c r="DF162" s="20">
        <v>0</v>
      </c>
      <c r="DG162" s="20">
        <v>0</v>
      </c>
      <c r="DH162" s="20">
        <v>0</v>
      </c>
      <c r="DI162" s="20" t="b">
        <v>0</v>
      </c>
      <c r="DK162" s="20">
        <v>0</v>
      </c>
      <c r="DM162" s="20" t="s">
        <v>187</v>
      </c>
      <c r="DN162" s="20">
        <v>0</v>
      </c>
      <c r="DO162" s="20">
        <v>0</v>
      </c>
      <c r="DP162" s="20">
        <v>0</v>
      </c>
    </row>
    <row r="163" spans="2:120">
      <c r="B163" s="20" cm="1">
        <f t="array" ref="B163">10000000+INDEX(编号表!$B$1:$B$112,MATCH(D163,编号表!$A$1:$A$112,0))*10000+I163</f>
        <v>10660003</v>
      </c>
      <c r="C163" s="20" t="s">
        <v>233</v>
      </c>
      <c r="D163" s="20" t="s">
        <v>233</v>
      </c>
      <c r="E163" s="20" t="s">
        <v>214</v>
      </c>
      <c r="F163" s="20" t="s">
        <v>234</v>
      </c>
      <c r="G163" s="20">
        <v>1</v>
      </c>
      <c r="H163" s="20" t="b">
        <v>0</v>
      </c>
      <c r="I163" s="20">
        <v>3</v>
      </c>
      <c r="J163" s="20">
        <v>106600</v>
      </c>
      <c r="K163" s="20" t="s">
        <v>177</v>
      </c>
      <c r="L163" s="20">
        <v>10660002</v>
      </c>
      <c r="M163" s="20">
        <v>10660004</v>
      </c>
      <c r="N163" s="20" t="s">
        <v>235</v>
      </c>
      <c r="O163" s="20">
        <v>0</v>
      </c>
      <c r="P163" s="20">
        <v>0</v>
      </c>
      <c r="Q163" s="20">
        <v>0</v>
      </c>
      <c r="R163" s="20">
        <v>1</v>
      </c>
      <c r="AO163" s="20" t="s">
        <v>194</v>
      </c>
      <c r="AP163" s="20">
        <v>0</v>
      </c>
      <c r="CV163" s="20">
        <v>0</v>
      </c>
      <c r="CW163" s="20">
        <v>0</v>
      </c>
      <c r="CX163" s="20" t="s">
        <v>194</v>
      </c>
      <c r="CY163" s="20">
        <v>0</v>
      </c>
      <c r="DB163" s="20">
        <v>0</v>
      </c>
      <c r="DD163" s="20">
        <v>0</v>
      </c>
      <c r="DE163" s="20">
        <v>0</v>
      </c>
      <c r="DF163" s="20">
        <v>0</v>
      </c>
      <c r="DG163" s="20">
        <v>0</v>
      </c>
      <c r="DH163" s="20">
        <v>0</v>
      </c>
      <c r="DI163" s="20" t="b">
        <v>0</v>
      </c>
      <c r="DK163" s="20">
        <v>0</v>
      </c>
      <c r="DM163" s="20" t="s">
        <v>187</v>
      </c>
      <c r="DN163" s="20">
        <v>0</v>
      </c>
      <c r="DO163" s="20">
        <v>0</v>
      </c>
      <c r="DP163" s="20">
        <v>0</v>
      </c>
    </row>
    <row r="164" spans="2:120">
      <c r="B164" s="20" cm="1">
        <f t="array" ref="B164">10000000+INDEX(编号表!$B$1:$B$112,MATCH(D164,编号表!$A$1:$A$112,0))*10000+I164</f>
        <v>10660004</v>
      </c>
      <c r="C164" s="20" t="s">
        <v>233</v>
      </c>
      <c r="D164" s="20" t="s">
        <v>233</v>
      </c>
      <c r="E164" s="20" t="s">
        <v>214</v>
      </c>
      <c r="F164" s="20" t="s">
        <v>234</v>
      </c>
      <c r="G164" s="20">
        <v>1</v>
      </c>
      <c r="H164" s="20" t="b">
        <v>0</v>
      </c>
      <c r="I164" s="20">
        <v>4</v>
      </c>
      <c r="J164" s="20">
        <v>106600</v>
      </c>
      <c r="K164" s="20" t="s">
        <v>177</v>
      </c>
      <c r="L164" s="20">
        <v>10660003</v>
      </c>
      <c r="M164" s="20">
        <v>10660005</v>
      </c>
      <c r="N164" s="20" t="s">
        <v>235</v>
      </c>
      <c r="O164" s="20">
        <v>0</v>
      </c>
      <c r="P164" s="20">
        <v>0</v>
      </c>
      <c r="Q164" s="20">
        <v>0</v>
      </c>
      <c r="R164" s="20">
        <v>1</v>
      </c>
      <c r="AO164" s="20" t="s">
        <v>194</v>
      </c>
      <c r="AP164" s="20">
        <v>0</v>
      </c>
      <c r="CV164" s="20">
        <v>0</v>
      </c>
      <c r="CW164" s="20">
        <v>0</v>
      </c>
      <c r="CX164" s="20" t="s">
        <v>194</v>
      </c>
      <c r="CY164" s="20">
        <v>0</v>
      </c>
      <c r="DB164" s="20">
        <v>0</v>
      </c>
      <c r="DD164" s="20">
        <v>0</v>
      </c>
      <c r="DE164" s="20">
        <v>0</v>
      </c>
      <c r="DF164" s="20">
        <v>0</v>
      </c>
      <c r="DG164" s="20">
        <v>0</v>
      </c>
      <c r="DH164" s="20">
        <v>0</v>
      </c>
      <c r="DI164" s="20" t="b">
        <v>0</v>
      </c>
      <c r="DK164" s="20">
        <v>0</v>
      </c>
      <c r="DM164" s="20" t="s">
        <v>187</v>
      </c>
      <c r="DN164" s="20">
        <v>0</v>
      </c>
      <c r="DO164" s="20">
        <v>0</v>
      </c>
      <c r="DP164" s="20">
        <v>0</v>
      </c>
    </row>
    <row r="165" spans="2:120">
      <c r="B165" s="20" cm="1">
        <f t="array" ref="B165">10000000+INDEX(编号表!$B$1:$B$112,MATCH(D165,编号表!$A$1:$A$112,0))*10000+I165</f>
        <v>10660005</v>
      </c>
      <c r="C165" s="20" t="s">
        <v>233</v>
      </c>
      <c r="D165" s="20" t="s">
        <v>233</v>
      </c>
      <c r="E165" s="20" t="s">
        <v>214</v>
      </c>
      <c r="F165" s="20" t="s">
        <v>234</v>
      </c>
      <c r="G165" s="20">
        <v>1</v>
      </c>
      <c r="H165" s="20" t="b">
        <v>0</v>
      </c>
      <c r="I165" s="20">
        <v>5</v>
      </c>
      <c r="J165" s="20">
        <v>106600</v>
      </c>
      <c r="K165" s="20" t="s">
        <v>177</v>
      </c>
      <c r="L165" s="20">
        <v>10660004</v>
      </c>
      <c r="M165" s="20">
        <v>10660006</v>
      </c>
      <c r="N165" s="20" t="s">
        <v>235</v>
      </c>
      <c r="O165" s="20">
        <v>0</v>
      </c>
      <c r="P165" s="20">
        <v>0</v>
      </c>
      <c r="Q165" s="20">
        <v>0</v>
      </c>
      <c r="R165" s="20">
        <v>1</v>
      </c>
      <c r="AO165" s="20" t="s">
        <v>194</v>
      </c>
      <c r="AP165" s="20">
        <v>0</v>
      </c>
      <c r="CV165" s="20">
        <v>0</v>
      </c>
      <c r="CW165" s="20">
        <v>0</v>
      </c>
      <c r="CX165" s="20" t="s">
        <v>194</v>
      </c>
      <c r="CY165" s="20">
        <v>0</v>
      </c>
      <c r="DB165" s="20">
        <v>0</v>
      </c>
      <c r="DD165" s="20">
        <v>0</v>
      </c>
      <c r="DE165" s="20">
        <v>0</v>
      </c>
      <c r="DF165" s="20">
        <v>0</v>
      </c>
      <c r="DG165" s="20">
        <v>0</v>
      </c>
      <c r="DH165" s="20">
        <v>0</v>
      </c>
      <c r="DI165" s="20" t="b">
        <v>0</v>
      </c>
      <c r="DK165" s="20">
        <v>0</v>
      </c>
      <c r="DM165" s="20" t="s">
        <v>187</v>
      </c>
      <c r="DN165" s="20">
        <v>0</v>
      </c>
      <c r="DO165" s="20">
        <v>0</v>
      </c>
      <c r="DP165" s="20">
        <v>0</v>
      </c>
    </row>
    <row r="166" spans="2:120">
      <c r="B166" s="20" cm="1">
        <f t="array" ref="B166">10000000+INDEX(编号表!$B$1:$B$112,MATCH(D166,编号表!$A$1:$A$112,0))*10000+I166</f>
        <v>10660006</v>
      </c>
      <c r="C166" s="20" t="s">
        <v>233</v>
      </c>
      <c r="D166" s="20" t="s">
        <v>233</v>
      </c>
      <c r="E166" s="20" t="s">
        <v>214</v>
      </c>
      <c r="F166" s="20" t="s">
        <v>234</v>
      </c>
      <c r="G166" s="20">
        <v>1</v>
      </c>
      <c r="H166" s="20" t="b">
        <v>0</v>
      </c>
      <c r="I166" s="20">
        <v>6</v>
      </c>
      <c r="J166" s="20">
        <v>106600</v>
      </c>
      <c r="K166" s="20" t="s">
        <v>177</v>
      </c>
      <c r="L166" s="20">
        <v>10660005</v>
      </c>
      <c r="M166" s="20">
        <v>10660007</v>
      </c>
      <c r="N166" s="20" t="s">
        <v>235</v>
      </c>
      <c r="O166" s="20">
        <v>0</v>
      </c>
      <c r="P166" s="20">
        <v>0</v>
      </c>
      <c r="Q166" s="20">
        <v>0</v>
      </c>
      <c r="R166" s="20">
        <v>1</v>
      </c>
      <c r="AO166" s="20" t="s">
        <v>194</v>
      </c>
      <c r="AP166" s="20">
        <v>0</v>
      </c>
      <c r="CV166" s="20">
        <v>0</v>
      </c>
      <c r="CW166" s="20">
        <v>0</v>
      </c>
      <c r="CX166" s="20" t="s">
        <v>194</v>
      </c>
      <c r="CY166" s="20">
        <v>0</v>
      </c>
      <c r="DB166" s="20">
        <v>0</v>
      </c>
      <c r="DD166" s="20">
        <v>0</v>
      </c>
      <c r="DE166" s="20">
        <v>0</v>
      </c>
      <c r="DF166" s="20">
        <v>0</v>
      </c>
      <c r="DG166" s="20">
        <v>0</v>
      </c>
      <c r="DH166" s="20">
        <v>0</v>
      </c>
      <c r="DI166" s="20" t="b">
        <v>0</v>
      </c>
      <c r="DK166" s="20">
        <v>0</v>
      </c>
      <c r="DM166" s="20" t="s">
        <v>187</v>
      </c>
      <c r="DN166" s="20">
        <v>0</v>
      </c>
      <c r="DO166" s="20">
        <v>0</v>
      </c>
      <c r="DP166" s="20">
        <v>0</v>
      </c>
    </row>
    <row r="167" spans="2:120">
      <c r="B167" s="20" cm="1">
        <f t="array" ref="B167">10000000+INDEX(编号表!$B$1:$B$112,MATCH(D167,编号表!$A$1:$A$112,0))*10000+I167</f>
        <v>10660007</v>
      </c>
      <c r="C167" s="20" t="s">
        <v>233</v>
      </c>
      <c r="D167" s="20" t="s">
        <v>233</v>
      </c>
      <c r="E167" s="20" t="s">
        <v>214</v>
      </c>
      <c r="F167" s="20" t="s">
        <v>234</v>
      </c>
      <c r="G167" s="20">
        <v>1</v>
      </c>
      <c r="H167" s="20" t="b">
        <v>0</v>
      </c>
      <c r="I167" s="20">
        <v>7</v>
      </c>
      <c r="J167" s="20">
        <v>106600</v>
      </c>
      <c r="K167" s="20" t="s">
        <v>177</v>
      </c>
      <c r="L167" s="20">
        <v>10660006</v>
      </c>
      <c r="M167" s="20">
        <v>10660008</v>
      </c>
      <c r="N167" s="20" t="s">
        <v>235</v>
      </c>
      <c r="O167" s="20">
        <v>0</v>
      </c>
      <c r="P167" s="20">
        <v>0</v>
      </c>
      <c r="Q167" s="20">
        <v>0</v>
      </c>
      <c r="R167" s="20">
        <v>1</v>
      </c>
      <c r="AO167" s="20" t="s">
        <v>194</v>
      </c>
      <c r="AP167" s="20">
        <v>0</v>
      </c>
      <c r="CV167" s="20">
        <v>0</v>
      </c>
      <c r="CW167" s="20">
        <v>0</v>
      </c>
      <c r="CX167" s="20" t="s">
        <v>194</v>
      </c>
      <c r="CY167" s="20">
        <v>0</v>
      </c>
      <c r="DB167" s="20">
        <v>0</v>
      </c>
      <c r="DD167" s="20">
        <v>0</v>
      </c>
      <c r="DE167" s="20">
        <v>0</v>
      </c>
      <c r="DF167" s="20">
        <v>0</v>
      </c>
      <c r="DG167" s="20">
        <v>0</v>
      </c>
      <c r="DH167" s="20">
        <v>0</v>
      </c>
      <c r="DI167" s="20" t="b">
        <v>0</v>
      </c>
      <c r="DK167" s="20">
        <v>0</v>
      </c>
      <c r="DM167" s="20" t="s">
        <v>187</v>
      </c>
      <c r="DN167" s="20">
        <v>0</v>
      </c>
      <c r="DO167" s="20">
        <v>0</v>
      </c>
      <c r="DP167" s="20">
        <v>0</v>
      </c>
    </row>
    <row r="168" spans="2:120">
      <c r="B168" s="20" cm="1">
        <f t="array" ref="B168">10000000+INDEX(编号表!$B$1:$B$112,MATCH(D168,编号表!$A$1:$A$112,0))*10000+I168</f>
        <v>10660008</v>
      </c>
      <c r="C168" s="20" t="s">
        <v>233</v>
      </c>
      <c r="D168" s="20" t="s">
        <v>233</v>
      </c>
      <c r="E168" s="20" t="s">
        <v>214</v>
      </c>
      <c r="F168" s="20" t="s">
        <v>234</v>
      </c>
      <c r="G168" s="20">
        <v>1</v>
      </c>
      <c r="H168" s="20" t="b">
        <v>0</v>
      </c>
      <c r="I168" s="20">
        <v>8</v>
      </c>
      <c r="J168" s="20">
        <v>106600</v>
      </c>
      <c r="K168" s="20" t="s">
        <v>177</v>
      </c>
      <c r="L168" s="20">
        <v>10660007</v>
      </c>
      <c r="M168" s="20">
        <v>10660009</v>
      </c>
      <c r="N168" s="20" t="s">
        <v>235</v>
      </c>
      <c r="O168" s="20">
        <v>0</v>
      </c>
      <c r="P168" s="20">
        <v>0</v>
      </c>
      <c r="Q168" s="20">
        <v>0</v>
      </c>
      <c r="R168" s="20">
        <v>1</v>
      </c>
      <c r="AO168" s="20" t="s">
        <v>194</v>
      </c>
      <c r="AP168" s="20">
        <v>0</v>
      </c>
      <c r="CV168" s="20">
        <v>0</v>
      </c>
      <c r="CW168" s="20">
        <v>0</v>
      </c>
      <c r="CX168" s="20" t="s">
        <v>194</v>
      </c>
      <c r="CY168" s="20">
        <v>0</v>
      </c>
      <c r="DB168" s="20">
        <v>0</v>
      </c>
      <c r="DD168" s="20">
        <v>0</v>
      </c>
      <c r="DE168" s="20">
        <v>0</v>
      </c>
      <c r="DF168" s="20">
        <v>0</v>
      </c>
      <c r="DG168" s="20">
        <v>0</v>
      </c>
      <c r="DH168" s="20">
        <v>0</v>
      </c>
      <c r="DI168" s="20" t="b">
        <v>0</v>
      </c>
      <c r="DK168" s="20">
        <v>0</v>
      </c>
      <c r="DM168" s="20" t="s">
        <v>187</v>
      </c>
      <c r="DN168" s="20">
        <v>0</v>
      </c>
      <c r="DO168" s="20">
        <v>0</v>
      </c>
      <c r="DP168" s="20">
        <v>0</v>
      </c>
    </row>
    <row r="169" spans="2:120">
      <c r="B169" s="20" cm="1">
        <f t="array" ref="B169">10000000+INDEX(编号表!$B$1:$B$112,MATCH(D169,编号表!$A$1:$A$112,0))*10000+I169</f>
        <v>10660009</v>
      </c>
      <c r="C169" s="20" t="s">
        <v>233</v>
      </c>
      <c r="D169" s="20" t="s">
        <v>233</v>
      </c>
      <c r="E169" s="20" t="s">
        <v>214</v>
      </c>
      <c r="F169" s="20" t="s">
        <v>234</v>
      </c>
      <c r="G169" s="20">
        <v>1</v>
      </c>
      <c r="H169" s="20" t="b">
        <v>0</v>
      </c>
      <c r="I169" s="20">
        <v>9</v>
      </c>
      <c r="J169" s="20">
        <v>106600</v>
      </c>
      <c r="K169" s="20" t="s">
        <v>177</v>
      </c>
      <c r="L169" s="20">
        <v>10660008</v>
      </c>
      <c r="M169" s="20">
        <v>10660010</v>
      </c>
      <c r="N169" s="20" t="s">
        <v>235</v>
      </c>
      <c r="O169" s="20">
        <v>0</v>
      </c>
      <c r="P169" s="20">
        <v>0</v>
      </c>
      <c r="Q169" s="20">
        <v>0</v>
      </c>
      <c r="R169" s="20">
        <v>1</v>
      </c>
      <c r="AO169" s="20" t="s">
        <v>194</v>
      </c>
      <c r="AP169" s="20">
        <v>0</v>
      </c>
      <c r="CV169" s="20">
        <v>0</v>
      </c>
      <c r="CW169" s="20">
        <v>0</v>
      </c>
      <c r="CX169" s="20" t="s">
        <v>194</v>
      </c>
      <c r="CY169" s="20">
        <v>0</v>
      </c>
      <c r="DB169" s="20">
        <v>0</v>
      </c>
      <c r="DD169" s="20">
        <v>0</v>
      </c>
      <c r="DE169" s="20">
        <v>0</v>
      </c>
      <c r="DF169" s="20">
        <v>0</v>
      </c>
      <c r="DG169" s="20">
        <v>0</v>
      </c>
      <c r="DH169" s="20">
        <v>0</v>
      </c>
      <c r="DI169" s="20" t="b">
        <v>0</v>
      </c>
      <c r="DK169" s="20">
        <v>0</v>
      </c>
      <c r="DM169" s="20" t="s">
        <v>187</v>
      </c>
      <c r="DN169" s="20">
        <v>0</v>
      </c>
      <c r="DO169" s="20">
        <v>0</v>
      </c>
      <c r="DP169" s="20">
        <v>0</v>
      </c>
    </row>
    <row r="170" spans="2:120">
      <c r="B170" s="20" cm="1">
        <f t="array" ref="B170">10000000+INDEX(编号表!$B$1:$B$112,MATCH(D170,编号表!$A$1:$A$112,0))*10000+I170</f>
        <v>10660010</v>
      </c>
      <c r="C170" s="20" t="s">
        <v>233</v>
      </c>
      <c r="D170" s="20" t="s">
        <v>233</v>
      </c>
      <c r="E170" s="20" t="s">
        <v>214</v>
      </c>
      <c r="F170" s="20" t="s">
        <v>234</v>
      </c>
      <c r="G170" s="20">
        <v>1</v>
      </c>
      <c r="H170" s="20" t="b">
        <v>0</v>
      </c>
      <c r="I170" s="20">
        <v>10</v>
      </c>
      <c r="J170" s="20">
        <v>106600</v>
      </c>
      <c r="K170" s="20" t="s">
        <v>177</v>
      </c>
      <c r="L170" s="20">
        <v>10660009</v>
      </c>
      <c r="N170" s="20" t="s">
        <v>235</v>
      </c>
      <c r="O170" s="20">
        <v>0</v>
      </c>
      <c r="P170" s="20">
        <v>0</v>
      </c>
      <c r="Q170" s="20">
        <v>0</v>
      </c>
      <c r="R170" s="20">
        <v>1</v>
      </c>
      <c r="AO170" s="20" t="s">
        <v>194</v>
      </c>
      <c r="AP170" s="20">
        <v>0</v>
      </c>
      <c r="CV170" s="20">
        <v>0</v>
      </c>
      <c r="CW170" s="20">
        <v>0</v>
      </c>
      <c r="CX170" s="20" t="s">
        <v>194</v>
      </c>
      <c r="CY170" s="20">
        <v>0</v>
      </c>
      <c r="DB170" s="20">
        <v>0</v>
      </c>
      <c r="DD170" s="20">
        <v>0</v>
      </c>
      <c r="DE170" s="20">
        <v>0</v>
      </c>
      <c r="DF170" s="20">
        <v>0</v>
      </c>
      <c r="DG170" s="20">
        <v>0</v>
      </c>
      <c r="DH170" s="20">
        <v>0</v>
      </c>
      <c r="DI170" s="20" t="b">
        <v>0</v>
      </c>
      <c r="DK170" s="20">
        <v>0</v>
      </c>
      <c r="DM170" s="20" t="s">
        <v>187</v>
      </c>
      <c r="DN170" s="20">
        <v>0</v>
      </c>
      <c r="DO170" s="20">
        <v>0</v>
      </c>
      <c r="DP170" s="20">
        <v>0</v>
      </c>
    </row>
    <row r="171" spans="2:120">
      <c r="B171" s="20" cm="1">
        <f t="array" ref="B171">10000000+INDEX(编号表!$B$1:$B$112,MATCH(D171,编号表!$A$1:$A$112,0))*10000+I171</f>
        <v>10670001</v>
      </c>
      <c r="C171" s="20" t="s">
        <v>236</v>
      </c>
      <c r="D171" s="20" t="s">
        <v>236</v>
      </c>
      <c r="E171" s="20" t="s">
        <v>214</v>
      </c>
      <c r="F171" s="20" t="s">
        <v>237</v>
      </c>
      <c r="G171" s="20">
        <v>1</v>
      </c>
      <c r="H171" s="20" t="b">
        <v>0</v>
      </c>
      <c r="I171" s="20">
        <v>1</v>
      </c>
      <c r="J171" s="20">
        <v>106700</v>
      </c>
      <c r="K171" s="20" t="s">
        <v>177</v>
      </c>
      <c r="M171" s="20">
        <v>10670002</v>
      </c>
      <c r="N171" s="20" t="s">
        <v>238</v>
      </c>
      <c r="O171" s="20">
        <v>0</v>
      </c>
      <c r="P171" s="20">
        <v>0</v>
      </c>
      <c r="Q171" s="20">
        <v>0</v>
      </c>
      <c r="R171" s="20">
        <v>1</v>
      </c>
      <c r="AO171" s="20" t="s">
        <v>194</v>
      </c>
      <c r="AP171" s="20">
        <v>0</v>
      </c>
      <c r="CV171" s="20">
        <v>0</v>
      </c>
      <c r="CW171" s="20">
        <v>0</v>
      </c>
      <c r="CX171" s="20" t="s">
        <v>194</v>
      </c>
      <c r="CY171" s="20">
        <v>0</v>
      </c>
      <c r="DB171" s="20">
        <v>0</v>
      </c>
      <c r="DD171" s="20">
        <v>0</v>
      </c>
      <c r="DE171" s="20">
        <v>0</v>
      </c>
      <c r="DF171" s="20">
        <v>0</v>
      </c>
      <c r="DG171" s="20">
        <v>0</v>
      </c>
      <c r="DH171" s="20">
        <v>0</v>
      </c>
      <c r="DI171" s="20" t="b">
        <v>0</v>
      </c>
      <c r="DK171" s="20">
        <v>0</v>
      </c>
      <c r="DM171" s="20" t="s">
        <v>187</v>
      </c>
      <c r="DN171" s="20">
        <v>0</v>
      </c>
      <c r="DO171" s="20">
        <v>0</v>
      </c>
      <c r="DP171" s="20">
        <v>0</v>
      </c>
    </row>
    <row r="172" spans="2:120">
      <c r="B172" s="20" cm="1">
        <f t="array" ref="B172">10000000+INDEX(编号表!$B$1:$B$112,MATCH(D172,编号表!$A$1:$A$112,0))*10000+I172</f>
        <v>10670002</v>
      </c>
      <c r="C172" s="20" t="s">
        <v>236</v>
      </c>
      <c r="D172" s="20" t="s">
        <v>236</v>
      </c>
      <c r="E172" s="20" t="s">
        <v>214</v>
      </c>
      <c r="F172" s="20" t="s">
        <v>237</v>
      </c>
      <c r="G172" s="20">
        <v>1</v>
      </c>
      <c r="H172" s="20" t="b">
        <v>0</v>
      </c>
      <c r="I172" s="20">
        <v>2</v>
      </c>
      <c r="J172" s="20">
        <v>106700</v>
      </c>
      <c r="K172" s="20" t="s">
        <v>177</v>
      </c>
      <c r="L172" s="20">
        <v>10670001</v>
      </c>
      <c r="M172" s="20">
        <v>10670003</v>
      </c>
      <c r="N172" s="20" t="s">
        <v>238</v>
      </c>
      <c r="O172" s="20">
        <v>0</v>
      </c>
      <c r="P172" s="20">
        <v>0</v>
      </c>
      <c r="Q172" s="20">
        <v>0</v>
      </c>
      <c r="R172" s="20">
        <v>1</v>
      </c>
      <c r="AO172" s="20" t="s">
        <v>194</v>
      </c>
      <c r="AP172" s="20">
        <v>0</v>
      </c>
      <c r="CV172" s="20">
        <v>0</v>
      </c>
      <c r="CW172" s="20">
        <v>0</v>
      </c>
      <c r="CX172" s="20" t="s">
        <v>194</v>
      </c>
      <c r="CY172" s="20">
        <v>0</v>
      </c>
      <c r="DB172" s="20">
        <v>0</v>
      </c>
      <c r="DD172" s="20">
        <v>0</v>
      </c>
      <c r="DE172" s="20">
        <v>0</v>
      </c>
      <c r="DF172" s="20">
        <v>0</v>
      </c>
      <c r="DG172" s="20">
        <v>0</v>
      </c>
      <c r="DH172" s="20">
        <v>0</v>
      </c>
      <c r="DI172" s="20" t="b">
        <v>0</v>
      </c>
      <c r="DK172" s="20">
        <v>0</v>
      </c>
      <c r="DM172" s="20" t="s">
        <v>187</v>
      </c>
      <c r="DN172" s="20">
        <v>0</v>
      </c>
      <c r="DO172" s="20">
        <v>0</v>
      </c>
      <c r="DP172" s="20">
        <v>0</v>
      </c>
    </row>
    <row r="173" spans="2:120">
      <c r="B173" s="20" cm="1">
        <f t="array" ref="B173">10000000+INDEX(编号表!$B$1:$B$112,MATCH(D173,编号表!$A$1:$A$112,0))*10000+I173</f>
        <v>10670003</v>
      </c>
      <c r="C173" s="20" t="s">
        <v>236</v>
      </c>
      <c r="D173" s="20" t="s">
        <v>236</v>
      </c>
      <c r="E173" s="20" t="s">
        <v>214</v>
      </c>
      <c r="F173" s="20" t="s">
        <v>237</v>
      </c>
      <c r="G173" s="20">
        <v>1</v>
      </c>
      <c r="H173" s="20" t="b">
        <v>0</v>
      </c>
      <c r="I173" s="20">
        <v>3</v>
      </c>
      <c r="J173" s="20">
        <v>106700</v>
      </c>
      <c r="K173" s="20" t="s">
        <v>177</v>
      </c>
      <c r="L173" s="20">
        <v>10670002</v>
      </c>
      <c r="M173" s="20">
        <v>10670004</v>
      </c>
      <c r="N173" s="20" t="s">
        <v>238</v>
      </c>
      <c r="O173" s="20">
        <v>0</v>
      </c>
      <c r="P173" s="20">
        <v>0</v>
      </c>
      <c r="Q173" s="20">
        <v>0</v>
      </c>
      <c r="R173" s="20">
        <v>1</v>
      </c>
      <c r="AO173" s="20" t="s">
        <v>194</v>
      </c>
      <c r="AP173" s="20">
        <v>0</v>
      </c>
      <c r="CV173" s="20">
        <v>0</v>
      </c>
      <c r="CW173" s="20">
        <v>0</v>
      </c>
      <c r="CX173" s="20" t="s">
        <v>194</v>
      </c>
      <c r="CY173" s="20">
        <v>0</v>
      </c>
      <c r="DB173" s="20">
        <v>0</v>
      </c>
      <c r="DD173" s="20">
        <v>0</v>
      </c>
      <c r="DE173" s="20">
        <v>0</v>
      </c>
      <c r="DF173" s="20">
        <v>0</v>
      </c>
      <c r="DG173" s="20">
        <v>0</v>
      </c>
      <c r="DH173" s="20">
        <v>0</v>
      </c>
      <c r="DI173" s="20" t="b">
        <v>0</v>
      </c>
      <c r="DK173" s="20">
        <v>0</v>
      </c>
      <c r="DM173" s="20" t="s">
        <v>187</v>
      </c>
      <c r="DN173" s="20">
        <v>0</v>
      </c>
      <c r="DO173" s="20">
        <v>0</v>
      </c>
      <c r="DP173" s="20">
        <v>0</v>
      </c>
    </row>
    <row r="174" spans="2:120">
      <c r="B174" s="20" cm="1">
        <f t="array" ref="B174">10000000+INDEX(编号表!$B$1:$B$112,MATCH(D174,编号表!$A$1:$A$112,0))*10000+I174</f>
        <v>10670004</v>
      </c>
      <c r="C174" s="20" t="s">
        <v>236</v>
      </c>
      <c r="D174" s="20" t="s">
        <v>236</v>
      </c>
      <c r="E174" s="20" t="s">
        <v>214</v>
      </c>
      <c r="F174" s="20" t="s">
        <v>237</v>
      </c>
      <c r="G174" s="20">
        <v>1</v>
      </c>
      <c r="H174" s="20" t="b">
        <v>0</v>
      </c>
      <c r="I174" s="20">
        <v>4</v>
      </c>
      <c r="J174" s="20">
        <v>106700</v>
      </c>
      <c r="K174" s="20" t="s">
        <v>177</v>
      </c>
      <c r="L174" s="20">
        <v>10670003</v>
      </c>
      <c r="M174" s="20">
        <v>10670005</v>
      </c>
      <c r="N174" s="20" t="s">
        <v>238</v>
      </c>
      <c r="O174" s="20">
        <v>0</v>
      </c>
      <c r="P174" s="20">
        <v>0</v>
      </c>
      <c r="Q174" s="20">
        <v>0</v>
      </c>
      <c r="R174" s="20">
        <v>1</v>
      </c>
      <c r="AO174" s="20" t="s">
        <v>194</v>
      </c>
      <c r="AP174" s="20">
        <v>0</v>
      </c>
      <c r="CV174" s="20">
        <v>0</v>
      </c>
      <c r="CW174" s="20">
        <v>0</v>
      </c>
      <c r="CX174" s="20" t="s">
        <v>194</v>
      </c>
      <c r="CY174" s="20">
        <v>0</v>
      </c>
      <c r="DB174" s="20">
        <v>0</v>
      </c>
      <c r="DD174" s="20">
        <v>0</v>
      </c>
      <c r="DE174" s="20">
        <v>0</v>
      </c>
      <c r="DF174" s="20">
        <v>0</v>
      </c>
      <c r="DG174" s="20">
        <v>0</v>
      </c>
      <c r="DH174" s="20">
        <v>0</v>
      </c>
      <c r="DI174" s="20" t="b">
        <v>0</v>
      </c>
      <c r="DK174" s="20">
        <v>0</v>
      </c>
      <c r="DM174" s="20" t="s">
        <v>187</v>
      </c>
      <c r="DN174" s="20">
        <v>0</v>
      </c>
      <c r="DO174" s="20">
        <v>0</v>
      </c>
      <c r="DP174" s="20">
        <v>0</v>
      </c>
    </row>
    <row r="175" spans="2:120">
      <c r="B175" s="20" cm="1">
        <f t="array" ref="B175">10000000+INDEX(编号表!$B$1:$B$112,MATCH(D175,编号表!$A$1:$A$112,0))*10000+I175</f>
        <v>10670005</v>
      </c>
      <c r="C175" s="20" t="s">
        <v>236</v>
      </c>
      <c r="D175" s="20" t="s">
        <v>236</v>
      </c>
      <c r="E175" s="20" t="s">
        <v>214</v>
      </c>
      <c r="F175" s="20" t="s">
        <v>237</v>
      </c>
      <c r="G175" s="20">
        <v>1</v>
      </c>
      <c r="H175" s="20" t="b">
        <v>0</v>
      </c>
      <c r="I175" s="20">
        <v>5</v>
      </c>
      <c r="J175" s="20">
        <v>106700</v>
      </c>
      <c r="K175" s="20" t="s">
        <v>177</v>
      </c>
      <c r="L175" s="20">
        <v>10670004</v>
      </c>
      <c r="M175" s="20">
        <v>10670006</v>
      </c>
      <c r="N175" s="20" t="s">
        <v>238</v>
      </c>
      <c r="O175" s="20">
        <v>0</v>
      </c>
      <c r="P175" s="20">
        <v>0</v>
      </c>
      <c r="Q175" s="20">
        <v>0</v>
      </c>
      <c r="R175" s="20">
        <v>1</v>
      </c>
      <c r="AO175" s="20" t="s">
        <v>194</v>
      </c>
      <c r="AP175" s="20">
        <v>0</v>
      </c>
      <c r="CV175" s="20">
        <v>0</v>
      </c>
      <c r="CW175" s="20">
        <v>0</v>
      </c>
      <c r="CX175" s="20" t="s">
        <v>194</v>
      </c>
      <c r="CY175" s="20">
        <v>0</v>
      </c>
      <c r="DB175" s="20">
        <v>0</v>
      </c>
      <c r="DD175" s="20">
        <v>0</v>
      </c>
      <c r="DE175" s="20">
        <v>0</v>
      </c>
      <c r="DF175" s="20">
        <v>0</v>
      </c>
      <c r="DG175" s="20">
        <v>0</v>
      </c>
      <c r="DH175" s="20">
        <v>0</v>
      </c>
      <c r="DI175" s="20" t="b">
        <v>0</v>
      </c>
      <c r="DK175" s="20">
        <v>0</v>
      </c>
      <c r="DM175" s="20" t="s">
        <v>187</v>
      </c>
      <c r="DN175" s="20">
        <v>0</v>
      </c>
      <c r="DO175" s="20">
        <v>0</v>
      </c>
      <c r="DP175" s="20">
        <v>0</v>
      </c>
    </row>
    <row r="176" spans="2:120">
      <c r="B176" s="20" cm="1">
        <f t="array" ref="B176">10000000+INDEX(编号表!$B$1:$B$112,MATCH(D176,编号表!$A$1:$A$112,0))*10000+I176</f>
        <v>10670006</v>
      </c>
      <c r="C176" s="20" t="s">
        <v>236</v>
      </c>
      <c r="D176" s="20" t="s">
        <v>236</v>
      </c>
      <c r="E176" s="20" t="s">
        <v>214</v>
      </c>
      <c r="F176" s="20" t="s">
        <v>237</v>
      </c>
      <c r="G176" s="20">
        <v>1</v>
      </c>
      <c r="H176" s="20" t="b">
        <v>0</v>
      </c>
      <c r="I176" s="20">
        <v>6</v>
      </c>
      <c r="J176" s="20">
        <v>106700</v>
      </c>
      <c r="K176" s="20" t="s">
        <v>177</v>
      </c>
      <c r="L176" s="20">
        <v>10670005</v>
      </c>
      <c r="M176" s="20">
        <v>10670007</v>
      </c>
      <c r="N176" s="20" t="s">
        <v>238</v>
      </c>
      <c r="O176" s="20">
        <v>0</v>
      </c>
      <c r="P176" s="20">
        <v>0</v>
      </c>
      <c r="Q176" s="20">
        <v>0</v>
      </c>
      <c r="R176" s="20">
        <v>1</v>
      </c>
      <c r="AO176" s="20" t="s">
        <v>194</v>
      </c>
      <c r="AP176" s="20">
        <v>0</v>
      </c>
      <c r="CV176" s="20">
        <v>0</v>
      </c>
      <c r="CW176" s="20">
        <v>0</v>
      </c>
      <c r="CX176" s="20" t="s">
        <v>194</v>
      </c>
      <c r="CY176" s="20">
        <v>0</v>
      </c>
      <c r="DB176" s="20">
        <v>0</v>
      </c>
      <c r="DD176" s="20">
        <v>0</v>
      </c>
      <c r="DE176" s="20">
        <v>0</v>
      </c>
      <c r="DF176" s="20">
        <v>0</v>
      </c>
      <c r="DG176" s="20">
        <v>0</v>
      </c>
      <c r="DH176" s="20">
        <v>0</v>
      </c>
      <c r="DI176" s="20" t="b">
        <v>0</v>
      </c>
      <c r="DK176" s="20">
        <v>0</v>
      </c>
      <c r="DM176" s="20" t="s">
        <v>187</v>
      </c>
      <c r="DN176" s="20">
        <v>0</v>
      </c>
      <c r="DO176" s="20">
        <v>0</v>
      </c>
      <c r="DP176" s="20">
        <v>0</v>
      </c>
    </row>
    <row r="177" spans="2:120">
      <c r="B177" s="20" cm="1">
        <f t="array" ref="B177">10000000+INDEX(编号表!$B$1:$B$112,MATCH(D177,编号表!$A$1:$A$112,0))*10000+I177</f>
        <v>10670007</v>
      </c>
      <c r="C177" s="20" t="s">
        <v>236</v>
      </c>
      <c r="D177" s="20" t="s">
        <v>236</v>
      </c>
      <c r="E177" s="20" t="s">
        <v>214</v>
      </c>
      <c r="F177" s="20" t="s">
        <v>237</v>
      </c>
      <c r="G177" s="20">
        <v>1</v>
      </c>
      <c r="H177" s="20" t="b">
        <v>0</v>
      </c>
      <c r="I177" s="20">
        <v>7</v>
      </c>
      <c r="J177" s="20">
        <v>106700</v>
      </c>
      <c r="K177" s="20" t="s">
        <v>177</v>
      </c>
      <c r="L177" s="20">
        <v>10670006</v>
      </c>
      <c r="M177" s="20">
        <v>10670008</v>
      </c>
      <c r="N177" s="20" t="s">
        <v>238</v>
      </c>
      <c r="O177" s="20">
        <v>0</v>
      </c>
      <c r="P177" s="20">
        <v>0</v>
      </c>
      <c r="Q177" s="20">
        <v>0</v>
      </c>
      <c r="R177" s="20">
        <v>1</v>
      </c>
      <c r="AO177" s="20" t="s">
        <v>194</v>
      </c>
      <c r="AP177" s="20">
        <v>0</v>
      </c>
      <c r="CV177" s="20">
        <v>0</v>
      </c>
      <c r="CW177" s="20">
        <v>0</v>
      </c>
      <c r="CX177" s="20" t="s">
        <v>194</v>
      </c>
      <c r="CY177" s="20">
        <v>0</v>
      </c>
      <c r="DB177" s="20">
        <v>0</v>
      </c>
      <c r="DD177" s="20">
        <v>0</v>
      </c>
      <c r="DE177" s="20">
        <v>0</v>
      </c>
      <c r="DF177" s="20">
        <v>0</v>
      </c>
      <c r="DG177" s="20">
        <v>0</v>
      </c>
      <c r="DH177" s="20">
        <v>0</v>
      </c>
      <c r="DI177" s="20" t="b">
        <v>0</v>
      </c>
      <c r="DK177" s="20">
        <v>0</v>
      </c>
      <c r="DM177" s="20" t="s">
        <v>187</v>
      </c>
      <c r="DN177" s="20">
        <v>0</v>
      </c>
      <c r="DO177" s="20">
        <v>0</v>
      </c>
      <c r="DP177" s="20">
        <v>0</v>
      </c>
    </row>
    <row r="178" spans="2:120">
      <c r="B178" s="20" cm="1">
        <f t="array" ref="B178">10000000+INDEX(编号表!$B$1:$B$112,MATCH(D178,编号表!$A$1:$A$112,0))*10000+I178</f>
        <v>10670008</v>
      </c>
      <c r="C178" s="20" t="s">
        <v>236</v>
      </c>
      <c r="D178" s="20" t="s">
        <v>236</v>
      </c>
      <c r="E178" s="20" t="s">
        <v>214</v>
      </c>
      <c r="F178" s="20" t="s">
        <v>237</v>
      </c>
      <c r="G178" s="20">
        <v>1</v>
      </c>
      <c r="H178" s="20" t="b">
        <v>0</v>
      </c>
      <c r="I178" s="20">
        <v>8</v>
      </c>
      <c r="J178" s="20">
        <v>106700</v>
      </c>
      <c r="K178" s="20" t="s">
        <v>177</v>
      </c>
      <c r="L178" s="20">
        <v>10670007</v>
      </c>
      <c r="M178" s="20">
        <v>10670009</v>
      </c>
      <c r="N178" s="20" t="s">
        <v>238</v>
      </c>
      <c r="O178" s="20">
        <v>0</v>
      </c>
      <c r="P178" s="20">
        <v>0</v>
      </c>
      <c r="Q178" s="20">
        <v>0</v>
      </c>
      <c r="R178" s="20">
        <v>1</v>
      </c>
      <c r="AO178" s="20" t="s">
        <v>194</v>
      </c>
      <c r="AP178" s="20">
        <v>0</v>
      </c>
      <c r="CV178" s="20">
        <v>0</v>
      </c>
      <c r="CW178" s="20">
        <v>0</v>
      </c>
      <c r="CX178" s="20" t="s">
        <v>194</v>
      </c>
      <c r="CY178" s="20">
        <v>0</v>
      </c>
      <c r="DB178" s="20">
        <v>0</v>
      </c>
      <c r="DD178" s="20">
        <v>0</v>
      </c>
      <c r="DE178" s="20">
        <v>0</v>
      </c>
      <c r="DF178" s="20">
        <v>0</v>
      </c>
      <c r="DG178" s="20">
        <v>0</v>
      </c>
      <c r="DH178" s="20">
        <v>0</v>
      </c>
      <c r="DI178" s="20" t="b">
        <v>0</v>
      </c>
      <c r="DK178" s="20">
        <v>0</v>
      </c>
      <c r="DM178" s="20" t="s">
        <v>187</v>
      </c>
      <c r="DN178" s="20">
        <v>0</v>
      </c>
      <c r="DO178" s="20">
        <v>0</v>
      </c>
      <c r="DP178" s="20">
        <v>0</v>
      </c>
    </row>
    <row r="179" spans="2:120">
      <c r="B179" s="20" cm="1">
        <f t="array" ref="B179">10000000+INDEX(编号表!$B$1:$B$112,MATCH(D179,编号表!$A$1:$A$112,0))*10000+I179</f>
        <v>10670009</v>
      </c>
      <c r="C179" s="20" t="s">
        <v>236</v>
      </c>
      <c r="D179" s="20" t="s">
        <v>236</v>
      </c>
      <c r="E179" s="20" t="s">
        <v>214</v>
      </c>
      <c r="F179" s="20" t="s">
        <v>237</v>
      </c>
      <c r="G179" s="20">
        <v>1</v>
      </c>
      <c r="H179" s="20" t="b">
        <v>0</v>
      </c>
      <c r="I179" s="20">
        <v>9</v>
      </c>
      <c r="J179" s="20">
        <v>106700</v>
      </c>
      <c r="K179" s="20" t="s">
        <v>177</v>
      </c>
      <c r="L179" s="20">
        <v>10670008</v>
      </c>
      <c r="M179" s="20">
        <v>10670010</v>
      </c>
      <c r="N179" s="20" t="s">
        <v>238</v>
      </c>
      <c r="O179" s="20">
        <v>0</v>
      </c>
      <c r="P179" s="20">
        <v>0</v>
      </c>
      <c r="Q179" s="20">
        <v>0</v>
      </c>
      <c r="R179" s="20">
        <v>1</v>
      </c>
      <c r="AO179" s="20" t="s">
        <v>194</v>
      </c>
      <c r="AP179" s="20">
        <v>0</v>
      </c>
      <c r="CV179" s="20">
        <v>0</v>
      </c>
      <c r="CW179" s="20">
        <v>0</v>
      </c>
      <c r="CX179" s="20" t="s">
        <v>194</v>
      </c>
      <c r="CY179" s="20">
        <v>0</v>
      </c>
      <c r="DB179" s="20">
        <v>0</v>
      </c>
      <c r="DD179" s="20">
        <v>0</v>
      </c>
      <c r="DE179" s="20">
        <v>0</v>
      </c>
      <c r="DF179" s="20">
        <v>0</v>
      </c>
      <c r="DG179" s="20">
        <v>0</v>
      </c>
      <c r="DH179" s="20">
        <v>0</v>
      </c>
      <c r="DI179" s="20" t="b">
        <v>0</v>
      </c>
      <c r="DK179" s="20">
        <v>0</v>
      </c>
      <c r="DM179" s="20" t="s">
        <v>187</v>
      </c>
      <c r="DN179" s="20">
        <v>0</v>
      </c>
      <c r="DO179" s="20">
        <v>0</v>
      </c>
      <c r="DP179" s="20">
        <v>0</v>
      </c>
    </row>
    <row r="180" spans="2:120">
      <c r="B180" s="20" cm="1">
        <f t="array" ref="B180">10000000+INDEX(编号表!$B$1:$B$112,MATCH(D180,编号表!$A$1:$A$112,0))*10000+I180</f>
        <v>10670010</v>
      </c>
      <c r="C180" s="20" t="s">
        <v>236</v>
      </c>
      <c r="D180" s="20" t="s">
        <v>236</v>
      </c>
      <c r="E180" s="20" t="s">
        <v>214</v>
      </c>
      <c r="F180" s="20" t="s">
        <v>237</v>
      </c>
      <c r="G180" s="20">
        <v>1</v>
      </c>
      <c r="H180" s="20" t="b">
        <v>0</v>
      </c>
      <c r="I180" s="20">
        <v>10</v>
      </c>
      <c r="J180" s="20">
        <v>106700</v>
      </c>
      <c r="K180" s="20" t="s">
        <v>177</v>
      </c>
      <c r="L180" s="20">
        <v>10670009</v>
      </c>
      <c r="N180" s="20" t="s">
        <v>238</v>
      </c>
      <c r="O180" s="20">
        <v>0</v>
      </c>
      <c r="P180" s="20">
        <v>0</v>
      </c>
      <c r="Q180" s="20">
        <v>0</v>
      </c>
      <c r="R180" s="20">
        <v>1</v>
      </c>
      <c r="AO180" s="20" t="s">
        <v>194</v>
      </c>
      <c r="AP180" s="20">
        <v>0</v>
      </c>
      <c r="CV180" s="20">
        <v>0</v>
      </c>
      <c r="CW180" s="20">
        <v>0</v>
      </c>
      <c r="CX180" s="20" t="s">
        <v>194</v>
      </c>
      <c r="CY180" s="20">
        <v>0</v>
      </c>
      <c r="DB180" s="20">
        <v>0</v>
      </c>
      <c r="DD180" s="20">
        <v>0</v>
      </c>
      <c r="DE180" s="20">
        <v>0</v>
      </c>
      <c r="DF180" s="20">
        <v>0</v>
      </c>
      <c r="DG180" s="20">
        <v>0</v>
      </c>
      <c r="DH180" s="20">
        <v>0</v>
      </c>
      <c r="DI180" s="20" t="b">
        <v>0</v>
      </c>
      <c r="DK180" s="20">
        <v>0</v>
      </c>
      <c r="DM180" s="20" t="s">
        <v>187</v>
      </c>
      <c r="DN180" s="20">
        <v>0</v>
      </c>
      <c r="DO180" s="20">
        <v>0</v>
      </c>
      <c r="DP180" s="20">
        <v>0</v>
      </c>
    </row>
    <row r="181" spans="2:120">
      <c r="B181" s="20" cm="1">
        <f t="array" ref="B181">10000000+INDEX(编号表!$B$1:$B$112,MATCH(D181,编号表!$A$1:$A$112,0))*10000+I181</f>
        <v>10680001</v>
      </c>
      <c r="C181" s="20" t="s">
        <v>239</v>
      </c>
      <c r="D181" s="20" t="s">
        <v>239</v>
      </c>
      <c r="E181" s="20" t="s">
        <v>214</v>
      </c>
      <c r="G181" s="20">
        <v>1</v>
      </c>
      <c r="H181" s="20" t="b">
        <v>0</v>
      </c>
      <c r="I181" s="20">
        <v>1</v>
      </c>
      <c r="J181" s="20">
        <v>106800</v>
      </c>
      <c r="K181" s="20" t="s">
        <v>177</v>
      </c>
      <c r="M181" s="20">
        <v>10680002</v>
      </c>
      <c r="N181" s="20" t="s">
        <v>240</v>
      </c>
      <c r="O181" s="20">
        <v>0</v>
      </c>
      <c r="P181" s="20">
        <v>0</v>
      </c>
      <c r="Q181" s="20">
        <v>0</v>
      </c>
      <c r="R181" s="20">
        <v>1</v>
      </c>
      <c r="T181" s="20">
        <v>100</v>
      </c>
      <c r="AO181" s="20" t="s">
        <v>194</v>
      </c>
      <c r="AP181" s="20">
        <v>0</v>
      </c>
      <c r="CV181" s="20">
        <v>0</v>
      </c>
      <c r="CW181" s="20">
        <v>0</v>
      </c>
      <c r="CX181" s="20" t="s">
        <v>194</v>
      </c>
      <c r="CY181" s="20">
        <v>0</v>
      </c>
      <c r="DB181" s="20">
        <v>0</v>
      </c>
      <c r="DD181" s="20">
        <v>0</v>
      </c>
      <c r="DE181" s="20">
        <v>0</v>
      </c>
      <c r="DF181" s="20">
        <v>0</v>
      </c>
      <c r="DG181" s="20">
        <v>0</v>
      </c>
      <c r="DH181" s="20">
        <v>0</v>
      </c>
      <c r="DI181" s="20" t="b">
        <v>0</v>
      </c>
      <c r="DK181" s="20">
        <v>0</v>
      </c>
      <c r="DM181" s="20" t="s">
        <v>187</v>
      </c>
      <c r="DN181" s="20">
        <v>0</v>
      </c>
      <c r="DO181" s="20">
        <v>0</v>
      </c>
      <c r="DP181" s="20">
        <v>0</v>
      </c>
    </row>
    <row r="182" spans="2:120">
      <c r="B182" s="20" cm="1">
        <f t="array" ref="B182">10000000+INDEX(编号表!$B$1:$B$112,MATCH(D182,编号表!$A$1:$A$112,0))*10000+I182</f>
        <v>10680002</v>
      </c>
      <c r="C182" s="20" t="s">
        <v>239</v>
      </c>
      <c r="D182" s="20" t="s">
        <v>239</v>
      </c>
      <c r="E182" s="20" t="s">
        <v>214</v>
      </c>
      <c r="G182" s="20">
        <v>1</v>
      </c>
      <c r="H182" s="20" t="b">
        <v>0</v>
      </c>
      <c r="I182" s="20">
        <v>2</v>
      </c>
      <c r="J182" s="20">
        <v>106800</v>
      </c>
      <c r="K182" s="20" t="s">
        <v>177</v>
      </c>
      <c r="L182" s="20">
        <v>10680001</v>
      </c>
      <c r="M182" s="20">
        <v>10680003</v>
      </c>
      <c r="N182" s="20" t="s">
        <v>240</v>
      </c>
      <c r="O182" s="20">
        <v>0</v>
      </c>
      <c r="P182" s="20">
        <v>0</v>
      </c>
      <c r="Q182" s="20">
        <v>0</v>
      </c>
      <c r="R182" s="20">
        <v>1</v>
      </c>
      <c r="T182" s="20">
        <v>100</v>
      </c>
      <c r="AO182" s="20" t="s">
        <v>194</v>
      </c>
      <c r="AP182" s="20">
        <v>0</v>
      </c>
      <c r="CV182" s="20">
        <v>0</v>
      </c>
      <c r="CW182" s="20">
        <v>0</v>
      </c>
      <c r="CX182" s="20" t="s">
        <v>194</v>
      </c>
      <c r="CY182" s="20">
        <v>0</v>
      </c>
      <c r="DB182" s="20">
        <v>0</v>
      </c>
      <c r="DD182" s="20">
        <v>0</v>
      </c>
      <c r="DE182" s="20">
        <v>0</v>
      </c>
      <c r="DF182" s="20">
        <v>0</v>
      </c>
      <c r="DG182" s="20">
        <v>0</v>
      </c>
      <c r="DH182" s="20">
        <v>0</v>
      </c>
      <c r="DI182" s="20" t="b">
        <v>0</v>
      </c>
      <c r="DK182" s="20">
        <v>0</v>
      </c>
      <c r="DM182" s="20" t="s">
        <v>187</v>
      </c>
      <c r="DN182" s="20">
        <v>0</v>
      </c>
      <c r="DO182" s="20">
        <v>0</v>
      </c>
      <c r="DP182" s="20">
        <v>0</v>
      </c>
    </row>
    <row r="183" spans="2:120">
      <c r="B183" s="20" cm="1">
        <f t="array" ref="B183">10000000+INDEX(编号表!$B$1:$B$112,MATCH(D183,编号表!$A$1:$A$112,0))*10000+I183</f>
        <v>10680003</v>
      </c>
      <c r="C183" s="20" t="s">
        <v>239</v>
      </c>
      <c r="D183" s="20" t="s">
        <v>239</v>
      </c>
      <c r="E183" s="20" t="s">
        <v>214</v>
      </c>
      <c r="G183" s="20">
        <v>1</v>
      </c>
      <c r="H183" s="20" t="b">
        <v>0</v>
      </c>
      <c r="I183" s="20">
        <v>3</v>
      </c>
      <c r="J183" s="20">
        <v>106800</v>
      </c>
      <c r="K183" s="20" t="s">
        <v>177</v>
      </c>
      <c r="L183" s="20">
        <v>10680002</v>
      </c>
      <c r="M183" s="20">
        <v>10680004</v>
      </c>
      <c r="N183" s="20" t="s">
        <v>240</v>
      </c>
      <c r="O183" s="20">
        <v>0</v>
      </c>
      <c r="P183" s="20">
        <v>0</v>
      </c>
      <c r="Q183" s="20">
        <v>0</v>
      </c>
      <c r="R183" s="20">
        <v>1</v>
      </c>
      <c r="T183" s="20">
        <v>100</v>
      </c>
      <c r="AO183" s="20" t="s">
        <v>194</v>
      </c>
      <c r="AP183" s="20">
        <v>0</v>
      </c>
      <c r="CV183" s="20">
        <v>0</v>
      </c>
      <c r="CW183" s="20">
        <v>0</v>
      </c>
      <c r="CX183" s="20" t="s">
        <v>194</v>
      </c>
      <c r="CY183" s="20">
        <v>0</v>
      </c>
      <c r="DB183" s="20">
        <v>0</v>
      </c>
      <c r="DD183" s="20">
        <v>0</v>
      </c>
      <c r="DE183" s="20">
        <v>0</v>
      </c>
      <c r="DF183" s="20">
        <v>0</v>
      </c>
      <c r="DG183" s="20">
        <v>0</v>
      </c>
      <c r="DH183" s="20">
        <v>0</v>
      </c>
      <c r="DI183" s="20" t="b">
        <v>0</v>
      </c>
      <c r="DK183" s="20">
        <v>0</v>
      </c>
      <c r="DM183" s="20" t="s">
        <v>187</v>
      </c>
      <c r="DN183" s="20">
        <v>0</v>
      </c>
      <c r="DO183" s="20">
        <v>0</v>
      </c>
      <c r="DP183" s="20">
        <v>0</v>
      </c>
    </row>
    <row r="184" spans="2:120">
      <c r="B184" s="20" cm="1">
        <f t="array" ref="B184">10000000+INDEX(编号表!$B$1:$B$112,MATCH(D184,编号表!$A$1:$A$112,0))*10000+I184</f>
        <v>10680004</v>
      </c>
      <c r="C184" s="20" t="s">
        <v>239</v>
      </c>
      <c r="D184" s="20" t="s">
        <v>239</v>
      </c>
      <c r="E184" s="20" t="s">
        <v>214</v>
      </c>
      <c r="G184" s="20">
        <v>1</v>
      </c>
      <c r="H184" s="20" t="b">
        <v>0</v>
      </c>
      <c r="I184" s="20">
        <v>4</v>
      </c>
      <c r="J184" s="20">
        <v>106800</v>
      </c>
      <c r="K184" s="20" t="s">
        <v>177</v>
      </c>
      <c r="L184" s="20">
        <v>10680003</v>
      </c>
      <c r="M184" s="20">
        <v>10680005</v>
      </c>
      <c r="N184" s="20" t="s">
        <v>240</v>
      </c>
      <c r="O184" s="20">
        <v>0</v>
      </c>
      <c r="P184" s="20">
        <v>0</v>
      </c>
      <c r="Q184" s="20">
        <v>0</v>
      </c>
      <c r="R184" s="20">
        <v>1</v>
      </c>
      <c r="T184" s="20">
        <v>100</v>
      </c>
      <c r="AO184" s="20" t="s">
        <v>194</v>
      </c>
      <c r="AP184" s="20">
        <v>0</v>
      </c>
      <c r="CV184" s="20">
        <v>0</v>
      </c>
      <c r="CW184" s="20">
        <v>0</v>
      </c>
      <c r="CX184" s="20" t="s">
        <v>194</v>
      </c>
      <c r="CY184" s="20">
        <v>0</v>
      </c>
      <c r="DB184" s="20">
        <v>0</v>
      </c>
      <c r="DD184" s="20">
        <v>0</v>
      </c>
      <c r="DE184" s="20">
        <v>0</v>
      </c>
      <c r="DF184" s="20">
        <v>0</v>
      </c>
      <c r="DG184" s="20">
        <v>0</v>
      </c>
      <c r="DH184" s="20">
        <v>0</v>
      </c>
      <c r="DI184" s="20" t="b">
        <v>0</v>
      </c>
      <c r="DK184" s="20">
        <v>0</v>
      </c>
      <c r="DM184" s="20" t="s">
        <v>187</v>
      </c>
      <c r="DN184" s="20">
        <v>0</v>
      </c>
      <c r="DO184" s="20">
        <v>0</v>
      </c>
      <c r="DP184" s="20">
        <v>0</v>
      </c>
    </row>
    <row r="185" spans="2:120">
      <c r="B185" s="20" cm="1">
        <f t="array" ref="B185">10000000+INDEX(编号表!$B$1:$B$112,MATCH(D185,编号表!$A$1:$A$112,0))*10000+I185</f>
        <v>10680005</v>
      </c>
      <c r="C185" s="20" t="s">
        <v>239</v>
      </c>
      <c r="D185" s="20" t="s">
        <v>239</v>
      </c>
      <c r="E185" s="20" t="s">
        <v>214</v>
      </c>
      <c r="G185" s="20">
        <v>1</v>
      </c>
      <c r="H185" s="20" t="b">
        <v>0</v>
      </c>
      <c r="I185" s="20">
        <v>5</v>
      </c>
      <c r="J185" s="20">
        <v>106800</v>
      </c>
      <c r="K185" s="20" t="s">
        <v>177</v>
      </c>
      <c r="L185" s="20">
        <v>10680004</v>
      </c>
      <c r="M185" s="20">
        <v>10680006</v>
      </c>
      <c r="N185" s="20" t="s">
        <v>240</v>
      </c>
      <c r="O185" s="20">
        <v>0</v>
      </c>
      <c r="P185" s="20">
        <v>0</v>
      </c>
      <c r="Q185" s="20">
        <v>0</v>
      </c>
      <c r="R185" s="20">
        <v>1</v>
      </c>
      <c r="T185" s="20">
        <v>100</v>
      </c>
      <c r="AO185" s="20" t="s">
        <v>194</v>
      </c>
      <c r="AP185" s="20">
        <v>0</v>
      </c>
      <c r="CV185" s="20">
        <v>0</v>
      </c>
      <c r="CW185" s="20">
        <v>0</v>
      </c>
      <c r="CX185" s="20" t="s">
        <v>194</v>
      </c>
      <c r="CY185" s="20">
        <v>0</v>
      </c>
      <c r="DB185" s="20">
        <v>0</v>
      </c>
      <c r="DD185" s="20">
        <v>0</v>
      </c>
      <c r="DE185" s="20">
        <v>0</v>
      </c>
      <c r="DF185" s="20">
        <v>0</v>
      </c>
      <c r="DG185" s="20">
        <v>0</v>
      </c>
      <c r="DH185" s="20">
        <v>0</v>
      </c>
      <c r="DI185" s="20" t="b">
        <v>0</v>
      </c>
      <c r="DK185" s="20">
        <v>0</v>
      </c>
      <c r="DM185" s="20" t="s">
        <v>187</v>
      </c>
      <c r="DN185" s="20">
        <v>0</v>
      </c>
      <c r="DO185" s="20">
        <v>0</v>
      </c>
      <c r="DP185" s="20">
        <v>0</v>
      </c>
    </row>
    <row r="186" spans="2:120">
      <c r="B186" s="20" cm="1">
        <f t="array" ref="B186">10000000+INDEX(编号表!$B$1:$B$112,MATCH(D186,编号表!$A$1:$A$112,0))*10000+I186</f>
        <v>10680006</v>
      </c>
      <c r="C186" s="20" t="s">
        <v>239</v>
      </c>
      <c r="D186" s="20" t="s">
        <v>239</v>
      </c>
      <c r="E186" s="20" t="s">
        <v>214</v>
      </c>
      <c r="G186" s="20">
        <v>1</v>
      </c>
      <c r="H186" s="20" t="b">
        <v>0</v>
      </c>
      <c r="I186" s="20">
        <v>6</v>
      </c>
      <c r="J186" s="20">
        <v>106800</v>
      </c>
      <c r="K186" s="20" t="s">
        <v>177</v>
      </c>
      <c r="L186" s="20">
        <v>10680005</v>
      </c>
      <c r="M186" s="20">
        <v>10680007</v>
      </c>
      <c r="N186" s="20" t="s">
        <v>240</v>
      </c>
      <c r="O186" s="20">
        <v>0</v>
      </c>
      <c r="P186" s="20">
        <v>0</v>
      </c>
      <c r="Q186" s="20">
        <v>0</v>
      </c>
      <c r="R186" s="20">
        <v>1</v>
      </c>
      <c r="T186" s="20">
        <v>100</v>
      </c>
      <c r="AO186" s="20" t="s">
        <v>194</v>
      </c>
      <c r="AP186" s="20">
        <v>0</v>
      </c>
      <c r="CV186" s="20">
        <v>0</v>
      </c>
      <c r="CW186" s="20">
        <v>0</v>
      </c>
      <c r="CX186" s="20" t="s">
        <v>194</v>
      </c>
      <c r="CY186" s="20">
        <v>0</v>
      </c>
      <c r="DB186" s="20">
        <v>0</v>
      </c>
      <c r="DD186" s="20">
        <v>0</v>
      </c>
      <c r="DE186" s="20">
        <v>0</v>
      </c>
      <c r="DF186" s="20">
        <v>0</v>
      </c>
      <c r="DG186" s="20">
        <v>0</v>
      </c>
      <c r="DH186" s="20">
        <v>0</v>
      </c>
      <c r="DI186" s="20" t="b">
        <v>0</v>
      </c>
      <c r="DK186" s="20">
        <v>0</v>
      </c>
      <c r="DM186" s="20" t="s">
        <v>187</v>
      </c>
      <c r="DN186" s="20">
        <v>0</v>
      </c>
      <c r="DO186" s="20">
        <v>0</v>
      </c>
      <c r="DP186" s="20">
        <v>0</v>
      </c>
    </row>
    <row r="187" spans="2:120">
      <c r="B187" s="20" cm="1">
        <f t="array" ref="B187">10000000+INDEX(编号表!$B$1:$B$112,MATCH(D187,编号表!$A$1:$A$112,0))*10000+I187</f>
        <v>10680007</v>
      </c>
      <c r="C187" s="20" t="s">
        <v>239</v>
      </c>
      <c r="D187" s="20" t="s">
        <v>239</v>
      </c>
      <c r="E187" s="20" t="s">
        <v>214</v>
      </c>
      <c r="G187" s="20">
        <v>1</v>
      </c>
      <c r="H187" s="20" t="b">
        <v>0</v>
      </c>
      <c r="I187" s="20">
        <v>7</v>
      </c>
      <c r="J187" s="20">
        <v>106800</v>
      </c>
      <c r="K187" s="20" t="s">
        <v>177</v>
      </c>
      <c r="L187" s="20">
        <v>10680006</v>
      </c>
      <c r="M187" s="20">
        <v>10680008</v>
      </c>
      <c r="N187" s="20" t="s">
        <v>240</v>
      </c>
      <c r="O187" s="20">
        <v>0</v>
      </c>
      <c r="P187" s="20">
        <v>0</v>
      </c>
      <c r="Q187" s="20">
        <v>0</v>
      </c>
      <c r="R187" s="20">
        <v>1</v>
      </c>
      <c r="T187" s="20">
        <v>100</v>
      </c>
      <c r="AO187" s="20" t="s">
        <v>194</v>
      </c>
      <c r="AP187" s="20">
        <v>0</v>
      </c>
      <c r="CV187" s="20">
        <v>0</v>
      </c>
      <c r="CW187" s="20">
        <v>0</v>
      </c>
      <c r="CX187" s="20" t="s">
        <v>194</v>
      </c>
      <c r="CY187" s="20">
        <v>0</v>
      </c>
      <c r="DB187" s="20">
        <v>0</v>
      </c>
      <c r="DD187" s="20">
        <v>0</v>
      </c>
      <c r="DE187" s="20">
        <v>0</v>
      </c>
      <c r="DF187" s="20">
        <v>0</v>
      </c>
      <c r="DG187" s="20">
        <v>0</v>
      </c>
      <c r="DH187" s="20">
        <v>0</v>
      </c>
      <c r="DI187" s="20" t="b">
        <v>0</v>
      </c>
      <c r="DK187" s="20">
        <v>0</v>
      </c>
      <c r="DM187" s="20" t="s">
        <v>187</v>
      </c>
      <c r="DN187" s="20">
        <v>0</v>
      </c>
      <c r="DO187" s="20">
        <v>0</v>
      </c>
      <c r="DP187" s="20">
        <v>0</v>
      </c>
    </row>
    <row r="188" spans="2:120">
      <c r="B188" s="20" cm="1">
        <f t="array" ref="B188">10000000+INDEX(编号表!$B$1:$B$112,MATCH(D188,编号表!$A$1:$A$112,0))*10000+I188</f>
        <v>10680008</v>
      </c>
      <c r="C188" s="20" t="s">
        <v>239</v>
      </c>
      <c r="D188" s="20" t="s">
        <v>239</v>
      </c>
      <c r="E188" s="20" t="s">
        <v>214</v>
      </c>
      <c r="G188" s="20">
        <v>1</v>
      </c>
      <c r="H188" s="20" t="b">
        <v>0</v>
      </c>
      <c r="I188" s="20">
        <v>8</v>
      </c>
      <c r="J188" s="20">
        <v>106800</v>
      </c>
      <c r="K188" s="20" t="s">
        <v>177</v>
      </c>
      <c r="L188" s="20">
        <v>10680007</v>
      </c>
      <c r="M188" s="20">
        <v>10680009</v>
      </c>
      <c r="N188" s="20" t="s">
        <v>240</v>
      </c>
      <c r="O188" s="20">
        <v>0</v>
      </c>
      <c r="P188" s="20">
        <v>0</v>
      </c>
      <c r="Q188" s="20">
        <v>0</v>
      </c>
      <c r="R188" s="20">
        <v>1</v>
      </c>
      <c r="T188" s="20">
        <v>100</v>
      </c>
      <c r="AO188" s="20" t="s">
        <v>194</v>
      </c>
      <c r="AP188" s="20">
        <v>0</v>
      </c>
      <c r="CV188" s="20">
        <v>0</v>
      </c>
      <c r="CW188" s="20">
        <v>0</v>
      </c>
      <c r="CX188" s="20" t="s">
        <v>194</v>
      </c>
      <c r="CY188" s="20">
        <v>0</v>
      </c>
      <c r="DB188" s="20">
        <v>0</v>
      </c>
      <c r="DD188" s="20">
        <v>0</v>
      </c>
      <c r="DE188" s="20">
        <v>0</v>
      </c>
      <c r="DF188" s="20">
        <v>0</v>
      </c>
      <c r="DG188" s="20">
        <v>0</v>
      </c>
      <c r="DH188" s="20">
        <v>0</v>
      </c>
      <c r="DI188" s="20" t="b">
        <v>0</v>
      </c>
      <c r="DK188" s="20">
        <v>0</v>
      </c>
      <c r="DM188" s="20" t="s">
        <v>187</v>
      </c>
      <c r="DN188" s="20">
        <v>0</v>
      </c>
      <c r="DO188" s="20">
        <v>0</v>
      </c>
      <c r="DP188" s="20">
        <v>0</v>
      </c>
    </row>
    <row r="189" spans="2:120">
      <c r="B189" s="20" cm="1">
        <f t="array" ref="B189">10000000+INDEX(编号表!$B$1:$B$112,MATCH(D189,编号表!$A$1:$A$112,0))*10000+I189</f>
        <v>10680009</v>
      </c>
      <c r="C189" s="20" t="s">
        <v>239</v>
      </c>
      <c r="D189" s="20" t="s">
        <v>239</v>
      </c>
      <c r="E189" s="20" t="s">
        <v>214</v>
      </c>
      <c r="G189" s="20">
        <v>1</v>
      </c>
      <c r="H189" s="20" t="b">
        <v>0</v>
      </c>
      <c r="I189" s="20">
        <v>9</v>
      </c>
      <c r="J189" s="20">
        <v>106800</v>
      </c>
      <c r="K189" s="20" t="s">
        <v>177</v>
      </c>
      <c r="L189" s="20">
        <v>10680008</v>
      </c>
      <c r="M189" s="20">
        <v>10680010</v>
      </c>
      <c r="N189" s="20" t="s">
        <v>240</v>
      </c>
      <c r="O189" s="20">
        <v>0</v>
      </c>
      <c r="P189" s="20">
        <v>0</v>
      </c>
      <c r="Q189" s="20">
        <v>0</v>
      </c>
      <c r="R189" s="20">
        <v>1</v>
      </c>
      <c r="T189" s="20">
        <v>100</v>
      </c>
      <c r="AO189" s="20" t="s">
        <v>194</v>
      </c>
      <c r="AP189" s="20">
        <v>0</v>
      </c>
      <c r="CV189" s="20">
        <v>0</v>
      </c>
      <c r="CW189" s="20">
        <v>0</v>
      </c>
      <c r="CX189" s="20" t="s">
        <v>194</v>
      </c>
      <c r="CY189" s="20">
        <v>0</v>
      </c>
      <c r="DB189" s="20">
        <v>0</v>
      </c>
      <c r="DD189" s="20">
        <v>0</v>
      </c>
      <c r="DE189" s="20">
        <v>0</v>
      </c>
      <c r="DF189" s="20">
        <v>0</v>
      </c>
      <c r="DG189" s="20">
        <v>0</v>
      </c>
      <c r="DH189" s="20">
        <v>0</v>
      </c>
      <c r="DI189" s="20" t="b">
        <v>0</v>
      </c>
      <c r="DK189" s="20">
        <v>0</v>
      </c>
      <c r="DM189" s="20" t="s">
        <v>187</v>
      </c>
      <c r="DN189" s="20">
        <v>0</v>
      </c>
      <c r="DO189" s="20">
        <v>0</v>
      </c>
      <c r="DP189" s="20">
        <v>0</v>
      </c>
    </row>
    <row r="190" spans="2:120">
      <c r="B190" s="20" cm="1">
        <f t="array" ref="B190">10000000+INDEX(编号表!$B$1:$B$112,MATCH(D190,编号表!$A$1:$A$112,0))*10000+I190</f>
        <v>10680010</v>
      </c>
      <c r="C190" s="20" t="s">
        <v>239</v>
      </c>
      <c r="D190" s="20" t="s">
        <v>239</v>
      </c>
      <c r="E190" s="20" t="s">
        <v>214</v>
      </c>
      <c r="G190" s="20">
        <v>1</v>
      </c>
      <c r="H190" s="20" t="b">
        <v>0</v>
      </c>
      <c r="I190" s="20">
        <v>10</v>
      </c>
      <c r="J190" s="20">
        <v>106800</v>
      </c>
      <c r="K190" s="20" t="s">
        <v>177</v>
      </c>
      <c r="L190" s="20">
        <v>10680009</v>
      </c>
      <c r="N190" s="20" t="s">
        <v>240</v>
      </c>
      <c r="O190" s="20">
        <v>0</v>
      </c>
      <c r="P190" s="20">
        <v>0</v>
      </c>
      <c r="Q190" s="20">
        <v>0</v>
      </c>
      <c r="R190" s="20">
        <v>1</v>
      </c>
      <c r="T190" s="20">
        <v>100</v>
      </c>
      <c r="AO190" s="20" t="s">
        <v>194</v>
      </c>
      <c r="AP190" s="20">
        <v>0</v>
      </c>
      <c r="CV190" s="20">
        <v>0</v>
      </c>
      <c r="CW190" s="20">
        <v>0</v>
      </c>
      <c r="CX190" s="20" t="s">
        <v>194</v>
      </c>
      <c r="CY190" s="20">
        <v>0</v>
      </c>
      <c r="DB190" s="20">
        <v>0</v>
      </c>
      <c r="DD190" s="20">
        <v>0</v>
      </c>
      <c r="DE190" s="20">
        <v>0</v>
      </c>
      <c r="DF190" s="20">
        <v>0</v>
      </c>
      <c r="DG190" s="20">
        <v>0</v>
      </c>
      <c r="DH190" s="20">
        <v>0</v>
      </c>
      <c r="DI190" s="20" t="b">
        <v>0</v>
      </c>
      <c r="DK190" s="20">
        <v>0</v>
      </c>
      <c r="DM190" s="20" t="s">
        <v>187</v>
      </c>
      <c r="DN190" s="20">
        <v>0</v>
      </c>
      <c r="DO190" s="20">
        <v>0</v>
      </c>
      <c r="DP190" s="20">
        <v>0</v>
      </c>
    </row>
    <row r="191" spans="2:120">
      <c r="B191" s="20" cm="1">
        <f t="array" ref="B191">10000000+INDEX(编号表!$B$1:$B$112,MATCH(D191,编号表!$A$1:$A$112,0))*10000+I191</f>
        <v>10690001</v>
      </c>
      <c r="C191" s="20" t="s">
        <v>241</v>
      </c>
      <c r="D191" s="20" t="s">
        <v>241</v>
      </c>
      <c r="E191" s="20" t="s">
        <v>214</v>
      </c>
      <c r="G191" s="20">
        <v>1</v>
      </c>
      <c r="H191" s="20" t="b">
        <v>0</v>
      </c>
      <c r="I191" s="20">
        <v>1</v>
      </c>
      <c r="J191" s="20">
        <v>106900</v>
      </c>
      <c r="K191" s="20" t="s">
        <v>177</v>
      </c>
      <c r="M191" s="20">
        <v>10690002</v>
      </c>
      <c r="N191" s="20" t="s">
        <v>242</v>
      </c>
      <c r="O191" s="20">
        <v>0</v>
      </c>
      <c r="P191" s="20">
        <v>0</v>
      </c>
      <c r="Q191" s="20">
        <v>0</v>
      </c>
      <c r="R191" s="20">
        <v>1</v>
      </c>
      <c r="T191" s="20">
        <v>100</v>
      </c>
      <c r="AO191" s="20" t="s">
        <v>194</v>
      </c>
      <c r="AP191" s="20">
        <v>0</v>
      </c>
      <c r="CV191" s="20">
        <v>0</v>
      </c>
      <c r="CW191" s="20">
        <v>0</v>
      </c>
      <c r="CX191" s="20" t="s">
        <v>194</v>
      </c>
      <c r="CY191" s="20">
        <v>0</v>
      </c>
      <c r="DB191" s="20">
        <v>0</v>
      </c>
      <c r="DD191" s="20">
        <v>0</v>
      </c>
      <c r="DE191" s="20">
        <v>0</v>
      </c>
      <c r="DF191" s="20">
        <v>0</v>
      </c>
      <c r="DG191" s="20">
        <v>0</v>
      </c>
      <c r="DH191" s="20">
        <v>0</v>
      </c>
      <c r="DI191" s="20" t="b">
        <v>0</v>
      </c>
      <c r="DK191" s="20">
        <v>0</v>
      </c>
      <c r="DM191" s="20" t="s">
        <v>187</v>
      </c>
      <c r="DN191" s="20">
        <v>0</v>
      </c>
      <c r="DO191" s="20">
        <v>0</v>
      </c>
      <c r="DP191" s="20">
        <v>0</v>
      </c>
    </row>
    <row r="192" spans="2:120">
      <c r="B192" s="20" cm="1">
        <f t="array" ref="B192">10000000+INDEX(编号表!$B$1:$B$112,MATCH(D192,编号表!$A$1:$A$112,0))*10000+I192</f>
        <v>10690002</v>
      </c>
      <c r="C192" s="20" t="s">
        <v>241</v>
      </c>
      <c r="D192" s="20" t="s">
        <v>241</v>
      </c>
      <c r="E192" s="20" t="s">
        <v>214</v>
      </c>
      <c r="G192" s="20">
        <v>1</v>
      </c>
      <c r="H192" s="20" t="b">
        <v>0</v>
      </c>
      <c r="I192" s="20">
        <v>2</v>
      </c>
      <c r="J192" s="20">
        <v>106900</v>
      </c>
      <c r="K192" s="20" t="s">
        <v>177</v>
      </c>
      <c r="L192" s="20">
        <v>10690001</v>
      </c>
      <c r="M192" s="20">
        <v>10690003</v>
      </c>
      <c r="N192" s="20" t="s">
        <v>242</v>
      </c>
      <c r="O192" s="20">
        <v>0</v>
      </c>
      <c r="P192" s="20">
        <v>0</v>
      </c>
      <c r="Q192" s="20">
        <v>0</v>
      </c>
      <c r="R192" s="20">
        <v>1</v>
      </c>
      <c r="T192" s="20">
        <v>100</v>
      </c>
      <c r="AO192" s="20" t="s">
        <v>194</v>
      </c>
      <c r="AP192" s="20">
        <v>0</v>
      </c>
      <c r="CV192" s="20">
        <v>0</v>
      </c>
      <c r="CW192" s="20">
        <v>0</v>
      </c>
      <c r="CX192" s="20" t="s">
        <v>194</v>
      </c>
      <c r="CY192" s="20">
        <v>0</v>
      </c>
      <c r="DB192" s="20">
        <v>0</v>
      </c>
      <c r="DD192" s="20">
        <v>0</v>
      </c>
      <c r="DE192" s="20">
        <v>0</v>
      </c>
      <c r="DF192" s="20">
        <v>0</v>
      </c>
      <c r="DG192" s="20">
        <v>0</v>
      </c>
      <c r="DH192" s="20">
        <v>0</v>
      </c>
      <c r="DI192" s="20" t="b">
        <v>0</v>
      </c>
      <c r="DK192" s="20">
        <v>0</v>
      </c>
      <c r="DM192" s="20" t="s">
        <v>187</v>
      </c>
      <c r="DN192" s="20">
        <v>0</v>
      </c>
      <c r="DO192" s="20">
        <v>0</v>
      </c>
      <c r="DP192" s="20">
        <v>0</v>
      </c>
    </row>
    <row r="193" spans="2:120">
      <c r="B193" s="20" cm="1">
        <f t="array" ref="B193">10000000+INDEX(编号表!$B$1:$B$112,MATCH(D193,编号表!$A$1:$A$112,0))*10000+I193</f>
        <v>10690003</v>
      </c>
      <c r="C193" s="20" t="s">
        <v>241</v>
      </c>
      <c r="D193" s="20" t="s">
        <v>241</v>
      </c>
      <c r="E193" s="20" t="s">
        <v>214</v>
      </c>
      <c r="G193" s="20">
        <v>1</v>
      </c>
      <c r="H193" s="20" t="b">
        <v>0</v>
      </c>
      <c r="I193" s="20">
        <v>3</v>
      </c>
      <c r="J193" s="20">
        <v>106900</v>
      </c>
      <c r="K193" s="20" t="s">
        <v>177</v>
      </c>
      <c r="L193" s="20">
        <v>10690002</v>
      </c>
      <c r="M193" s="20">
        <v>10690004</v>
      </c>
      <c r="N193" s="20" t="s">
        <v>242</v>
      </c>
      <c r="O193" s="20">
        <v>0</v>
      </c>
      <c r="P193" s="20">
        <v>0</v>
      </c>
      <c r="Q193" s="20">
        <v>0</v>
      </c>
      <c r="R193" s="20">
        <v>1</v>
      </c>
      <c r="T193" s="20">
        <v>100</v>
      </c>
      <c r="AO193" s="20" t="s">
        <v>194</v>
      </c>
      <c r="AP193" s="20">
        <v>0</v>
      </c>
      <c r="CV193" s="20">
        <v>0</v>
      </c>
      <c r="CW193" s="20">
        <v>0</v>
      </c>
      <c r="CX193" s="20" t="s">
        <v>194</v>
      </c>
      <c r="CY193" s="20">
        <v>0</v>
      </c>
      <c r="DB193" s="20">
        <v>0</v>
      </c>
      <c r="DD193" s="20">
        <v>0</v>
      </c>
      <c r="DE193" s="20">
        <v>0</v>
      </c>
      <c r="DF193" s="20">
        <v>0</v>
      </c>
      <c r="DG193" s="20">
        <v>0</v>
      </c>
      <c r="DH193" s="20">
        <v>0</v>
      </c>
      <c r="DI193" s="20" t="b">
        <v>0</v>
      </c>
      <c r="DK193" s="20">
        <v>0</v>
      </c>
      <c r="DM193" s="20" t="s">
        <v>187</v>
      </c>
      <c r="DN193" s="20">
        <v>0</v>
      </c>
      <c r="DO193" s="20">
        <v>0</v>
      </c>
      <c r="DP193" s="20">
        <v>0</v>
      </c>
    </row>
    <row r="194" spans="2:120">
      <c r="B194" s="20" cm="1">
        <f t="array" ref="B194">10000000+INDEX(编号表!$B$1:$B$112,MATCH(D194,编号表!$A$1:$A$112,0))*10000+I194</f>
        <v>10690004</v>
      </c>
      <c r="C194" s="20" t="s">
        <v>241</v>
      </c>
      <c r="D194" s="20" t="s">
        <v>241</v>
      </c>
      <c r="E194" s="20" t="s">
        <v>214</v>
      </c>
      <c r="G194" s="20">
        <v>1</v>
      </c>
      <c r="H194" s="20" t="b">
        <v>0</v>
      </c>
      <c r="I194" s="20">
        <v>4</v>
      </c>
      <c r="J194" s="20">
        <v>106900</v>
      </c>
      <c r="K194" s="20" t="s">
        <v>177</v>
      </c>
      <c r="L194" s="20">
        <v>10690003</v>
      </c>
      <c r="M194" s="20">
        <v>10690005</v>
      </c>
      <c r="N194" s="20" t="s">
        <v>242</v>
      </c>
      <c r="O194" s="20">
        <v>0</v>
      </c>
      <c r="P194" s="20">
        <v>0</v>
      </c>
      <c r="Q194" s="20">
        <v>0</v>
      </c>
      <c r="R194" s="20">
        <v>1</v>
      </c>
      <c r="T194" s="20">
        <v>100</v>
      </c>
      <c r="AO194" s="20" t="s">
        <v>194</v>
      </c>
      <c r="AP194" s="20">
        <v>0</v>
      </c>
      <c r="CV194" s="20">
        <v>0</v>
      </c>
      <c r="CW194" s="20">
        <v>0</v>
      </c>
      <c r="CX194" s="20" t="s">
        <v>194</v>
      </c>
      <c r="CY194" s="20">
        <v>0</v>
      </c>
      <c r="DB194" s="20">
        <v>0</v>
      </c>
      <c r="DD194" s="20">
        <v>0</v>
      </c>
      <c r="DE194" s="20">
        <v>0</v>
      </c>
      <c r="DF194" s="20">
        <v>0</v>
      </c>
      <c r="DG194" s="20">
        <v>0</v>
      </c>
      <c r="DH194" s="20">
        <v>0</v>
      </c>
      <c r="DI194" s="20" t="b">
        <v>0</v>
      </c>
      <c r="DK194" s="20">
        <v>0</v>
      </c>
      <c r="DM194" s="20" t="s">
        <v>187</v>
      </c>
      <c r="DN194" s="20">
        <v>0</v>
      </c>
      <c r="DO194" s="20">
        <v>0</v>
      </c>
      <c r="DP194" s="20">
        <v>0</v>
      </c>
    </row>
    <row r="195" spans="2:120">
      <c r="B195" s="20" cm="1">
        <f t="array" ref="B195">10000000+INDEX(编号表!$B$1:$B$112,MATCH(D195,编号表!$A$1:$A$112,0))*10000+I195</f>
        <v>10690005</v>
      </c>
      <c r="C195" s="20" t="s">
        <v>241</v>
      </c>
      <c r="D195" s="20" t="s">
        <v>241</v>
      </c>
      <c r="E195" s="20" t="s">
        <v>214</v>
      </c>
      <c r="G195" s="20">
        <v>1</v>
      </c>
      <c r="H195" s="20" t="b">
        <v>0</v>
      </c>
      <c r="I195" s="20">
        <v>5</v>
      </c>
      <c r="J195" s="20">
        <v>106900</v>
      </c>
      <c r="K195" s="20" t="s">
        <v>177</v>
      </c>
      <c r="L195" s="20">
        <v>10690004</v>
      </c>
      <c r="M195" s="20">
        <v>10690006</v>
      </c>
      <c r="N195" s="20" t="s">
        <v>242</v>
      </c>
      <c r="O195" s="20">
        <v>0</v>
      </c>
      <c r="P195" s="20">
        <v>0</v>
      </c>
      <c r="Q195" s="20">
        <v>0</v>
      </c>
      <c r="R195" s="20">
        <v>1</v>
      </c>
      <c r="T195" s="20">
        <v>100</v>
      </c>
      <c r="AO195" s="20" t="s">
        <v>194</v>
      </c>
      <c r="AP195" s="20">
        <v>0</v>
      </c>
      <c r="CV195" s="20">
        <v>0</v>
      </c>
      <c r="CW195" s="20">
        <v>0</v>
      </c>
      <c r="CX195" s="20" t="s">
        <v>194</v>
      </c>
      <c r="CY195" s="20">
        <v>0</v>
      </c>
      <c r="DB195" s="20">
        <v>0</v>
      </c>
      <c r="DD195" s="20">
        <v>0</v>
      </c>
      <c r="DE195" s="20">
        <v>0</v>
      </c>
      <c r="DF195" s="20">
        <v>0</v>
      </c>
      <c r="DG195" s="20">
        <v>0</v>
      </c>
      <c r="DH195" s="20">
        <v>0</v>
      </c>
      <c r="DI195" s="20" t="b">
        <v>0</v>
      </c>
      <c r="DK195" s="20">
        <v>0</v>
      </c>
      <c r="DM195" s="20" t="s">
        <v>187</v>
      </c>
      <c r="DN195" s="20">
        <v>0</v>
      </c>
      <c r="DO195" s="20">
        <v>0</v>
      </c>
      <c r="DP195" s="20">
        <v>0</v>
      </c>
    </row>
    <row r="196" spans="2:120">
      <c r="B196" s="20" cm="1">
        <f t="array" ref="B196">10000000+INDEX(编号表!$B$1:$B$112,MATCH(D196,编号表!$A$1:$A$112,0))*10000+I196</f>
        <v>10690006</v>
      </c>
      <c r="C196" s="20" t="s">
        <v>241</v>
      </c>
      <c r="D196" s="20" t="s">
        <v>241</v>
      </c>
      <c r="E196" s="20" t="s">
        <v>214</v>
      </c>
      <c r="G196" s="20">
        <v>1</v>
      </c>
      <c r="H196" s="20" t="b">
        <v>0</v>
      </c>
      <c r="I196" s="20">
        <v>6</v>
      </c>
      <c r="J196" s="20">
        <v>106900</v>
      </c>
      <c r="K196" s="20" t="s">
        <v>177</v>
      </c>
      <c r="L196" s="20">
        <v>10690005</v>
      </c>
      <c r="M196" s="20">
        <v>10690007</v>
      </c>
      <c r="N196" s="20" t="s">
        <v>242</v>
      </c>
      <c r="O196" s="20">
        <v>0</v>
      </c>
      <c r="P196" s="20">
        <v>0</v>
      </c>
      <c r="Q196" s="20">
        <v>0</v>
      </c>
      <c r="R196" s="20">
        <v>1</v>
      </c>
      <c r="T196" s="20">
        <v>100</v>
      </c>
      <c r="AO196" s="20" t="s">
        <v>194</v>
      </c>
      <c r="AP196" s="20">
        <v>0</v>
      </c>
      <c r="CV196" s="20">
        <v>0</v>
      </c>
      <c r="CW196" s="20">
        <v>0</v>
      </c>
      <c r="CX196" s="20" t="s">
        <v>194</v>
      </c>
      <c r="CY196" s="20">
        <v>0</v>
      </c>
      <c r="DB196" s="20">
        <v>0</v>
      </c>
      <c r="DD196" s="20">
        <v>0</v>
      </c>
      <c r="DE196" s="20">
        <v>0</v>
      </c>
      <c r="DF196" s="20">
        <v>0</v>
      </c>
      <c r="DG196" s="20">
        <v>0</v>
      </c>
      <c r="DH196" s="20">
        <v>0</v>
      </c>
      <c r="DI196" s="20" t="b">
        <v>0</v>
      </c>
      <c r="DK196" s="20">
        <v>0</v>
      </c>
      <c r="DM196" s="20" t="s">
        <v>187</v>
      </c>
      <c r="DN196" s="20">
        <v>0</v>
      </c>
      <c r="DO196" s="20">
        <v>0</v>
      </c>
      <c r="DP196" s="20">
        <v>0</v>
      </c>
    </row>
    <row r="197" spans="2:120">
      <c r="B197" s="20" cm="1">
        <f t="array" ref="B197">10000000+INDEX(编号表!$B$1:$B$112,MATCH(D197,编号表!$A$1:$A$112,0))*10000+I197</f>
        <v>10690007</v>
      </c>
      <c r="C197" s="20" t="s">
        <v>241</v>
      </c>
      <c r="D197" s="20" t="s">
        <v>241</v>
      </c>
      <c r="E197" s="20" t="s">
        <v>214</v>
      </c>
      <c r="G197" s="20">
        <v>1</v>
      </c>
      <c r="H197" s="20" t="b">
        <v>0</v>
      </c>
      <c r="I197" s="20">
        <v>7</v>
      </c>
      <c r="J197" s="20">
        <v>106900</v>
      </c>
      <c r="K197" s="20" t="s">
        <v>177</v>
      </c>
      <c r="L197" s="20">
        <v>10690006</v>
      </c>
      <c r="M197" s="20">
        <v>10690008</v>
      </c>
      <c r="N197" s="20" t="s">
        <v>242</v>
      </c>
      <c r="O197" s="20">
        <v>0</v>
      </c>
      <c r="P197" s="20">
        <v>0</v>
      </c>
      <c r="Q197" s="20">
        <v>0</v>
      </c>
      <c r="R197" s="20">
        <v>1</v>
      </c>
      <c r="T197" s="20">
        <v>100</v>
      </c>
      <c r="AO197" s="20" t="s">
        <v>194</v>
      </c>
      <c r="AP197" s="20">
        <v>0</v>
      </c>
      <c r="CV197" s="20">
        <v>0</v>
      </c>
      <c r="CW197" s="20">
        <v>0</v>
      </c>
      <c r="CX197" s="20" t="s">
        <v>194</v>
      </c>
      <c r="CY197" s="20">
        <v>0</v>
      </c>
      <c r="DB197" s="20">
        <v>0</v>
      </c>
      <c r="DD197" s="20">
        <v>0</v>
      </c>
      <c r="DE197" s="20">
        <v>0</v>
      </c>
      <c r="DF197" s="20">
        <v>0</v>
      </c>
      <c r="DG197" s="20">
        <v>0</v>
      </c>
      <c r="DH197" s="20">
        <v>0</v>
      </c>
      <c r="DI197" s="20" t="b">
        <v>0</v>
      </c>
      <c r="DK197" s="20">
        <v>0</v>
      </c>
      <c r="DM197" s="20" t="s">
        <v>187</v>
      </c>
      <c r="DN197" s="20">
        <v>0</v>
      </c>
      <c r="DO197" s="20">
        <v>0</v>
      </c>
      <c r="DP197" s="20">
        <v>0</v>
      </c>
    </row>
    <row r="198" spans="2:120">
      <c r="B198" s="20" cm="1">
        <f t="array" ref="B198">10000000+INDEX(编号表!$B$1:$B$112,MATCH(D198,编号表!$A$1:$A$112,0))*10000+I198</f>
        <v>10690008</v>
      </c>
      <c r="C198" s="20" t="s">
        <v>241</v>
      </c>
      <c r="D198" s="20" t="s">
        <v>241</v>
      </c>
      <c r="E198" s="20" t="s">
        <v>214</v>
      </c>
      <c r="G198" s="20">
        <v>1</v>
      </c>
      <c r="H198" s="20" t="b">
        <v>0</v>
      </c>
      <c r="I198" s="20">
        <v>8</v>
      </c>
      <c r="J198" s="20">
        <v>106900</v>
      </c>
      <c r="K198" s="20" t="s">
        <v>177</v>
      </c>
      <c r="L198" s="20">
        <v>10690007</v>
      </c>
      <c r="M198" s="20">
        <v>10690009</v>
      </c>
      <c r="N198" s="20" t="s">
        <v>242</v>
      </c>
      <c r="O198" s="20">
        <v>0</v>
      </c>
      <c r="P198" s="20">
        <v>0</v>
      </c>
      <c r="Q198" s="20">
        <v>0</v>
      </c>
      <c r="R198" s="20">
        <v>1</v>
      </c>
      <c r="T198" s="20">
        <v>100</v>
      </c>
      <c r="AO198" s="20" t="s">
        <v>194</v>
      </c>
      <c r="AP198" s="20">
        <v>0</v>
      </c>
      <c r="CV198" s="20">
        <v>0</v>
      </c>
      <c r="CW198" s="20">
        <v>0</v>
      </c>
      <c r="CX198" s="20" t="s">
        <v>194</v>
      </c>
      <c r="CY198" s="20">
        <v>0</v>
      </c>
      <c r="DB198" s="20">
        <v>0</v>
      </c>
      <c r="DD198" s="20">
        <v>0</v>
      </c>
      <c r="DE198" s="20">
        <v>0</v>
      </c>
      <c r="DF198" s="20">
        <v>0</v>
      </c>
      <c r="DG198" s="20">
        <v>0</v>
      </c>
      <c r="DH198" s="20">
        <v>0</v>
      </c>
      <c r="DI198" s="20" t="b">
        <v>0</v>
      </c>
      <c r="DK198" s="20">
        <v>0</v>
      </c>
      <c r="DM198" s="20" t="s">
        <v>187</v>
      </c>
      <c r="DN198" s="20">
        <v>0</v>
      </c>
      <c r="DO198" s="20">
        <v>0</v>
      </c>
      <c r="DP198" s="20">
        <v>0</v>
      </c>
    </row>
    <row r="199" spans="2:120">
      <c r="B199" s="20" cm="1">
        <f t="array" ref="B199">10000000+INDEX(编号表!$B$1:$B$112,MATCH(D199,编号表!$A$1:$A$112,0))*10000+I199</f>
        <v>10690009</v>
      </c>
      <c r="C199" s="20" t="s">
        <v>241</v>
      </c>
      <c r="D199" s="20" t="s">
        <v>241</v>
      </c>
      <c r="E199" s="20" t="s">
        <v>214</v>
      </c>
      <c r="G199" s="20">
        <v>1</v>
      </c>
      <c r="H199" s="20" t="b">
        <v>0</v>
      </c>
      <c r="I199" s="20">
        <v>9</v>
      </c>
      <c r="J199" s="20">
        <v>106900</v>
      </c>
      <c r="K199" s="20" t="s">
        <v>177</v>
      </c>
      <c r="L199" s="20">
        <v>10690008</v>
      </c>
      <c r="M199" s="20">
        <v>10690010</v>
      </c>
      <c r="N199" s="20" t="s">
        <v>242</v>
      </c>
      <c r="O199" s="20">
        <v>0</v>
      </c>
      <c r="P199" s="20">
        <v>0</v>
      </c>
      <c r="Q199" s="20">
        <v>0</v>
      </c>
      <c r="R199" s="20">
        <v>1</v>
      </c>
      <c r="T199" s="20">
        <v>100</v>
      </c>
      <c r="AO199" s="20" t="s">
        <v>194</v>
      </c>
      <c r="AP199" s="20">
        <v>0</v>
      </c>
      <c r="CV199" s="20">
        <v>0</v>
      </c>
      <c r="CW199" s="20">
        <v>0</v>
      </c>
      <c r="CX199" s="20" t="s">
        <v>194</v>
      </c>
      <c r="CY199" s="20">
        <v>0</v>
      </c>
      <c r="DB199" s="20">
        <v>0</v>
      </c>
      <c r="DD199" s="20">
        <v>0</v>
      </c>
      <c r="DE199" s="20">
        <v>0</v>
      </c>
      <c r="DF199" s="20">
        <v>0</v>
      </c>
      <c r="DG199" s="20">
        <v>0</v>
      </c>
      <c r="DH199" s="20">
        <v>0</v>
      </c>
      <c r="DI199" s="20" t="b">
        <v>0</v>
      </c>
      <c r="DK199" s="20">
        <v>0</v>
      </c>
      <c r="DM199" s="20" t="s">
        <v>187</v>
      </c>
      <c r="DN199" s="20">
        <v>0</v>
      </c>
      <c r="DO199" s="20">
        <v>0</v>
      </c>
      <c r="DP199" s="20">
        <v>0</v>
      </c>
    </row>
    <row r="200" spans="2:120">
      <c r="B200" s="20" cm="1">
        <f t="array" ref="B200">10000000+INDEX(编号表!$B$1:$B$112,MATCH(D200,编号表!$A$1:$A$112,0))*10000+I200</f>
        <v>10690010</v>
      </c>
      <c r="C200" s="20" t="s">
        <v>241</v>
      </c>
      <c r="D200" s="20" t="s">
        <v>241</v>
      </c>
      <c r="E200" s="20" t="s">
        <v>214</v>
      </c>
      <c r="G200" s="20">
        <v>1</v>
      </c>
      <c r="H200" s="20" t="b">
        <v>0</v>
      </c>
      <c r="I200" s="20">
        <v>10</v>
      </c>
      <c r="J200" s="20">
        <v>106900</v>
      </c>
      <c r="K200" s="20" t="s">
        <v>177</v>
      </c>
      <c r="L200" s="20">
        <v>10690009</v>
      </c>
      <c r="N200" s="20" t="s">
        <v>242</v>
      </c>
      <c r="O200" s="20">
        <v>0</v>
      </c>
      <c r="P200" s="20">
        <v>0</v>
      </c>
      <c r="Q200" s="20">
        <v>0</v>
      </c>
      <c r="R200" s="20">
        <v>1</v>
      </c>
      <c r="T200" s="20">
        <v>100</v>
      </c>
      <c r="AO200" s="20" t="s">
        <v>194</v>
      </c>
      <c r="AP200" s="20">
        <v>0</v>
      </c>
      <c r="CV200" s="20">
        <v>0</v>
      </c>
      <c r="CW200" s="20">
        <v>0</v>
      </c>
      <c r="CX200" s="20" t="s">
        <v>194</v>
      </c>
      <c r="CY200" s="20">
        <v>0</v>
      </c>
      <c r="DB200" s="20">
        <v>0</v>
      </c>
      <c r="DD200" s="20">
        <v>0</v>
      </c>
      <c r="DE200" s="20">
        <v>0</v>
      </c>
      <c r="DF200" s="20">
        <v>0</v>
      </c>
      <c r="DG200" s="20">
        <v>0</v>
      </c>
      <c r="DH200" s="20">
        <v>0</v>
      </c>
      <c r="DI200" s="20" t="b">
        <v>0</v>
      </c>
      <c r="DK200" s="20">
        <v>0</v>
      </c>
      <c r="DM200" s="20" t="s">
        <v>187</v>
      </c>
      <c r="DN200" s="20">
        <v>0</v>
      </c>
      <c r="DO200" s="20">
        <v>0</v>
      </c>
      <c r="DP200" s="20">
        <v>0</v>
      </c>
    </row>
    <row r="201" spans="2:120">
      <c r="B201" s="20" cm="1">
        <f t="array" ref="B201">10000000+INDEX(编号表!$B$1:$B$112,MATCH(D201,编号表!$A$1:$A$112,0))*10000+I201</f>
        <v>10700001</v>
      </c>
      <c r="C201" s="20" t="s">
        <v>243</v>
      </c>
      <c r="D201" s="20" t="s">
        <v>243</v>
      </c>
      <c r="E201" s="20" t="s">
        <v>214</v>
      </c>
      <c r="F201" s="20" t="s">
        <v>176</v>
      </c>
      <c r="G201" s="20">
        <v>1</v>
      </c>
      <c r="H201" s="20" t="b">
        <v>0</v>
      </c>
      <c r="I201" s="20">
        <v>1</v>
      </c>
      <c r="J201" s="20">
        <v>107000</v>
      </c>
      <c r="K201" s="20" t="s">
        <v>177</v>
      </c>
      <c r="M201" s="20">
        <v>10700002</v>
      </c>
      <c r="N201" s="20" t="s">
        <v>244</v>
      </c>
      <c r="O201" s="20">
        <v>0</v>
      </c>
      <c r="P201" s="20">
        <v>0</v>
      </c>
      <c r="Q201" s="20">
        <v>0</v>
      </c>
      <c r="R201" s="20">
        <v>1</v>
      </c>
      <c r="T201" s="20">
        <v>100</v>
      </c>
      <c r="AO201" s="20" t="s">
        <v>194</v>
      </c>
      <c r="AP201" s="20">
        <v>0</v>
      </c>
      <c r="CV201" s="20">
        <v>0</v>
      </c>
      <c r="CW201" s="20">
        <v>0</v>
      </c>
      <c r="CX201" s="20" t="s">
        <v>194</v>
      </c>
      <c r="CY201" s="20">
        <v>0</v>
      </c>
      <c r="DB201" s="20">
        <v>0</v>
      </c>
      <c r="DD201" s="20">
        <v>0</v>
      </c>
      <c r="DE201" s="20">
        <v>0</v>
      </c>
      <c r="DF201" s="20">
        <v>0</v>
      </c>
      <c r="DG201" s="20">
        <v>0</v>
      </c>
      <c r="DH201" s="20">
        <v>0</v>
      </c>
      <c r="DI201" s="20" t="b">
        <v>0</v>
      </c>
      <c r="DK201" s="20">
        <v>0</v>
      </c>
      <c r="DM201" s="20" t="s">
        <v>187</v>
      </c>
      <c r="DN201" s="20">
        <v>0</v>
      </c>
      <c r="DO201" s="20">
        <v>0</v>
      </c>
      <c r="DP201" s="20">
        <v>0</v>
      </c>
    </row>
    <row r="202" spans="2:120">
      <c r="B202" s="20" cm="1">
        <f t="array" ref="B202">10000000+INDEX(编号表!$B$1:$B$112,MATCH(D202,编号表!$A$1:$A$112,0))*10000+I202</f>
        <v>10700002</v>
      </c>
      <c r="C202" s="20" t="s">
        <v>243</v>
      </c>
      <c r="D202" s="20" t="s">
        <v>243</v>
      </c>
      <c r="E202" s="20" t="s">
        <v>214</v>
      </c>
      <c r="F202" s="20" t="s">
        <v>176</v>
      </c>
      <c r="G202" s="20">
        <v>1</v>
      </c>
      <c r="H202" s="20" t="b">
        <v>0</v>
      </c>
      <c r="I202" s="20">
        <v>2</v>
      </c>
      <c r="J202" s="20">
        <v>107000</v>
      </c>
      <c r="K202" s="20" t="s">
        <v>177</v>
      </c>
      <c r="L202" s="20">
        <v>10700001</v>
      </c>
      <c r="M202" s="20">
        <v>10700003</v>
      </c>
      <c r="N202" s="20" t="s">
        <v>244</v>
      </c>
      <c r="O202" s="20">
        <v>0</v>
      </c>
      <c r="P202" s="20">
        <v>0</v>
      </c>
      <c r="Q202" s="20">
        <v>0</v>
      </c>
      <c r="R202" s="20">
        <v>1</v>
      </c>
      <c r="T202" s="20">
        <v>100</v>
      </c>
      <c r="AO202" s="20" t="s">
        <v>194</v>
      </c>
      <c r="AP202" s="20">
        <v>0</v>
      </c>
      <c r="CV202" s="20">
        <v>0</v>
      </c>
      <c r="CW202" s="20">
        <v>0</v>
      </c>
      <c r="CX202" s="20" t="s">
        <v>194</v>
      </c>
      <c r="CY202" s="20">
        <v>0</v>
      </c>
      <c r="DB202" s="20">
        <v>0</v>
      </c>
      <c r="DD202" s="20">
        <v>0</v>
      </c>
      <c r="DE202" s="20">
        <v>0</v>
      </c>
      <c r="DF202" s="20">
        <v>0</v>
      </c>
      <c r="DG202" s="20">
        <v>0</v>
      </c>
      <c r="DH202" s="20">
        <v>0</v>
      </c>
      <c r="DI202" s="20" t="b">
        <v>0</v>
      </c>
      <c r="DK202" s="20">
        <v>0</v>
      </c>
      <c r="DM202" s="20" t="s">
        <v>187</v>
      </c>
      <c r="DN202" s="20">
        <v>0</v>
      </c>
      <c r="DO202" s="20">
        <v>0</v>
      </c>
      <c r="DP202" s="20">
        <v>0</v>
      </c>
    </row>
    <row r="203" spans="2:120">
      <c r="B203" s="20" cm="1">
        <f t="array" ref="B203">10000000+INDEX(编号表!$B$1:$B$112,MATCH(D203,编号表!$A$1:$A$112,0))*10000+I203</f>
        <v>10700003</v>
      </c>
      <c r="C203" s="20" t="s">
        <v>243</v>
      </c>
      <c r="D203" s="20" t="s">
        <v>243</v>
      </c>
      <c r="E203" s="20" t="s">
        <v>214</v>
      </c>
      <c r="F203" s="20" t="s">
        <v>176</v>
      </c>
      <c r="G203" s="20">
        <v>1</v>
      </c>
      <c r="H203" s="20" t="b">
        <v>0</v>
      </c>
      <c r="I203" s="20">
        <v>3</v>
      </c>
      <c r="J203" s="20">
        <v>107000</v>
      </c>
      <c r="K203" s="20" t="s">
        <v>177</v>
      </c>
      <c r="L203" s="20">
        <v>10700002</v>
      </c>
      <c r="M203" s="20">
        <v>10700004</v>
      </c>
      <c r="N203" s="20" t="s">
        <v>244</v>
      </c>
      <c r="O203" s="20">
        <v>0</v>
      </c>
      <c r="P203" s="20">
        <v>0</v>
      </c>
      <c r="Q203" s="20">
        <v>0</v>
      </c>
      <c r="R203" s="20">
        <v>1</v>
      </c>
      <c r="T203" s="20">
        <v>100</v>
      </c>
      <c r="AO203" s="20" t="s">
        <v>194</v>
      </c>
      <c r="AP203" s="20">
        <v>0</v>
      </c>
      <c r="CV203" s="20">
        <v>0</v>
      </c>
      <c r="CW203" s="20">
        <v>0</v>
      </c>
      <c r="CX203" s="20" t="s">
        <v>194</v>
      </c>
      <c r="CY203" s="20">
        <v>0</v>
      </c>
      <c r="DB203" s="20">
        <v>0</v>
      </c>
      <c r="DD203" s="20">
        <v>0</v>
      </c>
      <c r="DE203" s="20">
        <v>0</v>
      </c>
      <c r="DF203" s="20">
        <v>0</v>
      </c>
      <c r="DG203" s="20">
        <v>0</v>
      </c>
      <c r="DH203" s="20">
        <v>0</v>
      </c>
      <c r="DI203" s="20" t="b">
        <v>0</v>
      </c>
      <c r="DK203" s="20">
        <v>0</v>
      </c>
      <c r="DM203" s="20" t="s">
        <v>187</v>
      </c>
      <c r="DN203" s="20">
        <v>0</v>
      </c>
      <c r="DO203" s="20">
        <v>0</v>
      </c>
      <c r="DP203" s="20">
        <v>0</v>
      </c>
    </row>
    <row r="204" spans="2:120">
      <c r="B204" s="20" cm="1">
        <f t="array" ref="B204">10000000+INDEX(编号表!$B$1:$B$112,MATCH(D204,编号表!$A$1:$A$112,0))*10000+I204</f>
        <v>10700004</v>
      </c>
      <c r="C204" s="20" t="s">
        <v>243</v>
      </c>
      <c r="D204" s="20" t="s">
        <v>243</v>
      </c>
      <c r="E204" s="20" t="s">
        <v>214</v>
      </c>
      <c r="F204" s="20" t="s">
        <v>176</v>
      </c>
      <c r="G204" s="20">
        <v>1</v>
      </c>
      <c r="H204" s="20" t="b">
        <v>0</v>
      </c>
      <c r="I204" s="20">
        <v>4</v>
      </c>
      <c r="J204" s="20">
        <v>107000</v>
      </c>
      <c r="K204" s="20" t="s">
        <v>177</v>
      </c>
      <c r="L204" s="20">
        <v>10700003</v>
      </c>
      <c r="M204" s="20">
        <v>10700005</v>
      </c>
      <c r="N204" s="20" t="s">
        <v>244</v>
      </c>
      <c r="O204" s="20">
        <v>0</v>
      </c>
      <c r="P204" s="20">
        <v>0</v>
      </c>
      <c r="Q204" s="20">
        <v>0</v>
      </c>
      <c r="R204" s="20">
        <v>1</v>
      </c>
      <c r="T204" s="20">
        <v>100</v>
      </c>
      <c r="AO204" s="20" t="s">
        <v>194</v>
      </c>
      <c r="AP204" s="20">
        <v>0</v>
      </c>
      <c r="CV204" s="20">
        <v>0</v>
      </c>
      <c r="CW204" s="20">
        <v>0</v>
      </c>
      <c r="CX204" s="20" t="s">
        <v>194</v>
      </c>
      <c r="CY204" s="20">
        <v>0</v>
      </c>
      <c r="DB204" s="20">
        <v>0</v>
      </c>
      <c r="DD204" s="20">
        <v>0</v>
      </c>
      <c r="DE204" s="20">
        <v>0</v>
      </c>
      <c r="DF204" s="20">
        <v>0</v>
      </c>
      <c r="DG204" s="20">
        <v>0</v>
      </c>
      <c r="DH204" s="20">
        <v>0</v>
      </c>
      <c r="DI204" s="20" t="b">
        <v>0</v>
      </c>
      <c r="DK204" s="20">
        <v>0</v>
      </c>
      <c r="DM204" s="20" t="s">
        <v>187</v>
      </c>
      <c r="DN204" s="20">
        <v>0</v>
      </c>
      <c r="DO204" s="20">
        <v>0</v>
      </c>
      <c r="DP204" s="20">
        <v>0</v>
      </c>
    </row>
    <row r="205" spans="2:120">
      <c r="B205" s="20" cm="1">
        <f t="array" ref="B205">10000000+INDEX(编号表!$B$1:$B$112,MATCH(D205,编号表!$A$1:$A$112,0))*10000+I205</f>
        <v>10700005</v>
      </c>
      <c r="C205" s="20" t="s">
        <v>243</v>
      </c>
      <c r="D205" s="20" t="s">
        <v>243</v>
      </c>
      <c r="E205" s="20" t="s">
        <v>214</v>
      </c>
      <c r="F205" s="20" t="s">
        <v>176</v>
      </c>
      <c r="G205" s="20">
        <v>1</v>
      </c>
      <c r="H205" s="20" t="b">
        <v>0</v>
      </c>
      <c r="I205" s="20">
        <v>5</v>
      </c>
      <c r="J205" s="20">
        <v>107000</v>
      </c>
      <c r="K205" s="20" t="s">
        <v>177</v>
      </c>
      <c r="L205" s="20">
        <v>10700004</v>
      </c>
      <c r="M205" s="20">
        <v>10700006</v>
      </c>
      <c r="N205" s="20" t="s">
        <v>244</v>
      </c>
      <c r="O205" s="20">
        <v>0</v>
      </c>
      <c r="P205" s="20">
        <v>0</v>
      </c>
      <c r="Q205" s="20">
        <v>0</v>
      </c>
      <c r="R205" s="20">
        <v>1</v>
      </c>
      <c r="T205" s="20">
        <v>100</v>
      </c>
      <c r="AO205" s="20" t="s">
        <v>194</v>
      </c>
      <c r="AP205" s="20">
        <v>0</v>
      </c>
      <c r="CV205" s="20">
        <v>0</v>
      </c>
      <c r="CW205" s="20">
        <v>0</v>
      </c>
      <c r="CX205" s="20" t="s">
        <v>194</v>
      </c>
      <c r="CY205" s="20">
        <v>0</v>
      </c>
      <c r="DB205" s="20">
        <v>0</v>
      </c>
      <c r="DD205" s="20">
        <v>0</v>
      </c>
      <c r="DE205" s="20">
        <v>0</v>
      </c>
      <c r="DF205" s="20">
        <v>0</v>
      </c>
      <c r="DG205" s="20">
        <v>0</v>
      </c>
      <c r="DH205" s="20">
        <v>0</v>
      </c>
      <c r="DI205" s="20" t="b">
        <v>0</v>
      </c>
      <c r="DK205" s="20">
        <v>0</v>
      </c>
      <c r="DM205" s="20" t="s">
        <v>187</v>
      </c>
      <c r="DN205" s="20">
        <v>0</v>
      </c>
      <c r="DO205" s="20">
        <v>0</v>
      </c>
      <c r="DP205" s="20">
        <v>0</v>
      </c>
    </row>
    <row r="206" spans="2:120">
      <c r="B206" s="20" cm="1">
        <f t="array" ref="B206">10000000+INDEX(编号表!$B$1:$B$112,MATCH(D206,编号表!$A$1:$A$112,0))*10000+I206</f>
        <v>10700006</v>
      </c>
      <c r="C206" s="20" t="s">
        <v>243</v>
      </c>
      <c r="D206" s="20" t="s">
        <v>243</v>
      </c>
      <c r="E206" s="20" t="s">
        <v>214</v>
      </c>
      <c r="F206" s="20" t="s">
        <v>176</v>
      </c>
      <c r="G206" s="20">
        <v>1</v>
      </c>
      <c r="H206" s="20" t="b">
        <v>0</v>
      </c>
      <c r="I206" s="20">
        <v>6</v>
      </c>
      <c r="J206" s="20">
        <v>107000</v>
      </c>
      <c r="K206" s="20" t="s">
        <v>177</v>
      </c>
      <c r="L206" s="20">
        <v>10700005</v>
      </c>
      <c r="M206" s="20">
        <v>10700007</v>
      </c>
      <c r="N206" s="20" t="s">
        <v>244</v>
      </c>
      <c r="O206" s="20">
        <v>0</v>
      </c>
      <c r="P206" s="20">
        <v>0</v>
      </c>
      <c r="Q206" s="20">
        <v>0</v>
      </c>
      <c r="R206" s="20">
        <v>1</v>
      </c>
      <c r="T206" s="20">
        <v>100</v>
      </c>
      <c r="AO206" s="20" t="s">
        <v>194</v>
      </c>
      <c r="AP206" s="20">
        <v>0</v>
      </c>
      <c r="CV206" s="20">
        <v>0</v>
      </c>
      <c r="CW206" s="20">
        <v>0</v>
      </c>
      <c r="CX206" s="20" t="s">
        <v>194</v>
      </c>
      <c r="CY206" s="20">
        <v>0</v>
      </c>
      <c r="DB206" s="20">
        <v>0</v>
      </c>
      <c r="DD206" s="20">
        <v>0</v>
      </c>
      <c r="DE206" s="20">
        <v>0</v>
      </c>
      <c r="DF206" s="20">
        <v>0</v>
      </c>
      <c r="DG206" s="20">
        <v>0</v>
      </c>
      <c r="DH206" s="20">
        <v>0</v>
      </c>
      <c r="DI206" s="20" t="b">
        <v>0</v>
      </c>
      <c r="DK206" s="20">
        <v>0</v>
      </c>
      <c r="DM206" s="20" t="s">
        <v>187</v>
      </c>
      <c r="DN206" s="20">
        <v>0</v>
      </c>
      <c r="DO206" s="20">
        <v>0</v>
      </c>
      <c r="DP206" s="20">
        <v>0</v>
      </c>
    </row>
    <row r="207" spans="2:120">
      <c r="B207" s="20" cm="1">
        <f t="array" ref="B207">10000000+INDEX(编号表!$B$1:$B$112,MATCH(D207,编号表!$A$1:$A$112,0))*10000+I207</f>
        <v>10700007</v>
      </c>
      <c r="C207" s="20" t="s">
        <v>243</v>
      </c>
      <c r="D207" s="20" t="s">
        <v>243</v>
      </c>
      <c r="E207" s="20" t="s">
        <v>214</v>
      </c>
      <c r="F207" s="20" t="s">
        <v>176</v>
      </c>
      <c r="G207" s="20">
        <v>1</v>
      </c>
      <c r="H207" s="20" t="b">
        <v>0</v>
      </c>
      <c r="I207" s="20">
        <v>7</v>
      </c>
      <c r="J207" s="20">
        <v>107000</v>
      </c>
      <c r="K207" s="20" t="s">
        <v>177</v>
      </c>
      <c r="L207" s="20">
        <v>10700006</v>
      </c>
      <c r="M207" s="20">
        <v>10700008</v>
      </c>
      <c r="N207" s="20" t="s">
        <v>244</v>
      </c>
      <c r="O207" s="20">
        <v>0</v>
      </c>
      <c r="P207" s="20">
        <v>0</v>
      </c>
      <c r="Q207" s="20">
        <v>0</v>
      </c>
      <c r="R207" s="20">
        <v>1</v>
      </c>
      <c r="T207" s="20">
        <v>100</v>
      </c>
      <c r="AO207" s="20" t="s">
        <v>194</v>
      </c>
      <c r="AP207" s="20">
        <v>0</v>
      </c>
      <c r="CV207" s="20">
        <v>0</v>
      </c>
      <c r="CW207" s="20">
        <v>0</v>
      </c>
      <c r="CX207" s="20" t="s">
        <v>194</v>
      </c>
      <c r="CY207" s="20">
        <v>0</v>
      </c>
      <c r="DB207" s="20">
        <v>0</v>
      </c>
      <c r="DD207" s="20">
        <v>0</v>
      </c>
      <c r="DE207" s="20">
        <v>0</v>
      </c>
      <c r="DF207" s="20">
        <v>0</v>
      </c>
      <c r="DG207" s="20">
        <v>0</v>
      </c>
      <c r="DH207" s="20">
        <v>0</v>
      </c>
      <c r="DI207" s="20" t="b">
        <v>0</v>
      </c>
      <c r="DK207" s="20">
        <v>0</v>
      </c>
      <c r="DM207" s="20" t="s">
        <v>187</v>
      </c>
      <c r="DN207" s="20">
        <v>0</v>
      </c>
      <c r="DO207" s="20">
        <v>0</v>
      </c>
      <c r="DP207" s="20">
        <v>0</v>
      </c>
    </row>
    <row r="208" spans="2:120">
      <c r="B208" s="20" cm="1">
        <f t="array" ref="B208">10000000+INDEX(编号表!$B$1:$B$112,MATCH(D208,编号表!$A$1:$A$112,0))*10000+I208</f>
        <v>10700008</v>
      </c>
      <c r="C208" s="20" t="s">
        <v>243</v>
      </c>
      <c r="D208" s="20" t="s">
        <v>243</v>
      </c>
      <c r="E208" s="20" t="s">
        <v>214</v>
      </c>
      <c r="F208" s="20" t="s">
        <v>176</v>
      </c>
      <c r="G208" s="20">
        <v>1</v>
      </c>
      <c r="H208" s="20" t="b">
        <v>0</v>
      </c>
      <c r="I208" s="20">
        <v>8</v>
      </c>
      <c r="J208" s="20">
        <v>107000</v>
      </c>
      <c r="K208" s="20" t="s">
        <v>177</v>
      </c>
      <c r="L208" s="20">
        <v>10700007</v>
      </c>
      <c r="M208" s="20">
        <v>10700009</v>
      </c>
      <c r="N208" s="20" t="s">
        <v>244</v>
      </c>
      <c r="O208" s="20">
        <v>0</v>
      </c>
      <c r="P208" s="20">
        <v>0</v>
      </c>
      <c r="Q208" s="20">
        <v>0</v>
      </c>
      <c r="R208" s="20">
        <v>1</v>
      </c>
      <c r="T208" s="20">
        <v>100</v>
      </c>
      <c r="AO208" s="20" t="s">
        <v>194</v>
      </c>
      <c r="AP208" s="20">
        <v>0</v>
      </c>
      <c r="CV208" s="20">
        <v>0</v>
      </c>
      <c r="CW208" s="20">
        <v>0</v>
      </c>
      <c r="CX208" s="20" t="s">
        <v>194</v>
      </c>
      <c r="CY208" s="20">
        <v>0</v>
      </c>
      <c r="DB208" s="20">
        <v>0</v>
      </c>
      <c r="DD208" s="20">
        <v>0</v>
      </c>
      <c r="DE208" s="20">
        <v>0</v>
      </c>
      <c r="DF208" s="20">
        <v>0</v>
      </c>
      <c r="DG208" s="20">
        <v>0</v>
      </c>
      <c r="DH208" s="20">
        <v>0</v>
      </c>
      <c r="DI208" s="20" t="b">
        <v>0</v>
      </c>
      <c r="DK208" s="20">
        <v>0</v>
      </c>
      <c r="DM208" s="20" t="s">
        <v>187</v>
      </c>
      <c r="DN208" s="20">
        <v>0</v>
      </c>
      <c r="DO208" s="20">
        <v>0</v>
      </c>
      <c r="DP208" s="20">
        <v>0</v>
      </c>
    </row>
    <row r="209" spans="2:120">
      <c r="B209" s="20" cm="1">
        <f t="array" ref="B209">10000000+INDEX(编号表!$B$1:$B$112,MATCH(D209,编号表!$A$1:$A$112,0))*10000+I209</f>
        <v>10700009</v>
      </c>
      <c r="C209" s="20" t="s">
        <v>243</v>
      </c>
      <c r="D209" s="20" t="s">
        <v>243</v>
      </c>
      <c r="E209" s="20" t="s">
        <v>214</v>
      </c>
      <c r="F209" s="20" t="s">
        <v>176</v>
      </c>
      <c r="G209" s="20">
        <v>1</v>
      </c>
      <c r="H209" s="20" t="b">
        <v>0</v>
      </c>
      <c r="I209" s="20">
        <v>9</v>
      </c>
      <c r="J209" s="20">
        <v>107000</v>
      </c>
      <c r="K209" s="20" t="s">
        <v>177</v>
      </c>
      <c r="L209" s="20">
        <v>10700008</v>
      </c>
      <c r="M209" s="20">
        <v>10700010</v>
      </c>
      <c r="N209" s="20" t="s">
        <v>244</v>
      </c>
      <c r="O209" s="20">
        <v>0</v>
      </c>
      <c r="P209" s="20">
        <v>0</v>
      </c>
      <c r="Q209" s="20">
        <v>0</v>
      </c>
      <c r="R209" s="20">
        <v>1</v>
      </c>
      <c r="T209" s="20">
        <v>100</v>
      </c>
      <c r="AO209" s="20" t="s">
        <v>194</v>
      </c>
      <c r="AP209" s="20">
        <v>0</v>
      </c>
      <c r="CV209" s="20">
        <v>0</v>
      </c>
      <c r="CW209" s="20">
        <v>0</v>
      </c>
      <c r="CX209" s="20" t="s">
        <v>194</v>
      </c>
      <c r="CY209" s="20">
        <v>0</v>
      </c>
      <c r="DB209" s="20">
        <v>0</v>
      </c>
      <c r="DD209" s="20">
        <v>0</v>
      </c>
      <c r="DE209" s="20">
        <v>0</v>
      </c>
      <c r="DF209" s="20">
        <v>0</v>
      </c>
      <c r="DG209" s="20">
        <v>0</v>
      </c>
      <c r="DH209" s="20">
        <v>0</v>
      </c>
      <c r="DI209" s="20" t="b">
        <v>0</v>
      </c>
      <c r="DK209" s="20">
        <v>0</v>
      </c>
      <c r="DM209" s="20" t="s">
        <v>187</v>
      </c>
      <c r="DN209" s="20">
        <v>0</v>
      </c>
      <c r="DO209" s="20">
        <v>0</v>
      </c>
      <c r="DP209" s="20">
        <v>0</v>
      </c>
    </row>
    <row r="210" spans="2:120">
      <c r="B210" s="20" cm="1">
        <f t="array" ref="B210">10000000+INDEX(编号表!$B$1:$B$112,MATCH(D210,编号表!$A$1:$A$112,0))*10000+I210</f>
        <v>10700010</v>
      </c>
      <c r="C210" s="20" t="s">
        <v>243</v>
      </c>
      <c r="D210" s="20" t="s">
        <v>243</v>
      </c>
      <c r="E210" s="20" t="s">
        <v>214</v>
      </c>
      <c r="F210" s="20" t="s">
        <v>176</v>
      </c>
      <c r="G210" s="20">
        <v>1</v>
      </c>
      <c r="H210" s="20" t="b">
        <v>0</v>
      </c>
      <c r="I210" s="20">
        <v>10</v>
      </c>
      <c r="J210" s="20">
        <v>107000</v>
      </c>
      <c r="K210" s="20" t="s">
        <v>177</v>
      </c>
      <c r="L210" s="20">
        <v>10700009</v>
      </c>
      <c r="N210" s="20" t="s">
        <v>244</v>
      </c>
      <c r="O210" s="20">
        <v>0</v>
      </c>
      <c r="P210" s="20">
        <v>0</v>
      </c>
      <c r="Q210" s="20">
        <v>0</v>
      </c>
      <c r="R210" s="20">
        <v>1</v>
      </c>
      <c r="T210" s="20">
        <v>100</v>
      </c>
      <c r="AO210" s="20" t="s">
        <v>194</v>
      </c>
      <c r="AP210" s="20">
        <v>0</v>
      </c>
      <c r="CV210" s="20">
        <v>0</v>
      </c>
      <c r="CW210" s="20">
        <v>0</v>
      </c>
      <c r="CX210" s="20" t="s">
        <v>194</v>
      </c>
      <c r="CY210" s="20">
        <v>0</v>
      </c>
      <c r="DB210" s="20">
        <v>0</v>
      </c>
      <c r="DD210" s="20">
        <v>0</v>
      </c>
      <c r="DE210" s="20">
        <v>0</v>
      </c>
      <c r="DF210" s="20">
        <v>0</v>
      </c>
      <c r="DG210" s="20">
        <v>0</v>
      </c>
      <c r="DH210" s="20">
        <v>0</v>
      </c>
      <c r="DI210" s="20" t="b">
        <v>0</v>
      </c>
      <c r="DK210" s="20">
        <v>0</v>
      </c>
      <c r="DM210" s="20" t="s">
        <v>187</v>
      </c>
      <c r="DN210" s="20">
        <v>0</v>
      </c>
      <c r="DO210" s="20">
        <v>0</v>
      </c>
      <c r="DP210" s="20">
        <v>0</v>
      </c>
    </row>
    <row r="211" spans="2:120">
      <c r="B211" s="20" cm="1">
        <f t="array" ref="B211">10000000+INDEX(编号表!$B$1:$B$112,MATCH(D211,编号表!$A$1:$A$112,0))*10000+I211</f>
        <v>10710001</v>
      </c>
      <c r="C211" s="20" t="s">
        <v>245</v>
      </c>
      <c r="D211" s="20" t="s">
        <v>245</v>
      </c>
      <c r="E211" s="20" t="s">
        <v>214</v>
      </c>
      <c r="F211" s="20" t="s">
        <v>246</v>
      </c>
      <c r="G211" s="20">
        <v>1</v>
      </c>
      <c r="H211" s="20" t="b">
        <v>0</v>
      </c>
      <c r="I211" s="20">
        <v>1</v>
      </c>
      <c r="J211" s="20">
        <v>107100</v>
      </c>
      <c r="K211" s="20" t="s">
        <v>177</v>
      </c>
      <c r="M211" s="20">
        <v>10710002</v>
      </c>
      <c r="N211" s="20" t="s">
        <v>247</v>
      </c>
      <c r="O211" s="20">
        <v>0</v>
      </c>
      <c r="P211" s="20">
        <v>0</v>
      </c>
      <c r="Q211" s="20">
        <v>0</v>
      </c>
      <c r="R211" s="20">
        <v>1</v>
      </c>
      <c r="T211" s="20">
        <v>100</v>
      </c>
      <c r="AO211" s="20" t="s">
        <v>194</v>
      </c>
      <c r="AP211" s="20">
        <v>0</v>
      </c>
      <c r="CV211" s="20">
        <v>0</v>
      </c>
      <c r="CW211" s="20">
        <v>0</v>
      </c>
      <c r="CX211" s="20" t="s">
        <v>194</v>
      </c>
      <c r="CY211" s="20">
        <v>0</v>
      </c>
      <c r="DB211" s="20">
        <v>0</v>
      </c>
      <c r="DD211" s="20">
        <v>0</v>
      </c>
      <c r="DE211" s="20">
        <v>0</v>
      </c>
      <c r="DF211" s="20">
        <v>0</v>
      </c>
      <c r="DG211" s="20">
        <v>0</v>
      </c>
      <c r="DH211" s="20">
        <v>0</v>
      </c>
      <c r="DI211" s="20" t="b">
        <v>0</v>
      </c>
      <c r="DK211" s="20">
        <v>0</v>
      </c>
      <c r="DM211" s="20" t="s">
        <v>187</v>
      </c>
      <c r="DN211" s="20">
        <v>0</v>
      </c>
      <c r="DO211" s="20">
        <v>0</v>
      </c>
      <c r="DP211" s="20">
        <v>0</v>
      </c>
    </row>
    <row r="212" spans="2:120">
      <c r="B212" s="20" cm="1">
        <f t="array" ref="B212">10000000+INDEX(编号表!$B$1:$B$112,MATCH(D212,编号表!$A$1:$A$112,0))*10000+I212</f>
        <v>10710002</v>
      </c>
      <c r="C212" s="20" t="s">
        <v>245</v>
      </c>
      <c r="D212" s="20" t="s">
        <v>245</v>
      </c>
      <c r="E212" s="20" t="s">
        <v>214</v>
      </c>
      <c r="F212" s="20" t="s">
        <v>246</v>
      </c>
      <c r="G212" s="20">
        <v>1</v>
      </c>
      <c r="H212" s="20" t="b">
        <v>0</v>
      </c>
      <c r="I212" s="20">
        <v>2</v>
      </c>
      <c r="J212" s="20">
        <v>107100</v>
      </c>
      <c r="K212" s="20" t="s">
        <v>177</v>
      </c>
      <c r="L212" s="20">
        <v>10710001</v>
      </c>
      <c r="M212" s="20">
        <v>10710003</v>
      </c>
      <c r="N212" s="20" t="s">
        <v>247</v>
      </c>
      <c r="O212" s="20">
        <v>0</v>
      </c>
      <c r="P212" s="20">
        <v>0</v>
      </c>
      <c r="Q212" s="20">
        <v>0</v>
      </c>
      <c r="R212" s="20">
        <v>1</v>
      </c>
      <c r="T212" s="20">
        <v>100</v>
      </c>
      <c r="AO212" s="20" t="s">
        <v>194</v>
      </c>
      <c r="AP212" s="20">
        <v>0</v>
      </c>
      <c r="CV212" s="20">
        <v>0</v>
      </c>
      <c r="CW212" s="20">
        <v>0</v>
      </c>
      <c r="CX212" s="20" t="s">
        <v>194</v>
      </c>
      <c r="CY212" s="20">
        <v>0</v>
      </c>
      <c r="DB212" s="20">
        <v>0</v>
      </c>
      <c r="DD212" s="20">
        <v>0</v>
      </c>
      <c r="DE212" s="20">
        <v>0</v>
      </c>
      <c r="DF212" s="20">
        <v>0</v>
      </c>
      <c r="DG212" s="20">
        <v>0</v>
      </c>
      <c r="DH212" s="20">
        <v>0</v>
      </c>
      <c r="DI212" s="20" t="b">
        <v>0</v>
      </c>
      <c r="DK212" s="20">
        <v>0</v>
      </c>
      <c r="DM212" s="20" t="s">
        <v>187</v>
      </c>
      <c r="DN212" s="20">
        <v>0</v>
      </c>
      <c r="DO212" s="20">
        <v>0</v>
      </c>
      <c r="DP212" s="20">
        <v>0</v>
      </c>
    </row>
    <row r="213" spans="2:120">
      <c r="B213" s="20" cm="1">
        <f t="array" ref="B213">10000000+INDEX(编号表!$B$1:$B$112,MATCH(D213,编号表!$A$1:$A$112,0))*10000+I213</f>
        <v>10710003</v>
      </c>
      <c r="C213" s="20" t="s">
        <v>245</v>
      </c>
      <c r="D213" s="20" t="s">
        <v>245</v>
      </c>
      <c r="E213" s="20" t="s">
        <v>214</v>
      </c>
      <c r="F213" s="20" t="s">
        <v>246</v>
      </c>
      <c r="G213" s="20">
        <v>1</v>
      </c>
      <c r="H213" s="20" t="b">
        <v>0</v>
      </c>
      <c r="I213" s="20">
        <v>3</v>
      </c>
      <c r="J213" s="20">
        <v>107100</v>
      </c>
      <c r="K213" s="20" t="s">
        <v>177</v>
      </c>
      <c r="L213" s="20">
        <v>10710002</v>
      </c>
      <c r="M213" s="20">
        <v>10710004</v>
      </c>
      <c r="N213" s="20" t="s">
        <v>247</v>
      </c>
      <c r="O213" s="20">
        <v>0</v>
      </c>
      <c r="P213" s="20">
        <v>0</v>
      </c>
      <c r="Q213" s="20">
        <v>0</v>
      </c>
      <c r="R213" s="20">
        <v>1</v>
      </c>
      <c r="T213" s="20">
        <v>100</v>
      </c>
      <c r="AO213" s="20" t="s">
        <v>194</v>
      </c>
      <c r="AP213" s="20">
        <v>0</v>
      </c>
      <c r="CV213" s="20">
        <v>0</v>
      </c>
      <c r="CW213" s="20">
        <v>0</v>
      </c>
      <c r="CX213" s="20" t="s">
        <v>194</v>
      </c>
      <c r="CY213" s="20">
        <v>0</v>
      </c>
      <c r="DB213" s="20">
        <v>0</v>
      </c>
      <c r="DD213" s="20">
        <v>0</v>
      </c>
      <c r="DE213" s="20">
        <v>0</v>
      </c>
      <c r="DF213" s="20">
        <v>0</v>
      </c>
      <c r="DG213" s="20">
        <v>0</v>
      </c>
      <c r="DH213" s="20">
        <v>0</v>
      </c>
      <c r="DI213" s="20" t="b">
        <v>0</v>
      </c>
      <c r="DK213" s="20">
        <v>0</v>
      </c>
      <c r="DM213" s="20" t="s">
        <v>187</v>
      </c>
      <c r="DN213" s="20">
        <v>0</v>
      </c>
      <c r="DO213" s="20">
        <v>0</v>
      </c>
      <c r="DP213" s="20">
        <v>0</v>
      </c>
    </row>
    <row r="214" spans="2:120">
      <c r="B214" s="20" cm="1">
        <f t="array" ref="B214">10000000+INDEX(编号表!$B$1:$B$112,MATCH(D214,编号表!$A$1:$A$112,0))*10000+I214</f>
        <v>10710004</v>
      </c>
      <c r="C214" s="20" t="s">
        <v>245</v>
      </c>
      <c r="D214" s="20" t="s">
        <v>245</v>
      </c>
      <c r="E214" s="20" t="s">
        <v>214</v>
      </c>
      <c r="F214" s="20" t="s">
        <v>246</v>
      </c>
      <c r="G214" s="20">
        <v>1</v>
      </c>
      <c r="H214" s="20" t="b">
        <v>0</v>
      </c>
      <c r="I214" s="20">
        <v>4</v>
      </c>
      <c r="J214" s="20">
        <v>107100</v>
      </c>
      <c r="K214" s="20" t="s">
        <v>177</v>
      </c>
      <c r="L214" s="20">
        <v>10710003</v>
      </c>
      <c r="M214" s="20">
        <v>10710005</v>
      </c>
      <c r="N214" s="20" t="s">
        <v>247</v>
      </c>
      <c r="O214" s="20">
        <v>0</v>
      </c>
      <c r="P214" s="20">
        <v>0</v>
      </c>
      <c r="Q214" s="20">
        <v>0</v>
      </c>
      <c r="R214" s="20">
        <v>1</v>
      </c>
      <c r="T214" s="20">
        <v>100</v>
      </c>
      <c r="AO214" s="20" t="s">
        <v>194</v>
      </c>
      <c r="AP214" s="20">
        <v>0</v>
      </c>
      <c r="CV214" s="20">
        <v>0</v>
      </c>
      <c r="CW214" s="20">
        <v>0</v>
      </c>
      <c r="CX214" s="20" t="s">
        <v>194</v>
      </c>
      <c r="CY214" s="20">
        <v>0</v>
      </c>
      <c r="DB214" s="20">
        <v>0</v>
      </c>
      <c r="DD214" s="20">
        <v>0</v>
      </c>
      <c r="DE214" s="20">
        <v>0</v>
      </c>
      <c r="DF214" s="20">
        <v>0</v>
      </c>
      <c r="DG214" s="20">
        <v>0</v>
      </c>
      <c r="DH214" s="20">
        <v>0</v>
      </c>
      <c r="DI214" s="20" t="b">
        <v>0</v>
      </c>
      <c r="DK214" s="20">
        <v>0</v>
      </c>
      <c r="DM214" s="20" t="s">
        <v>187</v>
      </c>
      <c r="DN214" s="20">
        <v>0</v>
      </c>
      <c r="DO214" s="20">
        <v>0</v>
      </c>
      <c r="DP214" s="20">
        <v>0</v>
      </c>
    </row>
    <row r="215" spans="2:120">
      <c r="B215" s="20" cm="1">
        <f t="array" ref="B215">10000000+INDEX(编号表!$B$1:$B$112,MATCH(D215,编号表!$A$1:$A$112,0))*10000+I215</f>
        <v>10710005</v>
      </c>
      <c r="C215" s="20" t="s">
        <v>245</v>
      </c>
      <c r="D215" s="20" t="s">
        <v>245</v>
      </c>
      <c r="E215" s="20" t="s">
        <v>214</v>
      </c>
      <c r="F215" s="20" t="s">
        <v>246</v>
      </c>
      <c r="G215" s="20">
        <v>1</v>
      </c>
      <c r="H215" s="20" t="b">
        <v>0</v>
      </c>
      <c r="I215" s="20">
        <v>5</v>
      </c>
      <c r="J215" s="20">
        <v>107100</v>
      </c>
      <c r="K215" s="20" t="s">
        <v>177</v>
      </c>
      <c r="L215" s="20">
        <v>10710004</v>
      </c>
      <c r="M215" s="20">
        <v>10710006</v>
      </c>
      <c r="N215" s="20" t="s">
        <v>247</v>
      </c>
      <c r="O215" s="20">
        <v>0</v>
      </c>
      <c r="P215" s="20">
        <v>0</v>
      </c>
      <c r="Q215" s="20">
        <v>0</v>
      </c>
      <c r="R215" s="20">
        <v>1</v>
      </c>
      <c r="T215" s="20">
        <v>100</v>
      </c>
      <c r="AO215" s="20" t="s">
        <v>194</v>
      </c>
      <c r="AP215" s="20">
        <v>0</v>
      </c>
      <c r="CV215" s="20">
        <v>0</v>
      </c>
      <c r="CW215" s="20">
        <v>0</v>
      </c>
      <c r="CX215" s="20" t="s">
        <v>194</v>
      </c>
      <c r="CY215" s="20">
        <v>0</v>
      </c>
      <c r="DB215" s="20">
        <v>0</v>
      </c>
      <c r="DD215" s="20">
        <v>0</v>
      </c>
      <c r="DE215" s="20">
        <v>0</v>
      </c>
      <c r="DF215" s="20">
        <v>0</v>
      </c>
      <c r="DG215" s="20">
        <v>0</v>
      </c>
      <c r="DH215" s="20">
        <v>0</v>
      </c>
      <c r="DI215" s="20" t="b">
        <v>0</v>
      </c>
      <c r="DK215" s="20">
        <v>0</v>
      </c>
      <c r="DM215" s="20" t="s">
        <v>187</v>
      </c>
      <c r="DN215" s="20">
        <v>0</v>
      </c>
      <c r="DO215" s="20">
        <v>0</v>
      </c>
      <c r="DP215" s="20">
        <v>0</v>
      </c>
    </row>
    <row r="216" spans="2:120">
      <c r="B216" s="20" cm="1">
        <f t="array" ref="B216">10000000+INDEX(编号表!$B$1:$B$112,MATCH(D216,编号表!$A$1:$A$112,0))*10000+I216</f>
        <v>10710006</v>
      </c>
      <c r="C216" s="20" t="s">
        <v>245</v>
      </c>
      <c r="D216" s="20" t="s">
        <v>245</v>
      </c>
      <c r="E216" s="20" t="s">
        <v>214</v>
      </c>
      <c r="F216" s="20" t="s">
        <v>246</v>
      </c>
      <c r="G216" s="20">
        <v>1</v>
      </c>
      <c r="H216" s="20" t="b">
        <v>0</v>
      </c>
      <c r="I216" s="20">
        <v>6</v>
      </c>
      <c r="J216" s="20">
        <v>107100</v>
      </c>
      <c r="K216" s="20" t="s">
        <v>177</v>
      </c>
      <c r="L216" s="20">
        <v>10710005</v>
      </c>
      <c r="M216" s="20">
        <v>10710007</v>
      </c>
      <c r="N216" s="20" t="s">
        <v>247</v>
      </c>
      <c r="O216" s="20">
        <v>0</v>
      </c>
      <c r="P216" s="20">
        <v>0</v>
      </c>
      <c r="Q216" s="20">
        <v>0</v>
      </c>
      <c r="R216" s="20">
        <v>1</v>
      </c>
      <c r="T216" s="20">
        <v>100</v>
      </c>
      <c r="AO216" s="20" t="s">
        <v>194</v>
      </c>
      <c r="AP216" s="20">
        <v>0</v>
      </c>
      <c r="CV216" s="20">
        <v>0</v>
      </c>
      <c r="CW216" s="20">
        <v>0</v>
      </c>
      <c r="CX216" s="20" t="s">
        <v>194</v>
      </c>
      <c r="CY216" s="20">
        <v>0</v>
      </c>
      <c r="DB216" s="20">
        <v>0</v>
      </c>
      <c r="DD216" s="20">
        <v>0</v>
      </c>
      <c r="DE216" s="20">
        <v>0</v>
      </c>
      <c r="DF216" s="20">
        <v>0</v>
      </c>
      <c r="DG216" s="20">
        <v>0</v>
      </c>
      <c r="DH216" s="20">
        <v>0</v>
      </c>
      <c r="DI216" s="20" t="b">
        <v>0</v>
      </c>
      <c r="DK216" s="20">
        <v>0</v>
      </c>
      <c r="DM216" s="20" t="s">
        <v>187</v>
      </c>
      <c r="DN216" s="20">
        <v>0</v>
      </c>
      <c r="DO216" s="20">
        <v>0</v>
      </c>
      <c r="DP216" s="20">
        <v>0</v>
      </c>
    </row>
    <row r="217" spans="2:120">
      <c r="B217" s="20" cm="1">
        <f t="array" ref="B217">10000000+INDEX(编号表!$B$1:$B$112,MATCH(D217,编号表!$A$1:$A$112,0))*10000+I217</f>
        <v>10710007</v>
      </c>
      <c r="C217" s="20" t="s">
        <v>245</v>
      </c>
      <c r="D217" s="20" t="s">
        <v>245</v>
      </c>
      <c r="E217" s="20" t="s">
        <v>214</v>
      </c>
      <c r="F217" s="20" t="s">
        <v>246</v>
      </c>
      <c r="G217" s="20">
        <v>1</v>
      </c>
      <c r="H217" s="20" t="b">
        <v>0</v>
      </c>
      <c r="I217" s="20">
        <v>7</v>
      </c>
      <c r="J217" s="20">
        <v>107100</v>
      </c>
      <c r="K217" s="20" t="s">
        <v>177</v>
      </c>
      <c r="L217" s="20">
        <v>10710006</v>
      </c>
      <c r="M217" s="20">
        <v>10710008</v>
      </c>
      <c r="N217" s="20" t="s">
        <v>247</v>
      </c>
      <c r="O217" s="20">
        <v>0</v>
      </c>
      <c r="P217" s="20">
        <v>0</v>
      </c>
      <c r="Q217" s="20">
        <v>0</v>
      </c>
      <c r="R217" s="20">
        <v>1</v>
      </c>
      <c r="T217" s="20">
        <v>100</v>
      </c>
      <c r="AO217" s="20" t="s">
        <v>194</v>
      </c>
      <c r="AP217" s="20">
        <v>0</v>
      </c>
      <c r="CV217" s="20">
        <v>0</v>
      </c>
      <c r="CW217" s="20">
        <v>0</v>
      </c>
      <c r="CX217" s="20" t="s">
        <v>194</v>
      </c>
      <c r="CY217" s="20">
        <v>0</v>
      </c>
      <c r="DB217" s="20">
        <v>0</v>
      </c>
      <c r="DD217" s="20">
        <v>0</v>
      </c>
      <c r="DE217" s="20">
        <v>0</v>
      </c>
      <c r="DF217" s="20">
        <v>0</v>
      </c>
      <c r="DG217" s="20">
        <v>0</v>
      </c>
      <c r="DH217" s="20">
        <v>0</v>
      </c>
      <c r="DI217" s="20" t="b">
        <v>0</v>
      </c>
      <c r="DK217" s="20">
        <v>0</v>
      </c>
      <c r="DM217" s="20" t="s">
        <v>187</v>
      </c>
      <c r="DN217" s="20">
        <v>0</v>
      </c>
      <c r="DO217" s="20">
        <v>0</v>
      </c>
      <c r="DP217" s="20">
        <v>0</v>
      </c>
    </row>
    <row r="218" spans="2:120">
      <c r="B218" s="20" cm="1">
        <f t="array" ref="B218">10000000+INDEX(编号表!$B$1:$B$112,MATCH(D218,编号表!$A$1:$A$112,0))*10000+I218</f>
        <v>10710008</v>
      </c>
      <c r="C218" s="20" t="s">
        <v>245</v>
      </c>
      <c r="D218" s="20" t="s">
        <v>245</v>
      </c>
      <c r="E218" s="20" t="s">
        <v>214</v>
      </c>
      <c r="F218" s="20" t="s">
        <v>246</v>
      </c>
      <c r="G218" s="20">
        <v>1</v>
      </c>
      <c r="H218" s="20" t="b">
        <v>0</v>
      </c>
      <c r="I218" s="20">
        <v>8</v>
      </c>
      <c r="J218" s="20">
        <v>107100</v>
      </c>
      <c r="K218" s="20" t="s">
        <v>177</v>
      </c>
      <c r="L218" s="20">
        <v>10710007</v>
      </c>
      <c r="M218" s="20">
        <v>10710009</v>
      </c>
      <c r="N218" s="20" t="s">
        <v>247</v>
      </c>
      <c r="O218" s="20">
        <v>0</v>
      </c>
      <c r="P218" s="20">
        <v>0</v>
      </c>
      <c r="Q218" s="20">
        <v>0</v>
      </c>
      <c r="R218" s="20">
        <v>1</v>
      </c>
      <c r="T218" s="20">
        <v>100</v>
      </c>
      <c r="AO218" s="20" t="s">
        <v>194</v>
      </c>
      <c r="AP218" s="20">
        <v>0</v>
      </c>
      <c r="CV218" s="20">
        <v>0</v>
      </c>
      <c r="CW218" s="20">
        <v>0</v>
      </c>
      <c r="CX218" s="20" t="s">
        <v>194</v>
      </c>
      <c r="CY218" s="20">
        <v>0</v>
      </c>
      <c r="DB218" s="20">
        <v>0</v>
      </c>
      <c r="DD218" s="20">
        <v>0</v>
      </c>
      <c r="DE218" s="20">
        <v>0</v>
      </c>
      <c r="DF218" s="20">
        <v>0</v>
      </c>
      <c r="DG218" s="20">
        <v>0</v>
      </c>
      <c r="DH218" s="20">
        <v>0</v>
      </c>
      <c r="DI218" s="20" t="b">
        <v>0</v>
      </c>
      <c r="DK218" s="20">
        <v>0</v>
      </c>
      <c r="DM218" s="20" t="s">
        <v>187</v>
      </c>
      <c r="DN218" s="20">
        <v>0</v>
      </c>
      <c r="DO218" s="20">
        <v>0</v>
      </c>
      <c r="DP218" s="20">
        <v>0</v>
      </c>
    </row>
    <row r="219" spans="2:120">
      <c r="B219" s="20" cm="1">
        <f t="array" ref="B219">10000000+INDEX(编号表!$B$1:$B$112,MATCH(D219,编号表!$A$1:$A$112,0))*10000+I219</f>
        <v>10710009</v>
      </c>
      <c r="C219" s="20" t="s">
        <v>245</v>
      </c>
      <c r="D219" s="20" t="s">
        <v>245</v>
      </c>
      <c r="E219" s="20" t="s">
        <v>214</v>
      </c>
      <c r="F219" s="20" t="s">
        <v>246</v>
      </c>
      <c r="G219" s="20">
        <v>1</v>
      </c>
      <c r="H219" s="20" t="b">
        <v>0</v>
      </c>
      <c r="I219" s="20">
        <v>9</v>
      </c>
      <c r="J219" s="20">
        <v>107100</v>
      </c>
      <c r="K219" s="20" t="s">
        <v>177</v>
      </c>
      <c r="L219" s="20">
        <v>10710008</v>
      </c>
      <c r="M219" s="20">
        <v>10710010</v>
      </c>
      <c r="N219" s="20" t="s">
        <v>247</v>
      </c>
      <c r="O219" s="20">
        <v>0</v>
      </c>
      <c r="P219" s="20">
        <v>0</v>
      </c>
      <c r="Q219" s="20">
        <v>0</v>
      </c>
      <c r="R219" s="20">
        <v>1</v>
      </c>
      <c r="T219" s="20">
        <v>100</v>
      </c>
      <c r="AO219" s="20" t="s">
        <v>194</v>
      </c>
      <c r="AP219" s="20">
        <v>0</v>
      </c>
      <c r="CV219" s="20">
        <v>0</v>
      </c>
      <c r="CW219" s="20">
        <v>0</v>
      </c>
      <c r="CX219" s="20" t="s">
        <v>194</v>
      </c>
      <c r="CY219" s="20">
        <v>0</v>
      </c>
      <c r="DB219" s="20">
        <v>0</v>
      </c>
      <c r="DD219" s="20">
        <v>0</v>
      </c>
      <c r="DE219" s="20">
        <v>0</v>
      </c>
      <c r="DF219" s="20">
        <v>0</v>
      </c>
      <c r="DG219" s="20">
        <v>0</v>
      </c>
      <c r="DH219" s="20">
        <v>0</v>
      </c>
      <c r="DI219" s="20" t="b">
        <v>0</v>
      </c>
      <c r="DK219" s="20">
        <v>0</v>
      </c>
      <c r="DM219" s="20" t="s">
        <v>187</v>
      </c>
      <c r="DN219" s="20">
        <v>0</v>
      </c>
      <c r="DO219" s="20">
        <v>0</v>
      </c>
      <c r="DP219" s="20">
        <v>0</v>
      </c>
    </row>
    <row r="220" spans="2:120">
      <c r="B220" s="20" cm="1">
        <f t="array" ref="B220">10000000+INDEX(编号表!$B$1:$B$112,MATCH(D220,编号表!$A$1:$A$112,0))*10000+I220</f>
        <v>10710010</v>
      </c>
      <c r="C220" s="20" t="s">
        <v>245</v>
      </c>
      <c r="D220" s="20" t="s">
        <v>245</v>
      </c>
      <c r="E220" s="20" t="s">
        <v>214</v>
      </c>
      <c r="F220" s="20" t="s">
        <v>246</v>
      </c>
      <c r="G220" s="20">
        <v>1</v>
      </c>
      <c r="H220" s="20" t="b">
        <v>0</v>
      </c>
      <c r="I220" s="20">
        <v>10</v>
      </c>
      <c r="J220" s="20">
        <v>107100</v>
      </c>
      <c r="K220" s="20" t="s">
        <v>177</v>
      </c>
      <c r="L220" s="20">
        <v>10710009</v>
      </c>
      <c r="N220" s="20" t="s">
        <v>247</v>
      </c>
      <c r="O220" s="20">
        <v>0</v>
      </c>
      <c r="P220" s="20">
        <v>0</v>
      </c>
      <c r="Q220" s="20">
        <v>0</v>
      </c>
      <c r="R220" s="20">
        <v>1</v>
      </c>
      <c r="T220" s="20">
        <v>100</v>
      </c>
      <c r="AO220" s="20" t="s">
        <v>194</v>
      </c>
      <c r="AP220" s="20">
        <v>0</v>
      </c>
      <c r="CV220" s="20">
        <v>0</v>
      </c>
      <c r="CW220" s="20">
        <v>0</v>
      </c>
      <c r="CX220" s="20" t="s">
        <v>194</v>
      </c>
      <c r="CY220" s="20">
        <v>0</v>
      </c>
      <c r="DB220" s="20">
        <v>0</v>
      </c>
      <c r="DD220" s="20">
        <v>0</v>
      </c>
      <c r="DE220" s="20">
        <v>0</v>
      </c>
      <c r="DF220" s="20">
        <v>0</v>
      </c>
      <c r="DG220" s="20">
        <v>0</v>
      </c>
      <c r="DH220" s="20">
        <v>0</v>
      </c>
      <c r="DI220" s="20" t="b">
        <v>0</v>
      </c>
      <c r="DK220" s="20">
        <v>0</v>
      </c>
      <c r="DM220" s="20" t="s">
        <v>187</v>
      </c>
      <c r="DN220" s="20">
        <v>0</v>
      </c>
      <c r="DO220" s="20">
        <v>0</v>
      </c>
      <c r="DP220" s="20">
        <v>0</v>
      </c>
    </row>
    <row r="221" spans="2:120">
      <c r="B221" s="20" cm="1">
        <f t="array" ref="B221">10000000+INDEX(编号表!$B$1:$B$112,MATCH(D221,编号表!$A$1:$A$112,0))*10000+I221</f>
        <v>10720001</v>
      </c>
      <c r="C221" s="20" t="s">
        <v>248</v>
      </c>
      <c r="D221" s="20" t="s">
        <v>248</v>
      </c>
      <c r="E221" s="20" t="s">
        <v>214</v>
      </c>
      <c r="F221" s="20" t="s">
        <v>249</v>
      </c>
      <c r="G221" s="20">
        <v>1</v>
      </c>
      <c r="H221" s="20" t="b">
        <v>0</v>
      </c>
      <c r="I221" s="20">
        <v>1</v>
      </c>
      <c r="J221" s="20">
        <v>107200</v>
      </c>
      <c r="K221" s="20" t="s">
        <v>177</v>
      </c>
      <c r="M221" s="20">
        <v>10720002</v>
      </c>
      <c r="N221" s="20" t="s">
        <v>250</v>
      </c>
      <c r="O221" s="20">
        <v>0</v>
      </c>
      <c r="P221" s="20">
        <v>0</v>
      </c>
      <c r="Q221" s="20">
        <v>0</v>
      </c>
      <c r="R221" s="20">
        <v>1</v>
      </c>
      <c r="T221" s="20">
        <v>100</v>
      </c>
      <c r="AO221" s="20" t="s">
        <v>194</v>
      </c>
      <c r="AP221" s="20">
        <v>0</v>
      </c>
      <c r="CV221" s="20">
        <v>0</v>
      </c>
      <c r="CW221" s="20">
        <v>0</v>
      </c>
      <c r="CX221" s="20" t="s">
        <v>194</v>
      </c>
      <c r="CY221" s="20">
        <v>0</v>
      </c>
      <c r="DB221" s="20">
        <v>0</v>
      </c>
      <c r="DD221" s="20">
        <v>0</v>
      </c>
      <c r="DE221" s="20">
        <v>0</v>
      </c>
      <c r="DF221" s="20">
        <v>0</v>
      </c>
      <c r="DG221" s="20">
        <v>0</v>
      </c>
      <c r="DH221" s="20">
        <v>0</v>
      </c>
      <c r="DI221" s="20" t="b">
        <v>0</v>
      </c>
      <c r="DK221" s="20">
        <v>0</v>
      </c>
      <c r="DM221" s="20" t="s">
        <v>187</v>
      </c>
      <c r="DN221" s="20">
        <v>0</v>
      </c>
      <c r="DO221" s="20">
        <v>0</v>
      </c>
      <c r="DP221" s="20">
        <v>0</v>
      </c>
    </row>
    <row r="222" spans="2:120">
      <c r="B222" s="20" cm="1">
        <f t="array" ref="B222">10000000+INDEX(编号表!$B$1:$B$112,MATCH(D222,编号表!$A$1:$A$112,0))*10000+I222</f>
        <v>10720002</v>
      </c>
      <c r="C222" s="20" t="s">
        <v>248</v>
      </c>
      <c r="D222" s="20" t="s">
        <v>248</v>
      </c>
      <c r="E222" s="20" t="s">
        <v>214</v>
      </c>
      <c r="F222" s="20" t="s">
        <v>249</v>
      </c>
      <c r="G222" s="20">
        <v>1</v>
      </c>
      <c r="H222" s="20" t="b">
        <v>0</v>
      </c>
      <c r="I222" s="20">
        <v>2</v>
      </c>
      <c r="J222" s="20">
        <v>107200</v>
      </c>
      <c r="K222" s="20" t="s">
        <v>177</v>
      </c>
      <c r="L222" s="20">
        <v>10720001</v>
      </c>
      <c r="M222" s="20">
        <v>10720003</v>
      </c>
      <c r="N222" s="20" t="s">
        <v>250</v>
      </c>
      <c r="O222" s="20">
        <v>0</v>
      </c>
      <c r="P222" s="20">
        <v>0</v>
      </c>
      <c r="Q222" s="20">
        <v>0</v>
      </c>
      <c r="R222" s="20">
        <v>1</v>
      </c>
      <c r="T222" s="20">
        <v>100</v>
      </c>
      <c r="AO222" s="20" t="s">
        <v>194</v>
      </c>
      <c r="AP222" s="20">
        <v>0</v>
      </c>
      <c r="CV222" s="20">
        <v>0</v>
      </c>
      <c r="CW222" s="20">
        <v>0</v>
      </c>
      <c r="CX222" s="20" t="s">
        <v>194</v>
      </c>
      <c r="CY222" s="20">
        <v>0</v>
      </c>
      <c r="DB222" s="20">
        <v>0</v>
      </c>
      <c r="DD222" s="20">
        <v>0</v>
      </c>
      <c r="DE222" s="20">
        <v>0</v>
      </c>
      <c r="DF222" s="20">
        <v>0</v>
      </c>
      <c r="DG222" s="20">
        <v>0</v>
      </c>
      <c r="DH222" s="20">
        <v>0</v>
      </c>
      <c r="DI222" s="20" t="b">
        <v>0</v>
      </c>
      <c r="DK222" s="20">
        <v>0</v>
      </c>
      <c r="DM222" s="20" t="s">
        <v>187</v>
      </c>
      <c r="DN222" s="20">
        <v>0</v>
      </c>
      <c r="DO222" s="20">
        <v>0</v>
      </c>
      <c r="DP222" s="20">
        <v>0</v>
      </c>
    </row>
    <row r="223" spans="2:120">
      <c r="B223" s="20" cm="1">
        <f t="array" ref="B223">10000000+INDEX(编号表!$B$1:$B$112,MATCH(D223,编号表!$A$1:$A$112,0))*10000+I223</f>
        <v>10720003</v>
      </c>
      <c r="C223" s="20" t="s">
        <v>248</v>
      </c>
      <c r="D223" s="20" t="s">
        <v>248</v>
      </c>
      <c r="E223" s="20" t="s">
        <v>214</v>
      </c>
      <c r="F223" s="20" t="s">
        <v>249</v>
      </c>
      <c r="G223" s="20">
        <v>1</v>
      </c>
      <c r="H223" s="20" t="b">
        <v>0</v>
      </c>
      <c r="I223" s="20">
        <v>3</v>
      </c>
      <c r="J223" s="20">
        <v>107200</v>
      </c>
      <c r="K223" s="20" t="s">
        <v>177</v>
      </c>
      <c r="L223" s="20">
        <v>10720002</v>
      </c>
      <c r="M223" s="20">
        <v>10720004</v>
      </c>
      <c r="N223" s="20" t="s">
        <v>250</v>
      </c>
      <c r="O223" s="20">
        <v>0</v>
      </c>
      <c r="P223" s="20">
        <v>0</v>
      </c>
      <c r="Q223" s="20">
        <v>0</v>
      </c>
      <c r="R223" s="20">
        <v>1</v>
      </c>
      <c r="T223" s="20">
        <v>100</v>
      </c>
      <c r="AO223" s="20" t="s">
        <v>194</v>
      </c>
      <c r="AP223" s="20">
        <v>0</v>
      </c>
      <c r="CV223" s="20">
        <v>0</v>
      </c>
      <c r="CW223" s="20">
        <v>0</v>
      </c>
      <c r="CX223" s="20" t="s">
        <v>194</v>
      </c>
      <c r="CY223" s="20">
        <v>0</v>
      </c>
      <c r="DB223" s="20">
        <v>0</v>
      </c>
      <c r="DD223" s="20">
        <v>0</v>
      </c>
      <c r="DE223" s="20">
        <v>0</v>
      </c>
      <c r="DF223" s="20">
        <v>0</v>
      </c>
      <c r="DG223" s="20">
        <v>0</v>
      </c>
      <c r="DH223" s="20">
        <v>0</v>
      </c>
      <c r="DI223" s="20" t="b">
        <v>0</v>
      </c>
      <c r="DK223" s="20">
        <v>0</v>
      </c>
      <c r="DM223" s="20" t="s">
        <v>187</v>
      </c>
      <c r="DN223" s="20">
        <v>0</v>
      </c>
      <c r="DO223" s="20">
        <v>0</v>
      </c>
      <c r="DP223" s="20">
        <v>0</v>
      </c>
    </row>
    <row r="224" spans="2:120">
      <c r="B224" s="20" cm="1">
        <f t="array" ref="B224">10000000+INDEX(编号表!$B$1:$B$112,MATCH(D224,编号表!$A$1:$A$112,0))*10000+I224</f>
        <v>10720004</v>
      </c>
      <c r="C224" s="20" t="s">
        <v>248</v>
      </c>
      <c r="D224" s="20" t="s">
        <v>248</v>
      </c>
      <c r="E224" s="20" t="s">
        <v>214</v>
      </c>
      <c r="F224" s="20" t="s">
        <v>249</v>
      </c>
      <c r="G224" s="20">
        <v>1</v>
      </c>
      <c r="H224" s="20" t="b">
        <v>0</v>
      </c>
      <c r="I224" s="20">
        <v>4</v>
      </c>
      <c r="J224" s="20">
        <v>107200</v>
      </c>
      <c r="K224" s="20" t="s">
        <v>177</v>
      </c>
      <c r="L224" s="20">
        <v>10720003</v>
      </c>
      <c r="M224" s="20">
        <v>10720005</v>
      </c>
      <c r="N224" s="20" t="s">
        <v>250</v>
      </c>
      <c r="O224" s="20">
        <v>0</v>
      </c>
      <c r="P224" s="20">
        <v>0</v>
      </c>
      <c r="Q224" s="20">
        <v>0</v>
      </c>
      <c r="R224" s="20">
        <v>1</v>
      </c>
      <c r="T224" s="20">
        <v>100</v>
      </c>
      <c r="AO224" s="20" t="s">
        <v>194</v>
      </c>
      <c r="AP224" s="20">
        <v>0</v>
      </c>
      <c r="CV224" s="20">
        <v>0</v>
      </c>
      <c r="CW224" s="20">
        <v>0</v>
      </c>
      <c r="CX224" s="20" t="s">
        <v>194</v>
      </c>
      <c r="CY224" s="20">
        <v>0</v>
      </c>
      <c r="DB224" s="20">
        <v>0</v>
      </c>
      <c r="DD224" s="20">
        <v>0</v>
      </c>
      <c r="DE224" s="20">
        <v>0</v>
      </c>
      <c r="DF224" s="20">
        <v>0</v>
      </c>
      <c r="DG224" s="20">
        <v>0</v>
      </c>
      <c r="DH224" s="20">
        <v>0</v>
      </c>
      <c r="DI224" s="20" t="b">
        <v>0</v>
      </c>
      <c r="DK224" s="20">
        <v>0</v>
      </c>
      <c r="DM224" s="20" t="s">
        <v>187</v>
      </c>
      <c r="DN224" s="20">
        <v>0</v>
      </c>
      <c r="DO224" s="20">
        <v>0</v>
      </c>
      <c r="DP224" s="20">
        <v>0</v>
      </c>
    </row>
    <row r="225" spans="2:120">
      <c r="B225" s="20" cm="1">
        <f t="array" ref="B225">10000000+INDEX(编号表!$B$1:$B$112,MATCH(D225,编号表!$A$1:$A$112,0))*10000+I225</f>
        <v>10720005</v>
      </c>
      <c r="C225" s="20" t="s">
        <v>248</v>
      </c>
      <c r="D225" s="20" t="s">
        <v>248</v>
      </c>
      <c r="E225" s="20" t="s">
        <v>214</v>
      </c>
      <c r="F225" s="20" t="s">
        <v>249</v>
      </c>
      <c r="G225" s="20">
        <v>1</v>
      </c>
      <c r="H225" s="20" t="b">
        <v>0</v>
      </c>
      <c r="I225" s="20">
        <v>5</v>
      </c>
      <c r="J225" s="20">
        <v>107200</v>
      </c>
      <c r="K225" s="20" t="s">
        <v>177</v>
      </c>
      <c r="L225" s="20">
        <v>10720004</v>
      </c>
      <c r="M225" s="20">
        <v>10720006</v>
      </c>
      <c r="N225" s="20" t="s">
        <v>250</v>
      </c>
      <c r="O225" s="20">
        <v>0</v>
      </c>
      <c r="P225" s="20">
        <v>0</v>
      </c>
      <c r="Q225" s="20">
        <v>0</v>
      </c>
      <c r="R225" s="20">
        <v>1</v>
      </c>
      <c r="T225" s="20">
        <v>100</v>
      </c>
      <c r="AO225" s="20" t="s">
        <v>194</v>
      </c>
      <c r="AP225" s="20">
        <v>0</v>
      </c>
      <c r="CV225" s="20">
        <v>0</v>
      </c>
      <c r="CW225" s="20">
        <v>0</v>
      </c>
      <c r="CX225" s="20" t="s">
        <v>194</v>
      </c>
      <c r="CY225" s="20">
        <v>0</v>
      </c>
      <c r="DB225" s="20">
        <v>0</v>
      </c>
      <c r="DD225" s="20">
        <v>0</v>
      </c>
      <c r="DE225" s="20">
        <v>0</v>
      </c>
      <c r="DF225" s="20">
        <v>0</v>
      </c>
      <c r="DG225" s="20">
        <v>0</v>
      </c>
      <c r="DH225" s="20">
        <v>0</v>
      </c>
      <c r="DI225" s="20" t="b">
        <v>0</v>
      </c>
      <c r="DK225" s="20">
        <v>0</v>
      </c>
      <c r="DM225" s="20" t="s">
        <v>187</v>
      </c>
      <c r="DN225" s="20">
        <v>0</v>
      </c>
      <c r="DO225" s="20">
        <v>0</v>
      </c>
      <c r="DP225" s="20">
        <v>0</v>
      </c>
    </row>
    <row r="226" spans="2:120">
      <c r="B226" s="20" cm="1">
        <f t="array" ref="B226">10000000+INDEX(编号表!$B$1:$B$112,MATCH(D226,编号表!$A$1:$A$112,0))*10000+I226</f>
        <v>10720006</v>
      </c>
      <c r="C226" s="20" t="s">
        <v>248</v>
      </c>
      <c r="D226" s="20" t="s">
        <v>248</v>
      </c>
      <c r="E226" s="20" t="s">
        <v>214</v>
      </c>
      <c r="F226" s="20" t="s">
        <v>249</v>
      </c>
      <c r="G226" s="20">
        <v>1</v>
      </c>
      <c r="H226" s="20" t="b">
        <v>0</v>
      </c>
      <c r="I226" s="20">
        <v>6</v>
      </c>
      <c r="J226" s="20">
        <v>107200</v>
      </c>
      <c r="K226" s="20" t="s">
        <v>177</v>
      </c>
      <c r="L226" s="20">
        <v>10720005</v>
      </c>
      <c r="M226" s="20">
        <v>10720007</v>
      </c>
      <c r="N226" s="20" t="s">
        <v>250</v>
      </c>
      <c r="O226" s="20">
        <v>0</v>
      </c>
      <c r="P226" s="20">
        <v>0</v>
      </c>
      <c r="Q226" s="20">
        <v>0</v>
      </c>
      <c r="R226" s="20">
        <v>1</v>
      </c>
      <c r="T226" s="20">
        <v>100</v>
      </c>
      <c r="AO226" s="20" t="s">
        <v>194</v>
      </c>
      <c r="AP226" s="20">
        <v>0</v>
      </c>
      <c r="CV226" s="20">
        <v>0</v>
      </c>
      <c r="CW226" s="20">
        <v>0</v>
      </c>
      <c r="CX226" s="20" t="s">
        <v>194</v>
      </c>
      <c r="CY226" s="20">
        <v>0</v>
      </c>
      <c r="DB226" s="20">
        <v>0</v>
      </c>
      <c r="DD226" s="20">
        <v>0</v>
      </c>
      <c r="DE226" s="20">
        <v>0</v>
      </c>
      <c r="DF226" s="20">
        <v>0</v>
      </c>
      <c r="DG226" s="20">
        <v>0</v>
      </c>
      <c r="DH226" s="20">
        <v>0</v>
      </c>
      <c r="DI226" s="20" t="b">
        <v>0</v>
      </c>
      <c r="DK226" s="20">
        <v>0</v>
      </c>
      <c r="DM226" s="20" t="s">
        <v>187</v>
      </c>
      <c r="DN226" s="20">
        <v>0</v>
      </c>
      <c r="DO226" s="20">
        <v>0</v>
      </c>
      <c r="DP226" s="20">
        <v>0</v>
      </c>
    </row>
    <row r="227" spans="2:120">
      <c r="B227" s="20" cm="1">
        <f t="array" ref="B227">10000000+INDEX(编号表!$B$1:$B$112,MATCH(D227,编号表!$A$1:$A$112,0))*10000+I227</f>
        <v>10720007</v>
      </c>
      <c r="C227" s="20" t="s">
        <v>248</v>
      </c>
      <c r="D227" s="20" t="s">
        <v>248</v>
      </c>
      <c r="E227" s="20" t="s">
        <v>214</v>
      </c>
      <c r="F227" s="20" t="s">
        <v>249</v>
      </c>
      <c r="G227" s="20">
        <v>1</v>
      </c>
      <c r="H227" s="20" t="b">
        <v>0</v>
      </c>
      <c r="I227" s="20">
        <v>7</v>
      </c>
      <c r="J227" s="20">
        <v>107200</v>
      </c>
      <c r="K227" s="20" t="s">
        <v>177</v>
      </c>
      <c r="L227" s="20">
        <v>10720006</v>
      </c>
      <c r="M227" s="20">
        <v>10720008</v>
      </c>
      <c r="N227" s="20" t="s">
        <v>250</v>
      </c>
      <c r="O227" s="20">
        <v>0</v>
      </c>
      <c r="P227" s="20">
        <v>0</v>
      </c>
      <c r="Q227" s="20">
        <v>0</v>
      </c>
      <c r="R227" s="20">
        <v>1</v>
      </c>
      <c r="T227" s="20">
        <v>100</v>
      </c>
      <c r="AO227" s="20" t="s">
        <v>194</v>
      </c>
      <c r="AP227" s="20">
        <v>0</v>
      </c>
      <c r="CV227" s="20">
        <v>0</v>
      </c>
      <c r="CW227" s="20">
        <v>0</v>
      </c>
      <c r="CX227" s="20" t="s">
        <v>194</v>
      </c>
      <c r="CY227" s="20">
        <v>0</v>
      </c>
      <c r="DB227" s="20">
        <v>0</v>
      </c>
      <c r="DD227" s="20">
        <v>0</v>
      </c>
      <c r="DE227" s="20">
        <v>0</v>
      </c>
      <c r="DF227" s="20">
        <v>0</v>
      </c>
      <c r="DG227" s="20">
        <v>0</v>
      </c>
      <c r="DH227" s="20">
        <v>0</v>
      </c>
      <c r="DI227" s="20" t="b">
        <v>0</v>
      </c>
      <c r="DK227" s="20">
        <v>0</v>
      </c>
      <c r="DM227" s="20" t="s">
        <v>187</v>
      </c>
      <c r="DN227" s="20">
        <v>0</v>
      </c>
      <c r="DO227" s="20">
        <v>0</v>
      </c>
      <c r="DP227" s="20">
        <v>0</v>
      </c>
    </row>
    <row r="228" spans="2:120">
      <c r="B228" s="20" cm="1">
        <f t="array" ref="B228">10000000+INDEX(编号表!$B$1:$B$112,MATCH(D228,编号表!$A$1:$A$112,0))*10000+I228</f>
        <v>10720008</v>
      </c>
      <c r="C228" s="20" t="s">
        <v>248</v>
      </c>
      <c r="D228" s="20" t="s">
        <v>248</v>
      </c>
      <c r="E228" s="20" t="s">
        <v>214</v>
      </c>
      <c r="F228" s="20" t="s">
        <v>249</v>
      </c>
      <c r="G228" s="20">
        <v>1</v>
      </c>
      <c r="H228" s="20" t="b">
        <v>0</v>
      </c>
      <c r="I228" s="20">
        <v>8</v>
      </c>
      <c r="J228" s="20">
        <v>107200</v>
      </c>
      <c r="K228" s="20" t="s">
        <v>177</v>
      </c>
      <c r="L228" s="20">
        <v>10720007</v>
      </c>
      <c r="M228" s="20">
        <v>10720009</v>
      </c>
      <c r="N228" s="20" t="s">
        <v>250</v>
      </c>
      <c r="O228" s="20">
        <v>0</v>
      </c>
      <c r="P228" s="20">
        <v>0</v>
      </c>
      <c r="Q228" s="20">
        <v>0</v>
      </c>
      <c r="R228" s="20">
        <v>1</v>
      </c>
      <c r="T228" s="20">
        <v>100</v>
      </c>
      <c r="AO228" s="20" t="s">
        <v>194</v>
      </c>
      <c r="AP228" s="20">
        <v>0</v>
      </c>
      <c r="CV228" s="20">
        <v>0</v>
      </c>
      <c r="CW228" s="20">
        <v>0</v>
      </c>
      <c r="CX228" s="20" t="s">
        <v>194</v>
      </c>
      <c r="CY228" s="20">
        <v>0</v>
      </c>
      <c r="DB228" s="20">
        <v>0</v>
      </c>
      <c r="DD228" s="20">
        <v>0</v>
      </c>
      <c r="DE228" s="20">
        <v>0</v>
      </c>
      <c r="DF228" s="20">
        <v>0</v>
      </c>
      <c r="DG228" s="20">
        <v>0</v>
      </c>
      <c r="DH228" s="20">
        <v>0</v>
      </c>
      <c r="DI228" s="20" t="b">
        <v>0</v>
      </c>
      <c r="DK228" s="20">
        <v>0</v>
      </c>
      <c r="DM228" s="20" t="s">
        <v>187</v>
      </c>
      <c r="DN228" s="20">
        <v>0</v>
      </c>
      <c r="DO228" s="20">
        <v>0</v>
      </c>
      <c r="DP228" s="20">
        <v>0</v>
      </c>
    </row>
    <row r="229" spans="2:120">
      <c r="B229" s="20" cm="1">
        <f t="array" ref="B229">10000000+INDEX(编号表!$B$1:$B$112,MATCH(D229,编号表!$A$1:$A$112,0))*10000+I229</f>
        <v>10720009</v>
      </c>
      <c r="C229" s="20" t="s">
        <v>248</v>
      </c>
      <c r="D229" s="20" t="s">
        <v>248</v>
      </c>
      <c r="E229" s="20" t="s">
        <v>214</v>
      </c>
      <c r="F229" s="20" t="s">
        <v>249</v>
      </c>
      <c r="G229" s="20">
        <v>1</v>
      </c>
      <c r="H229" s="20" t="b">
        <v>0</v>
      </c>
      <c r="I229" s="20">
        <v>9</v>
      </c>
      <c r="J229" s="20">
        <v>107200</v>
      </c>
      <c r="K229" s="20" t="s">
        <v>177</v>
      </c>
      <c r="L229" s="20">
        <v>10720008</v>
      </c>
      <c r="M229" s="20">
        <v>10720010</v>
      </c>
      <c r="N229" s="20" t="s">
        <v>250</v>
      </c>
      <c r="O229" s="20">
        <v>0</v>
      </c>
      <c r="P229" s="20">
        <v>0</v>
      </c>
      <c r="Q229" s="20">
        <v>0</v>
      </c>
      <c r="R229" s="20">
        <v>1</v>
      </c>
      <c r="T229" s="20">
        <v>100</v>
      </c>
      <c r="AO229" s="20" t="s">
        <v>194</v>
      </c>
      <c r="AP229" s="20">
        <v>0</v>
      </c>
      <c r="CV229" s="20">
        <v>0</v>
      </c>
      <c r="CW229" s="20">
        <v>0</v>
      </c>
      <c r="CX229" s="20" t="s">
        <v>194</v>
      </c>
      <c r="CY229" s="20">
        <v>0</v>
      </c>
      <c r="DB229" s="20">
        <v>0</v>
      </c>
      <c r="DD229" s="20">
        <v>0</v>
      </c>
      <c r="DE229" s="20">
        <v>0</v>
      </c>
      <c r="DF229" s="20">
        <v>0</v>
      </c>
      <c r="DG229" s="20">
        <v>0</v>
      </c>
      <c r="DH229" s="20">
        <v>0</v>
      </c>
      <c r="DI229" s="20" t="b">
        <v>0</v>
      </c>
      <c r="DK229" s="20">
        <v>0</v>
      </c>
      <c r="DM229" s="20" t="s">
        <v>187</v>
      </c>
      <c r="DN229" s="20">
        <v>0</v>
      </c>
      <c r="DO229" s="20">
        <v>0</v>
      </c>
      <c r="DP229" s="20">
        <v>0</v>
      </c>
    </row>
    <row r="230" spans="2:120">
      <c r="B230" s="20" cm="1">
        <f t="array" ref="B230">10000000+INDEX(编号表!$B$1:$B$112,MATCH(D230,编号表!$A$1:$A$112,0))*10000+I230</f>
        <v>10720010</v>
      </c>
      <c r="C230" s="20" t="s">
        <v>248</v>
      </c>
      <c r="D230" s="20" t="s">
        <v>248</v>
      </c>
      <c r="E230" s="20" t="s">
        <v>214</v>
      </c>
      <c r="F230" s="20" t="s">
        <v>249</v>
      </c>
      <c r="G230" s="20">
        <v>1</v>
      </c>
      <c r="H230" s="20" t="b">
        <v>0</v>
      </c>
      <c r="I230" s="20">
        <v>10</v>
      </c>
      <c r="J230" s="20">
        <v>107200</v>
      </c>
      <c r="K230" s="20" t="s">
        <v>177</v>
      </c>
      <c r="L230" s="20">
        <v>10720009</v>
      </c>
      <c r="N230" s="20" t="s">
        <v>250</v>
      </c>
      <c r="O230" s="20">
        <v>0</v>
      </c>
      <c r="P230" s="20">
        <v>0</v>
      </c>
      <c r="Q230" s="20">
        <v>0</v>
      </c>
      <c r="R230" s="20">
        <v>1</v>
      </c>
      <c r="T230" s="20">
        <v>100</v>
      </c>
      <c r="AO230" s="20" t="s">
        <v>194</v>
      </c>
      <c r="AP230" s="20">
        <v>0</v>
      </c>
      <c r="CV230" s="20">
        <v>0</v>
      </c>
      <c r="CW230" s="20">
        <v>0</v>
      </c>
      <c r="CX230" s="20" t="s">
        <v>194</v>
      </c>
      <c r="CY230" s="20">
        <v>0</v>
      </c>
      <c r="DB230" s="20">
        <v>0</v>
      </c>
      <c r="DD230" s="20">
        <v>0</v>
      </c>
      <c r="DE230" s="20">
        <v>0</v>
      </c>
      <c r="DF230" s="20">
        <v>0</v>
      </c>
      <c r="DG230" s="20">
        <v>0</v>
      </c>
      <c r="DH230" s="20">
        <v>0</v>
      </c>
      <c r="DI230" s="20" t="b">
        <v>0</v>
      </c>
      <c r="DK230" s="20">
        <v>0</v>
      </c>
      <c r="DM230" s="20" t="s">
        <v>187</v>
      </c>
      <c r="DN230" s="20">
        <v>0</v>
      </c>
      <c r="DO230" s="20">
        <v>0</v>
      </c>
      <c r="DP230" s="20">
        <v>0</v>
      </c>
    </row>
    <row r="231" spans="2:120">
      <c r="B231" s="20" cm="1">
        <f t="array" ref="B231">10000000+INDEX(编号表!$B$1:$B$112,MATCH(D231,编号表!$A$1:$A$112,0))*10000+I231</f>
        <v>10730001</v>
      </c>
      <c r="C231" s="20" t="s">
        <v>251</v>
      </c>
      <c r="D231" s="20" t="s">
        <v>251</v>
      </c>
      <c r="E231" s="20" t="s">
        <v>214</v>
      </c>
      <c r="F231" s="20" t="s">
        <v>252</v>
      </c>
      <c r="G231" s="20">
        <v>1</v>
      </c>
      <c r="H231" s="20" t="b">
        <v>0</v>
      </c>
      <c r="I231" s="20">
        <v>1</v>
      </c>
      <c r="J231" s="20">
        <v>107300</v>
      </c>
      <c r="K231" s="20" t="s">
        <v>177</v>
      </c>
      <c r="M231" s="20">
        <v>10730002</v>
      </c>
      <c r="N231" s="20" t="s">
        <v>253</v>
      </c>
      <c r="O231" s="20">
        <v>0</v>
      </c>
      <c r="P231" s="20">
        <v>0</v>
      </c>
      <c r="Q231" s="20">
        <v>0</v>
      </c>
      <c r="R231" s="20">
        <v>1</v>
      </c>
      <c r="T231" s="20">
        <v>100</v>
      </c>
      <c r="AO231" s="20" t="s">
        <v>194</v>
      </c>
      <c r="AP231" s="20">
        <v>0</v>
      </c>
      <c r="CV231" s="20">
        <v>0</v>
      </c>
      <c r="CW231" s="20">
        <v>0</v>
      </c>
      <c r="CX231" s="20" t="s">
        <v>194</v>
      </c>
      <c r="CY231" s="20">
        <v>0</v>
      </c>
      <c r="DB231" s="20">
        <v>0</v>
      </c>
      <c r="DD231" s="20">
        <v>0</v>
      </c>
      <c r="DE231" s="20">
        <v>0</v>
      </c>
      <c r="DF231" s="20">
        <v>0</v>
      </c>
      <c r="DG231" s="20">
        <v>0</v>
      </c>
      <c r="DH231" s="20">
        <v>0</v>
      </c>
      <c r="DI231" s="20" t="b">
        <v>0</v>
      </c>
      <c r="DK231" s="20">
        <v>0</v>
      </c>
      <c r="DM231" s="20" t="s">
        <v>187</v>
      </c>
      <c r="DN231" s="20">
        <v>0</v>
      </c>
      <c r="DO231" s="20">
        <v>0</v>
      </c>
      <c r="DP231" s="20">
        <v>0</v>
      </c>
    </row>
    <row r="232" spans="2:120">
      <c r="B232" s="20" cm="1">
        <f t="array" ref="B232">10000000+INDEX(编号表!$B$1:$B$112,MATCH(D232,编号表!$A$1:$A$112,0))*10000+I232</f>
        <v>10730002</v>
      </c>
      <c r="C232" s="20" t="s">
        <v>251</v>
      </c>
      <c r="D232" s="20" t="s">
        <v>251</v>
      </c>
      <c r="E232" s="20" t="s">
        <v>214</v>
      </c>
      <c r="F232" s="20" t="s">
        <v>252</v>
      </c>
      <c r="G232" s="20">
        <v>1</v>
      </c>
      <c r="H232" s="20" t="b">
        <v>0</v>
      </c>
      <c r="I232" s="20">
        <v>2</v>
      </c>
      <c r="J232" s="20">
        <v>107300</v>
      </c>
      <c r="K232" s="20" t="s">
        <v>177</v>
      </c>
      <c r="L232" s="20">
        <v>10730001</v>
      </c>
      <c r="M232" s="20">
        <v>10730003</v>
      </c>
      <c r="N232" s="20" t="s">
        <v>253</v>
      </c>
      <c r="O232" s="20">
        <v>0</v>
      </c>
      <c r="P232" s="20">
        <v>0</v>
      </c>
      <c r="Q232" s="20">
        <v>0</v>
      </c>
      <c r="R232" s="20">
        <v>1</v>
      </c>
      <c r="T232" s="20">
        <v>100</v>
      </c>
      <c r="AO232" s="20" t="s">
        <v>194</v>
      </c>
      <c r="AP232" s="20">
        <v>0</v>
      </c>
      <c r="CV232" s="20">
        <v>0</v>
      </c>
      <c r="CW232" s="20">
        <v>0</v>
      </c>
      <c r="CX232" s="20" t="s">
        <v>194</v>
      </c>
      <c r="CY232" s="20">
        <v>0</v>
      </c>
      <c r="DB232" s="20">
        <v>0</v>
      </c>
      <c r="DD232" s="20">
        <v>0</v>
      </c>
      <c r="DE232" s="20">
        <v>0</v>
      </c>
      <c r="DF232" s="20">
        <v>0</v>
      </c>
      <c r="DG232" s="20">
        <v>0</v>
      </c>
      <c r="DH232" s="20">
        <v>0</v>
      </c>
      <c r="DI232" s="20" t="b">
        <v>0</v>
      </c>
      <c r="DK232" s="20">
        <v>0</v>
      </c>
      <c r="DM232" s="20" t="s">
        <v>187</v>
      </c>
      <c r="DN232" s="20">
        <v>0</v>
      </c>
      <c r="DO232" s="20">
        <v>0</v>
      </c>
      <c r="DP232" s="20">
        <v>0</v>
      </c>
    </row>
    <row r="233" spans="2:120">
      <c r="B233" s="20" cm="1">
        <f t="array" ref="B233">10000000+INDEX(编号表!$B$1:$B$112,MATCH(D233,编号表!$A$1:$A$112,0))*10000+I233</f>
        <v>10730003</v>
      </c>
      <c r="C233" s="20" t="s">
        <v>251</v>
      </c>
      <c r="D233" s="20" t="s">
        <v>251</v>
      </c>
      <c r="E233" s="20" t="s">
        <v>214</v>
      </c>
      <c r="F233" s="20" t="s">
        <v>252</v>
      </c>
      <c r="G233" s="20">
        <v>1</v>
      </c>
      <c r="H233" s="20" t="b">
        <v>0</v>
      </c>
      <c r="I233" s="20">
        <v>3</v>
      </c>
      <c r="J233" s="20">
        <v>107300</v>
      </c>
      <c r="K233" s="20" t="s">
        <v>177</v>
      </c>
      <c r="L233" s="20">
        <v>10730002</v>
      </c>
      <c r="M233" s="20">
        <v>10730004</v>
      </c>
      <c r="N233" s="20" t="s">
        <v>253</v>
      </c>
      <c r="O233" s="20">
        <v>0</v>
      </c>
      <c r="P233" s="20">
        <v>0</v>
      </c>
      <c r="Q233" s="20">
        <v>0</v>
      </c>
      <c r="R233" s="20">
        <v>1</v>
      </c>
      <c r="T233" s="20">
        <v>100</v>
      </c>
      <c r="AO233" s="20" t="s">
        <v>194</v>
      </c>
      <c r="AP233" s="20">
        <v>0</v>
      </c>
      <c r="CV233" s="20">
        <v>0</v>
      </c>
      <c r="CW233" s="20">
        <v>0</v>
      </c>
      <c r="CX233" s="20" t="s">
        <v>194</v>
      </c>
      <c r="CY233" s="20">
        <v>0</v>
      </c>
      <c r="DB233" s="20">
        <v>0</v>
      </c>
      <c r="DD233" s="20">
        <v>0</v>
      </c>
      <c r="DE233" s="20">
        <v>0</v>
      </c>
      <c r="DF233" s="20">
        <v>0</v>
      </c>
      <c r="DG233" s="20">
        <v>0</v>
      </c>
      <c r="DH233" s="20">
        <v>0</v>
      </c>
      <c r="DI233" s="20" t="b">
        <v>0</v>
      </c>
      <c r="DK233" s="20">
        <v>0</v>
      </c>
      <c r="DM233" s="20" t="s">
        <v>187</v>
      </c>
      <c r="DN233" s="20">
        <v>0</v>
      </c>
      <c r="DO233" s="20">
        <v>0</v>
      </c>
      <c r="DP233" s="20">
        <v>0</v>
      </c>
    </row>
    <row r="234" spans="2:120">
      <c r="B234" s="20" cm="1">
        <f t="array" ref="B234">10000000+INDEX(编号表!$B$1:$B$112,MATCH(D234,编号表!$A$1:$A$112,0))*10000+I234</f>
        <v>10730004</v>
      </c>
      <c r="C234" s="20" t="s">
        <v>251</v>
      </c>
      <c r="D234" s="20" t="s">
        <v>251</v>
      </c>
      <c r="E234" s="20" t="s">
        <v>214</v>
      </c>
      <c r="F234" s="20" t="s">
        <v>252</v>
      </c>
      <c r="G234" s="20">
        <v>1</v>
      </c>
      <c r="H234" s="20" t="b">
        <v>0</v>
      </c>
      <c r="I234" s="20">
        <v>4</v>
      </c>
      <c r="J234" s="20">
        <v>107300</v>
      </c>
      <c r="K234" s="20" t="s">
        <v>177</v>
      </c>
      <c r="L234" s="20">
        <v>10730003</v>
      </c>
      <c r="M234" s="20">
        <v>10730005</v>
      </c>
      <c r="N234" s="20" t="s">
        <v>253</v>
      </c>
      <c r="O234" s="20">
        <v>0</v>
      </c>
      <c r="P234" s="20">
        <v>0</v>
      </c>
      <c r="Q234" s="20">
        <v>0</v>
      </c>
      <c r="R234" s="20">
        <v>1</v>
      </c>
      <c r="T234" s="20">
        <v>100</v>
      </c>
      <c r="AO234" s="20" t="s">
        <v>194</v>
      </c>
      <c r="AP234" s="20">
        <v>0</v>
      </c>
      <c r="CV234" s="20">
        <v>0</v>
      </c>
      <c r="CW234" s="20">
        <v>0</v>
      </c>
      <c r="CX234" s="20" t="s">
        <v>194</v>
      </c>
      <c r="CY234" s="20">
        <v>0</v>
      </c>
      <c r="DB234" s="20">
        <v>0</v>
      </c>
      <c r="DD234" s="20">
        <v>0</v>
      </c>
      <c r="DE234" s="20">
        <v>0</v>
      </c>
      <c r="DF234" s="20">
        <v>0</v>
      </c>
      <c r="DG234" s="20">
        <v>0</v>
      </c>
      <c r="DH234" s="20">
        <v>0</v>
      </c>
      <c r="DI234" s="20" t="b">
        <v>0</v>
      </c>
      <c r="DK234" s="20">
        <v>0</v>
      </c>
      <c r="DM234" s="20" t="s">
        <v>187</v>
      </c>
      <c r="DN234" s="20">
        <v>0</v>
      </c>
      <c r="DO234" s="20">
        <v>0</v>
      </c>
      <c r="DP234" s="20">
        <v>0</v>
      </c>
    </row>
    <row r="235" spans="2:120">
      <c r="B235" s="20" cm="1">
        <f t="array" ref="B235">10000000+INDEX(编号表!$B$1:$B$112,MATCH(D235,编号表!$A$1:$A$112,0))*10000+I235</f>
        <v>10730005</v>
      </c>
      <c r="C235" s="20" t="s">
        <v>251</v>
      </c>
      <c r="D235" s="20" t="s">
        <v>251</v>
      </c>
      <c r="E235" s="20" t="s">
        <v>214</v>
      </c>
      <c r="F235" s="20" t="s">
        <v>252</v>
      </c>
      <c r="G235" s="20">
        <v>1</v>
      </c>
      <c r="H235" s="20" t="b">
        <v>0</v>
      </c>
      <c r="I235" s="20">
        <v>5</v>
      </c>
      <c r="J235" s="20">
        <v>107300</v>
      </c>
      <c r="K235" s="20" t="s">
        <v>177</v>
      </c>
      <c r="L235" s="20">
        <v>10730004</v>
      </c>
      <c r="M235" s="20">
        <v>10730006</v>
      </c>
      <c r="N235" s="20" t="s">
        <v>253</v>
      </c>
      <c r="O235" s="20">
        <v>0</v>
      </c>
      <c r="P235" s="20">
        <v>0</v>
      </c>
      <c r="Q235" s="20">
        <v>0</v>
      </c>
      <c r="R235" s="20">
        <v>1</v>
      </c>
      <c r="T235" s="20">
        <v>100</v>
      </c>
      <c r="AO235" s="20" t="s">
        <v>194</v>
      </c>
      <c r="AP235" s="20">
        <v>0</v>
      </c>
      <c r="CV235" s="20">
        <v>0</v>
      </c>
      <c r="CW235" s="20">
        <v>0</v>
      </c>
      <c r="CX235" s="20" t="s">
        <v>194</v>
      </c>
      <c r="CY235" s="20">
        <v>0</v>
      </c>
      <c r="DB235" s="20">
        <v>0</v>
      </c>
      <c r="DD235" s="20">
        <v>0</v>
      </c>
      <c r="DE235" s="20">
        <v>0</v>
      </c>
      <c r="DF235" s="20">
        <v>0</v>
      </c>
      <c r="DG235" s="20">
        <v>0</v>
      </c>
      <c r="DH235" s="20">
        <v>0</v>
      </c>
      <c r="DI235" s="20" t="b">
        <v>0</v>
      </c>
      <c r="DK235" s="20">
        <v>0</v>
      </c>
      <c r="DM235" s="20" t="s">
        <v>187</v>
      </c>
      <c r="DN235" s="20">
        <v>0</v>
      </c>
      <c r="DO235" s="20">
        <v>0</v>
      </c>
      <c r="DP235" s="20">
        <v>0</v>
      </c>
    </row>
    <row r="236" spans="2:120">
      <c r="B236" s="20" cm="1">
        <f t="array" ref="B236">10000000+INDEX(编号表!$B$1:$B$112,MATCH(D236,编号表!$A$1:$A$112,0))*10000+I236</f>
        <v>10730006</v>
      </c>
      <c r="C236" s="20" t="s">
        <v>251</v>
      </c>
      <c r="D236" s="20" t="s">
        <v>251</v>
      </c>
      <c r="E236" s="20" t="s">
        <v>214</v>
      </c>
      <c r="F236" s="20" t="s">
        <v>252</v>
      </c>
      <c r="G236" s="20">
        <v>1</v>
      </c>
      <c r="H236" s="20" t="b">
        <v>0</v>
      </c>
      <c r="I236" s="20">
        <v>6</v>
      </c>
      <c r="J236" s="20">
        <v>107300</v>
      </c>
      <c r="K236" s="20" t="s">
        <v>177</v>
      </c>
      <c r="L236" s="20">
        <v>10730005</v>
      </c>
      <c r="M236" s="20">
        <v>10730007</v>
      </c>
      <c r="N236" s="20" t="s">
        <v>253</v>
      </c>
      <c r="O236" s="20">
        <v>0</v>
      </c>
      <c r="P236" s="20">
        <v>0</v>
      </c>
      <c r="Q236" s="20">
        <v>0</v>
      </c>
      <c r="R236" s="20">
        <v>1</v>
      </c>
      <c r="T236" s="20">
        <v>100</v>
      </c>
      <c r="AO236" s="20" t="s">
        <v>194</v>
      </c>
      <c r="AP236" s="20">
        <v>0</v>
      </c>
      <c r="CV236" s="20">
        <v>0</v>
      </c>
      <c r="CW236" s="20">
        <v>0</v>
      </c>
      <c r="CX236" s="20" t="s">
        <v>194</v>
      </c>
      <c r="CY236" s="20">
        <v>0</v>
      </c>
      <c r="DB236" s="20">
        <v>0</v>
      </c>
      <c r="DD236" s="20">
        <v>0</v>
      </c>
      <c r="DE236" s="20">
        <v>0</v>
      </c>
      <c r="DF236" s="20">
        <v>0</v>
      </c>
      <c r="DG236" s="20">
        <v>0</v>
      </c>
      <c r="DH236" s="20">
        <v>0</v>
      </c>
      <c r="DI236" s="20" t="b">
        <v>0</v>
      </c>
      <c r="DK236" s="20">
        <v>0</v>
      </c>
      <c r="DM236" s="20" t="s">
        <v>187</v>
      </c>
      <c r="DN236" s="20">
        <v>0</v>
      </c>
      <c r="DO236" s="20">
        <v>0</v>
      </c>
      <c r="DP236" s="20">
        <v>0</v>
      </c>
    </row>
    <row r="237" spans="2:120">
      <c r="B237" s="20" cm="1">
        <f t="array" ref="B237">10000000+INDEX(编号表!$B$1:$B$112,MATCH(D237,编号表!$A$1:$A$112,0))*10000+I237</f>
        <v>10730007</v>
      </c>
      <c r="C237" s="20" t="s">
        <v>251</v>
      </c>
      <c r="D237" s="20" t="s">
        <v>251</v>
      </c>
      <c r="E237" s="20" t="s">
        <v>214</v>
      </c>
      <c r="F237" s="20" t="s">
        <v>252</v>
      </c>
      <c r="G237" s="20">
        <v>1</v>
      </c>
      <c r="H237" s="20" t="b">
        <v>0</v>
      </c>
      <c r="I237" s="20">
        <v>7</v>
      </c>
      <c r="J237" s="20">
        <v>107300</v>
      </c>
      <c r="K237" s="20" t="s">
        <v>177</v>
      </c>
      <c r="L237" s="20">
        <v>10730006</v>
      </c>
      <c r="M237" s="20">
        <v>10730008</v>
      </c>
      <c r="N237" s="20" t="s">
        <v>253</v>
      </c>
      <c r="O237" s="20">
        <v>0</v>
      </c>
      <c r="P237" s="20">
        <v>0</v>
      </c>
      <c r="Q237" s="20">
        <v>0</v>
      </c>
      <c r="R237" s="20">
        <v>1</v>
      </c>
      <c r="T237" s="20">
        <v>100</v>
      </c>
      <c r="AO237" s="20" t="s">
        <v>194</v>
      </c>
      <c r="AP237" s="20">
        <v>0</v>
      </c>
      <c r="CV237" s="20">
        <v>0</v>
      </c>
      <c r="CW237" s="20">
        <v>0</v>
      </c>
      <c r="CX237" s="20" t="s">
        <v>194</v>
      </c>
      <c r="CY237" s="20">
        <v>0</v>
      </c>
      <c r="DB237" s="20">
        <v>0</v>
      </c>
      <c r="DD237" s="20">
        <v>0</v>
      </c>
      <c r="DE237" s="20">
        <v>0</v>
      </c>
      <c r="DF237" s="20">
        <v>0</v>
      </c>
      <c r="DG237" s="20">
        <v>0</v>
      </c>
      <c r="DH237" s="20">
        <v>0</v>
      </c>
      <c r="DI237" s="20" t="b">
        <v>0</v>
      </c>
      <c r="DK237" s="20">
        <v>0</v>
      </c>
      <c r="DM237" s="20" t="s">
        <v>187</v>
      </c>
      <c r="DN237" s="20">
        <v>0</v>
      </c>
      <c r="DO237" s="20">
        <v>0</v>
      </c>
      <c r="DP237" s="20">
        <v>0</v>
      </c>
    </row>
    <row r="238" spans="2:120">
      <c r="B238" s="20" cm="1">
        <f t="array" ref="B238">10000000+INDEX(编号表!$B$1:$B$112,MATCH(D238,编号表!$A$1:$A$112,0))*10000+I238</f>
        <v>10730008</v>
      </c>
      <c r="C238" s="20" t="s">
        <v>251</v>
      </c>
      <c r="D238" s="20" t="s">
        <v>251</v>
      </c>
      <c r="E238" s="20" t="s">
        <v>214</v>
      </c>
      <c r="F238" s="20" t="s">
        <v>252</v>
      </c>
      <c r="G238" s="20">
        <v>1</v>
      </c>
      <c r="H238" s="20" t="b">
        <v>0</v>
      </c>
      <c r="I238" s="20">
        <v>8</v>
      </c>
      <c r="J238" s="20">
        <v>107300</v>
      </c>
      <c r="K238" s="20" t="s">
        <v>177</v>
      </c>
      <c r="L238" s="20">
        <v>10730007</v>
      </c>
      <c r="M238" s="20">
        <v>10730009</v>
      </c>
      <c r="N238" s="20" t="s">
        <v>253</v>
      </c>
      <c r="O238" s="20">
        <v>0</v>
      </c>
      <c r="P238" s="20">
        <v>0</v>
      </c>
      <c r="Q238" s="20">
        <v>0</v>
      </c>
      <c r="R238" s="20">
        <v>1</v>
      </c>
      <c r="T238" s="20">
        <v>100</v>
      </c>
      <c r="AO238" s="20" t="s">
        <v>194</v>
      </c>
      <c r="AP238" s="20">
        <v>0</v>
      </c>
      <c r="CV238" s="20">
        <v>0</v>
      </c>
      <c r="CW238" s="20">
        <v>0</v>
      </c>
      <c r="CX238" s="20" t="s">
        <v>194</v>
      </c>
      <c r="CY238" s="20">
        <v>0</v>
      </c>
      <c r="DB238" s="20">
        <v>0</v>
      </c>
      <c r="DD238" s="20">
        <v>0</v>
      </c>
      <c r="DE238" s="20">
        <v>0</v>
      </c>
      <c r="DF238" s="20">
        <v>0</v>
      </c>
      <c r="DG238" s="20">
        <v>0</v>
      </c>
      <c r="DH238" s="20">
        <v>0</v>
      </c>
      <c r="DI238" s="20" t="b">
        <v>0</v>
      </c>
      <c r="DK238" s="20">
        <v>0</v>
      </c>
      <c r="DM238" s="20" t="s">
        <v>187</v>
      </c>
      <c r="DN238" s="20">
        <v>0</v>
      </c>
      <c r="DO238" s="20">
        <v>0</v>
      </c>
      <c r="DP238" s="20">
        <v>0</v>
      </c>
    </row>
    <row r="239" spans="2:120">
      <c r="B239" s="20" cm="1">
        <f t="array" ref="B239">10000000+INDEX(编号表!$B$1:$B$112,MATCH(D239,编号表!$A$1:$A$112,0))*10000+I239</f>
        <v>10730009</v>
      </c>
      <c r="C239" s="20" t="s">
        <v>251</v>
      </c>
      <c r="D239" s="20" t="s">
        <v>251</v>
      </c>
      <c r="E239" s="20" t="s">
        <v>214</v>
      </c>
      <c r="F239" s="20" t="s">
        <v>252</v>
      </c>
      <c r="G239" s="20">
        <v>1</v>
      </c>
      <c r="H239" s="20" t="b">
        <v>0</v>
      </c>
      <c r="I239" s="20">
        <v>9</v>
      </c>
      <c r="J239" s="20">
        <v>107300</v>
      </c>
      <c r="K239" s="20" t="s">
        <v>177</v>
      </c>
      <c r="L239" s="20">
        <v>10730008</v>
      </c>
      <c r="M239" s="20">
        <v>10730010</v>
      </c>
      <c r="N239" s="20" t="s">
        <v>253</v>
      </c>
      <c r="O239" s="20">
        <v>0</v>
      </c>
      <c r="P239" s="20">
        <v>0</v>
      </c>
      <c r="Q239" s="20">
        <v>0</v>
      </c>
      <c r="R239" s="20">
        <v>1</v>
      </c>
      <c r="T239" s="20">
        <v>100</v>
      </c>
      <c r="AO239" s="20" t="s">
        <v>194</v>
      </c>
      <c r="AP239" s="20">
        <v>0</v>
      </c>
      <c r="CV239" s="20">
        <v>0</v>
      </c>
      <c r="CW239" s="20">
        <v>0</v>
      </c>
      <c r="CX239" s="20" t="s">
        <v>194</v>
      </c>
      <c r="CY239" s="20">
        <v>0</v>
      </c>
      <c r="DB239" s="20">
        <v>0</v>
      </c>
      <c r="DD239" s="20">
        <v>0</v>
      </c>
      <c r="DE239" s="20">
        <v>0</v>
      </c>
      <c r="DF239" s="20">
        <v>0</v>
      </c>
      <c r="DG239" s="20">
        <v>0</v>
      </c>
      <c r="DH239" s="20">
        <v>0</v>
      </c>
      <c r="DI239" s="20" t="b">
        <v>0</v>
      </c>
      <c r="DK239" s="20">
        <v>0</v>
      </c>
      <c r="DM239" s="20" t="s">
        <v>187</v>
      </c>
      <c r="DN239" s="20">
        <v>0</v>
      </c>
      <c r="DO239" s="20">
        <v>0</v>
      </c>
      <c r="DP239" s="20">
        <v>0</v>
      </c>
    </row>
    <row r="240" spans="2:120">
      <c r="B240" s="20" cm="1">
        <f t="array" ref="B240">10000000+INDEX(编号表!$B$1:$B$112,MATCH(D240,编号表!$A$1:$A$112,0))*10000+I240</f>
        <v>10730010</v>
      </c>
      <c r="C240" s="20" t="s">
        <v>251</v>
      </c>
      <c r="D240" s="20" t="s">
        <v>251</v>
      </c>
      <c r="E240" s="20" t="s">
        <v>214</v>
      </c>
      <c r="F240" s="20" t="s">
        <v>252</v>
      </c>
      <c r="G240" s="20">
        <v>1</v>
      </c>
      <c r="H240" s="20" t="b">
        <v>0</v>
      </c>
      <c r="I240" s="20">
        <v>10</v>
      </c>
      <c r="J240" s="20">
        <v>107300</v>
      </c>
      <c r="K240" s="20" t="s">
        <v>177</v>
      </c>
      <c r="L240" s="20">
        <v>10730009</v>
      </c>
      <c r="N240" s="20" t="s">
        <v>253</v>
      </c>
      <c r="O240" s="20">
        <v>0</v>
      </c>
      <c r="P240" s="20">
        <v>0</v>
      </c>
      <c r="Q240" s="20">
        <v>0</v>
      </c>
      <c r="R240" s="20">
        <v>1</v>
      </c>
      <c r="T240" s="20">
        <v>100</v>
      </c>
      <c r="AO240" s="20" t="s">
        <v>194</v>
      </c>
      <c r="AP240" s="20">
        <v>0</v>
      </c>
      <c r="CV240" s="20">
        <v>0</v>
      </c>
      <c r="CW240" s="20">
        <v>0</v>
      </c>
      <c r="CX240" s="20" t="s">
        <v>194</v>
      </c>
      <c r="CY240" s="20">
        <v>0</v>
      </c>
      <c r="DB240" s="20">
        <v>0</v>
      </c>
      <c r="DD240" s="20">
        <v>0</v>
      </c>
      <c r="DE240" s="20">
        <v>0</v>
      </c>
      <c r="DF240" s="20">
        <v>0</v>
      </c>
      <c r="DG240" s="20">
        <v>0</v>
      </c>
      <c r="DH240" s="20">
        <v>0</v>
      </c>
      <c r="DI240" s="20" t="b">
        <v>0</v>
      </c>
      <c r="DK240" s="20">
        <v>0</v>
      </c>
      <c r="DM240" s="20" t="s">
        <v>187</v>
      </c>
      <c r="DN240" s="20">
        <v>0</v>
      </c>
      <c r="DO240" s="20">
        <v>0</v>
      </c>
      <c r="DP240" s="20">
        <v>0</v>
      </c>
    </row>
    <row r="241" spans="2:120">
      <c r="B241" s="20" cm="1">
        <f t="array" ref="B241">10000000+INDEX(编号表!$B$1:$B$112,MATCH(D241,编号表!$A$1:$A$112,0))*10000+I241</f>
        <v>10740001</v>
      </c>
      <c r="C241" s="20" t="s">
        <v>254</v>
      </c>
      <c r="D241" s="20" t="s">
        <v>254</v>
      </c>
      <c r="E241" s="20" t="s">
        <v>214</v>
      </c>
      <c r="F241" s="20" t="s">
        <v>255</v>
      </c>
      <c r="G241" s="20">
        <v>1</v>
      </c>
      <c r="H241" s="20" t="b">
        <v>0</v>
      </c>
      <c r="I241" s="20">
        <v>1</v>
      </c>
      <c r="J241" s="20">
        <v>107400</v>
      </c>
      <c r="K241" s="20" t="s">
        <v>177</v>
      </c>
      <c r="M241" s="20">
        <v>10740002</v>
      </c>
      <c r="N241" s="20" t="s">
        <v>256</v>
      </c>
      <c r="O241" s="20">
        <v>0</v>
      </c>
      <c r="P241" s="20">
        <v>0</v>
      </c>
      <c r="Q241" s="20">
        <v>0</v>
      </c>
      <c r="R241" s="20">
        <v>1</v>
      </c>
      <c r="T241" s="20">
        <v>100</v>
      </c>
      <c r="AO241" s="20" t="s">
        <v>194</v>
      </c>
      <c r="AP241" s="20">
        <v>0</v>
      </c>
      <c r="CV241" s="20">
        <v>0</v>
      </c>
      <c r="CW241" s="20">
        <v>0</v>
      </c>
      <c r="CX241" s="20" t="s">
        <v>194</v>
      </c>
      <c r="CY241" s="20">
        <v>0</v>
      </c>
      <c r="DB241" s="20">
        <v>0</v>
      </c>
      <c r="DD241" s="20">
        <v>0</v>
      </c>
      <c r="DE241" s="20">
        <v>0</v>
      </c>
      <c r="DF241" s="20">
        <v>0</v>
      </c>
      <c r="DG241" s="20">
        <v>0</v>
      </c>
      <c r="DH241" s="20">
        <v>0</v>
      </c>
      <c r="DI241" s="20" t="b">
        <v>0</v>
      </c>
      <c r="DK241" s="20">
        <v>0</v>
      </c>
      <c r="DM241" s="20" t="s">
        <v>187</v>
      </c>
      <c r="DN241" s="20">
        <v>0</v>
      </c>
      <c r="DO241" s="20">
        <v>0</v>
      </c>
      <c r="DP241" s="20">
        <v>0</v>
      </c>
    </row>
    <row r="242" spans="2:120">
      <c r="B242" s="20" cm="1">
        <f t="array" ref="B242">10000000+INDEX(编号表!$B$1:$B$112,MATCH(D242,编号表!$A$1:$A$112,0))*10000+I242</f>
        <v>10740002</v>
      </c>
      <c r="C242" s="20" t="s">
        <v>254</v>
      </c>
      <c r="D242" s="20" t="s">
        <v>254</v>
      </c>
      <c r="E242" s="20" t="s">
        <v>214</v>
      </c>
      <c r="F242" s="20" t="s">
        <v>255</v>
      </c>
      <c r="G242" s="20">
        <v>1</v>
      </c>
      <c r="H242" s="20" t="b">
        <v>0</v>
      </c>
      <c r="I242" s="20">
        <v>2</v>
      </c>
      <c r="J242" s="20">
        <v>107400</v>
      </c>
      <c r="K242" s="20" t="s">
        <v>177</v>
      </c>
      <c r="L242" s="20">
        <v>10740001</v>
      </c>
      <c r="M242" s="20">
        <v>10740003</v>
      </c>
      <c r="N242" s="20" t="s">
        <v>256</v>
      </c>
      <c r="O242" s="20">
        <v>0</v>
      </c>
      <c r="P242" s="20">
        <v>0</v>
      </c>
      <c r="Q242" s="20">
        <v>0</v>
      </c>
      <c r="R242" s="20">
        <v>1</v>
      </c>
      <c r="T242" s="20">
        <v>100</v>
      </c>
      <c r="AO242" s="20" t="s">
        <v>194</v>
      </c>
      <c r="AP242" s="20">
        <v>0</v>
      </c>
      <c r="CV242" s="20">
        <v>0</v>
      </c>
      <c r="CW242" s="20">
        <v>0</v>
      </c>
      <c r="CX242" s="20" t="s">
        <v>194</v>
      </c>
      <c r="CY242" s="20">
        <v>0</v>
      </c>
      <c r="DB242" s="20">
        <v>0</v>
      </c>
      <c r="DD242" s="20">
        <v>0</v>
      </c>
      <c r="DE242" s="20">
        <v>0</v>
      </c>
      <c r="DF242" s="20">
        <v>0</v>
      </c>
      <c r="DG242" s="20">
        <v>0</v>
      </c>
      <c r="DH242" s="20">
        <v>0</v>
      </c>
      <c r="DI242" s="20" t="b">
        <v>0</v>
      </c>
      <c r="DK242" s="20">
        <v>0</v>
      </c>
      <c r="DM242" s="20" t="s">
        <v>187</v>
      </c>
      <c r="DN242" s="20">
        <v>0</v>
      </c>
      <c r="DO242" s="20">
        <v>0</v>
      </c>
      <c r="DP242" s="20">
        <v>0</v>
      </c>
    </row>
    <row r="243" spans="2:120">
      <c r="B243" s="20" cm="1">
        <f t="array" ref="B243">10000000+INDEX(编号表!$B$1:$B$112,MATCH(D243,编号表!$A$1:$A$112,0))*10000+I243</f>
        <v>10740003</v>
      </c>
      <c r="C243" s="20" t="s">
        <v>254</v>
      </c>
      <c r="D243" s="20" t="s">
        <v>254</v>
      </c>
      <c r="E243" s="20" t="s">
        <v>214</v>
      </c>
      <c r="F243" s="20" t="s">
        <v>255</v>
      </c>
      <c r="G243" s="20">
        <v>1</v>
      </c>
      <c r="H243" s="20" t="b">
        <v>0</v>
      </c>
      <c r="I243" s="20">
        <v>3</v>
      </c>
      <c r="J243" s="20">
        <v>107400</v>
      </c>
      <c r="K243" s="20" t="s">
        <v>177</v>
      </c>
      <c r="L243" s="20">
        <v>10740002</v>
      </c>
      <c r="M243" s="20">
        <v>10740004</v>
      </c>
      <c r="N243" s="20" t="s">
        <v>256</v>
      </c>
      <c r="O243" s="20">
        <v>0</v>
      </c>
      <c r="P243" s="20">
        <v>0</v>
      </c>
      <c r="Q243" s="20">
        <v>0</v>
      </c>
      <c r="R243" s="20">
        <v>1</v>
      </c>
      <c r="T243" s="20">
        <v>100</v>
      </c>
      <c r="AO243" s="20" t="s">
        <v>194</v>
      </c>
      <c r="AP243" s="20">
        <v>0</v>
      </c>
      <c r="CV243" s="20">
        <v>0</v>
      </c>
      <c r="CW243" s="20">
        <v>0</v>
      </c>
      <c r="CX243" s="20" t="s">
        <v>194</v>
      </c>
      <c r="CY243" s="20">
        <v>0</v>
      </c>
      <c r="DB243" s="20">
        <v>0</v>
      </c>
      <c r="DD243" s="20">
        <v>0</v>
      </c>
      <c r="DE243" s="20">
        <v>0</v>
      </c>
      <c r="DF243" s="20">
        <v>0</v>
      </c>
      <c r="DG243" s="20">
        <v>0</v>
      </c>
      <c r="DH243" s="20">
        <v>0</v>
      </c>
      <c r="DI243" s="20" t="b">
        <v>0</v>
      </c>
      <c r="DK243" s="20">
        <v>0</v>
      </c>
      <c r="DM243" s="20" t="s">
        <v>187</v>
      </c>
      <c r="DN243" s="20">
        <v>0</v>
      </c>
      <c r="DO243" s="20">
        <v>0</v>
      </c>
      <c r="DP243" s="20">
        <v>0</v>
      </c>
    </row>
    <row r="244" spans="2:120">
      <c r="B244" s="20" cm="1">
        <f t="array" ref="B244">10000000+INDEX(编号表!$B$1:$B$112,MATCH(D244,编号表!$A$1:$A$112,0))*10000+I244</f>
        <v>10740004</v>
      </c>
      <c r="C244" s="20" t="s">
        <v>254</v>
      </c>
      <c r="D244" s="20" t="s">
        <v>254</v>
      </c>
      <c r="E244" s="20" t="s">
        <v>214</v>
      </c>
      <c r="F244" s="20" t="s">
        <v>255</v>
      </c>
      <c r="G244" s="20">
        <v>1</v>
      </c>
      <c r="H244" s="20" t="b">
        <v>0</v>
      </c>
      <c r="I244" s="20">
        <v>4</v>
      </c>
      <c r="J244" s="20">
        <v>107400</v>
      </c>
      <c r="K244" s="20" t="s">
        <v>177</v>
      </c>
      <c r="L244" s="20">
        <v>10740003</v>
      </c>
      <c r="M244" s="20">
        <v>10740005</v>
      </c>
      <c r="N244" s="20" t="s">
        <v>256</v>
      </c>
      <c r="O244" s="20">
        <v>0</v>
      </c>
      <c r="P244" s="20">
        <v>0</v>
      </c>
      <c r="Q244" s="20">
        <v>0</v>
      </c>
      <c r="R244" s="20">
        <v>1</v>
      </c>
      <c r="T244" s="20">
        <v>100</v>
      </c>
      <c r="AO244" s="20" t="s">
        <v>194</v>
      </c>
      <c r="AP244" s="20">
        <v>0</v>
      </c>
      <c r="CV244" s="20">
        <v>0</v>
      </c>
      <c r="CW244" s="20">
        <v>0</v>
      </c>
      <c r="CX244" s="20" t="s">
        <v>194</v>
      </c>
      <c r="CY244" s="20">
        <v>0</v>
      </c>
      <c r="DB244" s="20">
        <v>0</v>
      </c>
      <c r="DD244" s="20">
        <v>0</v>
      </c>
      <c r="DE244" s="20">
        <v>0</v>
      </c>
      <c r="DF244" s="20">
        <v>0</v>
      </c>
      <c r="DG244" s="20">
        <v>0</v>
      </c>
      <c r="DH244" s="20">
        <v>0</v>
      </c>
      <c r="DI244" s="20" t="b">
        <v>0</v>
      </c>
      <c r="DK244" s="20">
        <v>0</v>
      </c>
      <c r="DM244" s="20" t="s">
        <v>187</v>
      </c>
      <c r="DN244" s="20">
        <v>0</v>
      </c>
      <c r="DO244" s="20">
        <v>0</v>
      </c>
      <c r="DP244" s="20">
        <v>0</v>
      </c>
    </row>
    <row r="245" spans="2:120">
      <c r="B245" s="20" cm="1">
        <f t="array" ref="B245">10000000+INDEX(编号表!$B$1:$B$112,MATCH(D245,编号表!$A$1:$A$112,0))*10000+I245</f>
        <v>10740005</v>
      </c>
      <c r="C245" s="20" t="s">
        <v>254</v>
      </c>
      <c r="D245" s="20" t="s">
        <v>254</v>
      </c>
      <c r="E245" s="20" t="s">
        <v>214</v>
      </c>
      <c r="F245" s="20" t="s">
        <v>255</v>
      </c>
      <c r="G245" s="20">
        <v>1</v>
      </c>
      <c r="H245" s="20" t="b">
        <v>0</v>
      </c>
      <c r="I245" s="20">
        <v>5</v>
      </c>
      <c r="J245" s="20">
        <v>107400</v>
      </c>
      <c r="K245" s="20" t="s">
        <v>177</v>
      </c>
      <c r="L245" s="20">
        <v>10740004</v>
      </c>
      <c r="M245" s="20">
        <v>10740006</v>
      </c>
      <c r="N245" s="20" t="s">
        <v>256</v>
      </c>
      <c r="O245" s="20">
        <v>0</v>
      </c>
      <c r="P245" s="20">
        <v>0</v>
      </c>
      <c r="Q245" s="20">
        <v>0</v>
      </c>
      <c r="R245" s="20">
        <v>1</v>
      </c>
      <c r="T245" s="20">
        <v>100</v>
      </c>
      <c r="AO245" s="20" t="s">
        <v>194</v>
      </c>
      <c r="AP245" s="20">
        <v>0</v>
      </c>
      <c r="CV245" s="20">
        <v>0</v>
      </c>
      <c r="CW245" s="20">
        <v>0</v>
      </c>
      <c r="CX245" s="20" t="s">
        <v>194</v>
      </c>
      <c r="CY245" s="20">
        <v>0</v>
      </c>
      <c r="DB245" s="20">
        <v>0</v>
      </c>
      <c r="DD245" s="20">
        <v>0</v>
      </c>
      <c r="DE245" s="20">
        <v>0</v>
      </c>
      <c r="DF245" s="20">
        <v>0</v>
      </c>
      <c r="DG245" s="20">
        <v>0</v>
      </c>
      <c r="DH245" s="20">
        <v>0</v>
      </c>
      <c r="DI245" s="20" t="b">
        <v>0</v>
      </c>
      <c r="DK245" s="20">
        <v>0</v>
      </c>
      <c r="DM245" s="20" t="s">
        <v>187</v>
      </c>
      <c r="DN245" s="20">
        <v>0</v>
      </c>
      <c r="DO245" s="20">
        <v>0</v>
      </c>
      <c r="DP245" s="20">
        <v>0</v>
      </c>
    </row>
    <row r="246" spans="2:120">
      <c r="B246" s="20" cm="1">
        <f t="array" ref="B246">10000000+INDEX(编号表!$B$1:$B$112,MATCH(D246,编号表!$A$1:$A$112,0))*10000+I246</f>
        <v>10740006</v>
      </c>
      <c r="C246" s="20" t="s">
        <v>254</v>
      </c>
      <c r="D246" s="20" t="s">
        <v>254</v>
      </c>
      <c r="E246" s="20" t="s">
        <v>214</v>
      </c>
      <c r="F246" s="20" t="s">
        <v>255</v>
      </c>
      <c r="G246" s="20">
        <v>1</v>
      </c>
      <c r="H246" s="20" t="b">
        <v>0</v>
      </c>
      <c r="I246" s="20">
        <v>6</v>
      </c>
      <c r="J246" s="20">
        <v>107400</v>
      </c>
      <c r="K246" s="20" t="s">
        <v>177</v>
      </c>
      <c r="L246" s="20">
        <v>10740005</v>
      </c>
      <c r="M246" s="20">
        <v>10740007</v>
      </c>
      <c r="N246" s="20" t="s">
        <v>256</v>
      </c>
      <c r="O246" s="20">
        <v>0</v>
      </c>
      <c r="P246" s="20">
        <v>0</v>
      </c>
      <c r="Q246" s="20">
        <v>0</v>
      </c>
      <c r="R246" s="20">
        <v>1</v>
      </c>
      <c r="T246" s="20">
        <v>100</v>
      </c>
      <c r="AO246" s="20" t="s">
        <v>194</v>
      </c>
      <c r="AP246" s="20">
        <v>0</v>
      </c>
      <c r="CV246" s="20">
        <v>0</v>
      </c>
      <c r="CW246" s="20">
        <v>0</v>
      </c>
      <c r="CX246" s="20" t="s">
        <v>194</v>
      </c>
      <c r="CY246" s="20">
        <v>0</v>
      </c>
      <c r="DB246" s="20">
        <v>0</v>
      </c>
      <c r="DD246" s="20">
        <v>0</v>
      </c>
      <c r="DE246" s="20">
        <v>0</v>
      </c>
      <c r="DF246" s="20">
        <v>0</v>
      </c>
      <c r="DG246" s="20">
        <v>0</v>
      </c>
      <c r="DH246" s="20">
        <v>0</v>
      </c>
      <c r="DI246" s="20" t="b">
        <v>0</v>
      </c>
      <c r="DK246" s="20">
        <v>0</v>
      </c>
      <c r="DM246" s="20" t="s">
        <v>187</v>
      </c>
      <c r="DN246" s="20">
        <v>0</v>
      </c>
      <c r="DO246" s="20">
        <v>0</v>
      </c>
      <c r="DP246" s="20">
        <v>0</v>
      </c>
    </row>
    <row r="247" spans="2:120">
      <c r="B247" s="20" cm="1">
        <f t="array" ref="B247">10000000+INDEX(编号表!$B$1:$B$112,MATCH(D247,编号表!$A$1:$A$112,0))*10000+I247</f>
        <v>10740007</v>
      </c>
      <c r="C247" s="20" t="s">
        <v>254</v>
      </c>
      <c r="D247" s="20" t="s">
        <v>254</v>
      </c>
      <c r="E247" s="20" t="s">
        <v>214</v>
      </c>
      <c r="F247" s="20" t="s">
        <v>255</v>
      </c>
      <c r="G247" s="20">
        <v>1</v>
      </c>
      <c r="H247" s="20" t="b">
        <v>0</v>
      </c>
      <c r="I247" s="20">
        <v>7</v>
      </c>
      <c r="J247" s="20">
        <v>107400</v>
      </c>
      <c r="K247" s="20" t="s">
        <v>177</v>
      </c>
      <c r="L247" s="20">
        <v>10740006</v>
      </c>
      <c r="M247" s="20">
        <v>10740008</v>
      </c>
      <c r="N247" s="20" t="s">
        <v>256</v>
      </c>
      <c r="O247" s="20">
        <v>0</v>
      </c>
      <c r="P247" s="20">
        <v>0</v>
      </c>
      <c r="Q247" s="20">
        <v>0</v>
      </c>
      <c r="R247" s="20">
        <v>1</v>
      </c>
      <c r="T247" s="20">
        <v>100</v>
      </c>
      <c r="AO247" s="20" t="s">
        <v>194</v>
      </c>
      <c r="AP247" s="20">
        <v>0</v>
      </c>
      <c r="CV247" s="20">
        <v>0</v>
      </c>
      <c r="CW247" s="20">
        <v>0</v>
      </c>
      <c r="CX247" s="20" t="s">
        <v>194</v>
      </c>
      <c r="CY247" s="20">
        <v>0</v>
      </c>
      <c r="DB247" s="20">
        <v>0</v>
      </c>
      <c r="DD247" s="20">
        <v>0</v>
      </c>
      <c r="DE247" s="20">
        <v>0</v>
      </c>
      <c r="DF247" s="20">
        <v>0</v>
      </c>
      <c r="DG247" s="20">
        <v>0</v>
      </c>
      <c r="DH247" s="20">
        <v>0</v>
      </c>
      <c r="DI247" s="20" t="b">
        <v>0</v>
      </c>
      <c r="DK247" s="20">
        <v>0</v>
      </c>
      <c r="DM247" s="20" t="s">
        <v>187</v>
      </c>
      <c r="DN247" s="20">
        <v>0</v>
      </c>
      <c r="DO247" s="20">
        <v>0</v>
      </c>
      <c r="DP247" s="20">
        <v>0</v>
      </c>
    </row>
    <row r="248" spans="2:120">
      <c r="B248" s="20" cm="1">
        <f t="array" ref="B248">10000000+INDEX(编号表!$B$1:$B$112,MATCH(D248,编号表!$A$1:$A$112,0))*10000+I248</f>
        <v>10740008</v>
      </c>
      <c r="C248" s="20" t="s">
        <v>254</v>
      </c>
      <c r="D248" s="20" t="s">
        <v>254</v>
      </c>
      <c r="E248" s="20" t="s">
        <v>214</v>
      </c>
      <c r="F248" s="20" t="s">
        <v>255</v>
      </c>
      <c r="G248" s="20">
        <v>1</v>
      </c>
      <c r="H248" s="20" t="b">
        <v>0</v>
      </c>
      <c r="I248" s="20">
        <v>8</v>
      </c>
      <c r="J248" s="20">
        <v>107400</v>
      </c>
      <c r="K248" s="20" t="s">
        <v>177</v>
      </c>
      <c r="L248" s="20">
        <v>10740007</v>
      </c>
      <c r="M248" s="20">
        <v>10740009</v>
      </c>
      <c r="N248" s="20" t="s">
        <v>256</v>
      </c>
      <c r="O248" s="20">
        <v>0</v>
      </c>
      <c r="P248" s="20">
        <v>0</v>
      </c>
      <c r="Q248" s="20">
        <v>0</v>
      </c>
      <c r="R248" s="20">
        <v>1</v>
      </c>
      <c r="T248" s="20">
        <v>100</v>
      </c>
      <c r="AO248" s="20" t="s">
        <v>194</v>
      </c>
      <c r="AP248" s="20">
        <v>0</v>
      </c>
      <c r="CV248" s="20">
        <v>0</v>
      </c>
      <c r="CW248" s="20">
        <v>0</v>
      </c>
      <c r="CX248" s="20" t="s">
        <v>194</v>
      </c>
      <c r="CY248" s="20">
        <v>0</v>
      </c>
      <c r="DB248" s="20">
        <v>0</v>
      </c>
      <c r="DD248" s="20">
        <v>0</v>
      </c>
      <c r="DE248" s="20">
        <v>0</v>
      </c>
      <c r="DF248" s="20">
        <v>0</v>
      </c>
      <c r="DG248" s="20">
        <v>0</v>
      </c>
      <c r="DH248" s="20">
        <v>0</v>
      </c>
      <c r="DI248" s="20" t="b">
        <v>0</v>
      </c>
      <c r="DK248" s="20">
        <v>0</v>
      </c>
      <c r="DM248" s="20" t="s">
        <v>187</v>
      </c>
      <c r="DN248" s="20">
        <v>0</v>
      </c>
      <c r="DO248" s="20">
        <v>0</v>
      </c>
      <c r="DP248" s="20">
        <v>0</v>
      </c>
    </row>
    <row r="249" spans="2:120">
      <c r="B249" s="20" cm="1">
        <f t="array" ref="B249">10000000+INDEX(编号表!$B$1:$B$112,MATCH(D249,编号表!$A$1:$A$112,0))*10000+I249</f>
        <v>10740009</v>
      </c>
      <c r="C249" s="20" t="s">
        <v>254</v>
      </c>
      <c r="D249" s="20" t="s">
        <v>254</v>
      </c>
      <c r="E249" s="20" t="s">
        <v>214</v>
      </c>
      <c r="F249" s="20" t="s">
        <v>255</v>
      </c>
      <c r="G249" s="20">
        <v>1</v>
      </c>
      <c r="H249" s="20" t="b">
        <v>0</v>
      </c>
      <c r="I249" s="20">
        <v>9</v>
      </c>
      <c r="J249" s="20">
        <v>107400</v>
      </c>
      <c r="K249" s="20" t="s">
        <v>177</v>
      </c>
      <c r="L249" s="20">
        <v>10740008</v>
      </c>
      <c r="M249" s="20">
        <v>10740010</v>
      </c>
      <c r="N249" s="20" t="s">
        <v>256</v>
      </c>
      <c r="O249" s="20">
        <v>0</v>
      </c>
      <c r="P249" s="20">
        <v>0</v>
      </c>
      <c r="Q249" s="20">
        <v>0</v>
      </c>
      <c r="R249" s="20">
        <v>1</v>
      </c>
      <c r="T249" s="20">
        <v>100</v>
      </c>
      <c r="AO249" s="20" t="s">
        <v>194</v>
      </c>
      <c r="AP249" s="20">
        <v>0</v>
      </c>
      <c r="CV249" s="20">
        <v>0</v>
      </c>
      <c r="CW249" s="20">
        <v>0</v>
      </c>
      <c r="CX249" s="20" t="s">
        <v>194</v>
      </c>
      <c r="CY249" s="20">
        <v>0</v>
      </c>
      <c r="DB249" s="20">
        <v>0</v>
      </c>
      <c r="DD249" s="20">
        <v>0</v>
      </c>
      <c r="DE249" s="20">
        <v>0</v>
      </c>
      <c r="DF249" s="20">
        <v>0</v>
      </c>
      <c r="DG249" s="20">
        <v>0</v>
      </c>
      <c r="DH249" s="20">
        <v>0</v>
      </c>
      <c r="DI249" s="20" t="b">
        <v>0</v>
      </c>
      <c r="DK249" s="20">
        <v>0</v>
      </c>
      <c r="DM249" s="20" t="s">
        <v>187</v>
      </c>
      <c r="DN249" s="20">
        <v>0</v>
      </c>
      <c r="DO249" s="20">
        <v>0</v>
      </c>
      <c r="DP249" s="20">
        <v>0</v>
      </c>
    </row>
    <row r="250" spans="2:120">
      <c r="B250" s="20" cm="1">
        <f t="array" ref="B250">10000000+INDEX(编号表!$B$1:$B$112,MATCH(D250,编号表!$A$1:$A$112,0))*10000+I250</f>
        <v>10740010</v>
      </c>
      <c r="C250" s="20" t="s">
        <v>254</v>
      </c>
      <c r="D250" s="20" t="s">
        <v>254</v>
      </c>
      <c r="E250" s="20" t="s">
        <v>214</v>
      </c>
      <c r="F250" s="20" t="s">
        <v>255</v>
      </c>
      <c r="G250" s="20">
        <v>1</v>
      </c>
      <c r="H250" s="20" t="b">
        <v>0</v>
      </c>
      <c r="I250" s="20">
        <v>10</v>
      </c>
      <c r="J250" s="20">
        <v>107400</v>
      </c>
      <c r="K250" s="20" t="s">
        <v>177</v>
      </c>
      <c r="L250" s="20">
        <v>10740009</v>
      </c>
      <c r="N250" s="20" t="s">
        <v>256</v>
      </c>
      <c r="O250" s="20">
        <v>0</v>
      </c>
      <c r="P250" s="20">
        <v>0</v>
      </c>
      <c r="Q250" s="20">
        <v>0</v>
      </c>
      <c r="R250" s="20">
        <v>1</v>
      </c>
      <c r="T250" s="20">
        <v>100</v>
      </c>
      <c r="AO250" s="20" t="s">
        <v>194</v>
      </c>
      <c r="AP250" s="20">
        <v>0</v>
      </c>
      <c r="CV250" s="20">
        <v>0</v>
      </c>
      <c r="CW250" s="20">
        <v>0</v>
      </c>
      <c r="CX250" s="20" t="s">
        <v>194</v>
      </c>
      <c r="CY250" s="20">
        <v>0</v>
      </c>
      <c r="DB250" s="20">
        <v>0</v>
      </c>
      <c r="DD250" s="20">
        <v>0</v>
      </c>
      <c r="DE250" s="20">
        <v>0</v>
      </c>
      <c r="DF250" s="20">
        <v>0</v>
      </c>
      <c r="DG250" s="20">
        <v>0</v>
      </c>
      <c r="DH250" s="20">
        <v>0</v>
      </c>
      <c r="DI250" s="20" t="b">
        <v>0</v>
      </c>
      <c r="DK250" s="20">
        <v>0</v>
      </c>
      <c r="DM250" s="20" t="s">
        <v>187</v>
      </c>
      <c r="DN250" s="20">
        <v>0</v>
      </c>
      <c r="DO250" s="20">
        <v>0</v>
      </c>
      <c r="DP250" s="20">
        <v>0</v>
      </c>
    </row>
    <row r="251" spans="2:120">
      <c r="B251" s="20" cm="1">
        <f t="array" ref="B251">10000000+INDEX(编号表!$B$1:$B$112,MATCH(D251,编号表!$A$1:$A$112,0))*10000+I251</f>
        <v>10750001</v>
      </c>
      <c r="C251" s="20" t="s">
        <v>257</v>
      </c>
      <c r="D251" s="20" t="s">
        <v>257</v>
      </c>
      <c r="E251" s="20" t="s">
        <v>214</v>
      </c>
      <c r="F251" s="20" t="s">
        <v>258</v>
      </c>
      <c r="G251" s="20">
        <v>1</v>
      </c>
      <c r="H251" s="20" t="b">
        <v>0</v>
      </c>
      <c r="I251" s="20">
        <v>1</v>
      </c>
      <c r="J251" s="20">
        <v>107500</v>
      </c>
      <c r="K251" s="20" t="s">
        <v>177</v>
      </c>
      <c r="M251" s="20">
        <v>10750002</v>
      </c>
      <c r="N251" s="20" t="s">
        <v>259</v>
      </c>
      <c r="O251" s="20">
        <v>0</v>
      </c>
      <c r="P251" s="20">
        <v>0</v>
      </c>
      <c r="Q251" s="20">
        <v>0</v>
      </c>
      <c r="R251" s="20">
        <v>1</v>
      </c>
      <c r="T251" s="20">
        <v>100</v>
      </c>
      <c r="AO251" s="20" t="s">
        <v>194</v>
      </c>
      <c r="AP251" s="20">
        <v>0</v>
      </c>
      <c r="CV251" s="20">
        <v>0</v>
      </c>
      <c r="CW251" s="20">
        <v>0</v>
      </c>
      <c r="CX251" s="20" t="s">
        <v>194</v>
      </c>
      <c r="CY251" s="20">
        <v>0</v>
      </c>
      <c r="DB251" s="20">
        <v>0</v>
      </c>
      <c r="DD251" s="20">
        <v>0</v>
      </c>
      <c r="DE251" s="20">
        <v>0</v>
      </c>
      <c r="DF251" s="20">
        <v>0</v>
      </c>
      <c r="DG251" s="20">
        <v>0</v>
      </c>
      <c r="DH251" s="20">
        <v>0</v>
      </c>
      <c r="DI251" s="20" t="b">
        <v>0</v>
      </c>
      <c r="DK251" s="20">
        <v>0</v>
      </c>
      <c r="DM251" s="20" t="s">
        <v>187</v>
      </c>
      <c r="DN251" s="20">
        <v>0</v>
      </c>
      <c r="DO251" s="20">
        <v>0</v>
      </c>
      <c r="DP251" s="20">
        <v>0</v>
      </c>
    </row>
    <row r="252" spans="2:120">
      <c r="B252" s="20" cm="1">
        <f t="array" ref="B252">10000000+INDEX(编号表!$B$1:$B$112,MATCH(D252,编号表!$A$1:$A$112,0))*10000+I252</f>
        <v>10750002</v>
      </c>
      <c r="C252" s="20" t="s">
        <v>257</v>
      </c>
      <c r="D252" s="20" t="s">
        <v>257</v>
      </c>
      <c r="E252" s="20" t="s">
        <v>214</v>
      </c>
      <c r="F252" s="20" t="s">
        <v>258</v>
      </c>
      <c r="G252" s="20">
        <v>1</v>
      </c>
      <c r="H252" s="20" t="b">
        <v>0</v>
      </c>
      <c r="I252" s="20">
        <v>2</v>
      </c>
      <c r="J252" s="20">
        <v>107500</v>
      </c>
      <c r="K252" s="20" t="s">
        <v>177</v>
      </c>
      <c r="L252" s="20">
        <v>10750001</v>
      </c>
      <c r="M252" s="20">
        <v>10750003</v>
      </c>
      <c r="N252" s="20" t="s">
        <v>259</v>
      </c>
      <c r="O252" s="20">
        <v>0</v>
      </c>
      <c r="P252" s="20">
        <v>0</v>
      </c>
      <c r="Q252" s="20">
        <v>0</v>
      </c>
      <c r="R252" s="20">
        <v>1</v>
      </c>
      <c r="T252" s="20">
        <v>100</v>
      </c>
      <c r="AO252" s="20" t="s">
        <v>194</v>
      </c>
      <c r="AP252" s="20">
        <v>0</v>
      </c>
      <c r="CV252" s="20">
        <v>0</v>
      </c>
      <c r="CW252" s="20">
        <v>0</v>
      </c>
      <c r="CX252" s="20" t="s">
        <v>194</v>
      </c>
      <c r="CY252" s="20">
        <v>0</v>
      </c>
      <c r="DB252" s="20">
        <v>0</v>
      </c>
      <c r="DD252" s="20">
        <v>0</v>
      </c>
      <c r="DE252" s="20">
        <v>0</v>
      </c>
      <c r="DF252" s="20">
        <v>0</v>
      </c>
      <c r="DG252" s="20">
        <v>0</v>
      </c>
      <c r="DH252" s="20">
        <v>0</v>
      </c>
      <c r="DI252" s="20" t="b">
        <v>0</v>
      </c>
      <c r="DK252" s="20">
        <v>0</v>
      </c>
      <c r="DM252" s="20" t="s">
        <v>187</v>
      </c>
      <c r="DN252" s="20">
        <v>0</v>
      </c>
      <c r="DO252" s="20">
        <v>0</v>
      </c>
      <c r="DP252" s="20">
        <v>0</v>
      </c>
    </row>
    <row r="253" spans="2:120">
      <c r="B253" s="20" cm="1">
        <f t="array" ref="B253">10000000+INDEX(编号表!$B$1:$B$112,MATCH(D253,编号表!$A$1:$A$112,0))*10000+I253</f>
        <v>10750003</v>
      </c>
      <c r="C253" s="20" t="s">
        <v>257</v>
      </c>
      <c r="D253" s="20" t="s">
        <v>257</v>
      </c>
      <c r="E253" s="20" t="s">
        <v>214</v>
      </c>
      <c r="F253" s="20" t="s">
        <v>258</v>
      </c>
      <c r="G253" s="20">
        <v>1</v>
      </c>
      <c r="H253" s="20" t="b">
        <v>0</v>
      </c>
      <c r="I253" s="20">
        <v>3</v>
      </c>
      <c r="J253" s="20">
        <v>107500</v>
      </c>
      <c r="K253" s="20" t="s">
        <v>177</v>
      </c>
      <c r="L253" s="20">
        <v>10750002</v>
      </c>
      <c r="M253" s="20">
        <v>10750004</v>
      </c>
      <c r="N253" s="20" t="s">
        <v>259</v>
      </c>
      <c r="O253" s="20">
        <v>0</v>
      </c>
      <c r="P253" s="20">
        <v>0</v>
      </c>
      <c r="Q253" s="20">
        <v>0</v>
      </c>
      <c r="R253" s="20">
        <v>1</v>
      </c>
      <c r="T253" s="20">
        <v>100</v>
      </c>
      <c r="AO253" s="20" t="s">
        <v>194</v>
      </c>
      <c r="AP253" s="20">
        <v>0</v>
      </c>
      <c r="CV253" s="20">
        <v>0</v>
      </c>
      <c r="CW253" s="20">
        <v>0</v>
      </c>
      <c r="CX253" s="20" t="s">
        <v>194</v>
      </c>
      <c r="CY253" s="20">
        <v>0</v>
      </c>
      <c r="DB253" s="20">
        <v>0</v>
      </c>
      <c r="DD253" s="20">
        <v>0</v>
      </c>
      <c r="DE253" s="20">
        <v>0</v>
      </c>
      <c r="DF253" s="20">
        <v>0</v>
      </c>
      <c r="DG253" s="20">
        <v>0</v>
      </c>
      <c r="DH253" s="20">
        <v>0</v>
      </c>
      <c r="DI253" s="20" t="b">
        <v>0</v>
      </c>
      <c r="DK253" s="20">
        <v>0</v>
      </c>
      <c r="DM253" s="20" t="s">
        <v>187</v>
      </c>
      <c r="DN253" s="20">
        <v>0</v>
      </c>
      <c r="DO253" s="20">
        <v>0</v>
      </c>
      <c r="DP253" s="20">
        <v>0</v>
      </c>
    </row>
    <row r="254" spans="2:120">
      <c r="B254" s="20" cm="1">
        <f t="array" ref="B254">10000000+INDEX(编号表!$B$1:$B$112,MATCH(D254,编号表!$A$1:$A$112,0))*10000+I254</f>
        <v>10750004</v>
      </c>
      <c r="C254" s="20" t="s">
        <v>257</v>
      </c>
      <c r="D254" s="20" t="s">
        <v>257</v>
      </c>
      <c r="E254" s="20" t="s">
        <v>214</v>
      </c>
      <c r="F254" s="20" t="s">
        <v>258</v>
      </c>
      <c r="G254" s="20">
        <v>1</v>
      </c>
      <c r="H254" s="20" t="b">
        <v>0</v>
      </c>
      <c r="I254" s="20">
        <v>4</v>
      </c>
      <c r="J254" s="20">
        <v>107500</v>
      </c>
      <c r="K254" s="20" t="s">
        <v>177</v>
      </c>
      <c r="L254" s="20">
        <v>10750003</v>
      </c>
      <c r="M254" s="20">
        <v>10750005</v>
      </c>
      <c r="N254" s="20" t="s">
        <v>259</v>
      </c>
      <c r="O254" s="20">
        <v>0</v>
      </c>
      <c r="P254" s="20">
        <v>0</v>
      </c>
      <c r="Q254" s="20">
        <v>0</v>
      </c>
      <c r="R254" s="20">
        <v>1</v>
      </c>
      <c r="T254" s="20">
        <v>100</v>
      </c>
      <c r="AO254" s="20" t="s">
        <v>194</v>
      </c>
      <c r="AP254" s="20">
        <v>0</v>
      </c>
      <c r="CV254" s="20">
        <v>0</v>
      </c>
      <c r="CW254" s="20">
        <v>0</v>
      </c>
      <c r="CX254" s="20" t="s">
        <v>194</v>
      </c>
      <c r="CY254" s="20">
        <v>0</v>
      </c>
      <c r="DB254" s="20">
        <v>0</v>
      </c>
      <c r="DD254" s="20">
        <v>0</v>
      </c>
      <c r="DE254" s="20">
        <v>0</v>
      </c>
      <c r="DF254" s="20">
        <v>0</v>
      </c>
      <c r="DG254" s="20">
        <v>0</v>
      </c>
      <c r="DH254" s="20">
        <v>0</v>
      </c>
      <c r="DI254" s="20" t="b">
        <v>0</v>
      </c>
      <c r="DK254" s="20">
        <v>0</v>
      </c>
      <c r="DM254" s="20" t="s">
        <v>187</v>
      </c>
      <c r="DN254" s="20">
        <v>0</v>
      </c>
      <c r="DO254" s="20">
        <v>0</v>
      </c>
      <c r="DP254" s="20">
        <v>0</v>
      </c>
    </row>
    <row r="255" spans="2:120">
      <c r="B255" s="20" cm="1">
        <f t="array" ref="B255">10000000+INDEX(编号表!$B$1:$B$112,MATCH(D255,编号表!$A$1:$A$112,0))*10000+I255</f>
        <v>10750005</v>
      </c>
      <c r="C255" s="20" t="s">
        <v>257</v>
      </c>
      <c r="D255" s="20" t="s">
        <v>257</v>
      </c>
      <c r="E255" s="20" t="s">
        <v>214</v>
      </c>
      <c r="F255" s="20" t="s">
        <v>258</v>
      </c>
      <c r="G255" s="20">
        <v>1</v>
      </c>
      <c r="H255" s="20" t="b">
        <v>0</v>
      </c>
      <c r="I255" s="20">
        <v>5</v>
      </c>
      <c r="J255" s="20">
        <v>107500</v>
      </c>
      <c r="K255" s="20" t="s">
        <v>177</v>
      </c>
      <c r="L255" s="20">
        <v>10750004</v>
      </c>
      <c r="M255" s="20">
        <v>10750006</v>
      </c>
      <c r="N255" s="20" t="s">
        <v>259</v>
      </c>
      <c r="O255" s="20">
        <v>0</v>
      </c>
      <c r="P255" s="20">
        <v>0</v>
      </c>
      <c r="Q255" s="20">
        <v>0</v>
      </c>
      <c r="R255" s="20">
        <v>1</v>
      </c>
      <c r="T255" s="20">
        <v>100</v>
      </c>
      <c r="AO255" s="20" t="s">
        <v>194</v>
      </c>
      <c r="AP255" s="20">
        <v>0</v>
      </c>
      <c r="CV255" s="20">
        <v>0</v>
      </c>
      <c r="CW255" s="20">
        <v>0</v>
      </c>
      <c r="CX255" s="20" t="s">
        <v>194</v>
      </c>
      <c r="CY255" s="20">
        <v>0</v>
      </c>
      <c r="DB255" s="20">
        <v>0</v>
      </c>
      <c r="DD255" s="20">
        <v>0</v>
      </c>
      <c r="DE255" s="20">
        <v>0</v>
      </c>
      <c r="DF255" s="20">
        <v>0</v>
      </c>
      <c r="DG255" s="20">
        <v>0</v>
      </c>
      <c r="DH255" s="20">
        <v>0</v>
      </c>
      <c r="DI255" s="20" t="b">
        <v>0</v>
      </c>
      <c r="DK255" s="20">
        <v>0</v>
      </c>
      <c r="DM255" s="20" t="s">
        <v>187</v>
      </c>
      <c r="DN255" s="20">
        <v>0</v>
      </c>
      <c r="DO255" s="20">
        <v>0</v>
      </c>
      <c r="DP255" s="20">
        <v>0</v>
      </c>
    </row>
    <row r="256" spans="2:120">
      <c r="B256" s="20" cm="1">
        <f t="array" ref="B256">10000000+INDEX(编号表!$B$1:$B$112,MATCH(D256,编号表!$A$1:$A$112,0))*10000+I256</f>
        <v>10750006</v>
      </c>
      <c r="C256" s="20" t="s">
        <v>257</v>
      </c>
      <c r="D256" s="20" t="s">
        <v>257</v>
      </c>
      <c r="E256" s="20" t="s">
        <v>214</v>
      </c>
      <c r="F256" s="20" t="s">
        <v>258</v>
      </c>
      <c r="G256" s="20">
        <v>1</v>
      </c>
      <c r="H256" s="20" t="b">
        <v>0</v>
      </c>
      <c r="I256" s="20">
        <v>6</v>
      </c>
      <c r="J256" s="20">
        <v>107500</v>
      </c>
      <c r="K256" s="20" t="s">
        <v>177</v>
      </c>
      <c r="L256" s="20">
        <v>10750005</v>
      </c>
      <c r="M256" s="20">
        <v>10750007</v>
      </c>
      <c r="N256" s="20" t="s">
        <v>259</v>
      </c>
      <c r="O256" s="20">
        <v>0</v>
      </c>
      <c r="P256" s="20">
        <v>0</v>
      </c>
      <c r="Q256" s="20">
        <v>0</v>
      </c>
      <c r="R256" s="20">
        <v>1</v>
      </c>
      <c r="T256" s="20">
        <v>100</v>
      </c>
      <c r="AO256" s="20" t="s">
        <v>194</v>
      </c>
      <c r="AP256" s="20">
        <v>0</v>
      </c>
      <c r="CV256" s="20">
        <v>0</v>
      </c>
      <c r="CW256" s="20">
        <v>0</v>
      </c>
      <c r="CX256" s="20" t="s">
        <v>194</v>
      </c>
      <c r="CY256" s="20">
        <v>0</v>
      </c>
      <c r="DB256" s="20">
        <v>0</v>
      </c>
      <c r="DD256" s="20">
        <v>0</v>
      </c>
      <c r="DE256" s="20">
        <v>0</v>
      </c>
      <c r="DF256" s="20">
        <v>0</v>
      </c>
      <c r="DG256" s="20">
        <v>0</v>
      </c>
      <c r="DH256" s="20">
        <v>0</v>
      </c>
      <c r="DI256" s="20" t="b">
        <v>0</v>
      </c>
      <c r="DK256" s="20">
        <v>0</v>
      </c>
      <c r="DM256" s="20" t="s">
        <v>187</v>
      </c>
      <c r="DN256" s="20">
        <v>0</v>
      </c>
      <c r="DO256" s="20">
        <v>0</v>
      </c>
      <c r="DP256" s="20">
        <v>0</v>
      </c>
    </row>
    <row r="257" spans="2:120">
      <c r="B257" s="20" cm="1">
        <f t="array" ref="B257">10000000+INDEX(编号表!$B$1:$B$112,MATCH(D257,编号表!$A$1:$A$112,0))*10000+I257</f>
        <v>10750007</v>
      </c>
      <c r="C257" s="20" t="s">
        <v>257</v>
      </c>
      <c r="D257" s="20" t="s">
        <v>257</v>
      </c>
      <c r="E257" s="20" t="s">
        <v>214</v>
      </c>
      <c r="F257" s="20" t="s">
        <v>258</v>
      </c>
      <c r="G257" s="20">
        <v>1</v>
      </c>
      <c r="H257" s="20" t="b">
        <v>0</v>
      </c>
      <c r="I257" s="20">
        <v>7</v>
      </c>
      <c r="J257" s="20">
        <v>107500</v>
      </c>
      <c r="K257" s="20" t="s">
        <v>177</v>
      </c>
      <c r="L257" s="20">
        <v>10750006</v>
      </c>
      <c r="M257" s="20">
        <v>10750008</v>
      </c>
      <c r="N257" s="20" t="s">
        <v>259</v>
      </c>
      <c r="O257" s="20">
        <v>0</v>
      </c>
      <c r="P257" s="20">
        <v>0</v>
      </c>
      <c r="Q257" s="20">
        <v>0</v>
      </c>
      <c r="R257" s="20">
        <v>1</v>
      </c>
      <c r="T257" s="20">
        <v>100</v>
      </c>
      <c r="AO257" s="20" t="s">
        <v>194</v>
      </c>
      <c r="AP257" s="20">
        <v>0</v>
      </c>
      <c r="CV257" s="20">
        <v>0</v>
      </c>
      <c r="CW257" s="20">
        <v>0</v>
      </c>
      <c r="CX257" s="20" t="s">
        <v>194</v>
      </c>
      <c r="CY257" s="20">
        <v>0</v>
      </c>
      <c r="DB257" s="20">
        <v>0</v>
      </c>
      <c r="DD257" s="20">
        <v>0</v>
      </c>
      <c r="DE257" s="20">
        <v>0</v>
      </c>
      <c r="DF257" s="20">
        <v>0</v>
      </c>
      <c r="DG257" s="20">
        <v>0</v>
      </c>
      <c r="DH257" s="20">
        <v>0</v>
      </c>
      <c r="DI257" s="20" t="b">
        <v>0</v>
      </c>
      <c r="DK257" s="20">
        <v>0</v>
      </c>
      <c r="DM257" s="20" t="s">
        <v>187</v>
      </c>
      <c r="DN257" s="20">
        <v>0</v>
      </c>
      <c r="DO257" s="20">
        <v>0</v>
      </c>
      <c r="DP257" s="20">
        <v>0</v>
      </c>
    </row>
    <row r="258" spans="2:120">
      <c r="B258" s="20" cm="1">
        <f t="array" ref="B258">10000000+INDEX(编号表!$B$1:$B$112,MATCH(D258,编号表!$A$1:$A$112,0))*10000+I258</f>
        <v>10750008</v>
      </c>
      <c r="C258" s="20" t="s">
        <v>257</v>
      </c>
      <c r="D258" s="20" t="s">
        <v>257</v>
      </c>
      <c r="E258" s="20" t="s">
        <v>214</v>
      </c>
      <c r="F258" s="20" t="s">
        <v>258</v>
      </c>
      <c r="G258" s="20">
        <v>1</v>
      </c>
      <c r="H258" s="20" t="b">
        <v>0</v>
      </c>
      <c r="I258" s="20">
        <v>8</v>
      </c>
      <c r="J258" s="20">
        <v>107500</v>
      </c>
      <c r="K258" s="20" t="s">
        <v>177</v>
      </c>
      <c r="L258" s="20">
        <v>10750007</v>
      </c>
      <c r="M258" s="20">
        <v>10750009</v>
      </c>
      <c r="N258" s="20" t="s">
        <v>259</v>
      </c>
      <c r="O258" s="20">
        <v>0</v>
      </c>
      <c r="P258" s="20">
        <v>0</v>
      </c>
      <c r="Q258" s="20">
        <v>0</v>
      </c>
      <c r="R258" s="20">
        <v>1</v>
      </c>
      <c r="T258" s="20">
        <v>100</v>
      </c>
      <c r="AO258" s="20" t="s">
        <v>194</v>
      </c>
      <c r="AP258" s="20">
        <v>0</v>
      </c>
      <c r="CV258" s="20">
        <v>0</v>
      </c>
      <c r="CW258" s="20">
        <v>0</v>
      </c>
      <c r="CX258" s="20" t="s">
        <v>194</v>
      </c>
      <c r="CY258" s="20">
        <v>0</v>
      </c>
      <c r="DB258" s="20">
        <v>0</v>
      </c>
      <c r="DD258" s="20">
        <v>0</v>
      </c>
      <c r="DE258" s="20">
        <v>0</v>
      </c>
      <c r="DF258" s="20">
        <v>0</v>
      </c>
      <c r="DG258" s="20">
        <v>0</v>
      </c>
      <c r="DH258" s="20">
        <v>0</v>
      </c>
      <c r="DI258" s="20" t="b">
        <v>0</v>
      </c>
      <c r="DK258" s="20">
        <v>0</v>
      </c>
      <c r="DM258" s="20" t="s">
        <v>187</v>
      </c>
      <c r="DN258" s="20">
        <v>0</v>
      </c>
      <c r="DO258" s="20">
        <v>0</v>
      </c>
      <c r="DP258" s="20">
        <v>0</v>
      </c>
    </row>
    <row r="259" spans="2:120">
      <c r="B259" s="20" cm="1">
        <f t="array" ref="B259">10000000+INDEX(编号表!$B$1:$B$112,MATCH(D259,编号表!$A$1:$A$112,0))*10000+I259</f>
        <v>10750009</v>
      </c>
      <c r="C259" s="20" t="s">
        <v>257</v>
      </c>
      <c r="D259" s="20" t="s">
        <v>257</v>
      </c>
      <c r="E259" s="20" t="s">
        <v>214</v>
      </c>
      <c r="F259" s="20" t="s">
        <v>258</v>
      </c>
      <c r="G259" s="20">
        <v>1</v>
      </c>
      <c r="H259" s="20" t="b">
        <v>0</v>
      </c>
      <c r="I259" s="20">
        <v>9</v>
      </c>
      <c r="J259" s="20">
        <v>107500</v>
      </c>
      <c r="K259" s="20" t="s">
        <v>177</v>
      </c>
      <c r="L259" s="20">
        <v>10750008</v>
      </c>
      <c r="M259" s="20">
        <v>10750010</v>
      </c>
      <c r="N259" s="20" t="s">
        <v>259</v>
      </c>
      <c r="O259" s="20">
        <v>0</v>
      </c>
      <c r="P259" s="20">
        <v>0</v>
      </c>
      <c r="Q259" s="20">
        <v>0</v>
      </c>
      <c r="R259" s="20">
        <v>1</v>
      </c>
      <c r="T259" s="20">
        <v>100</v>
      </c>
      <c r="AO259" s="20" t="s">
        <v>194</v>
      </c>
      <c r="AP259" s="20">
        <v>0</v>
      </c>
      <c r="CV259" s="20">
        <v>0</v>
      </c>
      <c r="CW259" s="20">
        <v>0</v>
      </c>
      <c r="CX259" s="20" t="s">
        <v>194</v>
      </c>
      <c r="CY259" s="20">
        <v>0</v>
      </c>
      <c r="DB259" s="20">
        <v>0</v>
      </c>
      <c r="DD259" s="20">
        <v>0</v>
      </c>
      <c r="DE259" s="20">
        <v>0</v>
      </c>
      <c r="DF259" s="20">
        <v>0</v>
      </c>
      <c r="DG259" s="20">
        <v>0</v>
      </c>
      <c r="DH259" s="20">
        <v>0</v>
      </c>
      <c r="DI259" s="20" t="b">
        <v>0</v>
      </c>
      <c r="DK259" s="20">
        <v>0</v>
      </c>
      <c r="DM259" s="20" t="s">
        <v>187</v>
      </c>
      <c r="DN259" s="20">
        <v>0</v>
      </c>
      <c r="DO259" s="20">
        <v>0</v>
      </c>
      <c r="DP259" s="20">
        <v>0</v>
      </c>
    </row>
    <row r="260" spans="2:120">
      <c r="B260" s="20" cm="1">
        <f t="array" ref="B260">10000000+INDEX(编号表!$B$1:$B$112,MATCH(D260,编号表!$A$1:$A$112,0))*10000+I260</f>
        <v>10750010</v>
      </c>
      <c r="C260" s="20" t="s">
        <v>257</v>
      </c>
      <c r="D260" s="20" t="s">
        <v>257</v>
      </c>
      <c r="E260" s="20" t="s">
        <v>214</v>
      </c>
      <c r="F260" s="20" t="s">
        <v>258</v>
      </c>
      <c r="G260" s="20">
        <v>1</v>
      </c>
      <c r="H260" s="20" t="b">
        <v>0</v>
      </c>
      <c r="I260" s="20">
        <v>10</v>
      </c>
      <c r="J260" s="20">
        <v>107500</v>
      </c>
      <c r="K260" s="20" t="s">
        <v>177</v>
      </c>
      <c r="L260" s="20">
        <v>10750009</v>
      </c>
      <c r="N260" s="20" t="s">
        <v>259</v>
      </c>
      <c r="O260" s="20">
        <v>0</v>
      </c>
      <c r="P260" s="20">
        <v>0</v>
      </c>
      <c r="Q260" s="20">
        <v>0</v>
      </c>
      <c r="R260" s="20">
        <v>1</v>
      </c>
      <c r="T260" s="20">
        <v>100</v>
      </c>
      <c r="AO260" s="20" t="s">
        <v>194</v>
      </c>
      <c r="AP260" s="20">
        <v>0</v>
      </c>
      <c r="CV260" s="20">
        <v>0</v>
      </c>
      <c r="CW260" s="20">
        <v>0</v>
      </c>
      <c r="CX260" s="20" t="s">
        <v>194</v>
      </c>
      <c r="CY260" s="20">
        <v>0</v>
      </c>
      <c r="DB260" s="20">
        <v>0</v>
      </c>
      <c r="DD260" s="20">
        <v>0</v>
      </c>
      <c r="DE260" s="20">
        <v>0</v>
      </c>
      <c r="DF260" s="20">
        <v>0</v>
      </c>
      <c r="DG260" s="20">
        <v>0</v>
      </c>
      <c r="DH260" s="20">
        <v>0</v>
      </c>
      <c r="DI260" s="20" t="b">
        <v>0</v>
      </c>
      <c r="DK260" s="20">
        <v>0</v>
      </c>
      <c r="DM260" s="20" t="s">
        <v>187</v>
      </c>
      <c r="DN260" s="20">
        <v>0</v>
      </c>
      <c r="DO260" s="20">
        <v>0</v>
      </c>
      <c r="DP260" s="20">
        <v>0</v>
      </c>
    </row>
    <row r="261" spans="2:120">
      <c r="B261" s="20" cm="1">
        <f t="array" ref="B261">10000000+INDEX(编号表!$B$1:$B$112,MATCH(D261,编号表!$A$1:$A$112,0))*10000+I261</f>
        <v>10760001</v>
      </c>
      <c r="C261" s="20" t="s">
        <v>260</v>
      </c>
      <c r="D261" s="20" t="s">
        <v>260</v>
      </c>
      <c r="E261" s="20" t="s">
        <v>214</v>
      </c>
      <c r="F261" s="20" t="s">
        <v>261</v>
      </c>
      <c r="G261" s="20">
        <v>1</v>
      </c>
      <c r="H261" s="20" t="b">
        <v>0</v>
      </c>
      <c r="I261" s="20">
        <v>1</v>
      </c>
      <c r="J261" s="20">
        <v>107600</v>
      </c>
      <c r="K261" s="20" t="s">
        <v>177</v>
      </c>
      <c r="M261" s="20">
        <v>10760002</v>
      </c>
      <c r="N261" s="20" t="s">
        <v>262</v>
      </c>
      <c r="O261" s="20">
        <v>0</v>
      </c>
      <c r="P261" s="20">
        <v>0</v>
      </c>
      <c r="Q261" s="20">
        <v>0</v>
      </c>
      <c r="R261" s="20">
        <v>1</v>
      </c>
      <c r="T261" s="20">
        <v>100</v>
      </c>
      <c r="AO261" s="20" t="s">
        <v>194</v>
      </c>
      <c r="AP261" s="20">
        <v>0</v>
      </c>
      <c r="CV261" s="20">
        <v>0</v>
      </c>
      <c r="CW261" s="20">
        <v>0</v>
      </c>
      <c r="CX261" s="20" t="s">
        <v>194</v>
      </c>
      <c r="CY261" s="20">
        <v>0</v>
      </c>
      <c r="DB261" s="20">
        <v>0</v>
      </c>
      <c r="DD261" s="20">
        <v>0</v>
      </c>
      <c r="DE261" s="20">
        <v>0</v>
      </c>
      <c r="DF261" s="20">
        <v>0</v>
      </c>
      <c r="DG261" s="20">
        <v>0</v>
      </c>
      <c r="DH261" s="20">
        <v>0</v>
      </c>
      <c r="DI261" s="20" t="b">
        <v>0</v>
      </c>
      <c r="DK261" s="20">
        <v>0</v>
      </c>
      <c r="DM261" s="20" t="s">
        <v>187</v>
      </c>
      <c r="DN261" s="20">
        <v>0</v>
      </c>
      <c r="DO261" s="20">
        <v>0</v>
      </c>
      <c r="DP261" s="20">
        <v>0</v>
      </c>
    </row>
    <row r="262" spans="2:120">
      <c r="B262" s="20" cm="1">
        <f t="array" ref="B262">10000000+INDEX(编号表!$B$1:$B$112,MATCH(D262,编号表!$A$1:$A$112,0))*10000+I262</f>
        <v>10760002</v>
      </c>
      <c r="C262" s="20" t="s">
        <v>260</v>
      </c>
      <c r="D262" s="20" t="s">
        <v>260</v>
      </c>
      <c r="E262" s="20" t="s">
        <v>214</v>
      </c>
      <c r="F262" s="20" t="s">
        <v>261</v>
      </c>
      <c r="G262" s="20">
        <v>1</v>
      </c>
      <c r="H262" s="20" t="b">
        <v>0</v>
      </c>
      <c r="I262" s="20">
        <v>2</v>
      </c>
      <c r="J262" s="20">
        <v>107600</v>
      </c>
      <c r="K262" s="20" t="s">
        <v>177</v>
      </c>
      <c r="L262" s="20">
        <v>10760001</v>
      </c>
      <c r="M262" s="20">
        <v>10760003</v>
      </c>
      <c r="N262" s="20" t="s">
        <v>262</v>
      </c>
      <c r="O262" s="20">
        <v>0</v>
      </c>
      <c r="P262" s="20">
        <v>0</v>
      </c>
      <c r="Q262" s="20">
        <v>0</v>
      </c>
      <c r="R262" s="20">
        <v>1</v>
      </c>
      <c r="T262" s="20">
        <v>100</v>
      </c>
      <c r="AO262" s="20" t="s">
        <v>194</v>
      </c>
      <c r="AP262" s="20">
        <v>0</v>
      </c>
      <c r="CV262" s="20">
        <v>0</v>
      </c>
      <c r="CW262" s="20">
        <v>0</v>
      </c>
      <c r="CX262" s="20" t="s">
        <v>194</v>
      </c>
      <c r="CY262" s="20">
        <v>0</v>
      </c>
      <c r="DB262" s="20">
        <v>0</v>
      </c>
      <c r="DD262" s="20">
        <v>0</v>
      </c>
      <c r="DE262" s="20">
        <v>0</v>
      </c>
      <c r="DF262" s="20">
        <v>0</v>
      </c>
      <c r="DG262" s="20">
        <v>0</v>
      </c>
      <c r="DH262" s="20">
        <v>0</v>
      </c>
      <c r="DI262" s="20" t="b">
        <v>0</v>
      </c>
      <c r="DK262" s="20">
        <v>0</v>
      </c>
      <c r="DM262" s="20" t="s">
        <v>187</v>
      </c>
      <c r="DN262" s="20">
        <v>0</v>
      </c>
      <c r="DO262" s="20">
        <v>0</v>
      </c>
      <c r="DP262" s="20">
        <v>0</v>
      </c>
    </row>
    <row r="263" spans="2:120">
      <c r="B263" s="20" cm="1">
        <f t="array" ref="B263">10000000+INDEX(编号表!$B$1:$B$112,MATCH(D263,编号表!$A$1:$A$112,0))*10000+I263</f>
        <v>10760003</v>
      </c>
      <c r="C263" s="20" t="s">
        <v>260</v>
      </c>
      <c r="D263" s="20" t="s">
        <v>260</v>
      </c>
      <c r="E263" s="20" t="s">
        <v>214</v>
      </c>
      <c r="F263" s="20" t="s">
        <v>261</v>
      </c>
      <c r="G263" s="20">
        <v>1</v>
      </c>
      <c r="H263" s="20" t="b">
        <v>0</v>
      </c>
      <c r="I263" s="20">
        <v>3</v>
      </c>
      <c r="J263" s="20">
        <v>107600</v>
      </c>
      <c r="K263" s="20" t="s">
        <v>177</v>
      </c>
      <c r="L263" s="20">
        <v>10760002</v>
      </c>
      <c r="M263" s="20">
        <v>10760004</v>
      </c>
      <c r="N263" s="20" t="s">
        <v>262</v>
      </c>
      <c r="O263" s="20">
        <v>0</v>
      </c>
      <c r="P263" s="20">
        <v>0</v>
      </c>
      <c r="Q263" s="20">
        <v>0</v>
      </c>
      <c r="R263" s="20">
        <v>1</v>
      </c>
      <c r="T263" s="20">
        <v>100</v>
      </c>
      <c r="AO263" s="20" t="s">
        <v>194</v>
      </c>
      <c r="AP263" s="20">
        <v>0</v>
      </c>
      <c r="CV263" s="20">
        <v>0</v>
      </c>
      <c r="CW263" s="20">
        <v>0</v>
      </c>
      <c r="CX263" s="20" t="s">
        <v>194</v>
      </c>
      <c r="CY263" s="20">
        <v>0</v>
      </c>
      <c r="DB263" s="20">
        <v>0</v>
      </c>
      <c r="DD263" s="20">
        <v>0</v>
      </c>
      <c r="DE263" s="20">
        <v>0</v>
      </c>
      <c r="DF263" s="20">
        <v>0</v>
      </c>
      <c r="DG263" s="20">
        <v>0</v>
      </c>
      <c r="DH263" s="20">
        <v>0</v>
      </c>
      <c r="DI263" s="20" t="b">
        <v>0</v>
      </c>
      <c r="DK263" s="20">
        <v>0</v>
      </c>
      <c r="DM263" s="20" t="s">
        <v>187</v>
      </c>
      <c r="DN263" s="20">
        <v>0</v>
      </c>
      <c r="DO263" s="20">
        <v>0</v>
      </c>
      <c r="DP263" s="20">
        <v>0</v>
      </c>
    </row>
    <row r="264" spans="2:120">
      <c r="B264" s="20" cm="1">
        <f t="array" ref="B264">10000000+INDEX(编号表!$B$1:$B$112,MATCH(D264,编号表!$A$1:$A$112,0))*10000+I264</f>
        <v>10760004</v>
      </c>
      <c r="C264" s="20" t="s">
        <v>260</v>
      </c>
      <c r="D264" s="20" t="s">
        <v>260</v>
      </c>
      <c r="E264" s="20" t="s">
        <v>214</v>
      </c>
      <c r="F264" s="20" t="s">
        <v>261</v>
      </c>
      <c r="G264" s="20">
        <v>1</v>
      </c>
      <c r="H264" s="20" t="b">
        <v>0</v>
      </c>
      <c r="I264" s="20">
        <v>4</v>
      </c>
      <c r="J264" s="20">
        <v>107600</v>
      </c>
      <c r="K264" s="20" t="s">
        <v>177</v>
      </c>
      <c r="L264" s="20">
        <v>10760003</v>
      </c>
      <c r="M264" s="20">
        <v>10760005</v>
      </c>
      <c r="N264" s="20" t="s">
        <v>262</v>
      </c>
      <c r="O264" s="20">
        <v>0</v>
      </c>
      <c r="P264" s="20">
        <v>0</v>
      </c>
      <c r="Q264" s="20">
        <v>0</v>
      </c>
      <c r="R264" s="20">
        <v>1</v>
      </c>
      <c r="T264" s="20">
        <v>100</v>
      </c>
      <c r="AO264" s="20" t="s">
        <v>194</v>
      </c>
      <c r="AP264" s="20">
        <v>0</v>
      </c>
      <c r="CV264" s="20">
        <v>0</v>
      </c>
      <c r="CW264" s="20">
        <v>0</v>
      </c>
      <c r="CX264" s="20" t="s">
        <v>194</v>
      </c>
      <c r="CY264" s="20">
        <v>0</v>
      </c>
      <c r="DB264" s="20">
        <v>0</v>
      </c>
      <c r="DD264" s="20">
        <v>0</v>
      </c>
      <c r="DE264" s="20">
        <v>0</v>
      </c>
      <c r="DF264" s="20">
        <v>0</v>
      </c>
      <c r="DG264" s="20">
        <v>0</v>
      </c>
      <c r="DH264" s="20">
        <v>0</v>
      </c>
      <c r="DI264" s="20" t="b">
        <v>0</v>
      </c>
      <c r="DK264" s="20">
        <v>0</v>
      </c>
      <c r="DM264" s="20" t="s">
        <v>187</v>
      </c>
      <c r="DN264" s="20">
        <v>0</v>
      </c>
      <c r="DO264" s="20">
        <v>0</v>
      </c>
      <c r="DP264" s="20">
        <v>0</v>
      </c>
    </row>
    <row r="265" spans="2:120">
      <c r="B265" s="20" cm="1">
        <f t="array" ref="B265">10000000+INDEX(编号表!$B$1:$B$112,MATCH(D265,编号表!$A$1:$A$112,0))*10000+I265</f>
        <v>10760005</v>
      </c>
      <c r="C265" s="20" t="s">
        <v>260</v>
      </c>
      <c r="D265" s="20" t="s">
        <v>260</v>
      </c>
      <c r="E265" s="20" t="s">
        <v>214</v>
      </c>
      <c r="F265" s="20" t="s">
        <v>261</v>
      </c>
      <c r="G265" s="20">
        <v>1</v>
      </c>
      <c r="H265" s="20" t="b">
        <v>0</v>
      </c>
      <c r="I265" s="20">
        <v>5</v>
      </c>
      <c r="J265" s="20">
        <v>107600</v>
      </c>
      <c r="K265" s="20" t="s">
        <v>177</v>
      </c>
      <c r="L265" s="20">
        <v>10760004</v>
      </c>
      <c r="M265" s="20">
        <v>10760006</v>
      </c>
      <c r="N265" s="20" t="s">
        <v>262</v>
      </c>
      <c r="O265" s="20">
        <v>0</v>
      </c>
      <c r="P265" s="20">
        <v>0</v>
      </c>
      <c r="Q265" s="20">
        <v>0</v>
      </c>
      <c r="R265" s="20">
        <v>1</v>
      </c>
      <c r="T265" s="20">
        <v>100</v>
      </c>
      <c r="AO265" s="20" t="s">
        <v>194</v>
      </c>
      <c r="AP265" s="20">
        <v>0</v>
      </c>
      <c r="CV265" s="20">
        <v>0</v>
      </c>
      <c r="CW265" s="20">
        <v>0</v>
      </c>
      <c r="CX265" s="20" t="s">
        <v>194</v>
      </c>
      <c r="CY265" s="20">
        <v>0</v>
      </c>
      <c r="DB265" s="20">
        <v>0</v>
      </c>
      <c r="DD265" s="20">
        <v>0</v>
      </c>
      <c r="DE265" s="20">
        <v>0</v>
      </c>
      <c r="DF265" s="20">
        <v>0</v>
      </c>
      <c r="DG265" s="20">
        <v>0</v>
      </c>
      <c r="DH265" s="20">
        <v>0</v>
      </c>
      <c r="DI265" s="20" t="b">
        <v>0</v>
      </c>
      <c r="DK265" s="20">
        <v>0</v>
      </c>
      <c r="DM265" s="20" t="s">
        <v>187</v>
      </c>
      <c r="DN265" s="20">
        <v>0</v>
      </c>
      <c r="DO265" s="20">
        <v>0</v>
      </c>
      <c r="DP265" s="20">
        <v>0</v>
      </c>
    </row>
    <row r="266" spans="2:120">
      <c r="B266" s="20" cm="1">
        <f t="array" ref="B266">10000000+INDEX(编号表!$B$1:$B$112,MATCH(D266,编号表!$A$1:$A$112,0))*10000+I266</f>
        <v>10760006</v>
      </c>
      <c r="C266" s="20" t="s">
        <v>260</v>
      </c>
      <c r="D266" s="20" t="s">
        <v>260</v>
      </c>
      <c r="E266" s="20" t="s">
        <v>214</v>
      </c>
      <c r="F266" s="20" t="s">
        <v>261</v>
      </c>
      <c r="G266" s="20">
        <v>1</v>
      </c>
      <c r="H266" s="20" t="b">
        <v>0</v>
      </c>
      <c r="I266" s="20">
        <v>6</v>
      </c>
      <c r="J266" s="20">
        <v>107600</v>
      </c>
      <c r="K266" s="20" t="s">
        <v>177</v>
      </c>
      <c r="L266" s="20">
        <v>10760005</v>
      </c>
      <c r="M266" s="20">
        <v>10760007</v>
      </c>
      <c r="N266" s="20" t="s">
        <v>262</v>
      </c>
      <c r="O266" s="20">
        <v>0</v>
      </c>
      <c r="P266" s="20">
        <v>0</v>
      </c>
      <c r="Q266" s="20">
        <v>0</v>
      </c>
      <c r="R266" s="20">
        <v>1</v>
      </c>
      <c r="T266" s="20">
        <v>100</v>
      </c>
      <c r="AO266" s="20" t="s">
        <v>194</v>
      </c>
      <c r="AP266" s="20">
        <v>0</v>
      </c>
      <c r="CV266" s="20">
        <v>0</v>
      </c>
      <c r="CW266" s="20">
        <v>0</v>
      </c>
      <c r="CX266" s="20" t="s">
        <v>194</v>
      </c>
      <c r="CY266" s="20">
        <v>0</v>
      </c>
      <c r="DB266" s="20">
        <v>0</v>
      </c>
      <c r="DD266" s="20">
        <v>0</v>
      </c>
      <c r="DE266" s="20">
        <v>0</v>
      </c>
      <c r="DF266" s="20">
        <v>0</v>
      </c>
      <c r="DG266" s="20">
        <v>0</v>
      </c>
      <c r="DH266" s="20">
        <v>0</v>
      </c>
      <c r="DI266" s="20" t="b">
        <v>0</v>
      </c>
      <c r="DK266" s="20">
        <v>0</v>
      </c>
      <c r="DM266" s="20" t="s">
        <v>187</v>
      </c>
      <c r="DN266" s="20">
        <v>0</v>
      </c>
      <c r="DO266" s="20">
        <v>0</v>
      </c>
      <c r="DP266" s="20">
        <v>0</v>
      </c>
    </row>
    <row r="267" spans="2:120">
      <c r="B267" s="20" cm="1">
        <f t="array" ref="B267">10000000+INDEX(编号表!$B$1:$B$112,MATCH(D267,编号表!$A$1:$A$112,0))*10000+I267</f>
        <v>10760007</v>
      </c>
      <c r="C267" s="20" t="s">
        <v>260</v>
      </c>
      <c r="D267" s="20" t="s">
        <v>260</v>
      </c>
      <c r="E267" s="20" t="s">
        <v>214</v>
      </c>
      <c r="F267" s="20" t="s">
        <v>261</v>
      </c>
      <c r="G267" s="20">
        <v>1</v>
      </c>
      <c r="H267" s="20" t="b">
        <v>0</v>
      </c>
      <c r="I267" s="20">
        <v>7</v>
      </c>
      <c r="J267" s="20">
        <v>107600</v>
      </c>
      <c r="K267" s="20" t="s">
        <v>177</v>
      </c>
      <c r="L267" s="20">
        <v>10760006</v>
      </c>
      <c r="M267" s="20">
        <v>10760008</v>
      </c>
      <c r="N267" s="20" t="s">
        <v>262</v>
      </c>
      <c r="O267" s="20">
        <v>0</v>
      </c>
      <c r="P267" s="20">
        <v>0</v>
      </c>
      <c r="Q267" s="20">
        <v>0</v>
      </c>
      <c r="R267" s="20">
        <v>1</v>
      </c>
      <c r="T267" s="20">
        <v>100</v>
      </c>
      <c r="AO267" s="20" t="s">
        <v>194</v>
      </c>
      <c r="AP267" s="20">
        <v>0</v>
      </c>
      <c r="CV267" s="20">
        <v>0</v>
      </c>
      <c r="CW267" s="20">
        <v>0</v>
      </c>
      <c r="CX267" s="20" t="s">
        <v>194</v>
      </c>
      <c r="CY267" s="20">
        <v>0</v>
      </c>
      <c r="DB267" s="20">
        <v>0</v>
      </c>
      <c r="DD267" s="20">
        <v>0</v>
      </c>
      <c r="DE267" s="20">
        <v>0</v>
      </c>
      <c r="DF267" s="20">
        <v>0</v>
      </c>
      <c r="DG267" s="20">
        <v>0</v>
      </c>
      <c r="DH267" s="20">
        <v>0</v>
      </c>
      <c r="DI267" s="20" t="b">
        <v>0</v>
      </c>
      <c r="DK267" s="20">
        <v>0</v>
      </c>
      <c r="DM267" s="20" t="s">
        <v>187</v>
      </c>
      <c r="DN267" s="20">
        <v>0</v>
      </c>
      <c r="DO267" s="20">
        <v>0</v>
      </c>
      <c r="DP267" s="20">
        <v>0</v>
      </c>
    </row>
    <row r="268" spans="2:120">
      <c r="B268" s="20" cm="1">
        <f t="array" ref="B268">10000000+INDEX(编号表!$B$1:$B$112,MATCH(D268,编号表!$A$1:$A$112,0))*10000+I268</f>
        <v>10760008</v>
      </c>
      <c r="C268" s="20" t="s">
        <v>260</v>
      </c>
      <c r="D268" s="20" t="s">
        <v>260</v>
      </c>
      <c r="E268" s="20" t="s">
        <v>214</v>
      </c>
      <c r="F268" s="20" t="s">
        <v>261</v>
      </c>
      <c r="G268" s="20">
        <v>1</v>
      </c>
      <c r="H268" s="20" t="b">
        <v>0</v>
      </c>
      <c r="I268" s="20">
        <v>8</v>
      </c>
      <c r="J268" s="20">
        <v>107600</v>
      </c>
      <c r="K268" s="20" t="s">
        <v>177</v>
      </c>
      <c r="L268" s="20">
        <v>10760007</v>
      </c>
      <c r="M268" s="20">
        <v>10760009</v>
      </c>
      <c r="N268" s="20" t="s">
        <v>262</v>
      </c>
      <c r="O268" s="20">
        <v>0</v>
      </c>
      <c r="P268" s="20">
        <v>0</v>
      </c>
      <c r="Q268" s="20">
        <v>0</v>
      </c>
      <c r="R268" s="20">
        <v>1</v>
      </c>
      <c r="T268" s="20">
        <v>100</v>
      </c>
      <c r="AO268" s="20" t="s">
        <v>194</v>
      </c>
      <c r="AP268" s="20">
        <v>0</v>
      </c>
      <c r="CV268" s="20">
        <v>0</v>
      </c>
      <c r="CW268" s="20">
        <v>0</v>
      </c>
      <c r="CX268" s="20" t="s">
        <v>194</v>
      </c>
      <c r="CY268" s="20">
        <v>0</v>
      </c>
      <c r="DB268" s="20">
        <v>0</v>
      </c>
      <c r="DD268" s="20">
        <v>0</v>
      </c>
      <c r="DE268" s="20">
        <v>0</v>
      </c>
      <c r="DF268" s="20">
        <v>0</v>
      </c>
      <c r="DG268" s="20">
        <v>0</v>
      </c>
      <c r="DH268" s="20">
        <v>0</v>
      </c>
      <c r="DI268" s="20" t="b">
        <v>0</v>
      </c>
      <c r="DK268" s="20">
        <v>0</v>
      </c>
      <c r="DM268" s="20" t="s">
        <v>187</v>
      </c>
      <c r="DN268" s="20">
        <v>0</v>
      </c>
      <c r="DO268" s="20">
        <v>0</v>
      </c>
      <c r="DP268" s="20">
        <v>0</v>
      </c>
    </row>
    <row r="269" spans="2:120">
      <c r="B269" s="20" cm="1">
        <f t="array" ref="B269">10000000+INDEX(编号表!$B$1:$B$112,MATCH(D269,编号表!$A$1:$A$112,0))*10000+I269</f>
        <v>10760009</v>
      </c>
      <c r="C269" s="20" t="s">
        <v>260</v>
      </c>
      <c r="D269" s="20" t="s">
        <v>260</v>
      </c>
      <c r="E269" s="20" t="s">
        <v>214</v>
      </c>
      <c r="F269" s="20" t="s">
        <v>261</v>
      </c>
      <c r="G269" s="20">
        <v>1</v>
      </c>
      <c r="H269" s="20" t="b">
        <v>0</v>
      </c>
      <c r="I269" s="20">
        <v>9</v>
      </c>
      <c r="J269" s="20">
        <v>107600</v>
      </c>
      <c r="K269" s="20" t="s">
        <v>177</v>
      </c>
      <c r="L269" s="20">
        <v>10760008</v>
      </c>
      <c r="M269" s="20">
        <v>10760010</v>
      </c>
      <c r="N269" s="20" t="s">
        <v>262</v>
      </c>
      <c r="O269" s="20">
        <v>0</v>
      </c>
      <c r="P269" s="20">
        <v>0</v>
      </c>
      <c r="Q269" s="20">
        <v>0</v>
      </c>
      <c r="R269" s="20">
        <v>1</v>
      </c>
      <c r="T269" s="20">
        <v>100</v>
      </c>
      <c r="AO269" s="20" t="s">
        <v>194</v>
      </c>
      <c r="AP269" s="20">
        <v>0</v>
      </c>
      <c r="CV269" s="20">
        <v>0</v>
      </c>
      <c r="CW269" s="20">
        <v>0</v>
      </c>
      <c r="CX269" s="20" t="s">
        <v>194</v>
      </c>
      <c r="CY269" s="20">
        <v>0</v>
      </c>
      <c r="DB269" s="20">
        <v>0</v>
      </c>
      <c r="DD269" s="20">
        <v>0</v>
      </c>
      <c r="DE269" s="20">
        <v>0</v>
      </c>
      <c r="DF269" s="20">
        <v>0</v>
      </c>
      <c r="DG269" s="20">
        <v>0</v>
      </c>
      <c r="DH269" s="20">
        <v>0</v>
      </c>
      <c r="DI269" s="20" t="b">
        <v>0</v>
      </c>
      <c r="DK269" s="20">
        <v>0</v>
      </c>
      <c r="DM269" s="20" t="s">
        <v>187</v>
      </c>
      <c r="DN269" s="20">
        <v>0</v>
      </c>
      <c r="DO269" s="20">
        <v>0</v>
      </c>
      <c r="DP269" s="20">
        <v>0</v>
      </c>
    </row>
    <row r="270" spans="2:120">
      <c r="B270" s="20" cm="1">
        <f t="array" ref="B270">10000000+INDEX(编号表!$B$1:$B$112,MATCH(D270,编号表!$A$1:$A$112,0))*10000+I270</f>
        <v>10760010</v>
      </c>
      <c r="C270" s="20" t="s">
        <v>260</v>
      </c>
      <c r="D270" s="20" t="s">
        <v>260</v>
      </c>
      <c r="E270" s="20" t="s">
        <v>214</v>
      </c>
      <c r="F270" s="20" t="s">
        <v>261</v>
      </c>
      <c r="G270" s="20">
        <v>1</v>
      </c>
      <c r="H270" s="20" t="b">
        <v>0</v>
      </c>
      <c r="I270" s="20">
        <v>10</v>
      </c>
      <c r="J270" s="20">
        <v>107600</v>
      </c>
      <c r="K270" s="20" t="s">
        <v>177</v>
      </c>
      <c r="L270" s="20">
        <v>10760009</v>
      </c>
      <c r="N270" s="20" t="s">
        <v>262</v>
      </c>
      <c r="O270" s="20">
        <v>0</v>
      </c>
      <c r="P270" s="20">
        <v>0</v>
      </c>
      <c r="Q270" s="20">
        <v>0</v>
      </c>
      <c r="R270" s="20">
        <v>1</v>
      </c>
      <c r="T270" s="20">
        <v>100</v>
      </c>
      <c r="AO270" s="20" t="s">
        <v>194</v>
      </c>
      <c r="AP270" s="20">
        <v>0</v>
      </c>
      <c r="CV270" s="20">
        <v>0</v>
      </c>
      <c r="CW270" s="20">
        <v>0</v>
      </c>
      <c r="CX270" s="20" t="s">
        <v>194</v>
      </c>
      <c r="CY270" s="20">
        <v>0</v>
      </c>
      <c r="DB270" s="20">
        <v>0</v>
      </c>
      <c r="DD270" s="20">
        <v>0</v>
      </c>
      <c r="DE270" s="20">
        <v>0</v>
      </c>
      <c r="DF270" s="20">
        <v>0</v>
      </c>
      <c r="DG270" s="20">
        <v>0</v>
      </c>
      <c r="DH270" s="20">
        <v>0</v>
      </c>
      <c r="DI270" s="20" t="b">
        <v>0</v>
      </c>
      <c r="DK270" s="20">
        <v>0</v>
      </c>
      <c r="DM270" s="20" t="s">
        <v>187</v>
      </c>
      <c r="DN270" s="20">
        <v>0</v>
      </c>
      <c r="DO270" s="20">
        <v>0</v>
      </c>
      <c r="DP270" s="20">
        <v>0</v>
      </c>
    </row>
    <row r="271" spans="2:120">
      <c r="B271" s="20" cm="1">
        <f t="array" ref="B271">10000000+INDEX(编号表!$B$1:$B$112,MATCH(D271,编号表!$A$1:$A$112,0))*10000+I271</f>
        <v>10770001</v>
      </c>
      <c r="C271" s="20" t="s">
        <v>263</v>
      </c>
      <c r="D271" s="20" t="s">
        <v>263</v>
      </c>
      <c r="E271" s="20" t="s">
        <v>214</v>
      </c>
      <c r="F271" s="20" t="s">
        <v>264</v>
      </c>
      <c r="G271" s="20">
        <v>1</v>
      </c>
      <c r="H271" s="20" t="b">
        <v>0</v>
      </c>
      <c r="I271" s="20">
        <v>1</v>
      </c>
      <c r="J271" s="20">
        <v>107700</v>
      </c>
      <c r="K271" s="20" t="s">
        <v>177</v>
      </c>
      <c r="M271" s="20">
        <v>10770002</v>
      </c>
      <c r="N271" s="20" t="s">
        <v>265</v>
      </c>
      <c r="O271" s="20">
        <v>0</v>
      </c>
      <c r="P271" s="20">
        <v>0</v>
      </c>
      <c r="Q271" s="20">
        <v>0</v>
      </c>
      <c r="R271" s="20">
        <v>1</v>
      </c>
      <c r="T271" s="20">
        <v>100</v>
      </c>
      <c r="AO271" s="20" t="s">
        <v>194</v>
      </c>
      <c r="AP271" s="20">
        <v>0</v>
      </c>
      <c r="CV271" s="20">
        <v>0</v>
      </c>
      <c r="CW271" s="20">
        <v>0</v>
      </c>
      <c r="CX271" s="20" t="s">
        <v>194</v>
      </c>
      <c r="CY271" s="20">
        <v>0</v>
      </c>
      <c r="DB271" s="20">
        <v>0</v>
      </c>
      <c r="DD271" s="20">
        <v>0</v>
      </c>
      <c r="DE271" s="20">
        <v>0</v>
      </c>
      <c r="DF271" s="20">
        <v>0</v>
      </c>
      <c r="DG271" s="20">
        <v>0</v>
      </c>
      <c r="DH271" s="20">
        <v>0</v>
      </c>
      <c r="DI271" s="20" t="b">
        <v>0</v>
      </c>
      <c r="DK271" s="20">
        <v>0</v>
      </c>
      <c r="DM271" s="20" t="s">
        <v>187</v>
      </c>
      <c r="DN271" s="20">
        <v>0</v>
      </c>
      <c r="DO271" s="20">
        <v>0</v>
      </c>
      <c r="DP271" s="20">
        <v>0</v>
      </c>
    </row>
    <row r="272" spans="2:120">
      <c r="B272" s="20" cm="1">
        <f t="array" ref="B272">10000000+INDEX(编号表!$B$1:$B$112,MATCH(D272,编号表!$A$1:$A$112,0))*10000+I272</f>
        <v>10770002</v>
      </c>
      <c r="C272" s="20" t="s">
        <v>263</v>
      </c>
      <c r="D272" s="20" t="s">
        <v>263</v>
      </c>
      <c r="E272" s="20" t="s">
        <v>214</v>
      </c>
      <c r="F272" s="20" t="s">
        <v>264</v>
      </c>
      <c r="G272" s="20">
        <v>1</v>
      </c>
      <c r="H272" s="20" t="b">
        <v>0</v>
      </c>
      <c r="I272" s="20">
        <v>2</v>
      </c>
      <c r="J272" s="20">
        <v>107700</v>
      </c>
      <c r="K272" s="20" t="s">
        <v>177</v>
      </c>
      <c r="L272" s="20">
        <v>10770001</v>
      </c>
      <c r="M272" s="20">
        <v>10770003</v>
      </c>
      <c r="N272" s="20" t="s">
        <v>265</v>
      </c>
      <c r="O272" s="20">
        <v>0</v>
      </c>
      <c r="P272" s="20">
        <v>0</v>
      </c>
      <c r="Q272" s="20">
        <v>0</v>
      </c>
      <c r="R272" s="20">
        <v>1</v>
      </c>
      <c r="T272" s="20">
        <v>100</v>
      </c>
      <c r="AO272" s="20" t="s">
        <v>194</v>
      </c>
      <c r="AP272" s="20">
        <v>0</v>
      </c>
      <c r="CV272" s="20">
        <v>0</v>
      </c>
      <c r="CW272" s="20">
        <v>0</v>
      </c>
      <c r="CX272" s="20" t="s">
        <v>194</v>
      </c>
      <c r="CY272" s="20">
        <v>0</v>
      </c>
      <c r="DB272" s="20">
        <v>0</v>
      </c>
      <c r="DD272" s="20">
        <v>0</v>
      </c>
      <c r="DE272" s="20">
        <v>0</v>
      </c>
      <c r="DF272" s="20">
        <v>0</v>
      </c>
      <c r="DG272" s="20">
        <v>0</v>
      </c>
      <c r="DH272" s="20">
        <v>0</v>
      </c>
      <c r="DI272" s="20" t="b">
        <v>0</v>
      </c>
      <c r="DK272" s="20">
        <v>0</v>
      </c>
      <c r="DM272" s="20" t="s">
        <v>187</v>
      </c>
      <c r="DN272" s="20">
        <v>0</v>
      </c>
      <c r="DO272" s="20">
        <v>0</v>
      </c>
      <c r="DP272" s="20">
        <v>0</v>
      </c>
    </row>
    <row r="273" spans="2:120">
      <c r="B273" s="20" cm="1">
        <f t="array" ref="B273">10000000+INDEX(编号表!$B$1:$B$112,MATCH(D273,编号表!$A$1:$A$112,0))*10000+I273</f>
        <v>10770003</v>
      </c>
      <c r="C273" s="20" t="s">
        <v>263</v>
      </c>
      <c r="D273" s="20" t="s">
        <v>263</v>
      </c>
      <c r="E273" s="20" t="s">
        <v>214</v>
      </c>
      <c r="F273" s="20" t="s">
        <v>264</v>
      </c>
      <c r="G273" s="20">
        <v>1</v>
      </c>
      <c r="H273" s="20" t="b">
        <v>0</v>
      </c>
      <c r="I273" s="20">
        <v>3</v>
      </c>
      <c r="J273" s="20">
        <v>107700</v>
      </c>
      <c r="K273" s="20" t="s">
        <v>177</v>
      </c>
      <c r="L273" s="20">
        <v>10770002</v>
      </c>
      <c r="M273" s="20">
        <v>10770004</v>
      </c>
      <c r="N273" s="20" t="s">
        <v>265</v>
      </c>
      <c r="O273" s="20">
        <v>0</v>
      </c>
      <c r="P273" s="20">
        <v>0</v>
      </c>
      <c r="Q273" s="20">
        <v>0</v>
      </c>
      <c r="R273" s="20">
        <v>1</v>
      </c>
      <c r="T273" s="20">
        <v>100</v>
      </c>
      <c r="AO273" s="20" t="s">
        <v>194</v>
      </c>
      <c r="AP273" s="20">
        <v>0</v>
      </c>
      <c r="CV273" s="20">
        <v>0</v>
      </c>
      <c r="CW273" s="20">
        <v>0</v>
      </c>
      <c r="CX273" s="20" t="s">
        <v>194</v>
      </c>
      <c r="CY273" s="20">
        <v>0</v>
      </c>
      <c r="DB273" s="20">
        <v>0</v>
      </c>
      <c r="DD273" s="20">
        <v>0</v>
      </c>
      <c r="DE273" s="20">
        <v>0</v>
      </c>
      <c r="DF273" s="20">
        <v>0</v>
      </c>
      <c r="DG273" s="20">
        <v>0</v>
      </c>
      <c r="DH273" s="20">
        <v>0</v>
      </c>
      <c r="DI273" s="20" t="b">
        <v>0</v>
      </c>
      <c r="DK273" s="20">
        <v>0</v>
      </c>
      <c r="DM273" s="20" t="s">
        <v>187</v>
      </c>
      <c r="DN273" s="20">
        <v>0</v>
      </c>
      <c r="DO273" s="20">
        <v>0</v>
      </c>
      <c r="DP273" s="20">
        <v>0</v>
      </c>
    </row>
    <row r="274" spans="2:120">
      <c r="B274" s="20" cm="1">
        <f t="array" ref="B274">10000000+INDEX(编号表!$B$1:$B$112,MATCH(D274,编号表!$A$1:$A$112,0))*10000+I274</f>
        <v>10770004</v>
      </c>
      <c r="C274" s="20" t="s">
        <v>263</v>
      </c>
      <c r="D274" s="20" t="s">
        <v>263</v>
      </c>
      <c r="E274" s="20" t="s">
        <v>214</v>
      </c>
      <c r="F274" s="20" t="s">
        <v>264</v>
      </c>
      <c r="G274" s="20">
        <v>1</v>
      </c>
      <c r="H274" s="20" t="b">
        <v>0</v>
      </c>
      <c r="I274" s="20">
        <v>4</v>
      </c>
      <c r="J274" s="20">
        <v>107700</v>
      </c>
      <c r="K274" s="20" t="s">
        <v>177</v>
      </c>
      <c r="L274" s="20">
        <v>10770003</v>
      </c>
      <c r="M274" s="20">
        <v>10770005</v>
      </c>
      <c r="N274" s="20" t="s">
        <v>265</v>
      </c>
      <c r="O274" s="20">
        <v>0</v>
      </c>
      <c r="P274" s="20">
        <v>0</v>
      </c>
      <c r="Q274" s="20">
        <v>0</v>
      </c>
      <c r="R274" s="20">
        <v>1</v>
      </c>
      <c r="T274" s="20">
        <v>100</v>
      </c>
      <c r="AO274" s="20" t="s">
        <v>194</v>
      </c>
      <c r="AP274" s="20">
        <v>0</v>
      </c>
      <c r="CV274" s="20">
        <v>0</v>
      </c>
      <c r="CW274" s="20">
        <v>0</v>
      </c>
      <c r="CX274" s="20" t="s">
        <v>194</v>
      </c>
      <c r="CY274" s="20">
        <v>0</v>
      </c>
      <c r="DB274" s="20">
        <v>0</v>
      </c>
      <c r="DD274" s="20">
        <v>0</v>
      </c>
      <c r="DE274" s="20">
        <v>0</v>
      </c>
      <c r="DF274" s="20">
        <v>0</v>
      </c>
      <c r="DG274" s="20">
        <v>0</v>
      </c>
      <c r="DH274" s="20">
        <v>0</v>
      </c>
      <c r="DI274" s="20" t="b">
        <v>0</v>
      </c>
      <c r="DK274" s="20">
        <v>0</v>
      </c>
      <c r="DM274" s="20" t="s">
        <v>187</v>
      </c>
      <c r="DN274" s="20">
        <v>0</v>
      </c>
      <c r="DO274" s="20">
        <v>0</v>
      </c>
      <c r="DP274" s="20">
        <v>0</v>
      </c>
    </row>
    <row r="275" spans="2:120">
      <c r="B275" s="20" cm="1">
        <f t="array" ref="B275">10000000+INDEX(编号表!$B$1:$B$112,MATCH(D275,编号表!$A$1:$A$112,0))*10000+I275</f>
        <v>10770005</v>
      </c>
      <c r="C275" s="20" t="s">
        <v>263</v>
      </c>
      <c r="D275" s="20" t="s">
        <v>263</v>
      </c>
      <c r="E275" s="20" t="s">
        <v>214</v>
      </c>
      <c r="F275" s="20" t="s">
        <v>264</v>
      </c>
      <c r="G275" s="20">
        <v>1</v>
      </c>
      <c r="H275" s="20" t="b">
        <v>0</v>
      </c>
      <c r="I275" s="20">
        <v>5</v>
      </c>
      <c r="J275" s="20">
        <v>107700</v>
      </c>
      <c r="K275" s="20" t="s">
        <v>177</v>
      </c>
      <c r="L275" s="20">
        <v>10770004</v>
      </c>
      <c r="M275" s="20">
        <v>10770006</v>
      </c>
      <c r="N275" s="20" t="s">
        <v>265</v>
      </c>
      <c r="O275" s="20">
        <v>0</v>
      </c>
      <c r="P275" s="20">
        <v>0</v>
      </c>
      <c r="Q275" s="20">
        <v>0</v>
      </c>
      <c r="R275" s="20">
        <v>1</v>
      </c>
      <c r="T275" s="20">
        <v>100</v>
      </c>
      <c r="AO275" s="20" t="s">
        <v>194</v>
      </c>
      <c r="AP275" s="20">
        <v>0</v>
      </c>
      <c r="CV275" s="20">
        <v>0</v>
      </c>
      <c r="CW275" s="20">
        <v>0</v>
      </c>
      <c r="CX275" s="20" t="s">
        <v>194</v>
      </c>
      <c r="CY275" s="20">
        <v>0</v>
      </c>
      <c r="DB275" s="20">
        <v>0</v>
      </c>
      <c r="DD275" s="20">
        <v>0</v>
      </c>
      <c r="DE275" s="20">
        <v>0</v>
      </c>
      <c r="DF275" s="20">
        <v>0</v>
      </c>
      <c r="DG275" s="20">
        <v>0</v>
      </c>
      <c r="DH275" s="20">
        <v>0</v>
      </c>
      <c r="DI275" s="20" t="b">
        <v>0</v>
      </c>
      <c r="DK275" s="20">
        <v>0</v>
      </c>
      <c r="DM275" s="20" t="s">
        <v>187</v>
      </c>
      <c r="DN275" s="20">
        <v>0</v>
      </c>
      <c r="DO275" s="20">
        <v>0</v>
      </c>
      <c r="DP275" s="20">
        <v>0</v>
      </c>
    </row>
    <row r="276" spans="2:120">
      <c r="B276" s="20" cm="1">
        <f t="array" ref="B276">10000000+INDEX(编号表!$B$1:$B$112,MATCH(D276,编号表!$A$1:$A$112,0))*10000+I276</f>
        <v>10770006</v>
      </c>
      <c r="C276" s="20" t="s">
        <v>263</v>
      </c>
      <c r="D276" s="20" t="s">
        <v>263</v>
      </c>
      <c r="E276" s="20" t="s">
        <v>214</v>
      </c>
      <c r="F276" s="20" t="s">
        <v>264</v>
      </c>
      <c r="G276" s="20">
        <v>1</v>
      </c>
      <c r="H276" s="20" t="b">
        <v>0</v>
      </c>
      <c r="I276" s="20">
        <v>6</v>
      </c>
      <c r="J276" s="20">
        <v>107700</v>
      </c>
      <c r="K276" s="20" t="s">
        <v>177</v>
      </c>
      <c r="L276" s="20">
        <v>10770005</v>
      </c>
      <c r="M276" s="20">
        <v>10770007</v>
      </c>
      <c r="N276" s="20" t="s">
        <v>265</v>
      </c>
      <c r="O276" s="20">
        <v>0</v>
      </c>
      <c r="P276" s="20">
        <v>0</v>
      </c>
      <c r="Q276" s="20">
        <v>0</v>
      </c>
      <c r="R276" s="20">
        <v>1</v>
      </c>
      <c r="T276" s="20">
        <v>100</v>
      </c>
      <c r="AO276" s="20" t="s">
        <v>194</v>
      </c>
      <c r="AP276" s="20">
        <v>0</v>
      </c>
      <c r="CV276" s="20">
        <v>0</v>
      </c>
      <c r="CW276" s="20">
        <v>0</v>
      </c>
      <c r="CX276" s="20" t="s">
        <v>194</v>
      </c>
      <c r="CY276" s="20">
        <v>0</v>
      </c>
      <c r="DB276" s="20">
        <v>0</v>
      </c>
      <c r="DD276" s="20">
        <v>0</v>
      </c>
      <c r="DE276" s="20">
        <v>0</v>
      </c>
      <c r="DF276" s="20">
        <v>0</v>
      </c>
      <c r="DG276" s="20">
        <v>0</v>
      </c>
      <c r="DH276" s="20">
        <v>0</v>
      </c>
      <c r="DI276" s="20" t="b">
        <v>0</v>
      </c>
      <c r="DK276" s="20">
        <v>0</v>
      </c>
      <c r="DM276" s="20" t="s">
        <v>187</v>
      </c>
      <c r="DN276" s="20">
        <v>0</v>
      </c>
      <c r="DO276" s="20">
        <v>0</v>
      </c>
      <c r="DP276" s="20">
        <v>0</v>
      </c>
    </row>
    <row r="277" spans="2:120">
      <c r="B277" s="20" cm="1">
        <f t="array" ref="B277">10000000+INDEX(编号表!$B$1:$B$112,MATCH(D277,编号表!$A$1:$A$112,0))*10000+I277</f>
        <v>10770007</v>
      </c>
      <c r="C277" s="20" t="s">
        <v>263</v>
      </c>
      <c r="D277" s="20" t="s">
        <v>263</v>
      </c>
      <c r="E277" s="20" t="s">
        <v>214</v>
      </c>
      <c r="F277" s="20" t="s">
        <v>264</v>
      </c>
      <c r="G277" s="20">
        <v>1</v>
      </c>
      <c r="H277" s="20" t="b">
        <v>0</v>
      </c>
      <c r="I277" s="20">
        <v>7</v>
      </c>
      <c r="J277" s="20">
        <v>107700</v>
      </c>
      <c r="K277" s="20" t="s">
        <v>177</v>
      </c>
      <c r="L277" s="20">
        <v>10770006</v>
      </c>
      <c r="M277" s="20">
        <v>10770008</v>
      </c>
      <c r="N277" s="20" t="s">
        <v>265</v>
      </c>
      <c r="O277" s="20">
        <v>0</v>
      </c>
      <c r="P277" s="20">
        <v>0</v>
      </c>
      <c r="Q277" s="20">
        <v>0</v>
      </c>
      <c r="R277" s="20">
        <v>1</v>
      </c>
      <c r="T277" s="20">
        <v>100</v>
      </c>
      <c r="AO277" s="20" t="s">
        <v>194</v>
      </c>
      <c r="AP277" s="20">
        <v>0</v>
      </c>
      <c r="CV277" s="20">
        <v>0</v>
      </c>
      <c r="CW277" s="20">
        <v>0</v>
      </c>
      <c r="CX277" s="20" t="s">
        <v>194</v>
      </c>
      <c r="CY277" s="20">
        <v>0</v>
      </c>
      <c r="DB277" s="20">
        <v>0</v>
      </c>
      <c r="DD277" s="20">
        <v>0</v>
      </c>
      <c r="DE277" s="20">
        <v>0</v>
      </c>
      <c r="DF277" s="20">
        <v>0</v>
      </c>
      <c r="DG277" s="20">
        <v>0</v>
      </c>
      <c r="DH277" s="20">
        <v>0</v>
      </c>
      <c r="DI277" s="20" t="b">
        <v>0</v>
      </c>
      <c r="DK277" s="20">
        <v>0</v>
      </c>
      <c r="DM277" s="20" t="s">
        <v>187</v>
      </c>
      <c r="DN277" s="20">
        <v>0</v>
      </c>
      <c r="DO277" s="20">
        <v>0</v>
      </c>
      <c r="DP277" s="20">
        <v>0</v>
      </c>
    </row>
    <row r="278" spans="2:120">
      <c r="B278" s="20" cm="1">
        <f t="array" ref="B278">10000000+INDEX(编号表!$B$1:$B$112,MATCH(D278,编号表!$A$1:$A$112,0))*10000+I278</f>
        <v>10770008</v>
      </c>
      <c r="C278" s="20" t="s">
        <v>263</v>
      </c>
      <c r="D278" s="20" t="s">
        <v>263</v>
      </c>
      <c r="E278" s="20" t="s">
        <v>214</v>
      </c>
      <c r="F278" s="20" t="s">
        <v>264</v>
      </c>
      <c r="G278" s="20">
        <v>1</v>
      </c>
      <c r="H278" s="20" t="b">
        <v>0</v>
      </c>
      <c r="I278" s="20">
        <v>8</v>
      </c>
      <c r="J278" s="20">
        <v>107700</v>
      </c>
      <c r="K278" s="20" t="s">
        <v>177</v>
      </c>
      <c r="L278" s="20">
        <v>10770007</v>
      </c>
      <c r="M278" s="20">
        <v>10770009</v>
      </c>
      <c r="N278" s="20" t="s">
        <v>265</v>
      </c>
      <c r="O278" s="20">
        <v>0</v>
      </c>
      <c r="P278" s="20">
        <v>0</v>
      </c>
      <c r="Q278" s="20">
        <v>0</v>
      </c>
      <c r="R278" s="20">
        <v>1</v>
      </c>
      <c r="T278" s="20">
        <v>100</v>
      </c>
      <c r="AO278" s="20" t="s">
        <v>194</v>
      </c>
      <c r="AP278" s="20">
        <v>0</v>
      </c>
      <c r="CV278" s="20">
        <v>0</v>
      </c>
      <c r="CW278" s="20">
        <v>0</v>
      </c>
      <c r="CX278" s="20" t="s">
        <v>194</v>
      </c>
      <c r="CY278" s="20">
        <v>0</v>
      </c>
      <c r="DB278" s="20">
        <v>0</v>
      </c>
      <c r="DD278" s="20">
        <v>0</v>
      </c>
      <c r="DE278" s="20">
        <v>0</v>
      </c>
      <c r="DF278" s="20">
        <v>0</v>
      </c>
      <c r="DG278" s="20">
        <v>0</v>
      </c>
      <c r="DH278" s="20">
        <v>0</v>
      </c>
      <c r="DI278" s="20" t="b">
        <v>0</v>
      </c>
      <c r="DK278" s="20">
        <v>0</v>
      </c>
      <c r="DM278" s="20" t="s">
        <v>187</v>
      </c>
      <c r="DN278" s="20">
        <v>0</v>
      </c>
      <c r="DO278" s="20">
        <v>0</v>
      </c>
      <c r="DP278" s="20">
        <v>0</v>
      </c>
    </row>
    <row r="279" spans="2:120">
      <c r="B279" s="20" cm="1">
        <f t="array" ref="B279">10000000+INDEX(编号表!$B$1:$B$112,MATCH(D279,编号表!$A$1:$A$112,0))*10000+I279</f>
        <v>10770009</v>
      </c>
      <c r="C279" s="20" t="s">
        <v>263</v>
      </c>
      <c r="D279" s="20" t="s">
        <v>263</v>
      </c>
      <c r="E279" s="20" t="s">
        <v>214</v>
      </c>
      <c r="F279" s="20" t="s">
        <v>264</v>
      </c>
      <c r="G279" s="20">
        <v>1</v>
      </c>
      <c r="H279" s="20" t="b">
        <v>0</v>
      </c>
      <c r="I279" s="20">
        <v>9</v>
      </c>
      <c r="J279" s="20">
        <v>107700</v>
      </c>
      <c r="K279" s="20" t="s">
        <v>177</v>
      </c>
      <c r="L279" s="20">
        <v>10770008</v>
      </c>
      <c r="M279" s="20">
        <v>10770010</v>
      </c>
      <c r="N279" s="20" t="s">
        <v>265</v>
      </c>
      <c r="O279" s="20">
        <v>0</v>
      </c>
      <c r="P279" s="20">
        <v>0</v>
      </c>
      <c r="Q279" s="20">
        <v>0</v>
      </c>
      <c r="R279" s="20">
        <v>1</v>
      </c>
      <c r="T279" s="20">
        <v>100</v>
      </c>
      <c r="AO279" s="20" t="s">
        <v>194</v>
      </c>
      <c r="AP279" s="20">
        <v>0</v>
      </c>
      <c r="CV279" s="20">
        <v>0</v>
      </c>
      <c r="CW279" s="20">
        <v>0</v>
      </c>
      <c r="CX279" s="20" t="s">
        <v>194</v>
      </c>
      <c r="CY279" s="20">
        <v>0</v>
      </c>
      <c r="DB279" s="20">
        <v>0</v>
      </c>
      <c r="DD279" s="20">
        <v>0</v>
      </c>
      <c r="DE279" s="20">
        <v>0</v>
      </c>
      <c r="DF279" s="20">
        <v>0</v>
      </c>
      <c r="DG279" s="20">
        <v>0</v>
      </c>
      <c r="DH279" s="20">
        <v>0</v>
      </c>
      <c r="DI279" s="20" t="b">
        <v>0</v>
      </c>
      <c r="DK279" s="20">
        <v>0</v>
      </c>
      <c r="DM279" s="20" t="s">
        <v>187</v>
      </c>
      <c r="DN279" s="20">
        <v>0</v>
      </c>
      <c r="DO279" s="20">
        <v>0</v>
      </c>
      <c r="DP279" s="20">
        <v>0</v>
      </c>
    </row>
    <row r="280" spans="2:120">
      <c r="B280" s="20" cm="1">
        <f t="array" ref="B280">10000000+INDEX(编号表!$B$1:$B$112,MATCH(D280,编号表!$A$1:$A$112,0))*10000+I280</f>
        <v>10770010</v>
      </c>
      <c r="C280" s="20" t="s">
        <v>263</v>
      </c>
      <c r="D280" s="20" t="s">
        <v>263</v>
      </c>
      <c r="E280" s="20" t="s">
        <v>214</v>
      </c>
      <c r="F280" s="20" t="s">
        <v>264</v>
      </c>
      <c r="G280" s="20">
        <v>1</v>
      </c>
      <c r="H280" s="20" t="b">
        <v>0</v>
      </c>
      <c r="I280" s="20">
        <v>10</v>
      </c>
      <c r="J280" s="20">
        <v>107700</v>
      </c>
      <c r="K280" s="20" t="s">
        <v>177</v>
      </c>
      <c r="L280" s="20">
        <v>10770009</v>
      </c>
      <c r="N280" s="20" t="s">
        <v>265</v>
      </c>
      <c r="O280" s="20">
        <v>0</v>
      </c>
      <c r="P280" s="20">
        <v>0</v>
      </c>
      <c r="Q280" s="20">
        <v>0</v>
      </c>
      <c r="R280" s="20">
        <v>1</v>
      </c>
      <c r="T280" s="20">
        <v>100</v>
      </c>
      <c r="AO280" s="20" t="s">
        <v>194</v>
      </c>
      <c r="AP280" s="20">
        <v>0</v>
      </c>
      <c r="CV280" s="20">
        <v>0</v>
      </c>
      <c r="CW280" s="20">
        <v>0</v>
      </c>
      <c r="CX280" s="20" t="s">
        <v>194</v>
      </c>
      <c r="CY280" s="20">
        <v>0</v>
      </c>
      <c r="DB280" s="20">
        <v>0</v>
      </c>
      <c r="DD280" s="20">
        <v>0</v>
      </c>
      <c r="DE280" s="20">
        <v>0</v>
      </c>
      <c r="DF280" s="20">
        <v>0</v>
      </c>
      <c r="DG280" s="20">
        <v>0</v>
      </c>
      <c r="DH280" s="20">
        <v>0</v>
      </c>
      <c r="DI280" s="20" t="b">
        <v>0</v>
      </c>
      <c r="DK280" s="20">
        <v>0</v>
      </c>
      <c r="DM280" s="20" t="s">
        <v>187</v>
      </c>
      <c r="DN280" s="20">
        <v>0</v>
      </c>
      <c r="DO280" s="20">
        <v>0</v>
      </c>
      <c r="DP280" s="20">
        <v>0</v>
      </c>
    </row>
    <row r="281" spans="2:120">
      <c r="B281" s="20" cm="1">
        <f t="array" ref="B281">10000000+INDEX(编号表!$B$1:$B$112,MATCH(D281,编号表!$A$1:$A$112,0))*10000+I281</f>
        <v>10780001</v>
      </c>
      <c r="C281" s="20" t="s">
        <v>266</v>
      </c>
      <c r="D281" s="20" t="s">
        <v>266</v>
      </c>
      <c r="E281" s="20" t="s">
        <v>214</v>
      </c>
      <c r="F281" s="20" t="s">
        <v>267</v>
      </c>
      <c r="G281" s="20">
        <v>1</v>
      </c>
      <c r="H281" s="20" t="b">
        <v>0</v>
      </c>
      <c r="I281" s="20">
        <v>1</v>
      </c>
      <c r="J281" s="20">
        <v>107800</v>
      </c>
      <c r="K281" s="20" t="s">
        <v>177</v>
      </c>
      <c r="M281" s="20">
        <v>10780002</v>
      </c>
      <c r="N281" s="20" t="s">
        <v>268</v>
      </c>
      <c r="O281" s="20">
        <v>0</v>
      </c>
      <c r="P281" s="20">
        <v>0</v>
      </c>
      <c r="Q281" s="20">
        <v>0</v>
      </c>
      <c r="R281" s="20">
        <v>1</v>
      </c>
      <c r="T281" s="20">
        <v>100</v>
      </c>
      <c r="AO281" s="20" t="s">
        <v>194</v>
      </c>
      <c r="AP281" s="20">
        <v>0</v>
      </c>
      <c r="CV281" s="20">
        <v>0</v>
      </c>
      <c r="CW281" s="20">
        <v>0</v>
      </c>
      <c r="CX281" s="20" t="s">
        <v>194</v>
      </c>
      <c r="CY281" s="20">
        <v>0</v>
      </c>
      <c r="DB281" s="20">
        <v>0</v>
      </c>
      <c r="DD281" s="20">
        <v>0</v>
      </c>
      <c r="DE281" s="20">
        <v>0</v>
      </c>
      <c r="DF281" s="20">
        <v>0</v>
      </c>
      <c r="DG281" s="20">
        <v>0</v>
      </c>
      <c r="DH281" s="20">
        <v>0</v>
      </c>
      <c r="DI281" s="20" t="b">
        <v>0</v>
      </c>
      <c r="DK281" s="20">
        <v>0</v>
      </c>
      <c r="DM281" s="20" t="s">
        <v>187</v>
      </c>
      <c r="DN281" s="20">
        <v>0</v>
      </c>
      <c r="DO281" s="20">
        <v>0</v>
      </c>
      <c r="DP281" s="20">
        <v>0</v>
      </c>
    </row>
    <row r="282" spans="2:120">
      <c r="B282" s="20" cm="1">
        <f t="array" ref="B282">10000000+INDEX(编号表!$B$1:$B$112,MATCH(D282,编号表!$A$1:$A$112,0))*10000+I282</f>
        <v>10780002</v>
      </c>
      <c r="C282" s="20" t="s">
        <v>266</v>
      </c>
      <c r="D282" s="20" t="s">
        <v>266</v>
      </c>
      <c r="E282" s="20" t="s">
        <v>214</v>
      </c>
      <c r="F282" s="20" t="s">
        <v>267</v>
      </c>
      <c r="G282" s="20">
        <v>1</v>
      </c>
      <c r="H282" s="20" t="b">
        <v>0</v>
      </c>
      <c r="I282" s="20">
        <v>2</v>
      </c>
      <c r="J282" s="20">
        <v>107800</v>
      </c>
      <c r="K282" s="20" t="s">
        <v>177</v>
      </c>
      <c r="L282" s="20">
        <v>10780001</v>
      </c>
      <c r="M282" s="20">
        <v>10780003</v>
      </c>
      <c r="N282" s="20" t="s">
        <v>268</v>
      </c>
      <c r="O282" s="20">
        <v>0</v>
      </c>
      <c r="P282" s="20">
        <v>0</v>
      </c>
      <c r="Q282" s="20">
        <v>0</v>
      </c>
      <c r="R282" s="20">
        <v>1</v>
      </c>
      <c r="T282" s="20">
        <v>100</v>
      </c>
      <c r="AO282" s="20" t="s">
        <v>194</v>
      </c>
      <c r="AP282" s="20">
        <v>0</v>
      </c>
      <c r="CV282" s="20">
        <v>0</v>
      </c>
      <c r="CW282" s="20">
        <v>0</v>
      </c>
      <c r="CX282" s="20" t="s">
        <v>194</v>
      </c>
      <c r="CY282" s="20">
        <v>0</v>
      </c>
      <c r="DB282" s="20">
        <v>0</v>
      </c>
      <c r="DD282" s="20">
        <v>0</v>
      </c>
      <c r="DE282" s="20">
        <v>0</v>
      </c>
      <c r="DF282" s="20">
        <v>0</v>
      </c>
      <c r="DG282" s="20">
        <v>0</v>
      </c>
      <c r="DH282" s="20">
        <v>0</v>
      </c>
      <c r="DI282" s="20" t="b">
        <v>0</v>
      </c>
      <c r="DK282" s="20">
        <v>0</v>
      </c>
      <c r="DM282" s="20" t="s">
        <v>187</v>
      </c>
      <c r="DN282" s="20">
        <v>0</v>
      </c>
      <c r="DO282" s="20">
        <v>0</v>
      </c>
      <c r="DP282" s="20">
        <v>0</v>
      </c>
    </row>
    <row r="283" spans="2:120">
      <c r="B283" s="20" cm="1">
        <f t="array" ref="B283">10000000+INDEX(编号表!$B$1:$B$112,MATCH(D283,编号表!$A$1:$A$112,0))*10000+I283</f>
        <v>10780003</v>
      </c>
      <c r="C283" s="20" t="s">
        <v>266</v>
      </c>
      <c r="D283" s="20" t="s">
        <v>266</v>
      </c>
      <c r="E283" s="20" t="s">
        <v>214</v>
      </c>
      <c r="F283" s="20" t="s">
        <v>267</v>
      </c>
      <c r="G283" s="20">
        <v>1</v>
      </c>
      <c r="H283" s="20" t="b">
        <v>0</v>
      </c>
      <c r="I283" s="20">
        <v>3</v>
      </c>
      <c r="J283" s="20">
        <v>107800</v>
      </c>
      <c r="K283" s="20" t="s">
        <v>177</v>
      </c>
      <c r="L283" s="20">
        <v>10780002</v>
      </c>
      <c r="M283" s="20">
        <v>10780004</v>
      </c>
      <c r="N283" s="20" t="s">
        <v>268</v>
      </c>
      <c r="O283" s="20">
        <v>0</v>
      </c>
      <c r="P283" s="20">
        <v>0</v>
      </c>
      <c r="Q283" s="20">
        <v>0</v>
      </c>
      <c r="R283" s="20">
        <v>1</v>
      </c>
      <c r="T283" s="20">
        <v>100</v>
      </c>
      <c r="AO283" s="20" t="s">
        <v>194</v>
      </c>
      <c r="AP283" s="20">
        <v>0</v>
      </c>
      <c r="CV283" s="20">
        <v>0</v>
      </c>
      <c r="CW283" s="20">
        <v>0</v>
      </c>
      <c r="CX283" s="20" t="s">
        <v>194</v>
      </c>
      <c r="CY283" s="20">
        <v>0</v>
      </c>
      <c r="DB283" s="20">
        <v>0</v>
      </c>
      <c r="DD283" s="20">
        <v>0</v>
      </c>
      <c r="DE283" s="20">
        <v>0</v>
      </c>
      <c r="DF283" s="20">
        <v>0</v>
      </c>
      <c r="DG283" s="20">
        <v>0</v>
      </c>
      <c r="DH283" s="20">
        <v>0</v>
      </c>
      <c r="DI283" s="20" t="b">
        <v>0</v>
      </c>
      <c r="DK283" s="20">
        <v>0</v>
      </c>
      <c r="DM283" s="20" t="s">
        <v>187</v>
      </c>
      <c r="DN283" s="20">
        <v>0</v>
      </c>
      <c r="DO283" s="20">
        <v>0</v>
      </c>
      <c r="DP283" s="20">
        <v>0</v>
      </c>
    </row>
    <row r="284" spans="2:120">
      <c r="B284" s="20" cm="1">
        <f t="array" ref="B284">10000000+INDEX(编号表!$B$1:$B$112,MATCH(D284,编号表!$A$1:$A$112,0))*10000+I284</f>
        <v>10780004</v>
      </c>
      <c r="C284" s="20" t="s">
        <v>266</v>
      </c>
      <c r="D284" s="20" t="s">
        <v>266</v>
      </c>
      <c r="E284" s="20" t="s">
        <v>214</v>
      </c>
      <c r="F284" s="20" t="s">
        <v>267</v>
      </c>
      <c r="G284" s="20">
        <v>1</v>
      </c>
      <c r="H284" s="20" t="b">
        <v>0</v>
      </c>
      <c r="I284" s="20">
        <v>4</v>
      </c>
      <c r="J284" s="20">
        <v>107800</v>
      </c>
      <c r="K284" s="20" t="s">
        <v>177</v>
      </c>
      <c r="L284" s="20">
        <v>10780003</v>
      </c>
      <c r="M284" s="20">
        <v>10780005</v>
      </c>
      <c r="N284" s="20" t="s">
        <v>268</v>
      </c>
      <c r="O284" s="20">
        <v>0</v>
      </c>
      <c r="P284" s="20">
        <v>0</v>
      </c>
      <c r="Q284" s="20">
        <v>0</v>
      </c>
      <c r="R284" s="20">
        <v>1</v>
      </c>
      <c r="T284" s="20">
        <v>100</v>
      </c>
      <c r="AO284" s="20" t="s">
        <v>194</v>
      </c>
      <c r="AP284" s="20">
        <v>0</v>
      </c>
      <c r="CV284" s="20">
        <v>0</v>
      </c>
      <c r="CW284" s="20">
        <v>0</v>
      </c>
      <c r="CX284" s="20" t="s">
        <v>194</v>
      </c>
      <c r="CY284" s="20">
        <v>0</v>
      </c>
      <c r="DB284" s="20">
        <v>0</v>
      </c>
      <c r="DD284" s="20">
        <v>0</v>
      </c>
      <c r="DE284" s="20">
        <v>0</v>
      </c>
      <c r="DF284" s="20">
        <v>0</v>
      </c>
      <c r="DG284" s="20">
        <v>0</v>
      </c>
      <c r="DH284" s="20">
        <v>0</v>
      </c>
      <c r="DI284" s="20" t="b">
        <v>0</v>
      </c>
      <c r="DK284" s="20">
        <v>0</v>
      </c>
      <c r="DM284" s="20" t="s">
        <v>187</v>
      </c>
      <c r="DN284" s="20">
        <v>0</v>
      </c>
      <c r="DO284" s="20">
        <v>0</v>
      </c>
      <c r="DP284" s="20">
        <v>0</v>
      </c>
    </row>
    <row r="285" spans="2:120">
      <c r="B285" s="20" cm="1">
        <f t="array" ref="B285">10000000+INDEX(编号表!$B$1:$B$112,MATCH(D285,编号表!$A$1:$A$112,0))*10000+I285</f>
        <v>10780005</v>
      </c>
      <c r="C285" s="20" t="s">
        <v>266</v>
      </c>
      <c r="D285" s="20" t="s">
        <v>266</v>
      </c>
      <c r="E285" s="20" t="s">
        <v>214</v>
      </c>
      <c r="F285" s="20" t="s">
        <v>267</v>
      </c>
      <c r="G285" s="20">
        <v>1</v>
      </c>
      <c r="H285" s="20" t="b">
        <v>0</v>
      </c>
      <c r="I285" s="20">
        <v>5</v>
      </c>
      <c r="J285" s="20">
        <v>107800</v>
      </c>
      <c r="K285" s="20" t="s">
        <v>177</v>
      </c>
      <c r="L285" s="20">
        <v>10780004</v>
      </c>
      <c r="M285" s="20">
        <v>10780006</v>
      </c>
      <c r="N285" s="20" t="s">
        <v>268</v>
      </c>
      <c r="O285" s="20">
        <v>0</v>
      </c>
      <c r="P285" s="20">
        <v>0</v>
      </c>
      <c r="Q285" s="20">
        <v>0</v>
      </c>
      <c r="R285" s="20">
        <v>1</v>
      </c>
      <c r="T285" s="20">
        <v>100</v>
      </c>
      <c r="AO285" s="20" t="s">
        <v>194</v>
      </c>
      <c r="AP285" s="20">
        <v>0</v>
      </c>
      <c r="CV285" s="20">
        <v>0</v>
      </c>
      <c r="CW285" s="20">
        <v>0</v>
      </c>
      <c r="CX285" s="20" t="s">
        <v>194</v>
      </c>
      <c r="CY285" s="20">
        <v>0</v>
      </c>
      <c r="DB285" s="20">
        <v>0</v>
      </c>
      <c r="DD285" s="20">
        <v>0</v>
      </c>
      <c r="DE285" s="20">
        <v>0</v>
      </c>
      <c r="DF285" s="20">
        <v>0</v>
      </c>
      <c r="DG285" s="20">
        <v>0</v>
      </c>
      <c r="DH285" s="20">
        <v>0</v>
      </c>
      <c r="DI285" s="20" t="b">
        <v>0</v>
      </c>
      <c r="DK285" s="20">
        <v>0</v>
      </c>
      <c r="DM285" s="20" t="s">
        <v>187</v>
      </c>
      <c r="DN285" s="20">
        <v>0</v>
      </c>
      <c r="DO285" s="20">
        <v>0</v>
      </c>
      <c r="DP285" s="20">
        <v>0</v>
      </c>
    </row>
    <row r="286" spans="2:120">
      <c r="B286" s="20" cm="1">
        <f t="array" ref="B286">10000000+INDEX(编号表!$B$1:$B$112,MATCH(D286,编号表!$A$1:$A$112,0))*10000+I286</f>
        <v>10780006</v>
      </c>
      <c r="C286" s="20" t="s">
        <v>266</v>
      </c>
      <c r="D286" s="20" t="s">
        <v>266</v>
      </c>
      <c r="E286" s="20" t="s">
        <v>214</v>
      </c>
      <c r="F286" s="20" t="s">
        <v>267</v>
      </c>
      <c r="G286" s="20">
        <v>1</v>
      </c>
      <c r="H286" s="20" t="b">
        <v>0</v>
      </c>
      <c r="I286" s="20">
        <v>6</v>
      </c>
      <c r="J286" s="20">
        <v>107800</v>
      </c>
      <c r="K286" s="20" t="s">
        <v>177</v>
      </c>
      <c r="L286" s="20">
        <v>10780005</v>
      </c>
      <c r="M286" s="20">
        <v>10780007</v>
      </c>
      <c r="N286" s="20" t="s">
        <v>268</v>
      </c>
      <c r="O286" s="20">
        <v>0</v>
      </c>
      <c r="P286" s="20">
        <v>0</v>
      </c>
      <c r="Q286" s="20">
        <v>0</v>
      </c>
      <c r="R286" s="20">
        <v>1</v>
      </c>
      <c r="T286" s="20">
        <v>100</v>
      </c>
      <c r="AO286" s="20" t="s">
        <v>194</v>
      </c>
      <c r="AP286" s="20">
        <v>0</v>
      </c>
      <c r="CV286" s="20">
        <v>0</v>
      </c>
      <c r="CW286" s="20">
        <v>0</v>
      </c>
      <c r="CX286" s="20" t="s">
        <v>194</v>
      </c>
      <c r="CY286" s="20">
        <v>0</v>
      </c>
      <c r="DB286" s="20">
        <v>0</v>
      </c>
      <c r="DD286" s="20">
        <v>0</v>
      </c>
      <c r="DE286" s="20">
        <v>0</v>
      </c>
      <c r="DF286" s="20">
        <v>0</v>
      </c>
      <c r="DG286" s="20">
        <v>0</v>
      </c>
      <c r="DH286" s="20">
        <v>0</v>
      </c>
      <c r="DI286" s="20" t="b">
        <v>0</v>
      </c>
      <c r="DK286" s="20">
        <v>0</v>
      </c>
      <c r="DM286" s="20" t="s">
        <v>187</v>
      </c>
      <c r="DN286" s="20">
        <v>0</v>
      </c>
      <c r="DO286" s="20">
        <v>0</v>
      </c>
      <c r="DP286" s="20">
        <v>0</v>
      </c>
    </row>
    <row r="287" spans="2:120">
      <c r="B287" s="20" cm="1">
        <f t="array" ref="B287">10000000+INDEX(编号表!$B$1:$B$112,MATCH(D287,编号表!$A$1:$A$112,0))*10000+I287</f>
        <v>10780007</v>
      </c>
      <c r="C287" s="20" t="s">
        <v>266</v>
      </c>
      <c r="D287" s="20" t="s">
        <v>266</v>
      </c>
      <c r="E287" s="20" t="s">
        <v>214</v>
      </c>
      <c r="F287" s="20" t="s">
        <v>267</v>
      </c>
      <c r="G287" s="20">
        <v>1</v>
      </c>
      <c r="H287" s="20" t="b">
        <v>0</v>
      </c>
      <c r="I287" s="20">
        <v>7</v>
      </c>
      <c r="J287" s="20">
        <v>107800</v>
      </c>
      <c r="K287" s="20" t="s">
        <v>177</v>
      </c>
      <c r="L287" s="20">
        <v>10780006</v>
      </c>
      <c r="M287" s="20">
        <v>10780008</v>
      </c>
      <c r="N287" s="20" t="s">
        <v>268</v>
      </c>
      <c r="O287" s="20">
        <v>0</v>
      </c>
      <c r="P287" s="20">
        <v>0</v>
      </c>
      <c r="Q287" s="20">
        <v>0</v>
      </c>
      <c r="R287" s="20">
        <v>1</v>
      </c>
      <c r="T287" s="20">
        <v>100</v>
      </c>
      <c r="AO287" s="20" t="s">
        <v>194</v>
      </c>
      <c r="AP287" s="20">
        <v>0</v>
      </c>
      <c r="CV287" s="20">
        <v>0</v>
      </c>
      <c r="CW287" s="20">
        <v>0</v>
      </c>
      <c r="CX287" s="20" t="s">
        <v>194</v>
      </c>
      <c r="CY287" s="20">
        <v>0</v>
      </c>
      <c r="DB287" s="20">
        <v>0</v>
      </c>
      <c r="DD287" s="20">
        <v>0</v>
      </c>
      <c r="DE287" s="20">
        <v>0</v>
      </c>
      <c r="DF287" s="20">
        <v>0</v>
      </c>
      <c r="DG287" s="20">
        <v>0</v>
      </c>
      <c r="DH287" s="20">
        <v>0</v>
      </c>
      <c r="DI287" s="20" t="b">
        <v>0</v>
      </c>
      <c r="DK287" s="20">
        <v>0</v>
      </c>
      <c r="DM287" s="20" t="s">
        <v>187</v>
      </c>
      <c r="DN287" s="20">
        <v>0</v>
      </c>
      <c r="DO287" s="20">
        <v>0</v>
      </c>
      <c r="DP287" s="20">
        <v>0</v>
      </c>
    </row>
    <row r="288" spans="2:120">
      <c r="B288" s="20" cm="1">
        <f t="array" ref="B288">10000000+INDEX(编号表!$B$1:$B$112,MATCH(D288,编号表!$A$1:$A$112,0))*10000+I288</f>
        <v>10780008</v>
      </c>
      <c r="C288" s="20" t="s">
        <v>266</v>
      </c>
      <c r="D288" s="20" t="s">
        <v>266</v>
      </c>
      <c r="E288" s="20" t="s">
        <v>214</v>
      </c>
      <c r="F288" s="20" t="s">
        <v>267</v>
      </c>
      <c r="G288" s="20">
        <v>1</v>
      </c>
      <c r="H288" s="20" t="b">
        <v>0</v>
      </c>
      <c r="I288" s="20">
        <v>8</v>
      </c>
      <c r="J288" s="20">
        <v>107800</v>
      </c>
      <c r="K288" s="20" t="s">
        <v>177</v>
      </c>
      <c r="L288" s="20">
        <v>10780007</v>
      </c>
      <c r="M288" s="20">
        <v>10780009</v>
      </c>
      <c r="N288" s="20" t="s">
        <v>268</v>
      </c>
      <c r="O288" s="20">
        <v>0</v>
      </c>
      <c r="P288" s="20">
        <v>0</v>
      </c>
      <c r="Q288" s="20">
        <v>0</v>
      </c>
      <c r="R288" s="20">
        <v>1</v>
      </c>
      <c r="T288" s="20">
        <v>100</v>
      </c>
      <c r="AO288" s="20" t="s">
        <v>194</v>
      </c>
      <c r="AP288" s="20">
        <v>0</v>
      </c>
      <c r="CV288" s="20">
        <v>0</v>
      </c>
      <c r="CW288" s="20">
        <v>0</v>
      </c>
      <c r="CX288" s="20" t="s">
        <v>194</v>
      </c>
      <c r="CY288" s="20">
        <v>0</v>
      </c>
      <c r="DB288" s="20">
        <v>0</v>
      </c>
      <c r="DD288" s="20">
        <v>0</v>
      </c>
      <c r="DE288" s="20">
        <v>0</v>
      </c>
      <c r="DF288" s="20">
        <v>0</v>
      </c>
      <c r="DG288" s="20">
        <v>0</v>
      </c>
      <c r="DH288" s="20">
        <v>0</v>
      </c>
      <c r="DI288" s="20" t="b">
        <v>0</v>
      </c>
      <c r="DK288" s="20">
        <v>0</v>
      </c>
      <c r="DM288" s="20" t="s">
        <v>187</v>
      </c>
      <c r="DN288" s="20">
        <v>0</v>
      </c>
      <c r="DO288" s="20">
        <v>0</v>
      </c>
      <c r="DP288" s="20">
        <v>0</v>
      </c>
    </row>
    <row r="289" spans="2:120">
      <c r="B289" s="20" cm="1">
        <f t="array" ref="B289">10000000+INDEX(编号表!$B$1:$B$112,MATCH(D289,编号表!$A$1:$A$112,0))*10000+I289</f>
        <v>10780009</v>
      </c>
      <c r="C289" s="20" t="s">
        <v>266</v>
      </c>
      <c r="D289" s="20" t="s">
        <v>266</v>
      </c>
      <c r="E289" s="20" t="s">
        <v>214</v>
      </c>
      <c r="F289" s="20" t="s">
        <v>267</v>
      </c>
      <c r="G289" s="20">
        <v>1</v>
      </c>
      <c r="H289" s="20" t="b">
        <v>0</v>
      </c>
      <c r="I289" s="20">
        <v>9</v>
      </c>
      <c r="J289" s="20">
        <v>107800</v>
      </c>
      <c r="K289" s="20" t="s">
        <v>177</v>
      </c>
      <c r="L289" s="20">
        <v>10780008</v>
      </c>
      <c r="M289" s="20">
        <v>10780010</v>
      </c>
      <c r="N289" s="20" t="s">
        <v>268</v>
      </c>
      <c r="O289" s="20">
        <v>0</v>
      </c>
      <c r="P289" s="20">
        <v>0</v>
      </c>
      <c r="Q289" s="20">
        <v>0</v>
      </c>
      <c r="R289" s="20">
        <v>1</v>
      </c>
      <c r="T289" s="20">
        <v>100</v>
      </c>
      <c r="AO289" s="20" t="s">
        <v>194</v>
      </c>
      <c r="AP289" s="20">
        <v>0</v>
      </c>
      <c r="CV289" s="20">
        <v>0</v>
      </c>
      <c r="CW289" s="20">
        <v>0</v>
      </c>
      <c r="CX289" s="20" t="s">
        <v>194</v>
      </c>
      <c r="CY289" s="20">
        <v>0</v>
      </c>
      <c r="DB289" s="20">
        <v>0</v>
      </c>
      <c r="DD289" s="20">
        <v>0</v>
      </c>
      <c r="DE289" s="20">
        <v>0</v>
      </c>
      <c r="DF289" s="20">
        <v>0</v>
      </c>
      <c r="DG289" s="20">
        <v>0</v>
      </c>
      <c r="DH289" s="20">
        <v>0</v>
      </c>
      <c r="DI289" s="20" t="b">
        <v>0</v>
      </c>
      <c r="DK289" s="20">
        <v>0</v>
      </c>
      <c r="DM289" s="20" t="s">
        <v>187</v>
      </c>
      <c r="DN289" s="20">
        <v>0</v>
      </c>
      <c r="DO289" s="20">
        <v>0</v>
      </c>
      <c r="DP289" s="20">
        <v>0</v>
      </c>
    </row>
    <row r="290" spans="2:120">
      <c r="B290" s="20" cm="1">
        <f t="array" ref="B290">10000000+INDEX(编号表!$B$1:$B$112,MATCH(D290,编号表!$A$1:$A$112,0))*10000+I290</f>
        <v>10780010</v>
      </c>
      <c r="C290" s="20" t="s">
        <v>266</v>
      </c>
      <c r="D290" s="20" t="s">
        <v>266</v>
      </c>
      <c r="E290" s="20" t="s">
        <v>214</v>
      </c>
      <c r="F290" s="20" t="s">
        <v>267</v>
      </c>
      <c r="G290" s="20">
        <v>1</v>
      </c>
      <c r="H290" s="20" t="b">
        <v>0</v>
      </c>
      <c r="I290" s="20">
        <v>10</v>
      </c>
      <c r="J290" s="20">
        <v>107800</v>
      </c>
      <c r="K290" s="20" t="s">
        <v>177</v>
      </c>
      <c r="L290" s="20">
        <v>10780009</v>
      </c>
      <c r="N290" s="20" t="s">
        <v>268</v>
      </c>
      <c r="O290" s="20">
        <v>0</v>
      </c>
      <c r="P290" s="20">
        <v>0</v>
      </c>
      <c r="Q290" s="20">
        <v>0</v>
      </c>
      <c r="R290" s="20">
        <v>1</v>
      </c>
      <c r="T290" s="20">
        <v>100</v>
      </c>
      <c r="AO290" s="20" t="s">
        <v>194</v>
      </c>
      <c r="AP290" s="20">
        <v>0</v>
      </c>
      <c r="CV290" s="20">
        <v>0</v>
      </c>
      <c r="CW290" s="20">
        <v>0</v>
      </c>
      <c r="CX290" s="20" t="s">
        <v>194</v>
      </c>
      <c r="CY290" s="20">
        <v>0</v>
      </c>
      <c r="DB290" s="20">
        <v>0</v>
      </c>
      <c r="DD290" s="20">
        <v>0</v>
      </c>
      <c r="DE290" s="20">
        <v>0</v>
      </c>
      <c r="DF290" s="20">
        <v>0</v>
      </c>
      <c r="DG290" s="20">
        <v>0</v>
      </c>
      <c r="DH290" s="20">
        <v>0</v>
      </c>
      <c r="DI290" s="20" t="b">
        <v>0</v>
      </c>
      <c r="DK290" s="20">
        <v>0</v>
      </c>
      <c r="DM290" s="20" t="s">
        <v>187</v>
      </c>
      <c r="DN290" s="20">
        <v>0</v>
      </c>
      <c r="DO290" s="20">
        <v>0</v>
      </c>
      <c r="DP290" s="20">
        <v>0</v>
      </c>
    </row>
    <row r="291" spans="2:120">
      <c r="B291" s="20" cm="1">
        <f t="array" ref="B291">10000000+INDEX(编号表!$B$1:$B$112,MATCH(D291,编号表!$A$1:$A$112,0))*10000+I291</f>
        <v>10790001</v>
      </c>
      <c r="C291" s="20" t="s">
        <v>269</v>
      </c>
      <c r="D291" s="20" t="s">
        <v>269</v>
      </c>
      <c r="E291" s="20" t="s">
        <v>214</v>
      </c>
      <c r="F291" s="20" t="s">
        <v>191</v>
      </c>
      <c r="G291" s="20">
        <v>1</v>
      </c>
      <c r="H291" s="20" t="b">
        <v>0</v>
      </c>
      <c r="I291" s="20">
        <v>1</v>
      </c>
      <c r="J291" s="20">
        <v>107900</v>
      </c>
      <c r="K291" s="20" t="s">
        <v>177</v>
      </c>
      <c r="M291" s="20">
        <v>10790002</v>
      </c>
      <c r="N291" s="20" t="s">
        <v>270</v>
      </c>
      <c r="O291" s="20">
        <v>0</v>
      </c>
      <c r="P291" s="20">
        <v>0</v>
      </c>
      <c r="Q291" s="20">
        <v>0</v>
      </c>
      <c r="R291" s="20">
        <v>1</v>
      </c>
      <c r="T291" s="20">
        <v>100</v>
      </c>
      <c r="AO291" s="20" t="s">
        <v>194</v>
      </c>
      <c r="AP291" s="20">
        <v>0</v>
      </c>
      <c r="CV291" s="20">
        <v>0</v>
      </c>
      <c r="CW291" s="20">
        <v>0</v>
      </c>
      <c r="CX291" s="20" t="s">
        <v>194</v>
      </c>
      <c r="CY291" s="20">
        <v>0</v>
      </c>
      <c r="DB291" s="20">
        <v>0</v>
      </c>
      <c r="DD291" s="20">
        <v>0</v>
      </c>
      <c r="DE291" s="20">
        <v>0</v>
      </c>
      <c r="DF291" s="20">
        <v>0</v>
      </c>
      <c r="DG291" s="20">
        <v>0</v>
      </c>
      <c r="DH291" s="20">
        <v>0</v>
      </c>
      <c r="DI291" s="20" t="b">
        <v>0</v>
      </c>
      <c r="DK291" s="20">
        <v>0</v>
      </c>
      <c r="DM291" s="20" t="s">
        <v>187</v>
      </c>
      <c r="DN291" s="20">
        <v>0</v>
      </c>
      <c r="DO291" s="20">
        <v>0</v>
      </c>
      <c r="DP291" s="20">
        <v>0</v>
      </c>
    </row>
    <row r="292" spans="2:120">
      <c r="B292" s="20" cm="1">
        <f t="array" ref="B292">10000000+INDEX(编号表!$B$1:$B$112,MATCH(D292,编号表!$A$1:$A$112,0))*10000+I292</f>
        <v>10790002</v>
      </c>
      <c r="C292" s="20" t="s">
        <v>269</v>
      </c>
      <c r="D292" s="20" t="s">
        <v>269</v>
      </c>
      <c r="E292" s="20" t="s">
        <v>214</v>
      </c>
      <c r="F292" s="20" t="s">
        <v>191</v>
      </c>
      <c r="G292" s="20">
        <v>1</v>
      </c>
      <c r="H292" s="20" t="b">
        <v>0</v>
      </c>
      <c r="I292" s="20">
        <v>2</v>
      </c>
      <c r="J292" s="20">
        <v>107900</v>
      </c>
      <c r="K292" s="20" t="s">
        <v>177</v>
      </c>
      <c r="L292" s="20">
        <v>10790001</v>
      </c>
      <c r="M292" s="20">
        <v>10790003</v>
      </c>
      <c r="N292" s="20" t="s">
        <v>270</v>
      </c>
      <c r="O292" s="20">
        <v>0</v>
      </c>
      <c r="P292" s="20">
        <v>0</v>
      </c>
      <c r="Q292" s="20">
        <v>0</v>
      </c>
      <c r="R292" s="20">
        <v>1</v>
      </c>
      <c r="T292" s="20">
        <v>100</v>
      </c>
      <c r="AO292" s="20" t="s">
        <v>194</v>
      </c>
      <c r="AP292" s="20">
        <v>0</v>
      </c>
      <c r="CV292" s="20">
        <v>0</v>
      </c>
      <c r="CW292" s="20">
        <v>0</v>
      </c>
      <c r="CX292" s="20" t="s">
        <v>194</v>
      </c>
      <c r="CY292" s="20">
        <v>0</v>
      </c>
      <c r="DB292" s="20">
        <v>0</v>
      </c>
      <c r="DD292" s="20">
        <v>0</v>
      </c>
      <c r="DE292" s="20">
        <v>0</v>
      </c>
      <c r="DF292" s="20">
        <v>0</v>
      </c>
      <c r="DG292" s="20">
        <v>0</v>
      </c>
      <c r="DH292" s="20">
        <v>0</v>
      </c>
      <c r="DI292" s="20" t="b">
        <v>0</v>
      </c>
      <c r="DK292" s="20">
        <v>0</v>
      </c>
      <c r="DM292" s="20" t="s">
        <v>187</v>
      </c>
      <c r="DN292" s="20">
        <v>0</v>
      </c>
      <c r="DO292" s="20">
        <v>0</v>
      </c>
      <c r="DP292" s="20">
        <v>0</v>
      </c>
    </row>
    <row r="293" spans="2:120">
      <c r="B293" s="20" cm="1">
        <f t="array" ref="B293">10000000+INDEX(编号表!$B$1:$B$112,MATCH(D293,编号表!$A$1:$A$112,0))*10000+I293</f>
        <v>10790003</v>
      </c>
      <c r="C293" s="20" t="s">
        <v>269</v>
      </c>
      <c r="D293" s="20" t="s">
        <v>269</v>
      </c>
      <c r="E293" s="20" t="s">
        <v>214</v>
      </c>
      <c r="F293" s="20" t="s">
        <v>191</v>
      </c>
      <c r="G293" s="20">
        <v>1</v>
      </c>
      <c r="H293" s="20" t="b">
        <v>0</v>
      </c>
      <c r="I293" s="20">
        <v>3</v>
      </c>
      <c r="J293" s="20">
        <v>107900</v>
      </c>
      <c r="K293" s="20" t="s">
        <v>177</v>
      </c>
      <c r="L293" s="20">
        <v>10790002</v>
      </c>
      <c r="M293" s="20">
        <v>10790004</v>
      </c>
      <c r="N293" s="20" t="s">
        <v>270</v>
      </c>
      <c r="O293" s="20">
        <v>0</v>
      </c>
      <c r="P293" s="20">
        <v>0</v>
      </c>
      <c r="Q293" s="20">
        <v>0</v>
      </c>
      <c r="R293" s="20">
        <v>1</v>
      </c>
      <c r="T293" s="20">
        <v>100</v>
      </c>
      <c r="AO293" s="20" t="s">
        <v>194</v>
      </c>
      <c r="AP293" s="20">
        <v>0</v>
      </c>
      <c r="CV293" s="20">
        <v>0</v>
      </c>
      <c r="CW293" s="20">
        <v>0</v>
      </c>
      <c r="CX293" s="20" t="s">
        <v>194</v>
      </c>
      <c r="CY293" s="20">
        <v>0</v>
      </c>
      <c r="DB293" s="20">
        <v>0</v>
      </c>
      <c r="DD293" s="20">
        <v>0</v>
      </c>
      <c r="DE293" s="20">
        <v>0</v>
      </c>
      <c r="DF293" s="20">
        <v>0</v>
      </c>
      <c r="DG293" s="20">
        <v>0</v>
      </c>
      <c r="DH293" s="20">
        <v>0</v>
      </c>
      <c r="DI293" s="20" t="b">
        <v>0</v>
      </c>
      <c r="DK293" s="20">
        <v>0</v>
      </c>
      <c r="DM293" s="20" t="s">
        <v>187</v>
      </c>
      <c r="DN293" s="20">
        <v>0</v>
      </c>
      <c r="DO293" s="20">
        <v>0</v>
      </c>
      <c r="DP293" s="20">
        <v>0</v>
      </c>
    </row>
    <row r="294" spans="2:120">
      <c r="B294" s="20" cm="1">
        <f t="array" ref="B294">10000000+INDEX(编号表!$B$1:$B$112,MATCH(D294,编号表!$A$1:$A$112,0))*10000+I294</f>
        <v>10790004</v>
      </c>
      <c r="C294" s="20" t="s">
        <v>269</v>
      </c>
      <c r="D294" s="20" t="s">
        <v>269</v>
      </c>
      <c r="E294" s="20" t="s">
        <v>214</v>
      </c>
      <c r="F294" s="20" t="s">
        <v>191</v>
      </c>
      <c r="G294" s="20">
        <v>1</v>
      </c>
      <c r="H294" s="20" t="b">
        <v>0</v>
      </c>
      <c r="I294" s="20">
        <v>4</v>
      </c>
      <c r="J294" s="20">
        <v>107900</v>
      </c>
      <c r="K294" s="20" t="s">
        <v>177</v>
      </c>
      <c r="L294" s="20">
        <v>10790003</v>
      </c>
      <c r="M294" s="20">
        <v>10790005</v>
      </c>
      <c r="N294" s="20" t="s">
        <v>270</v>
      </c>
      <c r="O294" s="20">
        <v>0</v>
      </c>
      <c r="P294" s="20">
        <v>0</v>
      </c>
      <c r="Q294" s="20">
        <v>0</v>
      </c>
      <c r="R294" s="20">
        <v>1</v>
      </c>
      <c r="T294" s="20">
        <v>100</v>
      </c>
      <c r="AO294" s="20" t="s">
        <v>194</v>
      </c>
      <c r="AP294" s="20">
        <v>0</v>
      </c>
      <c r="CV294" s="20">
        <v>0</v>
      </c>
      <c r="CW294" s="20">
        <v>0</v>
      </c>
      <c r="CX294" s="20" t="s">
        <v>194</v>
      </c>
      <c r="CY294" s="20">
        <v>0</v>
      </c>
      <c r="DB294" s="20">
        <v>0</v>
      </c>
      <c r="DD294" s="20">
        <v>0</v>
      </c>
      <c r="DE294" s="20">
        <v>0</v>
      </c>
      <c r="DF294" s="20">
        <v>0</v>
      </c>
      <c r="DG294" s="20">
        <v>0</v>
      </c>
      <c r="DH294" s="20">
        <v>0</v>
      </c>
      <c r="DI294" s="20" t="b">
        <v>0</v>
      </c>
      <c r="DK294" s="20">
        <v>0</v>
      </c>
      <c r="DM294" s="20" t="s">
        <v>187</v>
      </c>
      <c r="DN294" s="20">
        <v>0</v>
      </c>
      <c r="DO294" s="20">
        <v>0</v>
      </c>
      <c r="DP294" s="20">
        <v>0</v>
      </c>
    </row>
    <row r="295" spans="2:120">
      <c r="B295" s="20" cm="1">
        <f t="array" ref="B295">10000000+INDEX(编号表!$B$1:$B$112,MATCH(D295,编号表!$A$1:$A$112,0))*10000+I295</f>
        <v>10790005</v>
      </c>
      <c r="C295" s="20" t="s">
        <v>269</v>
      </c>
      <c r="D295" s="20" t="s">
        <v>269</v>
      </c>
      <c r="E295" s="20" t="s">
        <v>214</v>
      </c>
      <c r="F295" s="20" t="s">
        <v>191</v>
      </c>
      <c r="G295" s="20">
        <v>1</v>
      </c>
      <c r="H295" s="20" t="b">
        <v>0</v>
      </c>
      <c r="I295" s="20">
        <v>5</v>
      </c>
      <c r="J295" s="20">
        <v>107900</v>
      </c>
      <c r="K295" s="20" t="s">
        <v>177</v>
      </c>
      <c r="L295" s="20">
        <v>10790004</v>
      </c>
      <c r="M295" s="20">
        <v>10790006</v>
      </c>
      <c r="N295" s="20" t="s">
        <v>270</v>
      </c>
      <c r="O295" s="20">
        <v>0</v>
      </c>
      <c r="P295" s="20">
        <v>0</v>
      </c>
      <c r="Q295" s="20">
        <v>0</v>
      </c>
      <c r="R295" s="20">
        <v>1</v>
      </c>
      <c r="T295" s="20">
        <v>100</v>
      </c>
      <c r="AO295" s="20" t="s">
        <v>194</v>
      </c>
      <c r="AP295" s="20">
        <v>0</v>
      </c>
      <c r="CV295" s="20">
        <v>0</v>
      </c>
      <c r="CW295" s="20">
        <v>0</v>
      </c>
      <c r="CX295" s="20" t="s">
        <v>194</v>
      </c>
      <c r="CY295" s="20">
        <v>0</v>
      </c>
      <c r="DB295" s="20">
        <v>0</v>
      </c>
      <c r="DD295" s="20">
        <v>0</v>
      </c>
      <c r="DE295" s="20">
        <v>0</v>
      </c>
      <c r="DF295" s="20">
        <v>0</v>
      </c>
      <c r="DG295" s="20">
        <v>0</v>
      </c>
      <c r="DH295" s="20">
        <v>0</v>
      </c>
      <c r="DI295" s="20" t="b">
        <v>0</v>
      </c>
      <c r="DK295" s="20">
        <v>0</v>
      </c>
      <c r="DM295" s="20" t="s">
        <v>187</v>
      </c>
      <c r="DN295" s="20">
        <v>0</v>
      </c>
      <c r="DO295" s="20">
        <v>0</v>
      </c>
      <c r="DP295" s="20">
        <v>0</v>
      </c>
    </row>
    <row r="296" spans="2:120">
      <c r="B296" s="20" cm="1">
        <f t="array" ref="B296">10000000+INDEX(编号表!$B$1:$B$112,MATCH(D296,编号表!$A$1:$A$112,0))*10000+I296</f>
        <v>10790006</v>
      </c>
      <c r="C296" s="20" t="s">
        <v>269</v>
      </c>
      <c r="D296" s="20" t="s">
        <v>269</v>
      </c>
      <c r="E296" s="20" t="s">
        <v>214</v>
      </c>
      <c r="F296" s="20" t="s">
        <v>191</v>
      </c>
      <c r="G296" s="20">
        <v>1</v>
      </c>
      <c r="H296" s="20" t="b">
        <v>0</v>
      </c>
      <c r="I296" s="20">
        <v>6</v>
      </c>
      <c r="J296" s="20">
        <v>107900</v>
      </c>
      <c r="K296" s="20" t="s">
        <v>177</v>
      </c>
      <c r="L296" s="20">
        <v>10790005</v>
      </c>
      <c r="M296" s="20">
        <v>10790007</v>
      </c>
      <c r="N296" s="20" t="s">
        <v>270</v>
      </c>
      <c r="O296" s="20">
        <v>0</v>
      </c>
      <c r="P296" s="20">
        <v>0</v>
      </c>
      <c r="Q296" s="20">
        <v>0</v>
      </c>
      <c r="R296" s="20">
        <v>1</v>
      </c>
      <c r="T296" s="20">
        <v>100</v>
      </c>
      <c r="AO296" s="20" t="s">
        <v>194</v>
      </c>
      <c r="AP296" s="20">
        <v>0</v>
      </c>
      <c r="CV296" s="20">
        <v>0</v>
      </c>
      <c r="CW296" s="20">
        <v>0</v>
      </c>
      <c r="CX296" s="20" t="s">
        <v>194</v>
      </c>
      <c r="CY296" s="20">
        <v>0</v>
      </c>
      <c r="DB296" s="20">
        <v>0</v>
      </c>
      <c r="DD296" s="20">
        <v>0</v>
      </c>
      <c r="DE296" s="20">
        <v>0</v>
      </c>
      <c r="DF296" s="20">
        <v>0</v>
      </c>
      <c r="DG296" s="20">
        <v>0</v>
      </c>
      <c r="DH296" s="20">
        <v>0</v>
      </c>
      <c r="DI296" s="20" t="b">
        <v>0</v>
      </c>
      <c r="DK296" s="20">
        <v>0</v>
      </c>
      <c r="DM296" s="20" t="s">
        <v>187</v>
      </c>
      <c r="DN296" s="20">
        <v>0</v>
      </c>
      <c r="DO296" s="20">
        <v>0</v>
      </c>
      <c r="DP296" s="20">
        <v>0</v>
      </c>
    </row>
    <row r="297" spans="2:120">
      <c r="B297" s="20" cm="1">
        <f t="array" ref="B297">10000000+INDEX(编号表!$B$1:$B$112,MATCH(D297,编号表!$A$1:$A$112,0))*10000+I297</f>
        <v>10790007</v>
      </c>
      <c r="C297" s="20" t="s">
        <v>269</v>
      </c>
      <c r="D297" s="20" t="s">
        <v>269</v>
      </c>
      <c r="E297" s="20" t="s">
        <v>214</v>
      </c>
      <c r="F297" s="20" t="s">
        <v>191</v>
      </c>
      <c r="G297" s="20">
        <v>1</v>
      </c>
      <c r="H297" s="20" t="b">
        <v>0</v>
      </c>
      <c r="I297" s="20">
        <v>7</v>
      </c>
      <c r="J297" s="20">
        <v>107900</v>
      </c>
      <c r="K297" s="20" t="s">
        <v>177</v>
      </c>
      <c r="L297" s="20">
        <v>10790006</v>
      </c>
      <c r="M297" s="20">
        <v>10790008</v>
      </c>
      <c r="N297" s="20" t="s">
        <v>270</v>
      </c>
      <c r="O297" s="20">
        <v>0</v>
      </c>
      <c r="P297" s="20">
        <v>0</v>
      </c>
      <c r="Q297" s="20">
        <v>0</v>
      </c>
      <c r="R297" s="20">
        <v>1</v>
      </c>
      <c r="T297" s="20">
        <v>100</v>
      </c>
      <c r="AO297" s="20" t="s">
        <v>194</v>
      </c>
      <c r="AP297" s="20">
        <v>0</v>
      </c>
      <c r="CV297" s="20">
        <v>0</v>
      </c>
      <c r="CW297" s="20">
        <v>0</v>
      </c>
      <c r="CX297" s="20" t="s">
        <v>194</v>
      </c>
      <c r="CY297" s="20">
        <v>0</v>
      </c>
      <c r="DB297" s="20">
        <v>0</v>
      </c>
      <c r="DD297" s="20">
        <v>0</v>
      </c>
      <c r="DE297" s="20">
        <v>0</v>
      </c>
      <c r="DF297" s="20">
        <v>0</v>
      </c>
      <c r="DG297" s="20">
        <v>0</v>
      </c>
      <c r="DH297" s="20">
        <v>0</v>
      </c>
      <c r="DI297" s="20" t="b">
        <v>0</v>
      </c>
      <c r="DK297" s="20">
        <v>0</v>
      </c>
      <c r="DM297" s="20" t="s">
        <v>187</v>
      </c>
      <c r="DN297" s="20">
        <v>0</v>
      </c>
      <c r="DO297" s="20">
        <v>0</v>
      </c>
      <c r="DP297" s="20">
        <v>0</v>
      </c>
    </row>
    <row r="298" spans="2:120">
      <c r="B298" s="20" cm="1">
        <f t="array" ref="B298">10000000+INDEX(编号表!$B$1:$B$112,MATCH(D298,编号表!$A$1:$A$112,0))*10000+I298</f>
        <v>10790008</v>
      </c>
      <c r="C298" s="20" t="s">
        <v>269</v>
      </c>
      <c r="D298" s="20" t="s">
        <v>269</v>
      </c>
      <c r="E298" s="20" t="s">
        <v>214</v>
      </c>
      <c r="F298" s="20" t="s">
        <v>191</v>
      </c>
      <c r="G298" s="20">
        <v>1</v>
      </c>
      <c r="H298" s="20" t="b">
        <v>0</v>
      </c>
      <c r="I298" s="20">
        <v>8</v>
      </c>
      <c r="J298" s="20">
        <v>107900</v>
      </c>
      <c r="K298" s="20" t="s">
        <v>177</v>
      </c>
      <c r="L298" s="20">
        <v>10790007</v>
      </c>
      <c r="M298" s="20">
        <v>10790009</v>
      </c>
      <c r="N298" s="20" t="s">
        <v>270</v>
      </c>
      <c r="O298" s="20">
        <v>0</v>
      </c>
      <c r="P298" s="20">
        <v>0</v>
      </c>
      <c r="Q298" s="20">
        <v>0</v>
      </c>
      <c r="R298" s="20">
        <v>1</v>
      </c>
      <c r="T298" s="20">
        <v>100</v>
      </c>
      <c r="AO298" s="20" t="s">
        <v>194</v>
      </c>
      <c r="AP298" s="20">
        <v>0</v>
      </c>
      <c r="CV298" s="20">
        <v>0</v>
      </c>
      <c r="CW298" s="20">
        <v>0</v>
      </c>
      <c r="CX298" s="20" t="s">
        <v>194</v>
      </c>
      <c r="CY298" s="20">
        <v>0</v>
      </c>
      <c r="DB298" s="20">
        <v>0</v>
      </c>
      <c r="DD298" s="20">
        <v>0</v>
      </c>
      <c r="DE298" s="20">
        <v>0</v>
      </c>
      <c r="DF298" s="20">
        <v>0</v>
      </c>
      <c r="DG298" s="20">
        <v>0</v>
      </c>
      <c r="DH298" s="20">
        <v>0</v>
      </c>
      <c r="DI298" s="20" t="b">
        <v>0</v>
      </c>
      <c r="DK298" s="20">
        <v>0</v>
      </c>
      <c r="DM298" s="20" t="s">
        <v>187</v>
      </c>
      <c r="DN298" s="20">
        <v>0</v>
      </c>
      <c r="DO298" s="20">
        <v>0</v>
      </c>
      <c r="DP298" s="20">
        <v>0</v>
      </c>
    </row>
    <row r="299" spans="2:120">
      <c r="B299" s="20" cm="1">
        <f t="array" ref="B299">10000000+INDEX(编号表!$B$1:$B$112,MATCH(D299,编号表!$A$1:$A$112,0))*10000+I299</f>
        <v>10790009</v>
      </c>
      <c r="C299" s="20" t="s">
        <v>269</v>
      </c>
      <c r="D299" s="20" t="s">
        <v>269</v>
      </c>
      <c r="E299" s="20" t="s">
        <v>214</v>
      </c>
      <c r="F299" s="20" t="s">
        <v>191</v>
      </c>
      <c r="G299" s="20">
        <v>1</v>
      </c>
      <c r="H299" s="20" t="b">
        <v>0</v>
      </c>
      <c r="I299" s="20">
        <v>9</v>
      </c>
      <c r="J299" s="20">
        <v>107900</v>
      </c>
      <c r="K299" s="20" t="s">
        <v>177</v>
      </c>
      <c r="L299" s="20">
        <v>10790008</v>
      </c>
      <c r="M299" s="20">
        <v>10790010</v>
      </c>
      <c r="N299" s="20" t="s">
        <v>270</v>
      </c>
      <c r="O299" s="20">
        <v>0</v>
      </c>
      <c r="P299" s="20">
        <v>0</v>
      </c>
      <c r="Q299" s="20">
        <v>0</v>
      </c>
      <c r="R299" s="20">
        <v>1</v>
      </c>
      <c r="T299" s="20">
        <v>100</v>
      </c>
      <c r="AO299" s="20" t="s">
        <v>194</v>
      </c>
      <c r="AP299" s="20">
        <v>0</v>
      </c>
      <c r="CV299" s="20">
        <v>0</v>
      </c>
      <c r="CW299" s="20">
        <v>0</v>
      </c>
      <c r="CX299" s="20" t="s">
        <v>194</v>
      </c>
      <c r="CY299" s="20">
        <v>0</v>
      </c>
      <c r="DB299" s="20">
        <v>0</v>
      </c>
      <c r="DD299" s="20">
        <v>0</v>
      </c>
      <c r="DE299" s="20">
        <v>0</v>
      </c>
      <c r="DF299" s="20">
        <v>0</v>
      </c>
      <c r="DG299" s="20">
        <v>0</v>
      </c>
      <c r="DH299" s="20">
        <v>0</v>
      </c>
      <c r="DI299" s="20" t="b">
        <v>0</v>
      </c>
      <c r="DK299" s="20">
        <v>0</v>
      </c>
      <c r="DM299" s="20" t="s">
        <v>187</v>
      </c>
      <c r="DN299" s="20">
        <v>0</v>
      </c>
      <c r="DO299" s="20">
        <v>0</v>
      </c>
      <c r="DP299" s="20">
        <v>0</v>
      </c>
    </row>
    <row r="300" spans="2:120">
      <c r="B300" s="20" cm="1">
        <f t="array" ref="B300">10000000+INDEX(编号表!$B$1:$B$112,MATCH(D300,编号表!$A$1:$A$112,0))*10000+I300</f>
        <v>10790010</v>
      </c>
      <c r="C300" s="20" t="s">
        <v>269</v>
      </c>
      <c r="D300" s="20" t="s">
        <v>269</v>
      </c>
      <c r="E300" s="20" t="s">
        <v>214</v>
      </c>
      <c r="F300" s="20" t="s">
        <v>191</v>
      </c>
      <c r="G300" s="20">
        <v>1</v>
      </c>
      <c r="H300" s="20" t="b">
        <v>0</v>
      </c>
      <c r="I300" s="20">
        <v>10</v>
      </c>
      <c r="J300" s="20">
        <v>107900</v>
      </c>
      <c r="K300" s="20" t="s">
        <v>177</v>
      </c>
      <c r="L300" s="20">
        <v>10790009</v>
      </c>
      <c r="N300" s="20" t="s">
        <v>270</v>
      </c>
      <c r="O300" s="20">
        <v>0</v>
      </c>
      <c r="P300" s="20">
        <v>0</v>
      </c>
      <c r="Q300" s="20">
        <v>0</v>
      </c>
      <c r="R300" s="20">
        <v>1</v>
      </c>
      <c r="T300" s="20">
        <v>100</v>
      </c>
      <c r="AO300" s="20" t="s">
        <v>194</v>
      </c>
      <c r="AP300" s="20">
        <v>0</v>
      </c>
      <c r="CV300" s="20">
        <v>0</v>
      </c>
      <c r="CW300" s="20">
        <v>0</v>
      </c>
      <c r="CX300" s="20" t="s">
        <v>194</v>
      </c>
      <c r="CY300" s="20">
        <v>0</v>
      </c>
      <c r="DB300" s="20">
        <v>0</v>
      </c>
      <c r="DD300" s="20">
        <v>0</v>
      </c>
      <c r="DE300" s="20">
        <v>0</v>
      </c>
      <c r="DF300" s="20">
        <v>0</v>
      </c>
      <c r="DG300" s="20">
        <v>0</v>
      </c>
      <c r="DH300" s="20">
        <v>0</v>
      </c>
      <c r="DI300" s="20" t="b">
        <v>0</v>
      </c>
      <c r="DK300" s="20">
        <v>0</v>
      </c>
      <c r="DM300" s="20" t="s">
        <v>187</v>
      </c>
      <c r="DN300" s="20">
        <v>0</v>
      </c>
      <c r="DO300" s="20">
        <v>0</v>
      </c>
      <c r="DP300" s="20">
        <v>0</v>
      </c>
    </row>
    <row r="301" spans="2:120">
      <c r="B301" s="20" cm="1">
        <f t="array" ref="B301">10000000+INDEX(编号表!$B$1:$B$112,MATCH(D301,编号表!$A$1:$A$112,0))*10000+I301</f>
        <v>10800001</v>
      </c>
      <c r="C301" s="20" t="s">
        <v>271</v>
      </c>
      <c r="D301" s="20" t="s">
        <v>271</v>
      </c>
      <c r="E301" s="20" t="s">
        <v>214</v>
      </c>
      <c r="F301" s="20" t="s">
        <v>196</v>
      </c>
      <c r="G301" s="20">
        <v>1</v>
      </c>
      <c r="H301" s="20" t="b">
        <v>0</v>
      </c>
      <c r="I301" s="20">
        <v>1</v>
      </c>
      <c r="J301" s="20">
        <v>108000</v>
      </c>
      <c r="K301" s="20" t="s">
        <v>177</v>
      </c>
      <c r="M301" s="20">
        <v>10800002</v>
      </c>
      <c r="N301" s="20" t="s">
        <v>272</v>
      </c>
      <c r="O301" s="20">
        <v>0</v>
      </c>
      <c r="P301" s="20">
        <v>0</v>
      </c>
      <c r="Q301" s="20">
        <v>0</v>
      </c>
      <c r="R301" s="20">
        <v>1</v>
      </c>
      <c r="T301" s="20">
        <v>100</v>
      </c>
      <c r="AO301" s="20" t="s">
        <v>194</v>
      </c>
      <c r="AP301" s="20">
        <v>0</v>
      </c>
      <c r="CV301" s="20">
        <v>0</v>
      </c>
      <c r="CW301" s="20">
        <v>0</v>
      </c>
      <c r="CX301" s="20" t="s">
        <v>194</v>
      </c>
      <c r="CY301" s="20">
        <v>0</v>
      </c>
      <c r="DB301" s="20">
        <v>0</v>
      </c>
      <c r="DD301" s="20">
        <v>0</v>
      </c>
      <c r="DE301" s="20">
        <v>0</v>
      </c>
      <c r="DF301" s="20">
        <v>0</v>
      </c>
      <c r="DG301" s="20">
        <v>0</v>
      </c>
      <c r="DH301" s="20">
        <v>0</v>
      </c>
      <c r="DI301" s="20" t="b">
        <v>0</v>
      </c>
      <c r="DK301" s="20">
        <v>0</v>
      </c>
      <c r="DM301" s="20" t="s">
        <v>187</v>
      </c>
      <c r="DN301" s="20">
        <v>0</v>
      </c>
      <c r="DO301" s="20">
        <v>0</v>
      </c>
      <c r="DP301" s="20">
        <v>0</v>
      </c>
    </row>
    <row r="302" spans="2:120">
      <c r="B302" s="20" cm="1">
        <f t="array" ref="B302">10000000+INDEX(编号表!$B$1:$B$112,MATCH(D302,编号表!$A$1:$A$112,0))*10000+I302</f>
        <v>10800002</v>
      </c>
      <c r="C302" s="20" t="s">
        <v>271</v>
      </c>
      <c r="D302" s="20" t="s">
        <v>271</v>
      </c>
      <c r="E302" s="20" t="s">
        <v>214</v>
      </c>
      <c r="F302" s="20" t="s">
        <v>196</v>
      </c>
      <c r="G302" s="20">
        <v>1</v>
      </c>
      <c r="H302" s="20" t="b">
        <v>0</v>
      </c>
      <c r="I302" s="20">
        <v>2</v>
      </c>
      <c r="J302" s="20">
        <v>108000</v>
      </c>
      <c r="K302" s="20" t="s">
        <v>177</v>
      </c>
      <c r="L302" s="20">
        <v>10800001</v>
      </c>
      <c r="M302" s="20">
        <v>10800003</v>
      </c>
      <c r="N302" s="20" t="s">
        <v>272</v>
      </c>
      <c r="O302" s="20">
        <v>0</v>
      </c>
      <c r="P302" s="20">
        <v>0</v>
      </c>
      <c r="Q302" s="20">
        <v>0</v>
      </c>
      <c r="R302" s="20">
        <v>1</v>
      </c>
      <c r="T302" s="20">
        <v>100</v>
      </c>
      <c r="AO302" s="20" t="s">
        <v>194</v>
      </c>
      <c r="AP302" s="20">
        <v>0</v>
      </c>
      <c r="CV302" s="20">
        <v>0</v>
      </c>
      <c r="CW302" s="20">
        <v>0</v>
      </c>
      <c r="CX302" s="20" t="s">
        <v>194</v>
      </c>
      <c r="CY302" s="20">
        <v>0</v>
      </c>
      <c r="DB302" s="20">
        <v>0</v>
      </c>
      <c r="DD302" s="20">
        <v>0</v>
      </c>
      <c r="DE302" s="20">
        <v>0</v>
      </c>
      <c r="DF302" s="20">
        <v>0</v>
      </c>
      <c r="DG302" s="20">
        <v>0</v>
      </c>
      <c r="DH302" s="20">
        <v>0</v>
      </c>
      <c r="DI302" s="20" t="b">
        <v>0</v>
      </c>
      <c r="DK302" s="20">
        <v>0</v>
      </c>
      <c r="DM302" s="20" t="s">
        <v>187</v>
      </c>
      <c r="DN302" s="20">
        <v>0</v>
      </c>
      <c r="DO302" s="20">
        <v>0</v>
      </c>
      <c r="DP302" s="20">
        <v>0</v>
      </c>
    </row>
    <row r="303" spans="2:120">
      <c r="B303" s="20" cm="1">
        <f t="array" ref="B303">10000000+INDEX(编号表!$B$1:$B$112,MATCH(D303,编号表!$A$1:$A$112,0))*10000+I303</f>
        <v>10800003</v>
      </c>
      <c r="C303" s="20" t="s">
        <v>271</v>
      </c>
      <c r="D303" s="20" t="s">
        <v>271</v>
      </c>
      <c r="E303" s="20" t="s">
        <v>214</v>
      </c>
      <c r="F303" s="20" t="s">
        <v>196</v>
      </c>
      <c r="G303" s="20">
        <v>1</v>
      </c>
      <c r="H303" s="20" t="b">
        <v>0</v>
      </c>
      <c r="I303" s="20">
        <v>3</v>
      </c>
      <c r="J303" s="20">
        <v>108000</v>
      </c>
      <c r="K303" s="20" t="s">
        <v>177</v>
      </c>
      <c r="L303" s="20">
        <v>10800002</v>
      </c>
      <c r="M303" s="20">
        <v>10800004</v>
      </c>
      <c r="N303" s="20" t="s">
        <v>272</v>
      </c>
      <c r="O303" s="20">
        <v>0</v>
      </c>
      <c r="P303" s="20">
        <v>0</v>
      </c>
      <c r="Q303" s="20">
        <v>0</v>
      </c>
      <c r="R303" s="20">
        <v>1</v>
      </c>
      <c r="T303" s="20">
        <v>100</v>
      </c>
      <c r="AO303" s="20" t="s">
        <v>194</v>
      </c>
      <c r="AP303" s="20">
        <v>0</v>
      </c>
      <c r="CV303" s="20">
        <v>0</v>
      </c>
      <c r="CW303" s="20">
        <v>0</v>
      </c>
      <c r="CX303" s="20" t="s">
        <v>194</v>
      </c>
      <c r="CY303" s="20">
        <v>0</v>
      </c>
      <c r="DB303" s="20">
        <v>0</v>
      </c>
      <c r="DD303" s="20">
        <v>0</v>
      </c>
      <c r="DE303" s="20">
        <v>0</v>
      </c>
      <c r="DF303" s="20">
        <v>0</v>
      </c>
      <c r="DG303" s="20">
        <v>0</v>
      </c>
      <c r="DH303" s="20">
        <v>0</v>
      </c>
      <c r="DI303" s="20" t="b">
        <v>0</v>
      </c>
      <c r="DK303" s="20">
        <v>0</v>
      </c>
      <c r="DM303" s="20" t="s">
        <v>187</v>
      </c>
      <c r="DN303" s="20">
        <v>0</v>
      </c>
      <c r="DO303" s="20">
        <v>0</v>
      </c>
      <c r="DP303" s="20">
        <v>0</v>
      </c>
    </row>
    <row r="304" spans="2:120">
      <c r="B304" s="20" cm="1">
        <f t="array" ref="B304">10000000+INDEX(编号表!$B$1:$B$112,MATCH(D304,编号表!$A$1:$A$112,0))*10000+I304</f>
        <v>10800004</v>
      </c>
      <c r="C304" s="20" t="s">
        <v>271</v>
      </c>
      <c r="D304" s="20" t="s">
        <v>271</v>
      </c>
      <c r="E304" s="20" t="s">
        <v>214</v>
      </c>
      <c r="F304" s="20" t="s">
        <v>196</v>
      </c>
      <c r="G304" s="20">
        <v>1</v>
      </c>
      <c r="H304" s="20" t="b">
        <v>0</v>
      </c>
      <c r="I304" s="20">
        <v>4</v>
      </c>
      <c r="J304" s="20">
        <v>108000</v>
      </c>
      <c r="K304" s="20" t="s">
        <v>177</v>
      </c>
      <c r="L304" s="20">
        <v>10800003</v>
      </c>
      <c r="M304" s="20">
        <v>10800005</v>
      </c>
      <c r="N304" s="20" t="s">
        <v>272</v>
      </c>
      <c r="O304" s="20">
        <v>0</v>
      </c>
      <c r="P304" s="20">
        <v>0</v>
      </c>
      <c r="Q304" s="20">
        <v>0</v>
      </c>
      <c r="R304" s="20">
        <v>1</v>
      </c>
      <c r="T304" s="20">
        <v>100</v>
      </c>
      <c r="AO304" s="20" t="s">
        <v>194</v>
      </c>
      <c r="AP304" s="20">
        <v>0</v>
      </c>
      <c r="CV304" s="20">
        <v>0</v>
      </c>
      <c r="CW304" s="20">
        <v>0</v>
      </c>
      <c r="CX304" s="20" t="s">
        <v>194</v>
      </c>
      <c r="CY304" s="20">
        <v>0</v>
      </c>
      <c r="DB304" s="20">
        <v>0</v>
      </c>
      <c r="DD304" s="20">
        <v>0</v>
      </c>
      <c r="DE304" s="20">
        <v>0</v>
      </c>
      <c r="DF304" s="20">
        <v>0</v>
      </c>
      <c r="DG304" s="20">
        <v>0</v>
      </c>
      <c r="DH304" s="20">
        <v>0</v>
      </c>
      <c r="DI304" s="20" t="b">
        <v>0</v>
      </c>
      <c r="DK304" s="20">
        <v>0</v>
      </c>
      <c r="DM304" s="20" t="s">
        <v>187</v>
      </c>
      <c r="DN304" s="20">
        <v>0</v>
      </c>
      <c r="DO304" s="20">
        <v>0</v>
      </c>
      <c r="DP304" s="20">
        <v>0</v>
      </c>
    </row>
    <row r="305" spans="2:120">
      <c r="B305" s="20" cm="1">
        <f t="array" ref="B305">10000000+INDEX(编号表!$B$1:$B$112,MATCH(D305,编号表!$A$1:$A$112,0))*10000+I305</f>
        <v>10800005</v>
      </c>
      <c r="C305" s="20" t="s">
        <v>271</v>
      </c>
      <c r="D305" s="20" t="s">
        <v>271</v>
      </c>
      <c r="E305" s="20" t="s">
        <v>214</v>
      </c>
      <c r="F305" s="20" t="s">
        <v>196</v>
      </c>
      <c r="G305" s="20">
        <v>1</v>
      </c>
      <c r="H305" s="20" t="b">
        <v>0</v>
      </c>
      <c r="I305" s="20">
        <v>5</v>
      </c>
      <c r="J305" s="20">
        <v>108000</v>
      </c>
      <c r="K305" s="20" t="s">
        <v>177</v>
      </c>
      <c r="L305" s="20">
        <v>10800004</v>
      </c>
      <c r="M305" s="20">
        <v>10800006</v>
      </c>
      <c r="N305" s="20" t="s">
        <v>272</v>
      </c>
      <c r="O305" s="20">
        <v>0</v>
      </c>
      <c r="P305" s="20">
        <v>0</v>
      </c>
      <c r="Q305" s="20">
        <v>0</v>
      </c>
      <c r="R305" s="20">
        <v>1</v>
      </c>
      <c r="T305" s="20">
        <v>100</v>
      </c>
      <c r="AO305" s="20" t="s">
        <v>194</v>
      </c>
      <c r="AP305" s="20">
        <v>0</v>
      </c>
      <c r="CV305" s="20">
        <v>0</v>
      </c>
      <c r="CW305" s="20">
        <v>0</v>
      </c>
      <c r="CX305" s="20" t="s">
        <v>194</v>
      </c>
      <c r="CY305" s="20">
        <v>0</v>
      </c>
      <c r="DB305" s="20">
        <v>0</v>
      </c>
      <c r="DD305" s="20">
        <v>0</v>
      </c>
      <c r="DE305" s="20">
        <v>0</v>
      </c>
      <c r="DF305" s="20">
        <v>0</v>
      </c>
      <c r="DG305" s="20">
        <v>0</v>
      </c>
      <c r="DH305" s="20">
        <v>0</v>
      </c>
      <c r="DI305" s="20" t="b">
        <v>0</v>
      </c>
      <c r="DK305" s="20">
        <v>0</v>
      </c>
      <c r="DM305" s="20" t="s">
        <v>187</v>
      </c>
      <c r="DN305" s="20">
        <v>0</v>
      </c>
      <c r="DO305" s="20">
        <v>0</v>
      </c>
      <c r="DP305" s="20">
        <v>0</v>
      </c>
    </row>
    <row r="306" spans="2:120">
      <c r="B306" s="20" cm="1">
        <f t="array" ref="B306">10000000+INDEX(编号表!$B$1:$B$112,MATCH(D306,编号表!$A$1:$A$112,0))*10000+I306</f>
        <v>10800006</v>
      </c>
      <c r="C306" s="20" t="s">
        <v>271</v>
      </c>
      <c r="D306" s="20" t="s">
        <v>271</v>
      </c>
      <c r="E306" s="20" t="s">
        <v>214</v>
      </c>
      <c r="F306" s="20" t="s">
        <v>196</v>
      </c>
      <c r="G306" s="20">
        <v>1</v>
      </c>
      <c r="H306" s="20" t="b">
        <v>0</v>
      </c>
      <c r="I306" s="20">
        <v>6</v>
      </c>
      <c r="J306" s="20">
        <v>108000</v>
      </c>
      <c r="K306" s="20" t="s">
        <v>177</v>
      </c>
      <c r="L306" s="20">
        <v>10800005</v>
      </c>
      <c r="M306" s="20">
        <v>10800007</v>
      </c>
      <c r="N306" s="20" t="s">
        <v>272</v>
      </c>
      <c r="O306" s="20">
        <v>0</v>
      </c>
      <c r="P306" s="20">
        <v>0</v>
      </c>
      <c r="Q306" s="20">
        <v>0</v>
      </c>
      <c r="R306" s="20">
        <v>1</v>
      </c>
      <c r="T306" s="20">
        <v>100</v>
      </c>
      <c r="AO306" s="20" t="s">
        <v>194</v>
      </c>
      <c r="AP306" s="20">
        <v>0</v>
      </c>
      <c r="CV306" s="20">
        <v>0</v>
      </c>
      <c r="CW306" s="20">
        <v>0</v>
      </c>
      <c r="CX306" s="20" t="s">
        <v>194</v>
      </c>
      <c r="CY306" s="20">
        <v>0</v>
      </c>
      <c r="DB306" s="20">
        <v>0</v>
      </c>
      <c r="DD306" s="20">
        <v>0</v>
      </c>
      <c r="DE306" s="20">
        <v>0</v>
      </c>
      <c r="DF306" s="20">
        <v>0</v>
      </c>
      <c r="DG306" s="20">
        <v>0</v>
      </c>
      <c r="DH306" s="20">
        <v>0</v>
      </c>
      <c r="DI306" s="20" t="b">
        <v>0</v>
      </c>
      <c r="DK306" s="20">
        <v>0</v>
      </c>
      <c r="DM306" s="20" t="s">
        <v>187</v>
      </c>
      <c r="DN306" s="20">
        <v>0</v>
      </c>
      <c r="DO306" s="20">
        <v>0</v>
      </c>
      <c r="DP306" s="20">
        <v>0</v>
      </c>
    </row>
    <row r="307" spans="2:120">
      <c r="B307" s="20" cm="1">
        <f t="array" ref="B307">10000000+INDEX(编号表!$B$1:$B$112,MATCH(D307,编号表!$A$1:$A$112,0))*10000+I307</f>
        <v>10800007</v>
      </c>
      <c r="C307" s="20" t="s">
        <v>271</v>
      </c>
      <c r="D307" s="20" t="s">
        <v>271</v>
      </c>
      <c r="E307" s="20" t="s">
        <v>214</v>
      </c>
      <c r="F307" s="20" t="s">
        <v>196</v>
      </c>
      <c r="G307" s="20">
        <v>1</v>
      </c>
      <c r="H307" s="20" t="b">
        <v>0</v>
      </c>
      <c r="I307" s="20">
        <v>7</v>
      </c>
      <c r="J307" s="20">
        <v>108000</v>
      </c>
      <c r="K307" s="20" t="s">
        <v>177</v>
      </c>
      <c r="L307" s="20">
        <v>10800006</v>
      </c>
      <c r="M307" s="20">
        <v>10800008</v>
      </c>
      <c r="N307" s="20" t="s">
        <v>272</v>
      </c>
      <c r="O307" s="20">
        <v>0</v>
      </c>
      <c r="P307" s="20">
        <v>0</v>
      </c>
      <c r="Q307" s="20">
        <v>0</v>
      </c>
      <c r="R307" s="20">
        <v>1</v>
      </c>
      <c r="T307" s="20">
        <v>100</v>
      </c>
      <c r="AO307" s="20" t="s">
        <v>194</v>
      </c>
      <c r="AP307" s="20">
        <v>0</v>
      </c>
      <c r="CV307" s="20">
        <v>0</v>
      </c>
      <c r="CW307" s="20">
        <v>0</v>
      </c>
      <c r="CX307" s="20" t="s">
        <v>194</v>
      </c>
      <c r="CY307" s="20">
        <v>0</v>
      </c>
      <c r="DB307" s="20">
        <v>0</v>
      </c>
      <c r="DD307" s="20">
        <v>0</v>
      </c>
      <c r="DE307" s="20">
        <v>0</v>
      </c>
      <c r="DF307" s="20">
        <v>0</v>
      </c>
      <c r="DG307" s="20">
        <v>0</v>
      </c>
      <c r="DH307" s="20">
        <v>0</v>
      </c>
      <c r="DI307" s="20" t="b">
        <v>0</v>
      </c>
      <c r="DK307" s="20">
        <v>0</v>
      </c>
      <c r="DM307" s="20" t="s">
        <v>187</v>
      </c>
      <c r="DN307" s="20">
        <v>0</v>
      </c>
      <c r="DO307" s="20">
        <v>0</v>
      </c>
      <c r="DP307" s="20">
        <v>0</v>
      </c>
    </row>
    <row r="308" spans="2:120">
      <c r="B308" s="20" cm="1">
        <f t="array" ref="B308">10000000+INDEX(编号表!$B$1:$B$112,MATCH(D308,编号表!$A$1:$A$112,0))*10000+I308</f>
        <v>10800008</v>
      </c>
      <c r="C308" s="20" t="s">
        <v>271</v>
      </c>
      <c r="D308" s="20" t="s">
        <v>271</v>
      </c>
      <c r="E308" s="20" t="s">
        <v>214</v>
      </c>
      <c r="F308" s="20" t="s">
        <v>196</v>
      </c>
      <c r="G308" s="20">
        <v>1</v>
      </c>
      <c r="H308" s="20" t="b">
        <v>0</v>
      </c>
      <c r="I308" s="20">
        <v>8</v>
      </c>
      <c r="J308" s="20">
        <v>108000</v>
      </c>
      <c r="K308" s="20" t="s">
        <v>177</v>
      </c>
      <c r="L308" s="20">
        <v>10800007</v>
      </c>
      <c r="M308" s="20">
        <v>10800009</v>
      </c>
      <c r="N308" s="20" t="s">
        <v>272</v>
      </c>
      <c r="O308" s="20">
        <v>0</v>
      </c>
      <c r="P308" s="20">
        <v>0</v>
      </c>
      <c r="Q308" s="20">
        <v>0</v>
      </c>
      <c r="R308" s="20">
        <v>1</v>
      </c>
      <c r="T308" s="20">
        <v>100</v>
      </c>
      <c r="AO308" s="20" t="s">
        <v>194</v>
      </c>
      <c r="AP308" s="20">
        <v>0</v>
      </c>
      <c r="CV308" s="20">
        <v>0</v>
      </c>
      <c r="CW308" s="20">
        <v>0</v>
      </c>
      <c r="CX308" s="20" t="s">
        <v>194</v>
      </c>
      <c r="CY308" s="20">
        <v>0</v>
      </c>
      <c r="DB308" s="20">
        <v>0</v>
      </c>
      <c r="DD308" s="20">
        <v>0</v>
      </c>
      <c r="DE308" s="20">
        <v>0</v>
      </c>
      <c r="DF308" s="20">
        <v>0</v>
      </c>
      <c r="DG308" s="20">
        <v>0</v>
      </c>
      <c r="DH308" s="20">
        <v>0</v>
      </c>
      <c r="DI308" s="20" t="b">
        <v>0</v>
      </c>
      <c r="DK308" s="20">
        <v>0</v>
      </c>
      <c r="DM308" s="20" t="s">
        <v>187</v>
      </c>
      <c r="DN308" s="20">
        <v>0</v>
      </c>
      <c r="DO308" s="20">
        <v>0</v>
      </c>
      <c r="DP308" s="20">
        <v>0</v>
      </c>
    </row>
    <row r="309" spans="2:120">
      <c r="B309" s="20" cm="1">
        <f t="array" ref="B309">10000000+INDEX(编号表!$B$1:$B$112,MATCH(D309,编号表!$A$1:$A$112,0))*10000+I309</f>
        <v>10800009</v>
      </c>
      <c r="C309" s="20" t="s">
        <v>271</v>
      </c>
      <c r="D309" s="20" t="s">
        <v>271</v>
      </c>
      <c r="E309" s="20" t="s">
        <v>214</v>
      </c>
      <c r="F309" s="20" t="s">
        <v>196</v>
      </c>
      <c r="G309" s="20">
        <v>1</v>
      </c>
      <c r="H309" s="20" t="b">
        <v>0</v>
      </c>
      <c r="I309" s="20">
        <v>9</v>
      </c>
      <c r="J309" s="20">
        <v>108000</v>
      </c>
      <c r="K309" s="20" t="s">
        <v>177</v>
      </c>
      <c r="L309" s="20">
        <v>10800008</v>
      </c>
      <c r="M309" s="20">
        <v>10800010</v>
      </c>
      <c r="N309" s="20" t="s">
        <v>272</v>
      </c>
      <c r="O309" s="20">
        <v>0</v>
      </c>
      <c r="P309" s="20">
        <v>0</v>
      </c>
      <c r="Q309" s="20">
        <v>0</v>
      </c>
      <c r="R309" s="20">
        <v>1</v>
      </c>
      <c r="T309" s="20">
        <v>100</v>
      </c>
      <c r="AO309" s="20" t="s">
        <v>194</v>
      </c>
      <c r="AP309" s="20">
        <v>0</v>
      </c>
      <c r="CV309" s="20">
        <v>0</v>
      </c>
      <c r="CW309" s="20">
        <v>0</v>
      </c>
      <c r="CX309" s="20" t="s">
        <v>194</v>
      </c>
      <c r="CY309" s="20">
        <v>0</v>
      </c>
      <c r="DB309" s="20">
        <v>0</v>
      </c>
      <c r="DD309" s="20">
        <v>0</v>
      </c>
      <c r="DE309" s="20">
        <v>0</v>
      </c>
      <c r="DF309" s="20">
        <v>0</v>
      </c>
      <c r="DG309" s="20">
        <v>0</v>
      </c>
      <c r="DH309" s="20">
        <v>0</v>
      </c>
      <c r="DI309" s="20" t="b">
        <v>0</v>
      </c>
      <c r="DK309" s="20">
        <v>0</v>
      </c>
      <c r="DM309" s="20" t="s">
        <v>187</v>
      </c>
      <c r="DN309" s="20">
        <v>0</v>
      </c>
      <c r="DO309" s="20">
        <v>0</v>
      </c>
      <c r="DP309" s="20">
        <v>0</v>
      </c>
    </row>
    <row r="310" spans="2:120">
      <c r="B310" s="20" cm="1">
        <f t="array" ref="B310">10000000+INDEX(编号表!$B$1:$B$112,MATCH(D310,编号表!$A$1:$A$112,0))*10000+I310</f>
        <v>10800010</v>
      </c>
      <c r="C310" s="20" t="s">
        <v>271</v>
      </c>
      <c r="D310" s="20" t="s">
        <v>271</v>
      </c>
      <c r="E310" s="20" t="s">
        <v>214</v>
      </c>
      <c r="F310" s="20" t="s">
        <v>196</v>
      </c>
      <c r="G310" s="20">
        <v>1</v>
      </c>
      <c r="H310" s="20" t="b">
        <v>0</v>
      </c>
      <c r="I310" s="20">
        <v>10</v>
      </c>
      <c r="J310" s="20">
        <v>108000</v>
      </c>
      <c r="K310" s="20" t="s">
        <v>177</v>
      </c>
      <c r="L310" s="20">
        <v>10800009</v>
      </c>
      <c r="N310" s="20" t="s">
        <v>272</v>
      </c>
      <c r="O310" s="20">
        <v>0</v>
      </c>
      <c r="P310" s="20">
        <v>0</v>
      </c>
      <c r="Q310" s="20">
        <v>0</v>
      </c>
      <c r="R310" s="20">
        <v>1</v>
      </c>
      <c r="T310" s="20">
        <v>100</v>
      </c>
      <c r="AO310" s="20" t="s">
        <v>194</v>
      </c>
      <c r="AP310" s="20">
        <v>0</v>
      </c>
      <c r="CV310" s="20">
        <v>0</v>
      </c>
      <c r="CW310" s="20">
        <v>0</v>
      </c>
      <c r="CX310" s="20" t="s">
        <v>194</v>
      </c>
      <c r="CY310" s="20">
        <v>0</v>
      </c>
      <c r="DB310" s="20">
        <v>0</v>
      </c>
      <c r="DD310" s="20">
        <v>0</v>
      </c>
      <c r="DE310" s="20">
        <v>0</v>
      </c>
      <c r="DF310" s="20">
        <v>0</v>
      </c>
      <c r="DG310" s="20">
        <v>0</v>
      </c>
      <c r="DH310" s="20">
        <v>0</v>
      </c>
      <c r="DI310" s="20" t="b">
        <v>0</v>
      </c>
      <c r="DK310" s="20">
        <v>0</v>
      </c>
      <c r="DM310" s="20" t="s">
        <v>187</v>
      </c>
      <c r="DN310" s="20">
        <v>0</v>
      </c>
      <c r="DO310" s="20">
        <v>0</v>
      </c>
      <c r="DP310" s="20">
        <v>0</v>
      </c>
    </row>
    <row r="311" spans="2:120">
      <c r="B311" s="20" cm="1">
        <f t="array" ref="B311">10000000+INDEX(编号表!$B$1:$B$112,MATCH(D311,编号表!$A$1:$A$112,0))*10000+I311</f>
        <v>10810001</v>
      </c>
      <c r="C311" s="20" t="s">
        <v>273</v>
      </c>
      <c r="D311" s="20" t="s">
        <v>273</v>
      </c>
      <c r="E311" s="20" t="s">
        <v>214</v>
      </c>
      <c r="F311" s="20" t="s">
        <v>199</v>
      </c>
      <c r="G311" s="20">
        <v>1</v>
      </c>
      <c r="H311" s="20" t="b">
        <v>0</v>
      </c>
      <c r="I311" s="20">
        <v>1</v>
      </c>
      <c r="J311" s="20">
        <v>108100</v>
      </c>
      <c r="K311" s="20" t="s">
        <v>177</v>
      </c>
      <c r="M311" s="20">
        <v>10810002</v>
      </c>
      <c r="N311" s="20" t="s">
        <v>274</v>
      </c>
      <c r="O311" s="20">
        <v>0</v>
      </c>
      <c r="P311" s="20">
        <v>0</v>
      </c>
      <c r="Q311" s="20">
        <v>0</v>
      </c>
      <c r="R311" s="20">
        <v>1</v>
      </c>
      <c r="T311" s="20">
        <v>100</v>
      </c>
      <c r="AO311" s="20" t="s">
        <v>194</v>
      </c>
      <c r="AP311" s="20">
        <v>0</v>
      </c>
      <c r="CV311" s="20">
        <v>0</v>
      </c>
      <c r="CW311" s="20">
        <v>0</v>
      </c>
      <c r="CX311" s="20" t="s">
        <v>194</v>
      </c>
      <c r="CY311" s="20">
        <v>0</v>
      </c>
      <c r="DB311" s="20">
        <v>0</v>
      </c>
      <c r="DD311" s="20">
        <v>0</v>
      </c>
      <c r="DE311" s="20">
        <v>0</v>
      </c>
      <c r="DF311" s="20">
        <v>0</v>
      </c>
      <c r="DG311" s="20">
        <v>0</v>
      </c>
      <c r="DH311" s="20">
        <v>0</v>
      </c>
      <c r="DI311" s="20" t="b">
        <v>0</v>
      </c>
      <c r="DK311" s="20">
        <v>0</v>
      </c>
      <c r="DM311" s="20" t="s">
        <v>187</v>
      </c>
      <c r="DN311" s="20">
        <v>0</v>
      </c>
      <c r="DO311" s="20">
        <v>0</v>
      </c>
      <c r="DP311" s="20">
        <v>0</v>
      </c>
    </row>
    <row r="312" spans="2:120">
      <c r="B312" s="20" cm="1">
        <f t="array" ref="B312">10000000+INDEX(编号表!$B$1:$B$112,MATCH(D312,编号表!$A$1:$A$112,0))*10000+I312</f>
        <v>10810002</v>
      </c>
      <c r="C312" s="20" t="s">
        <v>273</v>
      </c>
      <c r="D312" s="20" t="s">
        <v>273</v>
      </c>
      <c r="E312" s="20" t="s">
        <v>214</v>
      </c>
      <c r="F312" s="20" t="s">
        <v>199</v>
      </c>
      <c r="G312" s="20">
        <v>1</v>
      </c>
      <c r="H312" s="20" t="b">
        <v>0</v>
      </c>
      <c r="I312" s="20">
        <v>2</v>
      </c>
      <c r="J312" s="20">
        <v>108100</v>
      </c>
      <c r="K312" s="20" t="s">
        <v>177</v>
      </c>
      <c r="L312" s="20">
        <v>10810001</v>
      </c>
      <c r="M312" s="20">
        <v>10810003</v>
      </c>
      <c r="N312" s="20" t="s">
        <v>274</v>
      </c>
      <c r="O312" s="20">
        <v>0</v>
      </c>
      <c r="P312" s="20">
        <v>0</v>
      </c>
      <c r="Q312" s="20">
        <v>0</v>
      </c>
      <c r="R312" s="20">
        <v>1</v>
      </c>
      <c r="T312" s="20">
        <v>100</v>
      </c>
      <c r="AO312" s="20" t="s">
        <v>194</v>
      </c>
      <c r="AP312" s="20">
        <v>0</v>
      </c>
      <c r="CV312" s="20">
        <v>0</v>
      </c>
      <c r="CW312" s="20">
        <v>0</v>
      </c>
      <c r="CX312" s="20" t="s">
        <v>194</v>
      </c>
      <c r="CY312" s="20">
        <v>0</v>
      </c>
      <c r="DB312" s="20">
        <v>0</v>
      </c>
      <c r="DD312" s="20">
        <v>0</v>
      </c>
      <c r="DE312" s="20">
        <v>0</v>
      </c>
      <c r="DF312" s="20">
        <v>0</v>
      </c>
      <c r="DG312" s="20">
        <v>0</v>
      </c>
      <c r="DH312" s="20">
        <v>0</v>
      </c>
      <c r="DI312" s="20" t="b">
        <v>0</v>
      </c>
      <c r="DK312" s="20">
        <v>0</v>
      </c>
      <c r="DM312" s="20" t="s">
        <v>187</v>
      </c>
      <c r="DN312" s="20">
        <v>0</v>
      </c>
      <c r="DO312" s="20">
        <v>0</v>
      </c>
      <c r="DP312" s="20">
        <v>0</v>
      </c>
    </row>
    <row r="313" spans="2:120">
      <c r="B313" s="20" cm="1">
        <f t="array" ref="B313">10000000+INDEX(编号表!$B$1:$B$112,MATCH(D313,编号表!$A$1:$A$112,0))*10000+I313</f>
        <v>10810003</v>
      </c>
      <c r="C313" s="20" t="s">
        <v>273</v>
      </c>
      <c r="D313" s="20" t="s">
        <v>273</v>
      </c>
      <c r="E313" s="20" t="s">
        <v>214</v>
      </c>
      <c r="F313" s="20" t="s">
        <v>199</v>
      </c>
      <c r="G313" s="20">
        <v>1</v>
      </c>
      <c r="H313" s="20" t="b">
        <v>0</v>
      </c>
      <c r="I313" s="20">
        <v>3</v>
      </c>
      <c r="J313" s="20">
        <v>108100</v>
      </c>
      <c r="K313" s="20" t="s">
        <v>177</v>
      </c>
      <c r="L313" s="20">
        <v>10810002</v>
      </c>
      <c r="M313" s="20">
        <v>10810004</v>
      </c>
      <c r="N313" s="20" t="s">
        <v>274</v>
      </c>
      <c r="O313" s="20">
        <v>0</v>
      </c>
      <c r="P313" s="20">
        <v>0</v>
      </c>
      <c r="Q313" s="20">
        <v>0</v>
      </c>
      <c r="R313" s="20">
        <v>1</v>
      </c>
      <c r="T313" s="20">
        <v>100</v>
      </c>
      <c r="AO313" s="20" t="s">
        <v>194</v>
      </c>
      <c r="AP313" s="20">
        <v>0</v>
      </c>
      <c r="CV313" s="20">
        <v>0</v>
      </c>
      <c r="CW313" s="20">
        <v>0</v>
      </c>
      <c r="CX313" s="20" t="s">
        <v>194</v>
      </c>
      <c r="CY313" s="20">
        <v>0</v>
      </c>
      <c r="DB313" s="20">
        <v>0</v>
      </c>
      <c r="DD313" s="20">
        <v>0</v>
      </c>
      <c r="DE313" s="20">
        <v>0</v>
      </c>
      <c r="DF313" s="20">
        <v>0</v>
      </c>
      <c r="DG313" s="20">
        <v>0</v>
      </c>
      <c r="DH313" s="20">
        <v>0</v>
      </c>
      <c r="DI313" s="20" t="b">
        <v>0</v>
      </c>
      <c r="DK313" s="20">
        <v>0</v>
      </c>
      <c r="DM313" s="20" t="s">
        <v>187</v>
      </c>
      <c r="DN313" s="20">
        <v>0</v>
      </c>
      <c r="DO313" s="20">
        <v>0</v>
      </c>
      <c r="DP313" s="20">
        <v>0</v>
      </c>
    </row>
    <row r="314" spans="2:120">
      <c r="B314" s="20" cm="1">
        <f t="array" ref="B314">10000000+INDEX(编号表!$B$1:$B$112,MATCH(D314,编号表!$A$1:$A$112,0))*10000+I314</f>
        <v>10810004</v>
      </c>
      <c r="C314" s="20" t="s">
        <v>273</v>
      </c>
      <c r="D314" s="20" t="s">
        <v>273</v>
      </c>
      <c r="E314" s="20" t="s">
        <v>214</v>
      </c>
      <c r="F314" s="20" t="s">
        <v>199</v>
      </c>
      <c r="G314" s="20">
        <v>1</v>
      </c>
      <c r="H314" s="20" t="b">
        <v>0</v>
      </c>
      <c r="I314" s="20">
        <v>4</v>
      </c>
      <c r="J314" s="20">
        <v>108100</v>
      </c>
      <c r="K314" s="20" t="s">
        <v>177</v>
      </c>
      <c r="L314" s="20">
        <v>10810003</v>
      </c>
      <c r="M314" s="20">
        <v>10810005</v>
      </c>
      <c r="N314" s="20" t="s">
        <v>274</v>
      </c>
      <c r="O314" s="20">
        <v>0</v>
      </c>
      <c r="P314" s="20">
        <v>0</v>
      </c>
      <c r="Q314" s="20">
        <v>0</v>
      </c>
      <c r="R314" s="20">
        <v>1</v>
      </c>
      <c r="T314" s="20">
        <v>100</v>
      </c>
      <c r="AO314" s="20" t="s">
        <v>194</v>
      </c>
      <c r="AP314" s="20">
        <v>0</v>
      </c>
      <c r="CV314" s="20">
        <v>0</v>
      </c>
      <c r="CW314" s="20">
        <v>0</v>
      </c>
      <c r="CX314" s="20" t="s">
        <v>194</v>
      </c>
      <c r="CY314" s="20">
        <v>0</v>
      </c>
      <c r="DB314" s="20">
        <v>0</v>
      </c>
      <c r="DD314" s="20">
        <v>0</v>
      </c>
      <c r="DE314" s="20">
        <v>0</v>
      </c>
      <c r="DF314" s="20">
        <v>0</v>
      </c>
      <c r="DG314" s="20">
        <v>0</v>
      </c>
      <c r="DH314" s="20">
        <v>0</v>
      </c>
      <c r="DI314" s="20" t="b">
        <v>0</v>
      </c>
      <c r="DK314" s="20">
        <v>0</v>
      </c>
      <c r="DM314" s="20" t="s">
        <v>187</v>
      </c>
      <c r="DN314" s="20">
        <v>0</v>
      </c>
      <c r="DO314" s="20">
        <v>0</v>
      </c>
      <c r="DP314" s="20">
        <v>0</v>
      </c>
    </row>
    <row r="315" spans="2:120">
      <c r="B315" s="20" cm="1">
        <f t="array" ref="B315">10000000+INDEX(编号表!$B$1:$B$112,MATCH(D315,编号表!$A$1:$A$112,0))*10000+I315</f>
        <v>10810005</v>
      </c>
      <c r="C315" s="20" t="s">
        <v>273</v>
      </c>
      <c r="D315" s="20" t="s">
        <v>273</v>
      </c>
      <c r="E315" s="20" t="s">
        <v>214</v>
      </c>
      <c r="F315" s="20" t="s">
        <v>199</v>
      </c>
      <c r="G315" s="20">
        <v>1</v>
      </c>
      <c r="H315" s="20" t="b">
        <v>0</v>
      </c>
      <c r="I315" s="20">
        <v>5</v>
      </c>
      <c r="J315" s="20">
        <v>108100</v>
      </c>
      <c r="K315" s="20" t="s">
        <v>177</v>
      </c>
      <c r="L315" s="20">
        <v>10810004</v>
      </c>
      <c r="M315" s="20">
        <v>10810006</v>
      </c>
      <c r="N315" s="20" t="s">
        <v>274</v>
      </c>
      <c r="O315" s="20">
        <v>0</v>
      </c>
      <c r="P315" s="20">
        <v>0</v>
      </c>
      <c r="Q315" s="20">
        <v>0</v>
      </c>
      <c r="R315" s="20">
        <v>1</v>
      </c>
      <c r="T315" s="20">
        <v>100</v>
      </c>
      <c r="AO315" s="20" t="s">
        <v>194</v>
      </c>
      <c r="AP315" s="20">
        <v>0</v>
      </c>
      <c r="CV315" s="20">
        <v>0</v>
      </c>
      <c r="CW315" s="20">
        <v>0</v>
      </c>
      <c r="CX315" s="20" t="s">
        <v>194</v>
      </c>
      <c r="CY315" s="20">
        <v>0</v>
      </c>
      <c r="DB315" s="20">
        <v>0</v>
      </c>
      <c r="DD315" s="20">
        <v>0</v>
      </c>
      <c r="DE315" s="20">
        <v>0</v>
      </c>
      <c r="DF315" s="20">
        <v>0</v>
      </c>
      <c r="DG315" s="20">
        <v>0</v>
      </c>
      <c r="DH315" s="20">
        <v>0</v>
      </c>
      <c r="DI315" s="20" t="b">
        <v>0</v>
      </c>
      <c r="DK315" s="20">
        <v>0</v>
      </c>
      <c r="DM315" s="20" t="s">
        <v>187</v>
      </c>
      <c r="DN315" s="20">
        <v>0</v>
      </c>
      <c r="DO315" s="20">
        <v>0</v>
      </c>
      <c r="DP315" s="20">
        <v>0</v>
      </c>
    </row>
    <row r="316" spans="2:120">
      <c r="B316" s="20" cm="1">
        <f t="array" ref="B316">10000000+INDEX(编号表!$B$1:$B$112,MATCH(D316,编号表!$A$1:$A$112,0))*10000+I316</f>
        <v>10810006</v>
      </c>
      <c r="C316" s="20" t="s">
        <v>273</v>
      </c>
      <c r="D316" s="20" t="s">
        <v>273</v>
      </c>
      <c r="E316" s="20" t="s">
        <v>214</v>
      </c>
      <c r="F316" s="20" t="s">
        <v>199</v>
      </c>
      <c r="G316" s="20">
        <v>1</v>
      </c>
      <c r="H316" s="20" t="b">
        <v>0</v>
      </c>
      <c r="I316" s="20">
        <v>6</v>
      </c>
      <c r="J316" s="20">
        <v>108100</v>
      </c>
      <c r="K316" s="20" t="s">
        <v>177</v>
      </c>
      <c r="L316" s="20">
        <v>10810005</v>
      </c>
      <c r="M316" s="20">
        <v>10810007</v>
      </c>
      <c r="N316" s="20" t="s">
        <v>274</v>
      </c>
      <c r="O316" s="20">
        <v>0</v>
      </c>
      <c r="P316" s="20">
        <v>0</v>
      </c>
      <c r="Q316" s="20">
        <v>0</v>
      </c>
      <c r="R316" s="20">
        <v>1</v>
      </c>
      <c r="T316" s="20">
        <v>100</v>
      </c>
      <c r="AO316" s="20" t="s">
        <v>194</v>
      </c>
      <c r="AP316" s="20">
        <v>0</v>
      </c>
      <c r="CV316" s="20">
        <v>0</v>
      </c>
      <c r="CW316" s="20">
        <v>0</v>
      </c>
      <c r="CX316" s="20" t="s">
        <v>194</v>
      </c>
      <c r="CY316" s="20">
        <v>0</v>
      </c>
      <c r="DB316" s="20">
        <v>0</v>
      </c>
      <c r="DD316" s="20">
        <v>0</v>
      </c>
      <c r="DE316" s="20">
        <v>0</v>
      </c>
      <c r="DF316" s="20">
        <v>0</v>
      </c>
      <c r="DG316" s="20">
        <v>0</v>
      </c>
      <c r="DH316" s="20">
        <v>0</v>
      </c>
      <c r="DI316" s="20" t="b">
        <v>0</v>
      </c>
      <c r="DK316" s="20">
        <v>0</v>
      </c>
      <c r="DM316" s="20" t="s">
        <v>187</v>
      </c>
      <c r="DN316" s="20">
        <v>0</v>
      </c>
      <c r="DO316" s="20">
        <v>0</v>
      </c>
      <c r="DP316" s="20">
        <v>0</v>
      </c>
    </row>
    <row r="317" spans="2:120">
      <c r="B317" s="20" cm="1">
        <f t="array" ref="B317">10000000+INDEX(编号表!$B$1:$B$112,MATCH(D317,编号表!$A$1:$A$112,0))*10000+I317</f>
        <v>10810007</v>
      </c>
      <c r="C317" s="20" t="s">
        <v>273</v>
      </c>
      <c r="D317" s="20" t="s">
        <v>273</v>
      </c>
      <c r="E317" s="20" t="s">
        <v>214</v>
      </c>
      <c r="F317" s="20" t="s">
        <v>199</v>
      </c>
      <c r="G317" s="20">
        <v>1</v>
      </c>
      <c r="H317" s="20" t="b">
        <v>0</v>
      </c>
      <c r="I317" s="20">
        <v>7</v>
      </c>
      <c r="J317" s="20">
        <v>108100</v>
      </c>
      <c r="K317" s="20" t="s">
        <v>177</v>
      </c>
      <c r="L317" s="20">
        <v>10810006</v>
      </c>
      <c r="M317" s="20">
        <v>10810008</v>
      </c>
      <c r="N317" s="20" t="s">
        <v>274</v>
      </c>
      <c r="O317" s="20">
        <v>0</v>
      </c>
      <c r="P317" s="20">
        <v>0</v>
      </c>
      <c r="Q317" s="20">
        <v>0</v>
      </c>
      <c r="R317" s="20">
        <v>1</v>
      </c>
      <c r="T317" s="20">
        <v>100</v>
      </c>
      <c r="AO317" s="20" t="s">
        <v>194</v>
      </c>
      <c r="AP317" s="20">
        <v>0</v>
      </c>
      <c r="CV317" s="20">
        <v>0</v>
      </c>
      <c r="CW317" s="20">
        <v>0</v>
      </c>
      <c r="CX317" s="20" t="s">
        <v>194</v>
      </c>
      <c r="CY317" s="20">
        <v>0</v>
      </c>
      <c r="DB317" s="20">
        <v>0</v>
      </c>
      <c r="DD317" s="20">
        <v>0</v>
      </c>
      <c r="DE317" s="20">
        <v>0</v>
      </c>
      <c r="DF317" s="20">
        <v>0</v>
      </c>
      <c r="DG317" s="20">
        <v>0</v>
      </c>
      <c r="DH317" s="20">
        <v>0</v>
      </c>
      <c r="DI317" s="20" t="b">
        <v>0</v>
      </c>
      <c r="DK317" s="20">
        <v>0</v>
      </c>
      <c r="DM317" s="20" t="s">
        <v>187</v>
      </c>
      <c r="DN317" s="20">
        <v>0</v>
      </c>
      <c r="DO317" s="20">
        <v>0</v>
      </c>
      <c r="DP317" s="20">
        <v>0</v>
      </c>
    </row>
    <row r="318" spans="2:120">
      <c r="B318" s="20" cm="1">
        <f t="array" ref="B318">10000000+INDEX(编号表!$B$1:$B$112,MATCH(D318,编号表!$A$1:$A$112,0))*10000+I318</f>
        <v>10810008</v>
      </c>
      <c r="C318" s="20" t="s">
        <v>273</v>
      </c>
      <c r="D318" s="20" t="s">
        <v>273</v>
      </c>
      <c r="E318" s="20" t="s">
        <v>214</v>
      </c>
      <c r="F318" s="20" t="s">
        <v>199</v>
      </c>
      <c r="G318" s="20">
        <v>1</v>
      </c>
      <c r="H318" s="20" t="b">
        <v>0</v>
      </c>
      <c r="I318" s="20">
        <v>8</v>
      </c>
      <c r="J318" s="20">
        <v>108100</v>
      </c>
      <c r="K318" s="20" t="s">
        <v>177</v>
      </c>
      <c r="L318" s="20">
        <v>10810007</v>
      </c>
      <c r="M318" s="20">
        <v>10810009</v>
      </c>
      <c r="N318" s="20" t="s">
        <v>274</v>
      </c>
      <c r="O318" s="20">
        <v>0</v>
      </c>
      <c r="P318" s="20">
        <v>0</v>
      </c>
      <c r="Q318" s="20">
        <v>0</v>
      </c>
      <c r="R318" s="20">
        <v>1</v>
      </c>
      <c r="T318" s="20">
        <v>100</v>
      </c>
      <c r="AO318" s="20" t="s">
        <v>194</v>
      </c>
      <c r="AP318" s="20">
        <v>0</v>
      </c>
      <c r="CV318" s="20">
        <v>0</v>
      </c>
      <c r="CW318" s="20">
        <v>0</v>
      </c>
      <c r="CX318" s="20" t="s">
        <v>194</v>
      </c>
      <c r="CY318" s="20">
        <v>0</v>
      </c>
      <c r="DB318" s="20">
        <v>0</v>
      </c>
      <c r="DD318" s="20">
        <v>0</v>
      </c>
      <c r="DE318" s="20">
        <v>0</v>
      </c>
      <c r="DF318" s="20">
        <v>0</v>
      </c>
      <c r="DG318" s="20">
        <v>0</v>
      </c>
      <c r="DH318" s="20">
        <v>0</v>
      </c>
      <c r="DI318" s="20" t="b">
        <v>0</v>
      </c>
      <c r="DK318" s="20">
        <v>0</v>
      </c>
      <c r="DM318" s="20" t="s">
        <v>187</v>
      </c>
      <c r="DN318" s="20">
        <v>0</v>
      </c>
      <c r="DO318" s="20">
        <v>0</v>
      </c>
      <c r="DP318" s="20">
        <v>0</v>
      </c>
    </row>
    <row r="319" spans="2:120">
      <c r="B319" s="20" cm="1">
        <f t="array" ref="B319">10000000+INDEX(编号表!$B$1:$B$112,MATCH(D319,编号表!$A$1:$A$112,0))*10000+I319</f>
        <v>10810009</v>
      </c>
      <c r="C319" s="20" t="s">
        <v>273</v>
      </c>
      <c r="D319" s="20" t="s">
        <v>273</v>
      </c>
      <c r="E319" s="20" t="s">
        <v>214</v>
      </c>
      <c r="F319" s="20" t="s">
        <v>199</v>
      </c>
      <c r="G319" s="20">
        <v>1</v>
      </c>
      <c r="H319" s="20" t="b">
        <v>0</v>
      </c>
      <c r="I319" s="20">
        <v>9</v>
      </c>
      <c r="J319" s="20">
        <v>108100</v>
      </c>
      <c r="K319" s="20" t="s">
        <v>177</v>
      </c>
      <c r="L319" s="20">
        <v>10810008</v>
      </c>
      <c r="M319" s="20">
        <v>10810010</v>
      </c>
      <c r="N319" s="20" t="s">
        <v>274</v>
      </c>
      <c r="O319" s="20">
        <v>0</v>
      </c>
      <c r="P319" s="20">
        <v>0</v>
      </c>
      <c r="Q319" s="20">
        <v>0</v>
      </c>
      <c r="R319" s="20">
        <v>1</v>
      </c>
      <c r="T319" s="20">
        <v>100</v>
      </c>
      <c r="AO319" s="20" t="s">
        <v>194</v>
      </c>
      <c r="AP319" s="20">
        <v>0</v>
      </c>
      <c r="CV319" s="20">
        <v>0</v>
      </c>
      <c r="CW319" s="20">
        <v>0</v>
      </c>
      <c r="CX319" s="20" t="s">
        <v>194</v>
      </c>
      <c r="CY319" s="20">
        <v>0</v>
      </c>
      <c r="DB319" s="20">
        <v>0</v>
      </c>
      <c r="DD319" s="20">
        <v>0</v>
      </c>
      <c r="DE319" s="20">
        <v>0</v>
      </c>
      <c r="DF319" s="20">
        <v>0</v>
      </c>
      <c r="DG319" s="20">
        <v>0</v>
      </c>
      <c r="DH319" s="20">
        <v>0</v>
      </c>
      <c r="DI319" s="20" t="b">
        <v>0</v>
      </c>
      <c r="DK319" s="20">
        <v>0</v>
      </c>
      <c r="DM319" s="20" t="s">
        <v>187</v>
      </c>
      <c r="DN319" s="20">
        <v>0</v>
      </c>
      <c r="DO319" s="20">
        <v>0</v>
      </c>
      <c r="DP319" s="20">
        <v>0</v>
      </c>
    </row>
    <row r="320" spans="2:120">
      <c r="B320" s="20" cm="1">
        <f t="array" ref="B320">10000000+INDEX(编号表!$B$1:$B$112,MATCH(D320,编号表!$A$1:$A$112,0))*10000+I320</f>
        <v>10810010</v>
      </c>
      <c r="C320" s="20" t="s">
        <v>273</v>
      </c>
      <c r="D320" s="20" t="s">
        <v>273</v>
      </c>
      <c r="E320" s="20" t="s">
        <v>214</v>
      </c>
      <c r="F320" s="20" t="s">
        <v>199</v>
      </c>
      <c r="G320" s="20">
        <v>1</v>
      </c>
      <c r="H320" s="20" t="b">
        <v>0</v>
      </c>
      <c r="I320" s="20">
        <v>10</v>
      </c>
      <c r="J320" s="20">
        <v>108100</v>
      </c>
      <c r="K320" s="20" t="s">
        <v>177</v>
      </c>
      <c r="L320" s="20">
        <v>10810009</v>
      </c>
      <c r="N320" s="20" t="s">
        <v>274</v>
      </c>
      <c r="O320" s="20">
        <v>0</v>
      </c>
      <c r="P320" s="20">
        <v>0</v>
      </c>
      <c r="Q320" s="20">
        <v>0</v>
      </c>
      <c r="R320" s="20">
        <v>1</v>
      </c>
      <c r="T320" s="20">
        <v>100</v>
      </c>
      <c r="AO320" s="20" t="s">
        <v>194</v>
      </c>
      <c r="AP320" s="20">
        <v>0</v>
      </c>
      <c r="CV320" s="20">
        <v>0</v>
      </c>
      <c r="CW320" s="20">
        <v>0</v>
      </c>
      <c r="CX320" s="20" t="s">
        <v>194</v>
      </c>
      <c r="CY320" s="20">
        <v>0</v>
      </c>
      <c r="DB320" s="20">
        <v>0</v>
      </c>
      <c r="DD320" s="20">
        <v>0</v>
      </c>
      <c r="DE320" s="20">
        <v>0</v>
      </c>
      <c r="DF320" s="20">
        <v>0</v>
      </c>
      <c r="DG320" s="20">
        <v>0</v>
      </c>
      <c r="DH320" s="20">
        <v>0</v>
      </c>
      <c r="DI320" s="20" t="b">
        <v>0</v>
      </c>
      <c r="DK320" s="20">
        <v>0</v>
      </c>
      <c r="DM320" s="20" t="s">
        <v>187</v>
      </c>
      <c r="DN320" s="20">
        <v>0</v>
      </c>
      <c r="DO320" s="20">
        <v>0</v>
      </c>
      <c r="DP320" s="20">
        <v>0</v>
      </c>
    </row>
    <row r="321" spans="2:120">
      <c r="B321" s="20" cm="1">
        <f t="array" ref="B321">10000000+INDEX(编号表!$B$1:$B$112,MATCH(D321,编号表!$A$1:$A$112,0))*10000+I321</f>
        <v>10820001</v>
      </c>
      <c r="C321" s="20" t="s">
        <v>275</v>
      </c>
      <c r="D321" s="20" t="s">
        <v>275</v>
      </c>
      <c r="E321" s="20" t="s">
        <v>214</v>
      </c>
      <c r="F321" s="20" t="s">
        <v>202</v>
      </c>
      <c r="G321" s="20">
        <v>1</v>
      </c>
      <c r="H321" s="20" t="b">
        <v>0</v>
      </c>
      <c r="I321" s="20">
        <v>1</v>
      </c>
      <c r="J321" s="20">
        <v>108200</v>
      </c>
      <c r="K321" s="20" t="s">
        <v>177</v>
      </c>
      <c r="M321" s="20">
        <v>10820002</v>
      </c>
      <c r="N321" s="20" t="s">
        <v>276</v>
      </c>
      <c r="O321" s="20">
        <v>0</v>
      </c>
      <c r="P321" s="20">
        <v>0</v>
      </c>
      <c r="Q321" s="20">
        <v>0</v>
      </c>
      <c r="R321" s="20">
        <v>1</v>
      </c>
      <c r="T321" s="20">
        <v>100</v>
      </c>
      <c r="AO321" s="20" t="s">
        <v>194</v>
      </c>
      <c r="AP321" s="20">
        <v>0</v>
      </c>
      <c r="CV321" s="20">
        <v>0</v>
      </c>
      <c r="CW321" s="20">
        <v>0</v>
      </c>
      <c r="CX321" s="20" t="s">
        <v>194</v>
      </c>
      <c r="CY321" s="20">
        <v>0</v>
      </c>
      <c r="DB321" s="20">
        <v>0</v>
      </c>
      <c r="DD321" s="20">
        <v>0</v>
      </c>
      <c r="DE321" s="20">
        <v>0</v>
      </c>
      <c r="DF321" s="20">
        <v>0</v>
      </c>
      <c r="DG321" s="20">
        <v>0</v>
      </c>
      <c r="DH321" s="20">
        <v>0</v>
      </c>
      <c r="DI321" s="20" t="b">
        <v>0</v>
      </c>
      <c r="DK321" s="20">
        <v>0</v>
      </c>
      <c r="DM321" s="20" t="s">
        <v>187</v>
      </c>
      <c r="DN321" s="20">
        <v>0</v>
      </c>
      <c r="DO321" s="20">
        <v>0</v>
      </c>
      <c r="DP321" s="20">
        <v>0</v>
      </c>
    </row>
    <row r="322" spans="2:120">
      <c r="B322" s="20" cm="1">
        <f t="array" ref="B322">10000000+INDEX(编号表!$B$1:$B$112,MATCH(D322,编号表!$A$1:$A$112,0))*10000+I322</f>
        <v>10820002</v>
      </c>
      <c r="C322" s="20" t="s">
        <v>275</v>
      </c>
      <c r="D322" s="20" t="s">
        <v>275</v>
      </c>
      <c r="E322" s="20" t="s">
        <v>214</v>
      </c>
      <c r="F322" s="20" t="s">
        <v>202</v>
      </c>
      <c r="G322" s="20">
        <v>1</v>
      </c>
      <c r="H322" s="20" t="b">
        <v>0</v>
      </c>
      <c r="I322" s="20">
        <v>2</v>
      </c>
      <c r="J322" s="20">
        <v>108200</v>
      </c>
      <c r="K322" s="20" t="s">
        <v>177</v>
      </c>
      <c r="L322" s="20">
        <v>10820001</v>
      </c>
      <c r="M322" s="20">
        <v>10820003</v>
      </c>
      <c r="N322" s="20" t="s">
        <v>276</v>
      </c>
      <c r="O322" s="20">
        <v>0</v>
      </c>
      <c r="P322" s="20">
        <v>0</v>
      </c>
      <c r="Q322" s="20">
        <v>0</v>
      </c>
      <c r="R322" s="20">
        <v>1</v>
      </c>
      <c r="T322" s="20">
        <v>100</v>
      </c>
      <c r="AO322" s="20" t="s">
        <v>194</v>
      </c>
      <c r="AP322" s="20">
        <v>0</v>
      </c>
      <c r="CV322" s="20">
        <v>0</v>
      </c>
      <c r="CW322" s="20">
        <v>0</v>
      </c>
      <c r="CX322" s="20" t="s">
        <v>194</v>
      </c>
      <c r="CY322" s="20">
        <v>0</v>
      </c>
      <c r="DB322" s="20">
        <v>0</v>
      </c>
      <c r="DD322" s="20">
        <v>0</v>
      </c>
      <c r="DE322" s="20">
        <v>0</v>
      </c>
      <c r="DF322" s="20">
        <v>0</v>
      </c>
      <c r="DG322" s="20">
        <v>0</v>
      </c>
      <c r="DH322" s="20">
        <v>0</v>
      </c>
      <c r="DI322" s="20" t="b">
        <v>0</v>
      </c>
      <c r="DK322" s="20">
        <v>0</v>
      </c>
      <c r="DM322" s="20" t="s">
        <v>187</v>
      </c>
      <c r="DN322" s="20">
        <v>0</v>
      </c>
      <c r="DO322" s="20">
        <v>0</v>
      </c>
      <c r="DP322" s="20">
        <v>0</v>
      </c>
    </row>
    <row r="323" spans="2:120">
      <c r="B323" s="20" cm="1">
        <f t="array" ref="B323">10000000+INDEX(编号表!$B$1:$B$112,MATCH(D323,编号表!$A$1:$A$112,0))*10000+I323</f>
        <v>10820003</v>
      </c>
      <c r="C323" s="20" t="s">
        <v>275</v>
      </c>
      <c r="D323" s="20" t="s">
        <v>275</v>
      </c>
      <c r="E323" s="20" t="s">
        <v>214</v>
      </c>
      <c r="F323" s="20" t="s">
        <v>202</v>
      </c>
      <c r="G323" s="20">
        <v>1</v>
      </c>
      <c r="H323" s="20" t="b">
        <v>0</v>
      </c>
      <c r="I323" s="20">
        <v>3</v>
      </c>
      <c r="J323" s="20">
        <v>108200</v>
      </c>
      <c r="K323" s="20" t="s">
        <v>177</v>
      </c>
      <c r="L323" s="20">
        <v>10820002</v>
      </c>
      <c r="M323" s="20">
        <v>10820004</v>
      </c>
      <c r="N323" s="20" t="s">
        <v>276</v>
      </c>
      <c r="O323" s="20">
        <v>0</v>
      </c>
      <c r="P323" s="20">
        <v>0</v>
      </c>
      <c r="Q323" s="20">
        <v>0</v>
      </c>
      <c r="R323" s="20">
        <v>1</v>
      </c>
      <c r="T323" s="20">
        <v>100</v>
      </c>
      <c r="AO323" s="20" t="s">
        <v>194</v>
      </c>
      <c r="AP323" s="20">
        <v>0</v>
      </c>
      <c r="CV323" s="20">
        <v>0</v>
      </c>
      <c r="CW323" s="20">
        <v>0</v>
      </c>
      <c r="CX323" s="20" t="s">
        <v>194</v>
      </c>
      <c r="CY323" s="20">
        <v>0</v>
      </c>
      <c r="DB323" s="20">
        <v>0</v>
      </c>
      <c r="DD323" s="20">
        <v>0</v>
      </c>
      <c r="DE323" s="20">
        <v>0</v>
      </c>
      <c r="DF323" s="20">
        <v>0</v>
      </c>
      <c r="DG323" s="20">
        <v>0</v>
      </c>
      <c r="DH323" s="20">
        <v>0</v>
      </c>
      <c r="DI323" s="20" t="b">
        <v>0</v>
      </c>
      <c r="DK323" s="20">
        <v>0</v>
      </c>
      <c r="DM323" s="20" t="s">
        <v>187</v>
      </c>
      <c r="DN323" s="20">
        <v>0</v>
      </c>
      <c r="DO323" s="20">
        <v>0</v>
      </c>
      <c r="DP323" s="20">
        <v>0</v>
      </c>
    </row>
    <row r="324" spans="2:120">
      <c r="B324" s="20" cm="1">
        <f t="array" ref="B324">10000000+INDEX(编号表!$B$1:$B$112,MATCH(D324,编号表!$A$1:$A$112,0))*10000+I324</f>
        <v>10820004</v>
      </c>
      <c r="C324" s="20" t="s">
        <v>275</v>
      </c>
      <c r="D324" s="20" t="s">
        <v>275</v>
      </c>
      <c r="E324" s="20" t="s">
        <v>214</v>
      </c>
      <c r="F324" s="20" t="s">
        <v>202</v>
      </c>
      <c r="G324" s="20">
        <v>1</v>
      </c>
      <c r="H324" s="20" t="b">
        <v>0</v>
      </c>
      <c r="I324" s="20">
        <v>4</v>
      </c>
      <c r="J324" s="20">
        <v>108200</v>
      </c>
      <c r="K324" s="20" t="s">
        <v>177</v>
      </c>
      <c r="L324" s="20">
        <v>10820003</v>
      </c>
      <c r="M324" s="20">
        <v>10820005</v>
      </c>
      <c r="N324" s="20" t="s">
        <v>276</v>
      </c>
      <c r="O324" s="20">
        <v>0</v>
      </c>
      <c r="P324" s="20">
        <v>0</v>
      </c>
      <c r="Q324" s="20">
        <v>0</v>
      </c>
      <c r="R324" s="20">
        <v>1</v>
      </c>
      <c r="T324" s="20">
        <v>100</v>
      </c>
      <c r="AO324" s="20" t="s">
        <v>194</v>
      </c>
      <c r="AP324" s="20">
        <v>0</v>
      </c>
      <c r="CV324" s="20">
        <v>0</v>
      </c>
      <c r="CW324" s="20">
        <v>0</v>
      </c>
      <c r="CX324" s="20" t="s">
        <v>194</v>
      </c>
      <c r="CY324" s="20">
        <v>0</v>
      </c>
      <c r="DB324" s="20">
        <v>0</v>
      </c>
      <c r="DD324" s="20">
        <v>0</v>
      </c>
      <c r="DE324" s="20">
        <v>0</v>
      </c>
      <c r="DF324" s="20">
        <v>0</v>
      </c>
      <c r="DG324" s="20">
        <v>0</v>
      </c>
      <c r="DH324" s="20">
        <v>0</v>
      </c>
      <c r="DI324" s="20" t="b">
        <v>0</v>
      </c>
      <c r="DK324" s="20">
        <v>0</v>
      </c>
      <c r="DM324" s="20" t="s">
        <v>187</v>
      </c>
      <c r="DN324" s="20">
        <v>0</v>
      </c>
      <c r="DO324" s="20">
        <v>0</v>
      </c>
      <c r="DP324" s="20">
        <v>0</v>
      </c>
    </row>
    <row r="325" spans="2:120">
      <c r="B325" s="20" cm="1">
        <f t="array" ref="B325">10000000+INDEX(编号表!$B$1:$B$112,MATCH(D325,编号表!$A$1:$A$112,0))*10000+I325</f>
        <v>10820005</v>
      </c>
      <c r="C325" s="20" t="s">
        <v>275</v>
      </c>
      <c r="D325" s="20" t="s">
        <v>275</v>
      </c>
      <c r="E325" s="20" t="s">
        <v>214</v>
      </c>
      <c r="F325" s="20" t="s">
        <v>202</v>
      </c>
      <c r="G325" s="20">
        <v>1</v>
      </c>
      <c r="H325" s="20" t="b">
        <v>0</v>
      </c>
      <c r="I325" s="20">
        <v>5</v>
      </c>
      <c r="J325" s="20">
        <v>108200</v>
      </c>
      <c r="K325" s="20" t="s">
        <v>177</v>
      </c>
      <c r="L325" s="20">
        <v>10820004</v>
      </c>
      <c r="M325" s="20">
        <v>10820006</v>
      </c>
      <c r="N325" s="20" t="s">
        <v>276</v>
      </c>
      <c r="O325" s="20">
        <v>0</v>
      </c>
      <c r="P325" s="20">
        <v>0</v>
      </c>
      <c r="Q325" s="20">
        <v>0</v>
      </c>
      <c r="R325" s="20">
        <v>1</v>
      </c>
      <c r="T325" s="20">
        <v>100</v>
      </c>
      <c r="AO325" s="20" t="s">
        <v>194</v>
      </c>
      <c r="AP325" s="20">
        <v>0</v>
      </c>
      <c r="CV325" s="20">
        <v>0</v>
      </c>
      <c r="CW325" s="20">
        <v>0</v>
      </c>
      <c r="CX325" s="20" t="s">
        <v>194</v>
      </c>
      <c r="CY325" s="20">
        <v>0</v>
      </c>
      <c r="DB325" s="20">
        <v>0</v>
      </c>
      <c r="DD325" s="20">
        <v>0</v>
      </c>
      <c r="DE325" s="20">
        <v>0</v>
      </c>
      <c r="DF325" s="20">
        <v>0</v>
      </c>
      <c r="DG325" s="20">
        <v>0</v>
      </c>
      <c r="DH325" s="20">
        <v>0</v>
      </c>
      <c r="DI325" s="20" t="b">
        <v>0</v>
      </c>
      <c r="DK325" s="20">
        <v>0</v>
      </c>
      <c r="DM325" s="20" t="s">
        <v>187</v>
      </c>
      <c r="DN325" s="20">
        <v>0</v>
      </c>
      <c r="DO325" s="20">
        <v>0</v>
      </c>
      <c r="DP325" s="20">
        <v>0</v>
      </c>
    </row>
    <row r="326" spans="2:120">
      <c r="B326" s="20" cm="1">
        <f t="array" ref="B326">10000000+INDEX(编号表!$B$1:$B$112,MATCH(D326,编号表!$A$1:$A$112,0))*10000+I326</f>
        <v>10820006</v>
      </c>
      <c r="C326" s="20" t="s">
        <v>275</v>
      </c>
      <c r="D326" s="20" t="s">
        <v>275</v>
      </c>
      <c r="E326" s="20" t="s">
        <v>214</v>
      </c>
      <c r="F326" s="20" t="s">
        <v>202</v>
      </c>
      <c r="G326" s="20">
        <v>1</v>
      </c>
      <c r="H326" s="20" t="b">
        <v>0</v>
      </c>
      <c r="I326" s="20">
        <v>6</v>
      </c>
      <c r="J326" s="20">
        <v>108200</v>
      </c>
      <c r="K326" s="20" t="s">
        <v>177</v>
      </c>
      <c r="L326" s="20">
        <v>10820005</v>
      </c>
      <c r="M326" s="20">
        <v>10820007</v>
      </c>
      <c r="N326" s="20" t="s">
        <v>276</v>
      </c>
      <c r="O326" s="20">
        <v>0</v>
      </c>
      <c r="P326" s="20">
        <v>0</v>
      </c>
      <c r="Q326" s="20">
        <v>0</v>
      </c>
      <c r="R326" s="20">
        <v>1</v>
      </c>
      <c r="T326" s="20">
        <v>100</v>
      </c>
      <c r="AO326" s="20" t="s">
        <v>194</v>
      </c>
      <c r="AP326" s="20">
        <v>0</v>
      </c>
      <c r="CV326" s="20">
        <v>0</v>
      </c>
      <c r="CW326" s="20">
        <v>0</v>
      </c>
      <c r="CX326" s="20" t="s">
        <v>194</v>
      </c>
      <c r="CY326" s="20">
        <v>0</v>
      </c>
      <c r="DB326" s="20">
        <v>0</v>
      </c>
      <c r="DD326" s="20">
        <v>0</v>
      </c>
      <c r="DE326" s="20">
        <v>0</v>
      </c>
      <c r="DF326" s="20">
        <v>0</v>
      </c>
      <c r="DG326" s="20">
        <v>0</v>
      </c>
      <c r="DH326" s="20">
        <v>0</v>
      </c>
      <c r="DI326" s="20" t="b">
        <v>0</v>
      </c>
      <c r="DK326" s="20">
        <v>0</v>
      </c>
      <c r="DM326" s="20" t="s">
        <v>187</v>
      </c>
      <c r="DN326" s="20">
        <v>0</v>
      </c>
      <c r="DO326" s="20">
        <v>0</v>
      </c>
      <c r="DP326" s="20">
        <v>0</v>
      </c>
    </row>
    <row r="327" spans="2:120">
      <c r="B327" s="20" cm="1">
        <f t="array" ref="B327">10000000+INDEX(编号表!$B$1:$B$112,MATCH(D327,编号表!$A$1:$A$112,0))*10000+I327</f>
        <v>10820007</v>
      </c>
      <c r="C327" s="20" t="s">
        <v>275</v>
      </c>
      <c r="D327" s="20" t="s">
        <v>275</v>
      </c>
      <c r="E327" s="20" t="s">
        <v>214</v>
      </c>
      <c r="F327" s="20" t="s">
        <v>202</v>
      </c>
      <c r="G327" s="20">
        <v>1</v>
      </c>
      <c r="H327" s="20" t="b">
        <v>0</v>
      </c>
      <c r="I327" s="20">
        <v>7</v>
      </c>
      <c r="J327" s="20">
        <v>108200</v>
      </c>
      <c r="K327" s="20" t="s">
        <v>177</v>
      </c>
      <c r="L327" s="20">
        <v>10820006</v>
      </c>
      <c r="M327" s="20">
        <v>10820008</v>
      </c>
      <c r="N327" s="20" t="s">
        <v>276</v>
      </c>
      <c r="O327" s="20">
        <v>0</v>
      </c>
      <c r="P327" s="20">
        <v>0</v>
      </c>
      <c r="Q327" s="20">
        <v>0</v>
      </c>
      <c r="R327" s="20">
        <v>1</v>
      </c>
      <c r="T327" s="20">
        <v>100</v>
      </c>
      <c r="AO327" s="20" t="s">
        <v>194</v>
      </c>
      <c r="AP327" s="20">
        <v>0</v>
      </c>
      <c r="CV327" s="20">
        <v>0</v>
      </c>
      <c r="CW327" s="20">
        <v>0</v>
      </c>
      <c r="CX327" s="20" t="s">
        <v>194</v>
      </c>
      <c r="CY327" s="20">
        <v>0</v>
      </c>
      <c r="DB327" s="20">
        <v>0</v>
      </c>
      <c r="DD327" s="20">
        <v>0</v>
      </c>
      <c r="DE327" s="20">
        <v>0</v>
      </c>
      <c r="DF327" s="20">
        <v>0</v>
      </c>
      <c r="DG327" s="20">
        <v>0</v>
      </c>
      <c r="DH327" s="20">
        <v>0</v>
      </c>
      <c r="DI327" s="20" t="b">
        <v>0</v>
      </c>
      <c r="DK327" s="20">
        <v>0</v>
      </c>
      <c r="DM327" s="20" t="s">
        <v>187</v>
      </c>
      <c r="DN327" s="20">
        <v>0</v>
      </c>
      <c r="DO327" s="20">
        <v>0</v>
      </c>
      <c r="DP327" s="20">
        <v>0</v>
      </c>
    </row>
    <row r="328" spans="2:120">
      <c r="B328" s="20" cm="1">
        <f t="array" ref="B328">10000000+INDEX(编号表!$B$1:$B$112,MATCH(D328,编号表!$A$1:$A$112,0))*10000+I328</f>
        <v>10820008</v>
      </c>
      <c r="C328" s="20" t="s">
        <v>275</v>
      </c>
      <c r="D328" s="20" t="s">
        <v>275</v>
      </c>
      <c r="E328" s="20" t="s">
        <v>214</v>
      </c>
      <c r="F328" s="20" t="s">
        <v>202</v>
      </c>
      <c r="G328" s="20">
        <v>1</v>
      </c>
      <c r="H328" s="20" t="b">
        <v>0</v>
      </c>
      <c r="I328" s="20">
        <v>8</v>
      </c>
      <c r="J328" s="20">
        <v>108200</v>
      </c>
      <c r="K328" s="20" t="s">
        <v>177</v>
      </c>
      <c r="L328" s="20">
        <v>10820007</v>
      </c>
      <c r="M328" s="20">
        <v>10820009</v>
      </c>
      <c r="N328" s="20" t="s">
        <v>276</v>
      </c>
      <c r="O328" s="20">
        <v>0</v>
      </c>
      <c r="P328" s="20">
        <v>0</v>
      </c>
      <c r="Q328" s="20">
        <v>0</v>
      </c>
      <c r="R328" s="20">
        <v>1</v>
      </c>
      <c r="T328" s="20">
        <v>100</v>
      </c>
      <c r="AO328" s="20" t="s">
        <v>194</v>
      </c>
      <c r="AP328" s="20">
        <v>0</v>
      </c>
      <c r="CV328" s="20">
        <v>0</v>
      </c>
      <c r="CW328" s="20">
        <v>0</v>
      </c>
      <c r="CX328" s="20" t="s">
        <v>194</v>
      </c>
      <c r="CY328" s="20">
        <v>0</v>
      </c>
      <c r="DB328" s="20">
        <v>0</v>
      </c>
      <c r="DD328" s="20">
        <v>0</v>
      </c>
      <c r="DE328" s="20">
        <v>0</v>
      </c>
      <c r="DF328" s="20">
        <v>0</v>
      </c>
      <c r="DG328" s="20">
        <v>0</v>
      </c>
      <c r="DH328" s="20">
        <v>0</v>
      </c>
      <c r="DI328" s="20" t="b">
        <v>0</v>
      </c>
      <c r="DK328" s="20">
        <v>0</v>
      </c>
      <c r="DM328" s="20" t="s">
        <v>187</v>
      </c>
      <c r="DN328" s="20">
        <v>0</v>
      </c>
      <c r="DO328" s="20">
        <v>0</v>
      </c>
      <c r="DP328" s="20">
        <v>0</v>
      </c>
    </row>
    <row r="329" spans="2:120">
      <c r="B329" s="20" cm="1">
        <f t="array" ref="B329">10000000+INDEX(编号表!$B$1:$B$112,MATCH(D329,编号表!$A$1:$A$112,0))*10000+I329</f>
        <v>10820009</v>
      </c>
      <c r="C329" s="20" t="s">
        <v>275</v>
      </c>
      <c r="D329" s="20" t="s">
        <v>275</v>
      </c>
      <c r="E329" s="20" t="s">
        <v>214</v>
      </c>
      <c r="F329" s="20" t="s">
        <v>202</v>
      </c>
      <c r="G329" s="20">
        <v>1</v>
      </c>
      <c r="H329" s="20" t="b">
        <v>0</v>
      </c>
      <c r="I329" s="20">
        <v>9</v>
      </c>
      <c r="J329" s="20">
        <v>108200</v>
      </c>
      <c r="K329" s="20" t="s">
        <v>177</v>
      </c>
      <c r="L329" s="20">
        <v>10820008</v>
      </c>
      <c r="M329" s="20">
        <v>10820010</v>
      </c>
      <c r="N329" s="20" t="s">
        <v>276</v>
      </c>
      <c r="O329" s="20">
        <v>0</v>
      </c>
      <c r="P329" s="20">
        <v>0</v>
      </c>
      <c r="Q329" s="20">
        <v>0</v>
      </c>
      <c r="R329" s="20">
        <v>1</v>
      </c>
      <c r="T329" s="20">
        <v>100</v>
      </c>
      <c r="AO329" s="20" t="s">
        <v>194</v>
      </c>
      <c r="AP329" s="20">
        <v>0</v>
      </c>
      <c r="CV329" s="20">
        <v>0</v>
      </c>
      <c r="CW329" s="20">
        <v>0</v>
      </c>
      <c r="CX329" s="20" t="s">
        <v>194</v>
      </c>
      <c r="CY329" s="20">
        <v>0</v>
      </c>
      <c r="DB329" s="20">
        <v>0</v>
      </c>
      <c r="DD329" s="20">
        <v>0</v>
      </c>
      <c r="DE329" s="20">
        <v>0</v>
      </c>
      <c r="DF329" s="20">
        <v>0</v>
      </c>
      <c r="DG329" s="20">
        <v>0</v>
      </c>
      <c r="DH329" s="20">
        <v>0</v>
      </c>
      <c r="DI329" s="20" t="b">
        <v>0</v>
      </c>
      <c r="DK329" s="20">
        <v>0</v>
      </c>
      <c r="DM329" s="20" t="s">
        <v>187</v>
      </c>
      <c r="DN329" s="20">
        <v>0</v>
      </c>
      <c r="DO329" s="20">
        <v>0</v>
      </c>
      <c r="DP329" s="20">
        <v>0</v>
      </c>
    </row>
    <row r="330" spans="2:120">
      <c r="B330" s="20" cm="1">
        <f t="array" ref="B330">10000000+INDEX(编号表!$B$1:$B$112,MATCH(D330,编号表!$A$1:$A$112,0))*10000+I330</f>
        <v>10820010</v>
      </c>
      <c r="C330" s="20" t="s">
        <v>275</v>
      </c>
      <c r="D330" s="20" t="s">
        <v>275</v>
      </c>
      <c r="E330" s="20" t="s">
        <v>214</v>
      </c>
      <c r="F330" s="20" t="s">
        <v>202</v>
      </c>
      <c r="G330" s="20">
        <v>1</v>
      </c>
      <c r="H330" s="20" t="b">
        <v>0</v>
      </c>
      <c r="I330" s="20">
        <v>10</v>
      </c>
      <c r="J330" s="20">
        <v>108200</v>
      </c>
      <c r="K330" s="20" t="s">
        <v>177</v>
      </c>
      <c r="L330" s="20">
        <v>10820009</v>
      </c>
      <c r="N330" s="20" t="s">
        <v>276</v>
      </c>
      <c r="O330" s="20">
        <v>0</v>
      </c>
      <c r="P330" s="20">
        <v>0</v>
      </c>
      <c r="Q330" s="20">
        <v>0</v>
      </c>
      <c r="R330" s="20">
        <v>1</v>
      </c>
      <c r="T330" s="20">
        <v>100</v>
      </c>
      <c r="AO330" s="20" t="s">
        <v>194</v>
      </c>
      <c r="AP330" s="20">
        <v>0</v>
      </c>
      <c r="CV330" s="20">
        <v>0</v>
      </c>
      <c r="CW330" s="20">
        <v>0</v>
      </c>
      <c r="CX330" s="20" t="s">
        <v>194</v>
      </c>
      <c r="CY330" s="20">
        <v>0</v>
      </c>
      <c r="DB330" s="20">
        <v>0</v>
      </c>
      <c r="DD330" s="20">
        <v>0</v>
      </c>
      <c r="DE330" s="20">
        <v>0</v>
      </c>
      <c r="DF330" s="20">
        <v>0</v>
      </c>
      <c r="DG330" s="20">
        <v>0</v>
      </c>
      <c r="DH330" s="20">
        <v>0</v>
      </c>
      <c r="DI330" s="20" t="b">
        <v>0</v>
      </c>
      <c r="DK330" s="20">
        <v>0</v>
      </c>
      <c r="DM330" s="20" t="s">
        <v>187</v>
      </c>
      <c r="DN330" s="20">
        <v>0</v>
      </c>
      <c r="DO330" s="20">
        <v>0</v>
      </c>
      <c r="DP330" s="20">
        <v>0</v>
      </c>
    </row>
    <row r="331" spans="2:120">
      <c r="B331" s="20" cm="1">
        <f t="array" ref="B331">10000000+INDEX(编号表!$B$1:$B$112,MATCH(D331,编号表!$A$1:$A$112,0))*10000+I331</f>
        <v>10830001</v>
      </c>
      <c r="C331" s="20" t="s">
        <v>277</v>
      </c>
      <c r="D331" s="20" t="s">
        <v>277</v>
      </c>
      <c r="E331" s="20" t="s">
        <v>214</v>
      </c>
      <c r="F331" s="20" t="s">
        <v>205</v>
      </c>
      <c r="G331" s="20">
        <v>1</v>
      </c>
      <c r="H331" s="20" t="b">
        <v>0</v>
      </c>
      <c r="I331" s="20">
        <v>1</v>
      </c>
      <c r="J331" s="20">
        <v>108300</v>
      </c>
      <c r="K331" s="20" t="s">
        <v>177</v>
      </c>
      <c r="M331" s="20">
        <v>10830002</v>
      </c>
      <c r="N331" s="20" t="s">
        <v>278</v>
      </c>
      <c r="O331" s="20">
        <v>0</v>
      </c>
      <c r="P331" s="20">
        <v>0</v>
      </c>
      <c r="Q331" s="20">
        <v>0</v>
      </c>
      <c r="R331" s="20">
        <v>1</v>
      </c>
      <c r="T331" s="20">
        <v>100</v>
      </c>
      <c r="AO331" s="20" t="s">
        <v>194</v>
      </c>
      <c r="AP331" s="20">
        <v>0</v>
      </c>
      <c r="CV331" s="20">
        <v>0</v>
      </c>
      <c r="CW331" s="20">
        <v>0</v>
      </c>
      <c r="CX331" s="20" t="s">
        <v>194</v>
      </c>
      <c r="CY331" s="20">
        <v>0</v>
      </c>
      <c r="DB331" s="20">
        <v>0</v>
      </c>
      <c r="DD331" s="20">
        <v>0</v>
      </c>
      <c r="DE331" s="20">
        <v>0</v>
      </c>
      <c r="DF331" s="20">
        <v>0</v>
      </c>
      <c r="DG331" s="20">
        <v>0</v>
      </c>
      <c r="DH331" s="20">
        <v>0</v>
      </c>
      <c r="DI331" s="20" t="b">
        <v>0</v>
      </c>
      <c r="DK331" s="20">
        <v>0</v>
      </c>
      <c r="DM331" s="20" t="s">
        <v>187</v>
      </c>
      <c r="DN331" s="20">
        <v>0</v>
      </c>
      <c r="DO331" s="20">
        <v>0</v>
      </c>
      <c r="DP331" s="20">
        <v>0</v>
      </c>
    </row>
    <row r="332" spans="2:120">
      <c r="B332" s="20" cm="1">
        <f t="array" ref="B332">10000000+INDEX(编号表!$B$1:$B$112,MATCH(D332,编号表!$A$1:$A$112,0))*10000+I332</f>
        <v>10830002</v>
      </c>
      <c r="C332" s="20" t="s">
        <v>277</v>
      </c>
      <c r="D332" s="20" t="s">
        <v>277</v>
      </c>
      <c r="E332" s="20" t="s">
        <v>214</v>
      </c>
      <c r="F332" s="20" t="s">
        <v>205</v>
      </c>
      <c r="G332" s="20">
        <v>1</v>
      </c>
      <c r="H332" s="20" t="b">
        <v>0</v>
      </c>
      <c r="I332" s="20">
        <v>2</v>
      </c>
      <c r="J332" s="20">
        <v>108300</v>
      </c>
      <c r="K332" s="20" t="s">
        <v>177</v>
      </c>
      <c r="L332" s="20">
        <v>10830001</v>
      </c>
      <c r="M332" s="20">
        <v>10830003</v>
      </c>
      <c r="N332" s="20" t="s">
        <v>278</v>
      </c>
      <c r="O332" s="20">
        <v>0</v>
      </c>
      <c r="P332" s="20">
        <v>0</v>
      </c>
      <c r="Q332" s="20">
        <v>0</v>
      </c>
      <c r="R332" s="20">
        <v>1</v>
      </c>
      <c r="T332" s="20">
        <v>100</v>
      </c>
      <c r="AO332" s="20" t="s">
        <v>194</v>
      </c>
      <c r="AP332" s="20">
        <v>0</v>
      </c>
      <c r="CV332" s="20">
        <v>0</v>
      </c>
      <c r="CW332" s="20">
        <v>0</v>
      </c>
      <c r="CX332" s="20" t="s">
        <v>194</v>
      </c>
      <c r="CY332" s="20">
        <v>0</v>
      </c>
      <c r="DB332" s="20">
        <v>0</v>
      </c>
      <c r="DD332" s="20">
        <v>0</v>
      </c>
      <c r="DE332" s="20">
        <v>0</v>
      </c>
      <c r="DF332" s="20">
        <v>0</v>
      </c>
      <c r="DG332" s="20">
        <v>0</v>
      </c>
      <c r="DH332" s="20">
        <v>0</v>
      </c>
      <c r="DI332" s="20" t="b">
        <v>0</v>
      </c>
      <c r="DK332" s="20">
        <v>0</v>
      </c>
      <c r="DM332" s="20" t="s">
        <v>187</v>
      </c>
      <c r="DN332" s="20">
        <v>0</v>
      </c>
      <c r="DO332" s="20">
        <v>0</v>
      </c>
      <c r="DP332" s="20">
        <v>0</v>
      </c>
    </row>
    <row r="333" spans="2:120">
      <c r="B333" s="20" cm="1">
        <f t="array" ref="B333">10000000+INDEX(编号表!$B$1:$B$112,MATCH(D333,编号表!$A$1:$A$112,0))*10000+I333</f>
        <v>10830003</v>
      </c>
      <c r="C333" s="20" t="s">
        <v>277</v>
      </c>
      <c r="D333" s="20" t="s">
        <v>277</v>
      </c>
      <c r="E333" s="20" t="s">
        <v>214</v>
      </c>
      <c r="F333" s="20" t="s">
        <v>205</v>
      </c>
      <c r="G333" s="20">
        <v>1</v>
      </c>
      <c r="H333" s="20" t="b">
        <v>0</v>
      </c>
      <c r="I333" s="20">
        <v>3</v>
      </c>
      <c r="J333" s="20">
        <v>108300</v>
      </c>
      <c r="K333" s="20" t="s">
        <v>177</v>
      </c>
      <c r="L333" s="20">
        <v>10830002</v>
      </c>
      <c r="M333" s="20">
        <v>10830004</v>
      </c>
      <c r="N333" s="20" t="s">
        <v>278</v>
      </c>
      <c r="O333" s="20">
        <v>0</v>
      </c>
      <c r="P333" s="20">
        <v>0</v>
      </c>
      <c r="Q333" s="20">
        <v>0</v>
      </c>
      <c r="R333" s="20">
        <v>1</v>
      </c>
      <c r="T333" s="20">
        <v>100</v>
      </c>
      <c r="AO333" s="20" t="s">
        <v>194</v>
      </c>
      <c r="AP333" s="20">
        <v>0</v>
      </c>
      <c r="CV333" s="20">
        <v>0</v>
      </c>
      <c r="CW333" s="20">
        <v>0</v>
      </c>
      <c r="CX333" s="20" t="s">
        <v>194</v>
      </c>
      <c r="CY333" s="20">
        <v>0</v>
      </c>
      <c r="DB333" s="20">
        <v>0</v>
      </c>
      <c r="DD333" s="20">
        <v>0</v>
      </c>
      <c r="DE333" s="20">
        <v>0</v>
      </c>
      <c r="DF333" s="20">
        <v>0</v>
      </c>
      <c r="DG333" s="20">
        <v>0</v>
      </c>
      <c r="DH333" s="20">
        <v>0</v>
      </c>
      <c r="DI333" s="20" t="b">
        <v>0</v>
      </c>
      <c r="DK333" s="20">
        <v>0</v>
      </c>
      <c r="DM333" s="20" t="s">
        <v>187</v>
      </c>
      <c r="DN333" s="20">
        <v>0</v>
      </c>
      <c r="DO333" s="20">
        <v>0</v>
      </c>
      <c r="DP333" s="20">
        <v>0</v>
      </c>
    </row>
    <row r="334" spans="2:120">
      <c r="B334" s="20" cm="1">
        <f t="array" ref="B334">10000000+INDEX(编号表!$B$1:$B$112,MATCH(D334,编号表!$A$1:$A$112,0))*10000+I334</f>
        <v>10830004</v>
      </c>
      <c r="C334" s="20" t="s">
        <v>277</v>
      </c>
      <c r="D334" s="20" t="s">
        <v>277</v>
      </c>
      <c r="E334" s="20" t="s">
        <v>214</v>
      </c>
      <c r="F334" s="20" t="s">
        <v>205</v>
      </c>
      <c r="G334" s="20">
        <v>1</v>
      </c>
      <c r="H334" s="20" t="b">
        <v>0</v>
      </c>
      <c r="I334" s="20">
        <v>4</v>
      </c>
      <c r="J334" s="20">
        <v>108300</v>
      </c>
      <c r="K334" s="20" t="s">
        <v>177</v>
      </c>
      <c r="L334" s="20">
        <v>10830003</v>
      </c>
      <c r="M334" s="20">
        <v>10830005</v>
      </c>
      <c r="N334" s="20" t="s">
        <v>278</v>
      </c>
      <c r="O334" s="20">
        <v>0</v>
      </c>
      <c r="P334" s="20">
        <v>0</v>
      </c>
      <c r="Q334" s="20">
        <v>0</v>
      </c>
      <c r="R334" s="20">
        <v>1</v>
      </c>
      <c r="T334" s="20">
        <v>100</v>
      </c>
      <c r="AO334" s="20" t="s">
        <v>194</v>
      </c>
      <c r="AP334" s="20">
        <v>0</v>
      </c>
      <c r="CV334" s="20">
        <v>0</v>
      </c>
      <c r="CW334" s="20">
        <v>0</v>
      </c>
      <c r="CX334" s="20" t="s">
        <v>194</v>
      </c>
      <c r="CY334" s="20">
        <v>0</v>
      </c>
      <c r="DB334" s="20">
        <v>0</v>
      </c>
      <c r="DD334" s="20">
        <v>0</v>
      </c>
      <c r="DE334" s="20">
        <v>0</v>
      </c>
      <c r="DF334" s="20">
        <v>0</v>
      </c>
      <c r="DG334" s="20">
        <v>0</v>
      </c>
      <c r="DH334" s="20">
        <v>0</v>
      </c>
      <c r="DI334" s="20" t="b">
        <v>0</v>
      </c>
      <c r="DK334" s="20">
        <v>0</v>
      </c>
      <c r="DM334" s="20" t="s">
        <v>187</v>
      </c>
      <c r="DN334" s="20">
        <v>0</v>
      </c>
      <c r="DO334" s="20">
        <v>0</v>
      </c>
      <c r="DP334" s="20">
        <v>0</v>
      </c>
    </row>
    <row r="335" spans="2:120">
      <c r="B335" s="20" cm="1">
        <f t="array" ref="B335">10000000+INDEX(编号表!$B$1:$B$112,MATCH(D335,编号表!$A$1:$A$112,0))*10000+I335</f>
        <v>10830005</v>
      </c>
      <c r="C335" s="20" t="s">
        <v>277</v>
      </c>
      <c r="D335" s="20" t="s">
        <v>277</v>
      </c>
      <c r="E335" s="20" t="s">
        <v>214</v>
      </c>
      <c r="F335" s="20" t="s">
        <v>205</v>
      </c>
      <c r="G335" s="20">
        <v>1</v>
      </c>
      <c r="H335" s="20" t="b">
        <v>0</v>
      </c>
      <c r="I335" s="20">
        <v>5</v>
      </c>
      <c r="J335" s="20">
        <v>108300</v>
      </c>
      <c r="K335" s="20" t="s">
        <v>177</v>
      </c>
      <c r="L335" s="20">
        <v>10830004</v>
      </c>
      <c r="M335" s="20">
        <v>10830006</v>
      </c>
      <c r="N335" s="20" t="s">
        <v>278</v>
      </c>
      <c r="O335" s="20">
        <v>0</v>
      </c>
      <c r="P335" s="20">
        <v>0</v>
      </c>
      <c r="Q335" s="20">
        <v>0</v>
      </c>
      <c r="R335" s="20">
        <v>1</v>
      </c>
      <c r="T335" s="20">
        <v>100</v>
      </c>
      <c r="AO335" s="20" t="s">
        <v>194</v>
      </c>
      <c r="AP335" s="20">
        <v>0</v>
      </c>
      <c r="CV335" s="20">
        <v>0</v>
      </c>
      <c r="CW335" s="20">
        <v>0</v>
      </c>
      <c r="CX335" s="20" t="s">
        <v>194</v>
      </c>
      <c r="CY335" s="20">
        <v>0</v>
      </c>
      <c r="DB335" s="20">
        <v>0</v>
      </c>
      <c r="DD335" s="20">
        <v>0</v>
      </c>
      <c r="DE335" s="20">
        <v>0</v>
      </c>
      <c r="DF335" s="20">
        <v>0</v>
      </c>
      <c r="DG335" s="20">
        <v>0</v>
      </c>
      <c r="DH335" s="20">
        <v>0</v>
      </c>
      <c r="DI335" s="20" t="b">
        <v>0</v>
      </c>
      <c r="DK335" s="20">
        <v>0</v>
      </c>
      <c r="DM335" s="20" t="s">
        <v>187</v>
      </c>
      <c r="DN335" s="20">
        <v>0</v>
      </c>
      <c r="DO335" s="20">
        <v>0</v>
      </c>
      <c r="DP335" s="20">
        <v>0</v>
      </c>
    </row>
    <row r="336" spans="2:120">
      <c r="B336" s="20" cm="1">
        <f t="array" ref="B336">10000000+INDEX(编号表!$B$1:$B$112,MATCH(D336,编号表!$A$1:$A$112,0))*10000+I336</f>
        <v>10830006</v>
      </c>
      <c r="C336" s="20" t="s">
        <v>277</v>
      </c>
      <c r="D336" s="20" t="s">
        <v>277</v>
      </c>
      <c r="E336" s="20" t="s">
        <v>214</v>
      </c>
      <c r="F336" s="20" t="s">
        <v>205</v>
      </c>
      <c r="G336" s="20">
        <v>1</v>
      </c>
      <c r="H336" s="20" t="b">
        <v>0</v>
      </c>
      <c r="I336" s="20">
        <v>6</v>
      </c>
      <c r="J336" s="20">
        <v>108300</v>
      </c>
      <c r="K336" s="20" t="s">
        <v>177</v>
      </c>
      <c r="L336" s="20">
        <v>10830005</v>
      </c>
      <c r="M336" s="20">
        <v>10830007</v>
      </c>
      <c r="N336" s="20" t="s">
        <v>278</v>
      </c>
      <c r="O336" s="20">
        <v>0</v>
      </c>
      <c r="P336" s="20">
        <v>0</v>
      </c>
      <c r="Q336" s="20">
        <v>0</v>
      </c>
      <c r="R336" s="20">
        <v>1</v>
      </c>
      <c r="T336" s="20">
        <v>100</v>
      </c>
      <c r="AO336" s="20" t="s">
        <v>194</v>
      </c>
      <c r="AP336" s="20">
        <v>0</v>
      </c>
      <c r="CV336" s="20">
        <v>0</v>
      </c>
      <c r="CW336" s="20">
        <v>0</v>
      </c>
      <c r="CX336" s="20" t="s">
        <v>194</v>
      </c>
      <c r="CY336" s="20">
        <v>0</v>
      </c>
      <c r="DB336" s="20">
        <v>0</v>
      </c>
      <c r="DD336" s="20">
        <v>0</v>
      </c>
      <c r="DE336" s="20">
        <v>0</v>
      </c>
      <c r="DF336" s="20">
        <v>0</v>
      </c>
      <c r="DG336" s="20">
        <v>0</v>
      </c>
      <c r="DH336" s="20">
        <v>0</v>
      </c>
      <c r="DI336" s="20" t="b">
        <v>0</v>
      </c>
      <c r="DK336" s="20">
        <v>0</v>
      </c>
      <c r="DM336" s="20" t="s">
        <v>187</v>
      </c>
      <c r="DN336" s="20">
        <v>0</v>
      </c>
      <c r="DO336" s="20">
        <v>0</v>
      </c>
      <c r="DP336" s="20">
        <v>0</v>
      </c>
    </row>
    <row r="337" spans="2:120">
      <c r="B337" s="20" cm="1">
        <f t="array" ref="B337">10000000+INDEX(编号表!$B$1:$B$112,MATCH(D337,编号表!$A$1:$A$112,0))*10000+I337</f>
        <v>10830007</v>
      </c>
      <c r="C337" s="20" t="s">
        <v>277</v>
      </c>
      <c r="D337" s="20" t="s">
        <v>277</v>
      </c>
      <c r="E337" s="20" t="s">
        <v>214</v>
      </c>
      <c r="F337" s="20" t="s">
        <v>205</v>
      </c>
      <c r="G337" s="20">
        <v>1</v>
      </c>
      <c r="H337" s="20" t="b">
        <v>0</v>
      </c>
      <c r="I337" s="20">
        <v>7</v>
      </c>
      <c r="J337" s="20">
        <v>108300</v>
      </c>
      <c r="K337" s="20" t="s">
        <v>177</v>
      </c>
      <c r="L337" s="20">
        <v>10830006</v>
      </c>
      <c r="M337" s="20">
        <v>10830008</v>
      </c>
      <c r="N337" s="20" t="s">
        <v>278</v>
      </c>
      <c r="O337" s="20">
        <v>0</v>
      </c>
      <c r="P337" s="20">
        <v>0</v>
      </c>
      <c r="Q337" s="20">
        <v>0</v>
      </c>
      <c r="R337" s="20">
        <v>1</v>
      </c>
      <c r="T337" s="20">
        <v>100</v>
      </c>
      <c r="AO337" s="20" t="s">
        <v>194</v>
      </c>
      <c r="AP337" s="20">
        <v>0</v>
      </c>
      <c r="CV337" s="20">
        <v>0</v>
      </c>
      <c r="CW337" s="20">
        <v>0</v>
      </c>
      <c r="CX337" s="20" t="s">
        <v>194</v>
      </c>
      <c r="CY337" s="20">
        <v>0</v>
      </c>
      <c r="DB337" s="20">
        <v>0</v>
      </c>
      <c r="DD337" s="20">
        <v>0</v>
      </c>
      <c r="DE337" s="20">
        <v>0</v>
      </c>
      <c r="DF337" s="20">
        <v>0</v>
      </c>
      <c r="DG337" s="20">
        <v>0</v>
      </c>
      <c r="DH337" s="20">
        <v>0</v>
      </c>
      <c r="DI337" s="20" t="b">
        <v>0</v>
      </c>
      <c r="DK337" s="20">
        <v>0</v>
      </c>
      <c r="DM337" s="20" t="s">
        <v>187</v>
      </c>
      <c r="DN337" s="20">
        <v>0</v>
      </c>
      <c r="DO337" s="20">
        <v>0</v>
      </c>
      <c r="DP337" s="20">
        <v>0</v>
      </c>
    </row>
    <row r="338" spans="2:120">
      <c r="B338" s="20" cm="1">
        <f t="array" ref="B338">10000000+INDEX(编号表!$B$1:$B$112,MATCH(D338,编号表!$A$1:$A$112,0))*10000+I338</f>
        <v>10830008</v>
      </c>
      <c r="C338" s="20" t="s">
        <v>277</v>
      </c>
      <c r="D338" s="20" t="s">
        <v>277</v>
      </c>
      <c r="E338" s="20" t="s">
        <v>214</v>
      </c>
      <c r="F338" s="20" t="s">
        <v>205</v>
      </c>
      <c r="G338" s="20">
        <v>1</v>
      </c>
      <c r="H338" s="20" t="b">
        <v>0</v>
      </c>
      <c r="I338" s="20">
        <v>8</v>
      </c>
      <c r="J338" s="20">
        <v>108300</v>
      </c>
      <c r="K338" s="20" t="s">
        <v>177</v>
      </c>
      <c r="L338" s="20">
        <v>10830007</v>
      </c>
      <c r="M338" s="20">
        <v>10830009</v>
      </c>
      <c r="N338" s="20" t="s">
        <v>278</v>
      </c>
      <c r="O338" s="20">
        <v>0</v>
      </c>
      <c r="P338" s="20">
        <v>0</v>
      </c>
      <c r="Q338" s="20">
        <v>0</v>
      </c>
      <c r="R338" s="20">
        <v>1</v>
      </c>
      <c r="T338" s="20">
        <v>100</v>
      </c>
      <c r="AO338" s="20" t="s">
        <v>194</v>
      </c>
      <c r="AP338" s="20">
        <v>0</v>
      </c>
      <c r="CV338" s="20">
        <v>0</v>
      </c>
      <c r="CW338" s="20">
        <v>0</v>
      </c>
      <c r="CX338" s="20" t="s">
        <v>194</v>
      </c>
      <c r="CY338" s="20">
        <v>0</v>
      </c>
      <c r="DB338" s="20">
        <v>0</v>
      </c>
      <c r="DD338" s="20">
        <v>0</v>
      </c>
      <c r="DE338" s="20">
        <v>0</v>
      </c>
      <c r="DF338" s="20">
        <v>0</v>
      </c>
      <c r="DG338" s="20">
        <v>0</v>
      </c>
      <c r="DH338" s="20">
        <v>0</v>
      </c>
      <c r="DI338" s="20" t="b">
        <v>0</v>
      </c>
      <c r="DK338" s="20">
        <v>0</v>
      </c>
      <c r="DM338" s="20" t="s">
        <v>187</v>
      </c>
      <c r="DN338" s="20">
        <v>0</v>
      </c>
      <c r="DO338" s="20">
        <v>0</v>
      </c>
      <c r="DP338" s="20">
        <v>0</v>
      </c>
    </row>
    <row r="339" spans="2:120">
      <c r="B339" s="20" cm="1">
        <f t="array" ref="B339">10000000+INDEX(编号表!$B$1:$B$112,MATCH(D339,编号表!$A$1:$A$112,0))*10000+I339</f>
        <v>10830009</v>
      </c>
      <c r="C339" s="20" t="s">
        <v>277</v>
      </c>
      <c r="D339" s="20" t="s">
        <v>277</v>
      </c>
      <c r="E339" s="20" t="s">
        <v>214</v>
      </c>
      <c r="F339" s="20" t="s">
        <v>205</v>
      </c>
      <c r="G339" s="20">
        <v>1</v>
      </c>
      <c r="H339" s="20" t="b">
        <v>0</v>
      </c>
      <c r="I339" s="20">
        <v>9</v>
      </c>
      <c r="J339" s="20">
        <v>108300</v>
      </c>
      <c r="K339" s="20" t="s">
        <v>177</v>
      </c>
      <c r="L339" s="20">
        <v>10830008</v>
      </c>
      <c r="M339" s="20">
        <v>10830010</v>
      </c>
      <c r="N339" s="20" t="s">
        <v>278</v>
      </c>
      <c r="O339" s="20">
        <v>0</v>
      </c>
      <c r="P339" s="20">
        <v>0</v>
      </c>
      <c r="Q339" s="20">
        <v>0</v>
      </c>
      <c r="R339" s="20">
        <v>1</v>
      </c>
      <c r="T339" s="20">
        <v>100</v>
      </c>
      <c r="AO339" s="20" t="s">
        <v>194</v>
      </c>
      <c r="AP339" s="20">
        <v>0</v>
      </c>
      <c r="CV339" s="20">
        <v>0</v>
      </c>
      <c r="CW339" s="20">
        <v>0</v>
      </c>
      <c r="CX339" s="20" t="s">
        <v>194</v>
      </c>
      <c r="CY339" s="20">
        <v>0</v>
      </c>
      <c r="DB339" s="20">
        <v>0</v>
      </c>
      <c r="DD339" s="20">
        <v>0</v>
      </c>
      <c r="DE339" s="20">
        <v>0</v>
      </c>
      <c r="DF339" s="20">
        <v>0</v>
      </c>
      <c r="DG339" s="20">
        <v>0</v>
      </c>
      <c r="DH339" s="20">
        <v>0</v>
      </c>
      <c r="DI339" s="20" t="b">
        <v>0</v>
      </c>
      <c r="DK339" s="20">
        <v>0</v>
      </c>
      <c r="DM339" s="20" t="s">
        <v>187</v>
      </c>
      <c r="DN339" s="20">
        <v>0</v>
      </c>
      <c r="DO339" s="20">
        <v>0</v>
      </c>
      <c r="DP339" s="20">
        <v>0</v>
      </c>
    </row>
    <row r="340" spans="2:120">
      <c r="B340" s="20" cm="1">
        <f t="array" ref="B340">10000000+INDEX(编号表!$B$1:$B$112,MATCH(D340,编号表!$A$1:$A$112,0))*10000+I340</f>
        <v>10830010</v>
      </c>
      <c r="C340" s="20" t="s">
        <v>277</v>
      </c>
      <c r="D340" s="20" t="s">
        <v>277</v>
      </c>
      <c r="E340" s="20" t="s">
        <v>214</v>
      </c>
      <c r="F340" s="20" t="s">
        <v>205</v>
      </c>
      <c r="G340" s="20">
        <v>1</v>
      </c>
      <c r="H340" s="20" t="b">
        <v>0</v>
      </c>
      <c r="I340" s="20">
        <v>10</v>
      </c>
      <c r="J340" s="20">
        <v>108300</v>
      </c>
      <c r="K340" s="20" t="s">
        <v>177</v>
      </c>
      <c r="L340" s="20">
        <v>10830009</v>
      </c>
      <c r="N340" s="20" t="s">
        <v>278</v>
      </c>
      <c r="O340" s="20">
        <v>0</v>
      </c>
      <c r="P340" s="20">
        <v>0</v>
      </c>
      <c r="Q340" s="20">
        <v>0</v>
      </c>
      <c r="R340" s="20">
        <v>1</v>
      </c>
      <c r="T340" s="20">
        <v>100</v>
      </c>
      <c r="AO340" s="20" t="s">
        <v>194</v>
      </c>
      <c r="AP340" s="20">
        <v>0</v>
      </c>
      <c r="CV340" s="20">
        <v>0</v>
      </c>
      <c r="CW340" s="20">
        <v>0</v>
      </c>
      <c r="CX340" s="20" t="s">
        <v>194</v>
      </c>
      <c r="CY340" s="20">
        <v>0</v>
      </c>
      <c r="DB340" s="20">
        <v>0</v>
      </c>
      <c r="DD340" s="20">
        <v>0</v>
      </c>
      <c r="DE340" s="20">
        <v>0</v>
      </c>
      <c r="DF340" s="20">
        <v>0</v>
      </c>
      <c r="DG340" s="20">
        <v>0</v>
      </c>
      <c r="DH340" s="20">
        <v>0</v>
      </c>
      <c r="DI340" s="20" t="b">
        <v>0</v>
      </c>
      <c r="DK340" s="20">
        <v>0</v>
      </c>
      <c r="DM340" s="20" t="s">
        <v>187</v>
      </c>
      <c r="DN340" s="20">
        <v>0</v>
      </c>
      <c r="DO340" s="20">
        <v>0</v>
      </c>
      <c r="DP340" s="20">
        <v>0</v>
      </c>
    </row>
    <row r="341" spans="2:120">
      <c r="B341" s="20" cm="1">
        <f t="array" ref="B341">10000000+INDEX(编号表!$B$1:$B$112,MATCH(D341,编号表!$A$1:$A$112,0))*10000+I341</f>
        <v>10840001</v>
      </c>
      <c r="C341" s="20" t="s">
        <v>279</v>
      </c>
      <c r="D341" s="20" t="s">
        <v>279</v>
      </c>
      <c r="E341" s="20" t="s">
        <v>214</v>
      </c>
      <c r="F341" s="20" t="s">
        <v>208</v>
      </c>
      <c r="G341" s="20">
        <v>1</v>
      </c>
      <c r="H341" s="20" t="b">
        <v>0</v>
      </c>
      <c r="I341" s="20">
        <v>1</v>
      </c>
      <c r="J341" s="20">
        <v>108400</v>
      </c>
      <c r="K341" s="20" t="s">
        <v>177</v>
      </c>
      <c r="M341" s="20">
        <v>10840002</v>
      </c>
      <c r="N341" s="20" t="s">
        <v>280</v>
      </c>
      <c r="O341" s="20">
        <v>0</v>
      </c>
      <c r="P341" s="20">
        <v>0</v>
      </c>
      <c r="Q341" s="20">
        <v>0</v>
      </c>
      <c r="R341" s="20">
        <v>1</v>
      </c>
      <c r="T341" s="20">
        <v>100</v>
      </c>
      <c r="AO341" s="20" t="s">
        <v>194</v>
      </c>
      <c r="AP341" s="20">
        <v>0</v>
      </c>
      <c r="CV341" s="20">
        <v>0</v>
      </c>
      <c r="CW341" s="20">
        <v>0</v>
      </c>
      <c r="CX341" s="20" t="s">
        <v>194</v>
      </c>
      <c r="CY341" s="20">
        <v>0</v>
      </c>
      <c r="DB341" s="20">
        <v>0</v>
      </c>
      <c r="DD341" s="20">
        <v>0</v>
      </c>
      <c r="DE341" s="20">
        <v>0</v>
      </c>
      <c r="DF341" s="20">
        <v>0</v>
      </c>
      <c r="DG341" s="20">
        <v>0</v>
      </c>
      <c r="DH341" s="20">
        <v>0</v>
      </c>
      <c r="DI341" s="20" t="b">
        <v>0</v>
      </c>
      <c r="DK341" s="20">
        <v>0</v>
      </c>
      <c r="DM341" s="20" t="s">
        <v>187</v>
      </c>
      <c r="DN341" s="20">
        <v>0</v>
      </c>
      <c r="DO341" s="20">
        <v>0</v>
      </c>
      <c r="DP341" s="20">
        <v>0</v>
      </c>
    </row>
    <row r="342" spans="2:120">
      <c r="B342" s="20" cm="1">
        <f t="array" ref="B342">10000000+INDEX(编号表!$B$1:$B$112,MATCH(D342,编号表!$A$1:$A$112,0))*10000+I342</f>
        <v>10840002</v>
      </c>
      <c r="C342" s="20" t="s">
        <v>279</v>
      </c>
      <c r="D342" s="20" t="s">
        <v>279</v>
      </c>
      <c r="E342" s="20" t="s">
        <v>214</v>
      </c>
      <c r="F342" s="20" t="s">
        <v>208</v>
      </c>
      <c r="G342" s="20">
        <v>1</v>
      </c>
      <c r="H342" s="20" t="b">
        <v>0</v>
      </c>
      <c r="I342" s="20">
        <v>2</v>
      </c>
      <c r="J342" s="20">
        <v>108400</v>
      </c>
      <c r="K342" s="20" t="s">
        <v>177</v>
      </c>
      <c r="L342" s="20">
        <v>10840001</v>
      </c>
      <c r="M342" s="20">
        <v>10840003</v>
      </c>
      <c r="N342" s="20" t="s">
        <v>280</v>
      </c>
      <c r="O342" s="20">
        <v>0</v>
      </c>
      <c r="P342" s="20">
        <v>0</v>
      </c>
      <c r="Q342" s="20">
        <v>0</v>
      </c>
      <c r="R342" s="20">
        <v>1</v>
      </c>
      <c r="T342" s="20">
        <v>100</v>
      </c>
      <c r="AO342" s="20" t="s">
        <v>194</v>
      </c>
      <c r="AP342" s="20">
        <v>0</v>
      </c>
      <c r="CV342" s="20">
        <v>0</v>
      </c>
      <c r="CW342" s="20">
        <v>0</v>
      </c>
      <c r="CX342" s="20" t="s">
        <v>194</v>
      </c>
      <c r="CY342" s="20">
        <v>0</v>
      </c>
      <c r="DB342" s="20">
        <v>0</v>
      </c>
      <c r="DD342" s="20">
        <v>0</v>
      </c>
      <c r="DE342" s="20">
        <v>0</v>
      </c>
      <c r="DF342" s="20">
        <v>0</v>
      </c>
      <c r="DG342" s="20">
        <v>0</v>
      </c>
      <c r="DH342" s="20">
        <v>0</v>
      </c>
      <c r="DI342" s="20" t="b">
        <v>0</v>
      </c>
      <c r="DK342" s="20">
        <v>0</v>
      </c>
      <c r="DM342" s="20" t="s">
        <v>187</v>
      </c>
      <c r="DN342" s="20">
        <v>0</v>
      </c>
      <c r="DO342" s="20">
        <v>0</v>
      </c>
      <c r="DP342" s="20">
        <v>0</v>
      </c>
    </row>
    <row r="343" spans="2:120">
      <c r="B343" s="20" cm="1">
        <f t="array" ref="B343">10000000+INDEX(编号表!$B$1:$B$112,MATCH(D343,编号表!$A$1:$A$112,0))*10000+I343</f>
        <v>10840003</v>
      </c>
      <c r="C343" s="20" t="s">
        <v>279</v>
      </c>
      <c r="D343" s="20" t="s">
        <v>279</v>
      </c>
      <c r="E343" s="20" t="s">
        <v>214</v>
      </c>
      <c r="F343" s="20" t="s">
        <v>208</v>
      </c>
      <c r="G343" s="20">
        <v>1</v>
      </c>
      <c r="H343" s="20" t="b">
        <v>0</v>
      </c>
      <c r="I343" s="20">
        <v>3</v>
      </c>
      <c r="J343" s="20">
        <v>108400</v>
      </c>
      <c r="K343" s="20" t="s">
        <v>177</v>
      </c>
      <c r="L343" s="20">
        <v>10840002</v>
      </c>
      <c r="M343" s="20">
        <v>10840004</v>
      </c>
      <c r="N343" s="20" t="s">
        <v>280</v>
      </c>
      <c r="O343" s="20">
        <v>0</v>
      </c>
      <c r="P343" s="20">
        <v>0</v>
      </c>
      <c r="Q343" s="20">
        <v>0</v>
      </c>
      <c r="R343" s="20">
        <v>1</v>
      </c>
      <c r="T343" s="20">
        <v>100</v>
      </c>
      <c r="AO343" s="20" t="s">
        <v>194</v>
      </c>
      <c r="AP343" s="20">
        <v>0</v>
      </c>
      <c r="CV343" s="20">
        <v>0</v>
      </c>
      <c r="CW343" s="20">
        <v>0</v>
      </c>
      <c r="CX343" s="20" t="s">
        <v>194</v>
      </c>
      <c r="CY343" s="20">
        <v>0</v>
      </c>
      <c r="DB343" s="20">
        <v>0</v>
      </c>
      <c r="DD343" s="20">
        <v>0</v>
      </c>
      <c r="DE343" s="20">
        <v>0</v>
      </c>
      <c r="DF343" s="20">
        <v>0</v>
      </c>
      <c r="DG343" s="20">
        <v>0</v>
      </c>
      <c r="DH343" s="20">
        <v>0</v>
      </c>
      <c r="DI343" s="20" t="b">
        <v>0</v>
      </c>
      <c r="DK343" s="20">
        <v>0</v>
      </c>
      <c r="DM343" s="20" t="s">
        <v>187</v>
      </c>
      <c r="DN343" s="20">
        <v>0</v>
      </c>
      <c r="DO343" s="20">
        <v>0</v>
      </c>
      <c r="DP343" s="20">
        <v>0</v>
      </c>
    </row>
    <row r="344" spans="2:120">
      <c r="B344" s="20" cm="1">
        <f t="array" ref="B344">10000000+INDEX(编号表!$B$1:$B$112,MATCH(D344,编号表!$A$1:$A$112,0))*10000+I344</f>
        <v>10840004</v>
      </c>
      <c r="C344" s="20" t="s">
        <v>279</v>
      </c>
      <c r="D344" s="20" t="s">
        <v>279</v>
      </c>
      <c r="E344" s="20" t="s">
        <v>214</v>
      </c>
      <c r="F344" s="20" t="s">
        <v>208</v>
      </c>
      <c r="G344" s="20">
        <v>1</v>
      </c>
      <c r="H344" s="20" t="b">
        <v>0</v>
      </c>
      <c r="I344" s="20">
        <v>4</v>
      </c>
      <c r="J344" s="20">
        <v>108400</v>
      </c>
      <c r="K344" s="20" t="s">
        <v>177</v>
      </c>
      <c r="L344" s="20">
        <v>10840003</v>
      </c>
      <c r="M344" s="20">
        <v>10840005</v>
      </c>
      <c r="N344" s="20" t="s">
        <v>280</v>
      </c>
      <c r="O344" s="20">
        <v>0</v>
      </c>
      <c r="P344" s="20">
        <v>0</v>
      </c>
      <c r="Q344" s="20">
        <v>0</v>
      </c>
      <c r="R344" s="20">
        <v>1</v>
      </c>
      <c r="T344" s="20">
        <v>100</v>
      </c>
      <c r="AO344" s="20" t="s">
        <v>194</v>
      </c>
      <c r="AP344" s="20">
        <v>0</v>
      </c>
      <c r="CV344" s="20">
        <v>0</v>
      </c>
      <c r="CW344" s="20">
        <v>0</v>
      </c>
      <c r="CX344" s="20" t="s">
        <v>194</v>
      </c>
      <c r="CY344" s="20">
        <v>0</v>
      </c>
      <c r="DB344" s="20">
        <v>0</v>
      </c>
      <c r="DD344" s="20">
        <v>0</v>
      </c>
      <c r="DE344" s="20">
        <v>0</v>
      </c>
      <c r="DF344" s="20">
        <v>0</v>
      </c>
      <c r="DG344" s="20">
        <v>0</v>
      </c>
      <c r="DH344" s="20">
        <v>0</v>
      </c>
      <c r="DI344" s="20" t="b">
        <v>0</v>
      </c>
      <c r="DK344" s="20">
        <v>0</v>
      </c>
      <c r="DM344" s="20" t="s">
        <v>187</v>
      </c>
      <c r="DN344" s="20">
        <v>0</v>
      </c>
      <c r="DO344" s="20">
        <v>0</v>
      </c>
      <c r="DP344" s="20">
        <v>0</v>
      </c>
    </row>
    <row r="345" spans="2:120">
      <c r="B345" s="20" cm="1">
        <f t="array" ref="B345">10000000+INDEX(编号表!$B$1:$B$112,MATCH(D345,编号表!$A$1:$A$112,0))*10000+I345</f>
        <v>10840005</v>
      </c>
      <c r="C345" s="20" t="s">
        <v>279</v>
      </c>
      <c r="D345" s="20" t="s">
        <v>279</v>
      </c>
      <c r="E345" s="20" t="s">
        <v>214</v>
      </c>
      <c r="F345" s="20" t="s">
        <v>208</v>
      </c>
      <c r="G345" s="20">
        <v>1</v>
      </c>
      <c r="H345" s="20" t="b">
        <v>0</v>
      </c>
      <c r="I345" s="20">
        <v>5</v>
      </c>
      <c r="J345" s="20">
        <v>108400</v>
      </c>
      <c r="K345" s="20" t="s">
        <v>177</v>
      </c>
      <c r="L345" s="20">
        <v>10840004</v>
      </c>
      <c r="M345" s="20">
        <v>10840006</v>
      </c>
      <c r="N345" s="20" t="s">
        <v>280</v>
      </c>
      <c r="O345" s="20">
        <v>0</v>
      </c>
      <c r="P345" s="20">
        <v>0</v>
      </c>
      <c r="Q345" s="20">
        <v>0</v>
      </c>
      <c r="R345" s="20">
        <v>1</v>
      </c>
      <c r="T345" s="20">
        <v>100</v>
      </c>
      <c r="AO345" s="20" t="s">
        <v>194</v>
      </c>
      <c r="AP345" s="20">
        <v>0</v>
      </c>
      <c r="CV345" s="20">
        <v>0</v>
      </c>
      <c r="CW345" s="20">
        <v>0</v>
      </c>
      <c r="CX345" s="20" t="s">
        <v>194</v>
      </c>
      <c r="CY345" s="20">
        <v>0</v>
      </c>
      <c r="DB345" s="20">
        <v>0</v>
      </c>
      <c r="DD345" s="20">
        <v>0</v>
      </c>
      <c r="DE345" s="20">
        <v>0</v>
      </c>
      <c r="DF345" s="20">
        <v>0</v>
      </c>
      <c r="DG345" s="20">
        <v>0</v>
      </c>
      <c r="DH345" s="20">
        <v>0</v>
      </c>
      <c r="DI345" s="20" t="b">
        <v>0</v>
      </c>
      <c r="DK345" s="20">
        <v>0</v>
      </c>
      <c r="DM345" s="20" t="s">
        <v>187</v>
      </c>
      <c r="DN345" s="20">
        <v>0</v>
      </c>
      <c r="DO345" s="20">
        <v>0</v>
      </c>
      <c r="DP345" s="20">
        <v>0</v>
      </c>
    </row>
    <row r="346" spans="2:120">
      <c r="B346" s="20" cm="1">
        <f t="array" ref="B346">10000000+INDEX(编号表!$B$1:$B$112,MATCH(D346,编号表!$A$1:$A$112,0))*10000+I346</f>
        <v>10840006</v>
      </c>
      <c r="C346" s="20" t="s">
        <v>279</v>
      </c>
      <c r="D346" s="20" t="s">
        <v>279</v>
      </c>
      <c r="E346" s="20" t="s">
        <v>214</v>
      </c>
      <c r="F346" s="20" t="s">
        <v>208</v>
      </c>
      <c r="G346" s="20">
        <v>1</v>
      </c>
      <c r="H346" s="20" t="b">
        <v>0</v>
      </c>
      <c r="I346" s="20">
        <v>6</v>
      </c>
      <c r="J346" s="20">
        <v>108400</v>
      </c>
      <c r="K346" s="20" t="s">
        <v>177</v>
      </c>
      <c r="L346" s="20">
        <v>10840005</v>
      </c>
      <c r="M346" s="20">
        <v>10840007</v>
      </c>
      <c r="N346" s="20" t="s">
        <v>280</v>
      </c>
      <c r="O346" s="20">
        <v>0</v>
      </c>
      <c r="P346" s="20">
        <v>0</v>
      </c>
      <c r="Q346" s="20">
        <v>0</v>
      </c>
      <c r="R346" s="20">
        <v>1</v>
      </c>
      <c r="T346" s="20">
        <v>100</v>
      </c>
      <c r="AO346" s="20" t="s">
        <v>194</v>
      </c>
      <c r="AP346" s="20">
        <v>0</v>
      </c>
      <c r="CV346" s="20">
        <v>0</v>
      </c>
      <c r="CW346" s="20">
        <v>0</v>
      </c>
      <c r="CX346" s="20" t="s">
        <v>194</v>
      </c>
      <c r="CY346" s="20">
        <v>0</v>
      </c>
      <c r="DB346" s="20">
        <v>0</v>
      </c>
      <c r="DD346" s="20">
        <v>0</v>
      </c>
      <c r="DE346" s="20">
        <v>0</v>
      </c>
      <c r="DF346" s="20">
        <v>0</v>
      </c>
      <c r="DG346" s="20">
        <v>0</v>
      </c>
      <c r="DH346" s="20">
        <v>0</v>
      </c>
      <c r="DI346" s="20" t="b">
        <v>0</v>
      </c>
      <c r="DK346" s="20">
        <v>0</v>
      </c>
      <c r="DM346" s="20" t="s">
        <v>187</v>
      </c>
      <c r="DN346" s="20">
        <v>0</v>
      </c>
      <c r="DO346" s="20">
        <v>0</v>
      </c>
      <c r="DP346" s="20">
        <v>0</v>
      </c>
    </row>
    <row r="347" spans="2:120">
      <c r="B347" s="20" cm="1">
        <f t="array" ref="B347">10000000+INDEX(编号表!$B$1:$B$112,MATCH(D347,编号表!$A$1:$A$112,0))*10000+I347</f>
        <v>10840007</v>
      </c>
      <c r="C347" s="20" t="s">
        <v>279</v>
      </c>
      <c r="D347" s="20" t="s">
        <v>279</v>
      </c>
      <c r="E347" s="20" t="s">
        <v>214</v>
      </c>
      <c r="F347" s="20" t="s">
        <v>208</v>
      </c>
      <c r="G347" s="20">
        <v>1</v>
      </c>
      <c r="H347" s="20" t="b">
        <v>0</v>
      </c>
      <c r="I347" s="20">
        <v>7</v>
      </c>
      <c r="J347" s="20">
        <v>108400</v>
      </c>
      <c r="K347" s="20" t="s">
        <v>177</v>
      </c>
      <c r="L347" s="20">
        <v>10840006</v>
      </c>
      <c r="M347" s="20">
        <v>10840008</v>
      </c>
      <c r="N347" s="20" t="s">
        <v>280</v>
      </c>
      <c r="O347" s="20">
        <v>0</v>
      </c>
      <c r="P347" s="20">
        <v>0</v>
      </c>
      <c r="Q347" s="20">
        <v>0</v>
      </c>
      <c r="R347" s="20">
        <v>1</v>
      </c>
      <c r="T347" s="20">
        <v>100</v>
      </c>
      <c r="AO347" s="20" t="s">
        <v>194</v>
      </c>
      <c r="AP347" s="20">
        <v>0</v>
      </c>
      <c r="CV347" s="20">
        <v>0</v>
      </c>
      <c r="CW347" s="20">
        <v>0</v>
      </c>
      <c r="CX347" s="20" t="s">
        <v>194</v>
      </c>
      <c r="CY347" s="20">
        <v>0</v>
      </c>
      <c r="DB347" s="20">
        <v>0</v>
      </c>
      <c r="DD347" s="20">
        <v>0</v>
      </c>
      <c r="DE347" s="20">
        <v>0</v>
      </c>
      <c r="DF347" s="20">
        <v>0</v>
      </c>
      <c r="DG347" s="20">
        <v>0</v>
      </c>
      <c r="DH347" s="20">
        <v>0</v>
      </c>
      <c r="DI347" s="20" t="b">
        <v>0</v>
      </c>
      <c r="DK347" s="20">
        <v>0</v>
      </c>
      <c r="DM347" s="20" t="s">
        <v>187</v>
      </c>
      <c r="DN347" s="20">
        <v>0</v>
      </c>
      <c r="DO347" s="20">
        <v>0</v>
      </c>
      <c r="DP347" s="20">
        <v>0</v>
      </c>
    </row>
    <row r="348" spans="2:120">
      <c r="B348" s="20" cm="1">
        <f t="array" ref="B348">10000000+INDEX(编号表!$B$1:$B$112,MATCH(D348,编号表!$A$1:$A$112,0))*10000+I348</f>
        <v>10840008</v>
      </c>
      <c r="C348" s="20" t="s">
        <v>279</v>
      </c>
      <c r="D348" s="20" t="s">
        <v>279</v>
      </c>
      <c r="E348" s="20" t="s">
        <v>214</v>
      </c>
      <c r="F348" s="20" t="s">
        <v>208</v>
      </c>
      <c r="G348" s="20">
        <v>1</v>
      </c>
      <c r="H348" s="20" t="b">
        <v>0</v>
      </c>
      <c r="I348" s="20">
        <v>8</v>
      </c>
      <c r="J348" s="20">
        <v>108400</v>
      </c>
      <c r="K348" s="20" t="s">
        <v>177</v>
      </c>
      <c r="L348" s="20">
        <v>10840007</v>
      </c>
      <c r="M348" s="20">
        <v>10840009</v>
      </c>
      <c r="N348" s="20" t="s">
        <v>280</v>
      </c>
      <c r="O348" s="20">
        <v>0</v>
      </c>
      <c r="P348" s="20">
        <v>0</v>
      </c>
      <c r="Q348" s="20">
        <v>0</v>
      </c>
      <c r="R348" s="20">
        <v>1</v>
      </c>
      <c r="T348" s="20">
        <v>100</v>
      </c>
      <c r="AO348" s="20" t="s">
        <v>194</v>
      </c>
      <c r="AP348" s="20">
        <v>0</v>
      </c>
      <c r="CV348" s="20">
        <v>0</v>
      </c>
      <c r="CW348" s="20">
        <v>0</v>
      </c>
      <c r="CX348" s="20" t="s">
        <v>194</v>
      </c>
      <c r="CY348" s="20">
        <v>0</v>
      </c>
      <c r="DB348" s="20">
        <v>0</v>
      </c>
      <c r="DD348" s="20">
        <v>0</v>
      </c>
      <c r="DE348" s="20">
        <v>0</v>
      </c>
      <c r="DF348" s="20">
        <v>0</v>
      </c>
      <c r="DG348" s="20">
        <v>0</v>
      </c>
      <c r="DH348" s="20">
        <v>0</v>
      </c>
      <c r="DI348" s="20" t="b">
        <v>0</v>
      </c>
      <c r="DK348" s="20">
        <v>0</v>
      </c>
      <c r="DM348" s="20" t="s">
        <v>187</v>
      </c>
      <c r="DN348" s="20">
        <v>0</v>
      </c>
      <c r="DO348" s="20">
        <v>0</v>
      </c>
      <c r="DP348" s="20">
        <v>0</v>
      </c>
    </row>
    <row r="349" spans="2:120">
      <c r="B349" s="20" cm="1">
        <f t="array" ref="B349">10000000+INDEX(编号表!$B$1:$B$112,MATCH(D349,编号表!$A$1:$A$112,0))*10000+I349</f>
        <v>10840009</v>
      </c>
      <c r="C349" s="20" t="s">
        <v>279</v>
      </c>
      <c r="D349" s="20" t="s">
        <v>279</v>
      </c>
      <c r="E349" s="20" t="s">
        <v>214</v>
      </c>
      <c r="F349" s="20" t="s">
        <v>208</v>
      </c>
      <c r="G349" s="20">
        <v>1</v>
      </c>
      <c r="H349" s="20" t="b">
        <v>0</v>
      </c>
      <c r="I349" s="20">
        <v>9</v>
      </c>
      <c r="J349" s="20">
        <v>108400</v>
      </c>
      <c r="K349" s="20" t="s">
        <v>177</v>
      </c>
      <c r="L349" s="20">
        <v>10840008</v>
      </c>
      <c r="M349" s="20">
        <v>10840010</v>
      </c>
      <c r="N349" s="20" t="s">
        <v>280</v>
      </c>
      <c r="O349" s="20">
        <v>0</v>
      </c>
      <c r="P349" s="20">
        <v>0</v>
      </c>
      <c r="Q349" s="20">
        <v>0</v>
      </c>
      <c r="R349" s="20">
        <v>1</v>
      </c>
      <c r="T349" s="20">
        <v>100</v>
      </c>
      <c r="AO349" s="20" t="s">
        <v>194</v>
      </c>
      <c r="AP349" s="20">
        <v>0</v>
      </c>
      <c r="CV349" s="20">
        <v>0</v>
      </c>
      <c r="CW349" s="20">
        <v>0</v>
      </c>
      <c r="CX349" s="20" t="s">
        <v>194</v>
      </c>
      <c r="CY349" s="20">
        <v>0</v>
      </c>
      <c r="DB349" s="20">
        <v>0</v>
      </c>
      <c r="DD349" s="20">
        <v>0</v>
      </c>
      <c r="DE349" s="20">
        <v>0</v>
      </c>
      <c r="DF349" s="20">
        <v>0</v>
      </c>
      <c r="DG349" s="20">
        <v>0</v>
      </c>
      <c r="DH349" s="20">
        <v>0</v>
      </c>
      <c r="DI349" s="20" t="b">
        <v>0</v>
      </c>
      <c r="DK349" s="20">
        <v>0</v>
      </c>
      <c r="DM349" s="20" t="s">
        <v>187</v>
      </c>
      <c r="DN349" s="20">
        <v>0</v>
      </c>
      <c r="DO349" s="20">
        <v>0</v>
      </c>
      <c r="DP349" s="20">
        <v>0</v>
      </c>
    </row>
    <row r="350" spans="2:120">
      <c r="B350" s="20" cm="1">
        <f t="array" ref="B350">10000000+INDEX(编号表!$B$1:$B$112,MATCH(D350,编号表!$A$1:$A$112,0))*10000+I350</f>
        <v>10840010</v>
      </c>
      <c r="C350" s="20" t="s">
        <v>279</v>
      </c>
      <c r="D350" s="20" t="s">
        <v>279</v>
      </c>
      <c r="E350" s="20" t="s">
        <v>214</v>
      </c>
      <c r="F350" s="20" t="s">
        <v>208</v>
      </c>
      <c r="G350" s="20">
        <v>1</v>
      </c>
      <c r="H350" s="20" t="b">
        <v>0</v>
      </c>
      <c r="I350" s="20">
        <v>10</v>
      </c>
      <c r="J350" s="20">
        <v>108400</v>
      </c>
      <c r="K350" s="20" t="s">
        <v>177</v>
      </c>
      <c r="L350" s="20">
        <v>10840009</v>
      </c>
      <c r="N350" s="20" t="s">
        <v>280</v>
      </c>
      <c r="O350" s="20">
        <v>0</v>
      </c>
      <c r="P350" s="20">
        <v>0</v>
      </c>
      <c r="Q350" s="20">
        <v>0</v>
      </c>
      <c r="R350" s="20">
        <v>1</v>
      </c>
      <c r="T350" s="20">
        <v>100</v>
      </c>
      <c r="AO350" s="20" t="s">
        <v>194</v>
      </c>
      <c r="AP350" s="20">
        <v>0</v>
      </c>
      <c r="CV350" s="20">
        <v>0</v>
      </c>
      <c r="CW350" s="20">
        <v>0</v>
      </c>
      <c r="CX350" s="20" t="s">
        <v>194</v>
      </c>
      <c r="CY350" s="20">
        <v>0</v>
      </c>
      <c r="DB350" s="20">
        <v>0</v>
      </c>
      <c r="DD350" s="20">
        <v>0</v>
      </c>
      <c r="DE350" s="20">
        <v>0</v>
      </c>
      <c r="DF350" s="20">
        <v>0</v>
      </c>
      <c r="DG350" s="20">
        <v>0</v>
      </c>
      <c r="DH350" s="20">
        <v>0</v>
      </c>
      <c r="DI350" s="20" t="b">
        <v>0</v>
      </c>
      <c r="DK350" s="20">
        <v>0</v>
      </c>
      <c r="DM350" s="20" t="s">
        <v>187</v>
      </c>
      <c r="DN350" s="20">
        <v>0</v>
      </c>
      <c r="DO350" s="20">
        <v>0</v>
      </c>
      <c r="DP350" s="20">
        <v>0</v>
      </c>
    </row>
    <row r="351" spans="2:120">
      <c r="B351" s="20" cm="1">
        <f t="array" ref="B351">10000000+INDEX(编号表!$B$1:$B$112,MATCH(D351,编号表!$A$1:$A$112,0))*10000+I351</f>
        <v>10850001</v>
      </c>
      <c r="C351" s="20" t="s">
        <v>281</v>
      </c>
      <c r="D351" s="20" t="s">
        <v>281</v>
      </c>
      <c r="E351" s="20" t="s">
        <v>214</v>
      </c>
      <c r="F351" s="20" t="s">
        <v>211</v>
      </c>
      <c r="G351" s="20">
        <v>1</v>
      </c>
      <c r="H351" s="20" t="b">
        <v>0</v>
      </c>
      <c r="I351" s="20">
        <v>1</v>
      </c>
      <c r="J351" s="20">
        <v>108500</v>
      </c>
      <c r="K351" s="20" t="s">
        <v>177</v>
      </c>
      <c r="M351" s="20">
        <v>10850002</v>
      </c>
      <c r="N351" s="20" t="s">
        <v>282</v>
      </c>
      <c r="O351" s="20">
        <v>0</v>
      </c>
      <c r="P351" s="20">
        <v>0</v>
      </c>
      <c r="Q351" s="20">
        <v>0</v>
      </c>
      <c r="R351" s="20">
        <v>1</v>
      </c>
      <c r="T351" s="20">
        <v>100</v>
      </c>
      <c r="AO351" s="20" t="s">
        <v>194</v>
      </c>
      <c r="AP351" s="20">
        <v>0</v>
      </c>
      <c r="CV351" s="20">
        <v>0</v>
      </c>
      <c r="CW351" s="20">
        <v>0</v>
      </c>
      <c r="CX351" s="20" t="s">
        <v>194</v>
      </c>
      <c r="CY351" s="20">
        <v>0</v>
      </c>
      <c r="DB351" s="20">
        <v>0</v>
      </c>
      <c r="DD351" s="20">
        <v>0</v>
      </c>
      <c r="DE351" s="20">
        <v>0</v>
      </c>
      <c r="DF351" s="20">
        <v>0</v>
      </c>
      <c r="DG351" s="20">
        <v>0</v>
      </c>
      <c r="DH351" s="20">
        <v>0</v>
      </c>
      <c r="DI351" s="20" t="b">
        <v>0</v>
      </c>
      <c r="DK351" s="20">
        <v>0</v>
      </c>
      <c r="DM351" s="20" t="s">
        <v>187</v>
      </c>
      <c r="DN351" s="20">
        <v>0</v>
      </c>
      <c r="DO351" s="20">
        <v>0</v>
      </c>
      <c r="DP351" s="20">
        <v>0</v>
      </c>
    </row>
    <row r="352" spans="2:120">
      <c r="B352" s="20" cm="1">
        <f t="array" ref="B352">10000000+INDEX(编号表!$B$1:$B$112,MATCH(D352,编号表!$A$1:$A$112,0))*10000+I352</f>
        <v>10850002</v>
      </c>
      <c r="C352" s="20" t="s">
        <v>281</v>
      </c>
      <c r="D352" s="20" t="s">
        <v>281</v>
      </c>
      <c r="E352" s="20" t="s">
        <v>214</v>
      </c>
      <c r="F352" s="20" t="s">
        <v>211</v>
      </c>
      <c r="G352" s="20">
        <v>1</v>
      </c>
      <c r="H352" s="20" t="b">
        <v>0</v>
      </c>
      <c r="I352" s="20">
        <v>2</v>
      </c>
      <c r="J352" s="20">
        <v>108500</v>
      </c>
      <c r="K352" s="20" t="s">
        <v>177</v>
      </c>
      <c r="L352" s="20">
        <v>10850001</v>
      </c>
      <c r="M352" s="20">
        <v>10850003</v>
      </c>
      <c r="N352" s="20" t="s">
        <v>282</v>
      </c>
      <c r="O352" s="20">
        <v>0</v>
      </c>
      <c r="P352" s="20">
        <v>0</v>
      </c>
      <c r="Q352" s="20">
        <v>0</v>
      </c>
      <c r="R352" s="20">
        <v>1</v>
      </c>
      <c r="T352" s="20">
        <v>100</v>
      </c>
      <c r="AO352" s="20" t="s">
        <v>194</v>
      </c>
      <c r="AP352" s="20">
        <v>0</v>
      </c>
      <c r="CV352" s="20">
        <v>0</v>
      </c>
      <c r="CW352" s="20">
        <v>0</v>
      </c>
      <c r="CX352" s="20" t="s">
        <v>194</v>
      </c>
      <c r="CY352" s="20">
        <v>0</v>
      </c>
      <c r="DB352" s="20">
        <v>0</v>
      </c>
      <c r="DD352" s="20">
        <v>0</v>
      </c>
      <c r="DE352" s="20">
        <v>0</v>
      </c>
      <c r="DF352" s="20">
        <v>0</v>
      </c>
      <c r="DG352" s="20">
        <v>0</v>
      </c>
      <c r="DH352" s="20">
        <v>0</v>
      </c>
      <c r="DI352" s="20" t="b">
        <v>0</v>
      </c>
      <c r="DK352" s="20">
        <v>0</v>
      </c>
      <c r="DM352" s="20" t="s">
        <v>187</v>
      </c>
      <c r="DN352" s="20">
        <v>0</v>
      </c>
      <c r="DO352" s="20">
        <v>0</v>
      </c>
      <c r="DP352" s="20">
        <v>0</v>
      </c>
    </row>
    <row r="353" spans="2:120">
      <c r="B353" s="20" cm="1">
        <f t="array" ref="B353">10000000+INDEX(编号表!$B$1:$B$112,MATCH(D353,编号表!$A$1:$A$112,0))*10000+I353</f>
        <v>10850003</v>
      </c>
      <c r="C353" s="20" t="s">
        <v>281</v>
      </c>
      <c r="D353" s="20" t="s">
        <v>281</v>
      </c>
      <c r="E353" s="20" t="s">
        <v>214</v>
      </c>
      <c r="F353" s="20" t="s">
        <v>211</v>
      </c>
      <c r="G353" s="20">
        <v>1</v>
      </c>
      <c r="H353" s="20" t="b">
        <v>0</v>
      </c>
      <c r="I353" s="20">
        <v>3</v>
      </c>
      <c r="J353" s="20">
        <v>108500</v>
      </c>
      <c r="K353" s="20" t="s">
        <v>177</v>
      </c>
      <c r="L353" s="20">
        <v>10850002</v>
      </c>
      <c r="M353" s="20">
        <v>10850004</v>
      </c>
      <c r="N353" s="20" t="s">
        <v>282</v>
      </c>
      <c r="O353" s="20">
        <v>0</v>
      </c>
      <c r="P353" s="20">
        <v>0</v>
      </c>
      <c r="Q353" s="20">
        <v>0</v>
      </c>
      <c r="R353" s="20">
        <v>1</v>
      </c>
      <c r="T353" s="20">
        <v>100</v>
      </c>
      <c r="AO353" s="20" t="s">
        <v>194</v>
      </c>
      <c r="AP353" s="20">
        <v>0</v>
      </c>
      <c r="CV353" s="20">
        <v>0</v>
      </c>
      <c r="CW353" s="20">
        <v>0</v>
      </c>
      <c r="CX353" s="20" t="s">
        <v>194</v>
      </c>
      <c r="CY353" s="20">
        <v>0</v>
      </c>
      <c r="DB353" s="20">
        <v>0</v>
      </c>
      <c r="DD353" s="20">
        <v>0</v>
      </c>
      <c r="DE353" s="20">
        <v>0</v>
      </c>
      <c r="DF353" s="20">
        <v>0</v>
      </c>
      <c r="DG353" s="20">
        <v>0</v>
      </c>
      <c r="DH353" s="20">
        <v>0</v>
      </c>
      <c r="DI353" s="20" t="b">
        <v>0</v>
      </c>
      <c r="DK353" s="20">
        <v>0</v>
      </c>
      <c r="DM353" s="20" t="s">
        <v>187</v>
      </c>
      <c r="DN353" s="20">
        <v>0</v>
      </c>
      <c r="DO353" s="20">
        <v>0</v>
      </c>
      <c r="DP353" s="20">
        <v>0</v>
      </c>
    </row>
    <row r="354" spans="2:120">
      <c r="B354" s="20" cm="1">
        <f t="array" ref="B354">10000000+INDEX(编号表!$B$1:$B$112,MATCH(D354,编号表!$A$1:$A$112,0))*10000+I354</f>
        <v>10850004</v>
      </c>
      <c r="C354" s="20" t="s">
        <v>281</v>
      </c>
      <c r="D354" s="20" t="s">
        <v>281</v>
      </c>
      <c r="E354" s="20" t="s">
        <v>214</v>
      </c>
      <c r="F354" s="20" t="s">
        <v>211</v>
      </c>
      <c r="G354" s="20">
        <v>1</v>
      </c>
      <c r="H354" s="20" t="b">
        <v>0</v>
      </c>
      <c r="I354" s="20">
        <v>4</v>
      </c>
      <c r="J354" s="20">
        <v>108500</v>
      </c>
      <c r="K354" s="20" t="s">
        <v>177</v>
      </c>
      <c r="L354" s="20">
        <v>10850003</v>
      </c>
      <c r="M354" s="20">
        <v>10850005</v>
      </c>
      <c r="N354" s="20" t="s">
        <v>282</v>
      </c>
      <c r="O354" s="20">
        <v>0</v>
      </c>
      <c r="P354" s="20">
        <v>0</v>
      </c>
      <c r="Q354" s="20">
        <v>0</v>
      </c>
      <c r="R354" s="20">
        <v>1</v>
      </c>
      <c r="T354" s="20">
        <v>100</v>
      </c>
      <c r="AO354" s="20" t="s">
        <v>194</v>
      </c>
      <c r="AP354" s="20">
        <v>0</v>
      </c>
      <c r="CV354" s="20">
        <v>0</v>
      </c>
      <c r="CW354" s="20">
        <v>0</v>
      </c>
      <c r="CX354" s="20" t="s">
        <v>194</v>
      </c>
      <c r="CY354" s="20">
        <v>0</v>
      </c>
      <c r="DB354" s="20">
        <v>0</v>
      </c>
      <c r="DD354" s="20">
        <v>0</v>
      </c>
      <c r="DE354" s="20">
        <v>0</v>
      </c>
      <c r="DF354" s="20">
        <v>0</v>
      </c>
      <c r="DG354" s="20">
        <v>0</v>
      </c>
      <c r="DH354" s="20">
        <v>0</v>
      </c>
      <c r="DI354" s="20" t="b">
        <v>0</v>
      </c>
      <c r="DK354" s="20">
        <v>0</v>
      </c>
      <c r="DM354" s="20" t="s">
        <v>187</v>
      </c>
      <c r="DN354" s="20">
        <v>0</v>
      </c>
      <c r="DO354" s="20">
        <v>0</v>
      </c>
      <c r="DP354" s="20">
        <v>0</v>
      </c>
    </row>
    <row r="355" spans="2:120">
      <c r="B355" s="20" cm="1">
        <f t="array" ref="B355">10000000+INDEX(编号表!$B$1:$B$112,MATCH(D355,编号表!$A$1:$A$112,0))*10000+I355</f>
        <v>10850005</v>
      </c>
      <c r="C355" s="20" t="s">
        <v>281</v>
      </c>
      <c r="D355" s="20" t="s">
        <v>281</v>
      </c>
      <c r="E355" s="20" t="s">
        <v>214</v>
      </c>
      <c r="F355" s="20" t="s">
        <v>211</v>
      </c>
      <c r="G355" s="20">
        <v>1</v>
      </c>
      <c r="H355" s="20" t="b">
        <v>0</v>
      </c>
      <c r="I355" s="20">
        <v>5</v>
      </c>
      <c r="J355" s="20">
        <v>108500</v>
      </c>
      <c r="K355" s="20" t="s">
        <v>177</v>
      </c>
      <c r="L355" s="20">
        <v>10850004</v>
      </c>
      <c r="M355" s="20">
        <v>10850006</v>
      </c>
      <c r="N355" s="20" t="s">
        <v>282</v>
      </c>
      <c r="O355" s="20">
        <v>0</v>
      </c>
      <c r="P355" s="20">
        <v>0</v>
      </c>
      <c r="Q355" s="20">
        <v>0</v>
      </c>
      <c r="R355" s="20">
        <v>1</v>
      </c>
      <c r="T355" s="20">
        <v>100</v>
      </c>
      <c r="AO355" s="20" t="s">
        <v>194</v>
      </c>
      <c r="AP355" s="20">
        <v>0</v>
      </c>
      <c r="CV355" s="20">
        <v>0</v>
      </c>
      <c r="CW355" s="20">
        <v>0</v>
      </c>
      <c r="CX355" s="20" t="s">
        <v>194</v>
      </c>
      <c r="CY355" s="20">
        <v>0</v>
      </c>
      <c r="DB355" s="20">
        <v>0</v>
      </c>
      <c r="DD355" s="20">
        <v>0</v>
      </c>
      <c r="DE355" s="20">
        <v>0</v>
      </c>
      <c r="DF355" s="20">
        <v>0</v>
      </c>
      <c r="DG355" s="20">
        <v>0</v>
      </c>
      <c r="DH355" s="20">
        <v>0</v>
      </c>
      <c r="DI355" s="20" t="b">
        <v>0</v>
      </c>
      <c r="DK355" s="20">
        <v>0</v>
      </c>
      <c r="DM355" s="20" t="s">
        <v>187</v>
      </c>
      <c r="DN355" s="20">
        <v>0</v>
      </c>
      <c r="DO355" s="20">
        <v>0</v>
      </c>
      <c r="DP355" s="20">
        <v>0</v>
      </c>
    </row>
    <row r="356" spans="2:120">
      <c r="B356" s="20" cm="1">
        <f t="array" ref="B356">10000000+INDEX(编号表!$B$1:$B$112,MATCH(D356,编号表!$A$1:$A$112,0))*10000+I356</f>
        <v>10850006</v>
      </c>
      <c r="C356" s="20" t="s">
        <v>281</v>
      </c>
      <c r="D356" s="20" t="s">
        <v>281</v>
      </c>
      <c r="E356" s="20" t="s">
        <v>214</v>
      </c>
      <c r="F356" s="20" t="s">
        <v>211</v>
      </c>
      <c r="G356" s="20">
        <v>1</v>
      </c>
      <c r="H356" s="20" t="b">
        <v>0</v>
      </c>
      <c r="I356" s="20">
        <v>6</v>
      </c>
      <c r="J356" s="20">
        <v>108500</v>
      </c>
      <c r="K356" s="20" t="s">
        <v>177</v>
      </c>
      <c r="L356" s="20">
        <v>10850005</v>
      </c>
      <c r="M356" s="20">
        <v>10850007</v>
      </c>
      <c r="N356" s="20" t="s">
        <v>282</v>
      </c>
      <c r="O356" s="20">
        <v>0</v>
      </c>
      <c r="P356" s="20">
        <v>0</v>
      </c>
      <c r="Q356" s="20">
        <v>0</v>
      </c>
      <c r="R356" s="20">
        <v>1</v>
      </c>
      <c r="T356" s="20">
        <v>100</v>
      </c>
      <c r="AO356" s="20" t="s">
        <v>194</v>
      </c>
      <c r="AP356" s="20">
        <v>0</v>
      </c>
      <c r="CV356" s="20">
        <v>0</v>
      </c>
      <c r="CW356" s="20">
        <v>0</v>
      </c>
      <c r="CX356" s="20" t="s">
        <v>194</v>
      </c>
      <c r="CY356" s="20">
        <v>0</v>
      </c>
      <c r="DB356" s="20">
        <v>0</v>
      </c>
      <c r="DD356" s="20">
        <v>0</v>
      </c>
      <c r="DE356" s="20">
        <v>0</v>
      </c>
      <c r="DF356" s="20">
        <v>0</v>
      </c>
      <c r="DG356" s="20">
        <v>0</v>
      </c>
      <c r="DH356" s="20">
        <v>0</v>
      </c>
      <c r="DI356" s="20" t="b">
        <v>0</v>
      </c>
      <c r="DK356" s="20">
        <v>0</v>
      </c>
      <c r="DM356" s="20" t="s">
        <v>187</v>
      </c>
      <c r="DN356" s="20">
        <v>0</v>
      </c>
      <c r="DO356" s="20">
        <v>0</v>
      </c>
      <c r="DP356" s="20">
        <v>0</v>
      </c>
    </row>
    <row r="357" spans="2:120">
      <c r="B357" s="20" cm="1">
        <f t="array" ref="B357">10000000+INDEX(编号表!$B$1:$B$112,MATCH(D357,编号表!$A$1:$A$112,0))*10000+I357</f>
        <v>10850007</v>
      </c>
      <c r="C357" s="20" t="s">
        <v>281</v>
      </c>
      <c r="D357" s="20" t="s">
        <v>281</v>
      </c>
      <c r="E357" s="20" t="s">
        <v>214</v>
      </c>
      <c r="F357" s="20" t="s">
        <v>211</v>
      </c>
      <c r="G357" s="20">
        <v>1</v>
      </c>
      <c r="H357" s="20" t="b">
        <v>0</v>
      </c>
      <c r="I357" s="20">
        <v>7</v>
      </c>
      <c r="J357" s="20">
        <v>108500</v>
      </c>
      <c r="K357" s="20" t="s">
        <v>177</v>
      </c>
      <c r="L357" s="20">
        <v>10850006</v>
      </c>
      <c r="M357" s="20">
        <v>10850008</v>
      </c>
      <c r="N357" s="20" t="s">
        <v>282</v>
      </c>
      <c r="O357" s="20">
        <v>0</v>
      </c>
      <c r="P357" s="20">
        <v>0</v>
      </c>
      <c r="Q357" s="20">
        <v>0</v>
      </c>
      <c r="R357" s="20">
        <v>1</v>
      </c>
      <c r="T357" s="20">
        <v>100</v>
      </c>
      <c r="AO357" s="20" t="s">
        <v>194</v>
      </c>
      <c r="AP357" s="20">
        <v>0</v>
      </c>
      <c r="CV357" s="20">
        <v>0</v>
      </c>
      <c r="CW357" s="20">
        <v>0</v>
      </c>
      <c r="CX357" s="20" t="s">
        <v>194</v>
      </c>
      <c r="CY357" s="20">
        <v>0</v>
      </c>
      <c r="DB357" s="20">
        <v>0</v>
      </c>
      <c r="DD357" s="20">
        <v>0</v>
      </c>
      <c r="DE357" s="20">
        <v>0</v>
      </c>
      <c r="DF357" s="20">
        <v>0</v>
      </c>
      <c r="DG357" s="20">
        <v>0</v>
      </c>
      <c r="DH357" s="20">
        <v>0</v>
      </c>
      <c r="DI357" s="20" t="b">
        <v>0</v>
      </c>
      <c r="DK357" s="20">
        <v>0</v>
      </c>
      <c r="DM357" s="20" t="s">
        <v>187</v>
      </c>
      <c r="DN357" s="20">
        <v>0</v>
      </c>
      <c r="DO357" s="20">
        <v>0</v>
      </c>
      <c r="DP357" s="20">
        <v>0</v>
      </c>
    </row>
    <row r="358" spans="2:120">
      <c r="B358" s="20" cm="1">
        <f t="array" ref="B358">10000000+INDEX(编号表!$B$1:$B$112,MATCH(D358,编号表!$A$1:$A$112,0))*10000+I358</f>
        <v>10850008</v>
      </c>
      <c r="C358" s="20" t="s">
        <v>281</v>
      </c>
      <c r="D358" s="20" t="s">
        <v>281</v>
      </c>
      <c r="E358" s="20" t="s">
        <v>214</v>
      </c>
      <c r="F358" s="20" t="s">
        <v>211</v>
      </c>
      <c r="G358" s="20">
        <v>1</v>
      </c>
      <c r="H358" s="20" t="b">
        <v>0</v>
      </c>
      <c r="I358" s="20">
        <v>8</v>
      </c>
      <c r="J358" s="20">
        <v>108500</v>
      </c>
      <c r="K358" s="20" t="s">
        <v>177</v>
      </c>
      <c r="L358" s="20">
        <v>10850007</v>
      </c>
      <c r="M358" s="20">
        <v>10850009</v>
      </c>
      <c r="N358" s="20" t="s">
        <v>282</v>
      </c>
      <c r="O358" s="20">
        <v>0</v>
      </c>
      <c r="P358" s="20">
        <v>0</v>
      </c>
      <c r="Q358" s="20">
        <v>0</v>
      </c>
      <c r="R358" s="20">
        <v>1</v>
      </c>
      <c r="T358" s="20">
        <v>100</v>
      </c>
      <c r="AO358" s="20" t="s">
        <v>194</v>
      </c>
      <c r="AP358" s="20">
        <v>0</v>
      </c>
      <c r="CV358" s="20">
        <v>0</v>
      </c>
      <c r="CW358" s="20">
        <v>0</v>
      </c>
      <c r="CX358" s="20" t="s">
        <v>194</v>
      </c>
      <c r="CY358" s="20">
        <v>0</v>
      </c>
      <c r="DB358" s="20">
        <v>0</v>
      </c>
      <c r="DD358" s="20">
        <v>0</v>
      </c>
      <c r="DE358" s="20">
        <v>0</v>
      </c>
      <c r="DF358" s="20">
        <v>0</v>
      </c>
      <c r="DG358" s="20">
        <v>0</v>
      </c>
      <c r="DH358" s="20">
        <v>0</v>
      </c>
      <c r="DI358" s="20" t="b">
        <v>0</v>
      </c>
      <c r="DK358" s="20">
        <v>0</v>
      </c>
      <c r="DM358" s="20" t="s">
        <v>187</v>
      </c>
      <c r="DN358" s="20">
        <v>0</v>
      </c>
      <c r="DO358" s="20">
        <v>0</v>
      </c>
      <c r="DP358" s="20">
        <v>0</v>
      </c>
    </row>
    <row r="359" spans="2:120">
      <c r="B359" s="20" cm="1">
        <f t="array" ref="B359">10000000+INDEX(编号表!$B$1:$B$112,MATCH(D359,编号表!$A$1:$A$112,0))*10000+I359</f>
        <v>10850009</v>
      </c>
      <c r="C359" s="20" t="s">
        <v>281</v>
      </c>
      <c r="D359" s="20" t="s">
        <v>281</v>
      </c>
      <c r="E359" s="20" t="s">
        <v>214</v>
      </c>
      <c r="F359" s="20" t="s">
        <v>211</v>
      </c>
      <c r="G359" s="20">
        <v>1</v>
      </c>
      <c r="H359" s="20" t="b">
        <v>0</v>
      </c>
      <c r="I359" s="20">
        <v>9</v>
      </c>
      <c r="J359" s="20">
        <v>108500</v>
      </c>
      <c r="K359" s="20" t="s">
        <v>177</v>
      </c>
      <c r="L359" s="20">
        <v>10850008</v>
      </c>
      <c r="M359" s="20">
        <v>10850010</v>
      </c>
      <c r="N359" s="20" t="s">
        <v>282</v>
      </c>
      <c r="O359" s="20">
        <v>0</v>
      </c>
      <c r="P359" s="20">
        <v>0</v>
      </c>
      <c r="Q359" s="20">
        <v>0</v>
      </c>
      <c r="R359" s="20">
        <v>1</v>
      </c>
      <c r="T359" s="20">
        <v>100</v>
      </c>
      <c r="AO359" s="20" t="s">
        <v>194</v>
      </c>
      <c r="AP359" s="20">
        <v>0</v>
      </c>
      <c r="CV359" s="20">
        <v>0</v>
      </c>
      <c r="CW359" s="20">
        <v>0</v>
      </c>
      <c r="CX359" s="20" t="s">
        <v>194</v>
      </c>
      <c r="CY359" s="20">
        <v>0</v>
      </c>
      <c r="DB359" s="20">
        <v>0</v>
      </c>
      <c r="DD359" s="20">
        <v>0</v>
      </c>
      <c r="DE359" s="20">
        <v>0</v>
      </c>
      <c r="DF359" s="20">
        <v>0</v>
      </c>
      <c r="DG359" s="20">
        <v>0</v>
      </c>
      <c r="DH359" s="20">
        <v>0</v>
      </c>
      <c r="DI359" s="20" t="b">
        <v>0</v>
      </c>
      <c r="DK359" s="20">
        <v>0</v>
      </c>
      <c r="DM359" s="20" t="s">
        <v>187</v>
      </c>
      <c r="DN359" s="20">
        <v>0</v>
      </c>
      <c r="DO359" s="20">
        <v>0</v>
      </c>
      <c r="DP359" s="20">
        <v>0</v>
      </c>
    </row>
    <row r="360" spans="2:120">
      <c r="B360" s="20" cm="1">
        <f t="array" ref="B360">10000000+INDEX(编号表!$B$1:$B$112,MATCH(D360,编号表!$A$1:$A$112,0))*10000+I360</f>
        <v>10850010</v>
      </c>
      <c r="C360" s="20" t="s">
        <v>281</v>
      </c>
      <c r="D360" s="20" t="s">
        <v>281</v>
      </c>
      <c r="E360" s="20" t="s">
        <v>214</v>
      </c>
      <c r="F360" s="20" t="s">
        <v>211</v>
      </c>
      <c r="G360" s="20">
        <v>1</v>
      </c>
      <c r="H360" s="20" t="b">
        <v>0</v>
      </c>
      <c r="I360" s="20">
        <v>10</v>
      </c>
      <c r="J360" s="20">
        <v>108500</v>
      </c>
      <c r="K360" s="20" t="s">
        <v>177</v>
      </c>
      <c r="L360" s="20">
        <v>10850009</v>
      </c>
      <c r="N360" s="20" t="s">
        <v>282</v>
      </c>
      <c r="O360" s="20">
        <v>0</v>
      </c>
      <c r="P360" s="20">
        <v>0</v>
      </c>
      <c r="Q360" s="20">
        <v>0</v>
      </c>
      <c r="R360" s="20">
        <v>1</v>
      </c>
      <c r="T360" s="20">
        <v>100</v>
      </c>
      <c r="AO360" s="20" t="s">
        <v>194</v>
      </c>
      <c r="AP360" s="20">
        <v>0</v>
      </c>
      <c r="CV360" s="20">
        <v>0</v>
      </c>
      <c r="CW360" s="20">
        <v>0</v>
      </c>
      <c r="CX360" s="20" t="s">
        <v>194</v>
      </c>
      <c r="CY360" s="20">
        <v>0</v>
      </c>
      <c r="DB360" s="20">
        <v>0</v>
      </c>
      <c r="DD360" s="20">
        <v>0</v>
      </c>
      <c r="DE360" s="20">
        <v>0</v>
      </c>
      <c r="DF360" s="20">
        <v>0</v>
      </c>
      <c r="DG360" s="20">
        <v>0</v>
      </c>
      <c r="DH360" s="20">
        <v>0</v>
      </c>
      <c r="DI360" s="20" t="b">
        <v>0</v>
      </c>
      <c r="DK360" s="20">
        <v>0</v>
      </c>
      <c r="DM360" s="20" t="s">
        <v>187</v>
      </c>
      <c r="DN360" s="20">
        <v>0</v>
      </c>
      <c r="DO360" s="20">
        <v>0</v>
      </c>
      <c r="DP360" s="20">
        <v>0</v>
      </c>
    </row>
  </sheetData>
  <mergeCells count="9">
    <mergeCell ref="Y1:AF1"/>
    <mergeCell ref="AG1:AN1"/>
    <mergeCell ref="AQ1:CU1"/>
    <mergeCell ref="Y2:AF2"/>
    <mergeCell ref="AG2:AN2"/>
    <mergeCell ref="AQ2:CU2"/>
    <mergeCell ref="Y3:AF3"/>
    <mergeCell ref="AG3:AN3"/>
    <mergeCell ref="AQ3:CU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topLeftCell="N1" workbookViewId="0">
      <selection activeCell="T18" sqref="T18"/>
    </sheetView>
  </sheetViews>
  <sheetFormatPr defaultColWidth="9" defaultRowHeight="16.5"/>
  <cols>
    <col min="1" max="1" width="9" style="13"/>
    <col min="2" max="2" width="10.375" style="13"/>
    <col min="3" max="4" width="9" style="13"/>
    <col min="5" max="5" width="10.0833333333333" style="13" customWidth="1"/>
    <col min="6" max="16" width="9" style="13"/>
    <col min="17" max="17" width="29.5" style="13" customWidth="1"/>
    <col min="18" max="20" width="9" style="13"/>
    <col min="21" max="21" width="12.8333333333333" style="13" customWidth="1"/>
    <col min="22" max="23" width="13.4166666666667" style="13" customWidth="1"/>
    <col min="24" max="27" width="9" style="13"/>
    <col min="28" max="28" width="12.8333333333333" style="13" customWidth="1"/>
    <col min="29" max="30" width="13.4166666666667" style="13" customWidth="1"/>
    <col min="31" max="34" width="9" style="13"/>
    <col min="35" max="35" width="12.8333333333333" style="13" customWidth="1"/>
    <col min="36" max="37" width="13.4166666666667" style="13" customWidth="1"/>
    <col min="38" max="16384" width="9" style="13"/>
  </cols>
  <sheetData>
    <row r="1" spans="1:41">
      <c r="A1" s="5" t="s">
        <v>0</v>
      </c>
      <c r="B1" s="5" t="s">
        <v>1</v>
      </c>
      <c r="C1" s="5" t="s">
        <v>283</v>
      </c>
      <c r="D1" s="5" t="s">
        <v>2</v>
      </c>
      <c r="E1" s="5" t="s">
        <v>284</v>
      </c>
      <c r="F1" s="5" t="s">
        <v>285</v>
      </c>
      <c r="G1" s="5" t="s">
        <v>13</v>
      </c>
      <c r="H1" s="5" t="s">
        <v>9</v>
      </c>
      <c r="I1" s="5" t="s">
        <v>286</v>
      </c>
      <c r="J1" s="5" t="s">
        <v>287</v>
      </c>
      <c r="K1" s="5" t="s">
        <v>288</v>
      </c>
      <c r="L1" s="5" t="s">
        <v>289</v>
      </c>
      <c r="M1" s="5" t="s">
        <v>290</v>
      </c>
      <c r="N1" s="5" t="s">
        <v>291</v>
      </c>
      <c r="O1" s="5" t="s">
        <v>292</v>
      </c>
      <c r="P1" s="5" t="s">
        <v>14</v>
      </c>
      <c r="Q1" s="5" t="s">
        <v>293</v>
      </c>
      <c r="R1" s="5" t="s">
        <v>294</v>
      </c>
      <c r="S1" s="5" t="s">
        <v>295</v>
      </c>
      <c r="T1" s="5" t="s">
        <v>296</v>
      </c>
      <c r="U1" s="19" t="s">
        <v>297</v>
      </c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</row>
    <row r="2" spans="1:41">
      <c r="A2" s="5" t="s">
        <v>49</v>
      </c>
      <c r="B2" s="5" t="s">
        <v>50</v>
      </c>
      <c r="C2" s="5" t="s">
        <v>51</v>
      </c>
      <c r="D2" s="5" t="s">
        <v>51</v>
      </c>
      <c r="E2" s="5" t="s">
        <v>298</v>
      </c>
      <c r="F2" s="5" t="s">
        <v>50</v>
      </c>
      <c r="G2" s="5" t="s">
        <v>51</v>
      </c>
      <c r="H2" s="5" t="s">
        <v>51</v>
      </c>
      <c r="I2" s="5" t="s">
        <v>54</v>
      </c>
      <c r="J2" s="5" t="s">
        <v>299</v>
      </c>
      <c r="K2" s="5" t="s">
        <v>300</v>
      </c>
      <c r="L2" s="5" t="s">
        <v>50</v>
      </c>
      <c r="M2" s="5" t="s">
        <v>50</v>
      </c>
      <c r="N2" s="5" t="s">
        <v>50</v>
      </c>
      <c r="O2" s="5" t="s">
        <v>51</v>
      </c>
      <c r="P2" s="5" t="s">
        <v>50</v>
      </c>
      <c r="Q2" s="5" t="s">
        <v>51</v>
      </c>
      <c r="R2" s="5" t="s">
        <v>301</v>
      </c>
      <c r="S2" s="5" t="s">
        <v>302</v>
      </c>
      <c r="T2" s="5" t="s">
        <v>50</v>
      </c>
      <c r="U2" s="19" t="s">
        <v>303</v>
      </c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</row>
    <row r="3" spans="1:41">
      <c r="A3" s="5" t="s">
        <v>60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</row>
    <row r="4" spans="1:41">
      <c r="A4" s="5" t="s">
        <v>62</v>
      </c>
      <c r="B4" s="5" t="s">
        <v>304</v>
      </c>
      <c r="C4" s="5" t="s">
        <v>305</v>
      </c>
      <c r="D4" s="5" t="s">
        <v>306</v>
      </c>
      <c r="E4" s="5" t="s">
        <v>307</v>
      </c>
      <c r="F4" s="5" t="s">
        <v>308</v>
      </c>
      <c r="G4" s="5" t="s">
        <v>309</v>
      </c>
      <c r="H4" s="5" t="s">
        <v>310</v>
      </c>
      <c r="I4" s="5" t="s">
        <v>311</v>
      </c>
      <c r="J4" s="5" t="s">
        <v>312</v>
      </c>
      <c r="K4" s="5" t="s">
        <v>313</v>
      </c>
      <c r="L4" s="5" t="s">
        <v>314</v>
      </c>
      <c r="M4" s="5" t="s">
        <v>315</v>
      </c>
      <c r="N4" s="5" t="s">
        <v>316</v>
      </c>
      <c r="O4" s="5" t="s">
        <v>317</v>
      </c>
      <c r="P4" s="5" t="s">
        <v>318</v>
      </c>
      <c r="Q4" s="5" t="s">
        <v>319</v>
      </c>
      <c r="R4" s="5" t="s">
        <v>320</v>
      </c>
      <c r="S4" s="5" t="s">
        <v>321</v>
      </c>
      <c r="T4" s="5" t="s">
        <v>322</v>
      </c>
      <c r="U4" s="5" t="s">
        <v>323</v>
      </c>
      <c r="V4" s="5" t="s">
        <v>324</v>
      </c>
      <c r="W4" s="5" t="s">
        <v>325</v>
      </c>
      <c r="X4" s="5" t="s">
        <v>326</v>
      </c>
      <c r="Y4" s="5" t="s">
        <v>327</v>
      </c>
      <c r="Z4" s="5" t="s">
        <v>328</v>
      </c>
      <c r="AA4" s="5" t="s">
        <v>329</v>
      </c>
      <c r="AB4" s="5" t="s">
        <v>330</v>
      </c>
      <c r="AC4" s="5" t="s">
        <v>331</v>
      </c>
      <c r="AD4" s="5" t="s">
        <v>332</v>
      </c>
      <c r="AE4" s="5" t="s">
        <v>333</v>
      </c>
      <c r="AF4" s="5" t="s">
        <v>334</v>
      </c>
      <c r="AG4" s="5" t="s">
        <v>335</v>
      </c>
      <c r="AH4" s="5" t="s">
        <v>336</v>
      </c>
      <c r="AI4" s="5" t="s">
        <v>337</v>
      </c>
      <c r="AJ4" s="5" t="s">
        <v>338</v>
      </c>
      <c r="AK4" s="5" t="s">
        <v>339</v>
      </c>
      <c r="AL4" s="5" t="s">
        <v>340</v>
      </c>
      <c r="AM4" s="5" t="s">
        <v>341</v>
      </c>
      <c r="AN4" s="5" t="s">
        <v>342</v>
      </c>
      <c r="AO4" s="5" t="s">
        <v>343</v>
      </c>
    </row>
    <row r="5" spans="1:41">
      <c r="B5" s="13">
        <v>21000301</v>
      </c>
      <c r="C5" s="13" t="s">
        <v>344</v>
      </c>
      <c r="D5" s="13" t="s">
        <v>344</v>
      </c>
      <c r="E5" s="13" t="s">
        <v>345</v>
      </c>
      <c r="F5" s="13">
        <v>1</v>
      </c>
      <c r="G5" s="13" t="s">
        <v>346</v>
      </c>
      <c r="H5" s="13" t="s">
        <v>347</v>
      </c>
      <c r="I5" s="13">
        <v>1</v>
      </c>
      <c r="J5" s="13" t="s">
        <v>348</v>
      </c>
      <c r="L5" s="13">
        <v>1</v>
      </c>
      <c r="M5" s="13">
        <v>2000</v>
      </c>
      <c r="N5" s="13">
        <v>0</v>
      </c>
      <c r="S5" s="13" t="s">
        <v>349</v>
      </c>
      <c r="U5" s="13" t="s">
        <v>350</v>
      </c>
      <c r="V5" s="13">
        <v>10000</v>
      </c>
      <c r="W5" s="13" t="s">
        <v>344</v>
      </c>
    </row>
    <row r="6" spans="1:41">
      <c r="B6" s="13">
        <v>21000401</v>
      </c>
      <c r="C6" s="13" t="s">
        <v>351</v>
      </c>
      <c r="D6" s="13" t="s">
        <v>351</v>
      </c>
      <c r="E6" s="13" t="s">
        <v>345</v>
      </c>
      <c r="F6" s="13">
        <v>1</v>
      </c>
      <c r="G6" s="13" t="s">
        <v>352</v>
      </c>
      <c r="H6" s="13" t="s">
        <v>353</v>
      </c>
      <c r="I6" s="13">
        <v>1</v>
      </c>
      <c r="J6" s="13" t="s">
        <v>348</v>
      </c>
      <c r="L6" s="13">
        <v>1</v>
      </c>
      <c r="M6" s="13">
        <v>2000</v>
      </c>
      <c r="N6" s="13">
        <v>0</v>
      </c>
      <c r="S6" s="13" t="s">
        <v>349</v>
      </c>
      <c r="U6" s="13" t="s">
        <v>350</v>
      </c>
      <c r="V6" s="13">
        <v>10000</v>
      </c>
      <c r="W6" s="13" t="s">
        <v>351</v>
      </c>
    </row>
    <row r="7" spans="1:41">
      <c r="B7" s="13">
        <v>21000601</v>
      </c>
      <c r="C7" s="13" t="s">
        <v>354</v>
      </c>
      <c r="D7" s="13" t="s">
        <v>354</v>
      </c>
      <c r="E7" s="13" t="s">
        <v>345</v>
      </c>
      <c r="F7" s="13">
        <v>1</v>
      </c>
      <c r="G7" s="13" t="s">
        <v>355</v>
      </c>
      <c r="H7" s="13" t="s">
        <v>356</v>
      </c>
      <c r="I7" s="13">
        <v>1</v>
      </c>
      <c r="J7" s="13" t="s">
        <v>348</v>
      </c>
      <c r="L7" s="13">
        <v>1</v>
      </c>
      <c r="M7" s="13">
        <v>2000</v>
      </c>
      <c r="S7" s="13" t="s">
        <v>349</v>
      </c>
      <c r="U7" s="13" t="s">
        <v>350</v>
      </c>
      <c r="V7" s="13">
        <v>10000</v>
      </c>
      <c r="W7" s="13" t="s">
        <v>354</v>
      </c>
    </row>
    <row r="8" spans="1:41">
      <c r="B8" s="13">
        <v>21001001</v>
      </c>
      <c r="C8" s="13" t="s">
        <v>357</v>
      </c>
      <c r="D8" s="13" t="s">
        <v>357</v>
      </c>
      <c r="E8" s="13" t="s">
        <v>345</v>
      </c>
      <c r="F8" s="13">
        <v>1</v>
      </c>
      <c r="G8" s="13" t="s">
        <v>358</v>
      </c>
      <c r="H8" s="13" t="s">
        <v>359</v>
      </c>
      <c r="I8" s="13">
        <v>1</v>
      </c>
      <c r="J8" s="13" t="s">
        <v>348</v>
      </c>
      <c r="L8" s="13">
        <v>1</v>
      </c>
      <c r="M8" s="13">
        <v>10000</v>
      </c>
      <c r="N8" s="13">
        <v>0</v>
      </c>
      <c r="S8" s="13" t="s">
        <v>349</v>
      </c>
      <c r="U8" s="13" t="s">
        <v>360</v>
      </c>
      <c r="V8" s="13">
        <v>10000</v>
      </c>
      <c r="W8" s="13" t="s">
        <v>361</v>
      </c>
      <c r="X8" s="13">
        <v>-2000</v>
      </c>
    </row>
    <row r="9" spans="1:41">
      <c r="B9" s="13">
        <v>21000201</v>
      </c>
      <c r="C9" s="13" t="s">
        <v>362</v>
      </c>
      <c r="D9" s="13" t="s">
        <v>362</v>
      </c>
      <c r="E9" s="13" t="s">
        <v>345</v>
      </c>
      <c r="F9" s="13">
        <v>1</v>
      </c>
      <c r="G9" s="13" t="s">
        <v>363</v>
      </c>
      <c r="H9" s="13" t="s">
        <v>364</v>
      </c>
      <c r="I9" s="13">
        <v>1</v>
      </c>
      <c r="J9" s="13" t="s">
        <v>348</v>
      </c>
      <c r="L9" s="13">
        <v>1</v>
      </c>
      <c r="M9" s="13">
        <v>12000</v>
      </c>
      <c r="N9" s="13">
        <v>3000</v>
      </c>
      <c r="Q9" s="13" t="s">
        <v>365</v>
      </c>
      <c r="R9" s="13" t="s">
        <v>366</v>
      </c>
      <c r="S9" s="13" t="s">
        <v>349</v>
      </c>
      <c r="U9" s="13" t="s">
        <v>367</v>
      </c>
      <c r="V9" s="13">
        <v>10000</v>
      </c>
      <c r="W9" s="13" t="s">
        <v>368</v>
      </c>
      <c r="X9" s="13">
        <v>2200</v>
      </c>
      <c r="Y9" s="13">
        <v>2</v>
      </c>
      <c r="Z9" s="13">
        <v>0</v>
      </c>
      <c r="AA9" s="13">
        <v>0</v>
      </c>
    </row>
    <row r="10" spans="1:41">
      <c r="B10" s="13">
        <v>21000202</v>
      </c>
      <c r="C10" s="13" t="s">
        <v>362</v>
      </c>
      <c r="D10" s="13" t="s">
        <v>362</v>
      </c>
      <c r="E10" s="13" t="s">
        <v>345</v>
      </c>
      <c r="F10" s="13">
        <v>2</v>
      </c>
      <c r="G10" s="13" t="s">
        <v>363</v>
      </c>
      <c r="H10" s="13" t="s">
        <v>364</v>
      </c>
      <c r="I10" s="13">
        <v>1</v>
      </c>
      <c r="J10" s="13" t="s">
        <v>348</v>
      </c>
      <c r="L10" s="13">
        <v>1</v>
      </c>
      <c r="M10" s="13">
        <v>12000</v>
      </c>
      <c r="N10" s="13">
        <v>3000</v>
      </c>
      <c r="Q10" s="13" t="s">
        <v>365</v>
      </c>
      <c r="R10" s="13" t="s">
        <v>366</v>
      </c>
      <c r="S10" s="13" t="s">
        <v>349</v>
      </c>
      <c r="U10" s="13" t="s">
        <v>367</v>
      </c>
      <c r="V10" s="13">
        <v>10000</v>
      </c>
      <c r="W10" s="13" t="s">
        <v>368</v>
      </c>
      <c r="X10" s="13">
        <v>2600</v>
      </c>
      <c r="Y10" s="13">
        <v>3</v>
      </c>
      <c r="Z10" s="13">
        <v>0</v>
      </c>
      <c r="AA10" s="13">
        <v>0</v>
      </c>
    </row>
    <row r="11" spans="1:41">
      <c r="B11" s="13">
        <v>21000203</v>
      </c>
      <c r="C11" s="13" t="s">
        <v>362</v>
      </c>
      <c r="D11" s="13" t="s">
        <v>362</v>
      </c>
      <c r="E11" s="13" t="s">
        <v>345</v>
      </c>
      <c r="F11" s="13">
        <v>3</v>
      </c>
      <c r="G11" s="13" t="s">
        <v>363</v>
      </c>
      <c r="H11" s="13" t="s">
        <v>364</v>
      </c>
      <c r="I11" s="13">
        <v>1</v>
      </c>
      <c r="J11" s="13" t="s">
        <v>348</v>
      </c>
      <c r="L11" s="13">
        <v>1</v>
      </c>
      <c r="M11" s="13">
        <v>12000</v>
      </c>
      <c r="N11" s="13">
        <v>3000</v>
      </c>
      <c r="Q11" s="13" t="s">
        <v>365</v>
      </c>
      <c r="R11" s="13" t="s">
        <v>366</v>
      </c>
      <c r="S11" s="13" t="s">
        <v>349</v>
      </c>
      <c r="U11" s="13" t="s">
        <v>367</v>
      </c>
      <c r="V11" s="13">
        <v>10000</v>
      </c>
      <c r="W11" s="13" t="s">
        <v>368</v>
      </c>
      <c r="X11" s="13">
        <v>3000</v>
      </c>
      <c r="Y11" s="13">
        <v>4</v>
      </c>
      <c r="Z11" s="13">
        <v>0</v>
      </c>
      <c r="AA11" s="13">
        <v>0</v>
      </c>
    </row>
    <row r="12" spans="1:41">
      <c r="B12" s="13">
        <v>21000204</v>
      </c>
      <c r="C12" s="13" t="s">
        <v>362</v>
      </c>
      <c r="D12" s="13" t="s">
        <v>362</v>
      </c>
      <c r="E12" s="13" t="s">
        <v>345</v>
      </c>
      <c r="F12" s="13">
        <v>4</v>
      </c>
      <c r="G12" s="13" t="s">
        <v>363</v>
      </c>
      <c r="H12" s="13" t="s">
        <v>364</v>
      </c>
      <c r="I12" s="13">
        <v>1</v>
      </c>
      <c r="J12" s="13" t="s">
        <v>348</v>
      </c>
      <c r="L12" s="13">
        <v>1</v>
      </c>
      <c r="M12" s="13">
        <v>12000</v>
      </c>
      <c r="N12" s="13">
        <v>3000</v>
      </c>
      <c r="Q12" s="13" t="s">
        <v>365</v>
      </c>
      <c r="R12" s="13" t="s">
        <v>366</v>
      </c>
      <c r="S12" s="13" t="s">
        <v>349</v>
      </c>
      <c r="U12" s="13" t="s">
        <v>367</v>
      </c>
      <c r="V12" s="13">
        <v>10000</v>
      </c>
      <c r="W12" s="13" t="s">
        <v>368</v>
      </c>
      <c r="X12" s="13">
        <v>3600</v>
      </c>
      <c r="Y12" s="13">
        <v>6</v>
      </c>
      <c r="Z12" s="13">
        <v>0</v>
      </c>
      <c r="AA12" s="13">
        <v>0</v>
      </c>
    </row>
  </sheetData>
  <mergeCells count="2">
    <mergeCell ref="U1:AO1"/>
    <mergeCell ref="U2:AO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2"/>
  <sheetViews>
    <sheetView workbookViewId="0">
      <selection activeCell="A1" sqref="A1"/>
    </sheetView>
  </sheetViews>
  <sheetFormatPr defaultColWidth="8.25" defaultRowHeight="14.25" outlineLevelCol="5"/>
  <cols>
    <col min="1" max="1" width="10.5" style="16" customWidth="1"/>
    <col min="2" max="2" width="8" style="16" customWidth="1"/>
    <col min="3" max="3" width="6.83333333333333" style="17" customWidth="1"/>
    <col min="4" max="4" width="8.25" style="17" customWidth="1"/>
    <col min="5" max="5" width="23.3333333333333" style="17" customWidth="1"/>
    <col min="6" max="6" width="4.58333333333333" style="17" customWidth="1"/>
    <col min="7" max="7" width="13.75" style="16" customWidth="1"/>
    <col min="8" max="16384" width="8.25" style="16" customWidth="1"/>
  </cols>
  <sheetData>
    <row r="1" spans="1:6">
      <c r="A1" s="16" t="s">
        <v>369</v>
      </c>
      <c r="B1" s="16" t="s">
        <v>370</v>
      </c>
      <c r="E1" s="17" t="s">
        <v>371</v>
      </c>
      <c r="F1" s="17" t="s">
        <v>372</v>
      </c>
    </row>
    <row r="2" spans="1:6">
      <c r="A2" s="16" t="s">
        <v>174</v>
      </c>
      <c r="B2" s="16">
        <v>1</v>
      </c>
      <c r="E2" s="17" t="s">
        <v>373</v>
      </c>
      <c r="F2" s="17">
        <v>1</v>
      </c>
    </row>
    <row r="3" spans="1:6">
      <c r="B3" s="16">
        <v>2</v>
      </c>
      <c r="E3" s="17" t="s">
        <v>362</v>
      </c>
      <c r="F3" s="17">
        <v>2</v>
      </c>
    </row>
    <row r="4" spans="1:6">
      <c r="B4" s="16">
        <v>3</v>
      </c>
      <c r="E4" s="17" t="s">
        <v>344</v>
      </c>
      <c r="F4" s="17">
        <v>3</v>
      </c>
    </row>
    <row r="5" spans="1:6">
      <c r="B5" s="16">
        <v>4</v>
      </c>
      <c r="E5" s="17" t="s">
        <v>351</v>
      </c>
      <c r="F5" s="17">
        <v>4</v>
      </c>
    </row>
    <row r="6" spans="1:6">
      <c r="B6" s="16">
        <v>5</v>
      </c>
      <c r="E6" s="17" t="s">
        <v>374</v>
      </c>
      <c r="F6" s="17">
        <v>5</v>
      </c>
    </row>
    <row r="7" spans="1:6">
      <c r="B7" s="16">
        <v>6</v>
      </c>
      <c r="E7" s="17" t="s">
        <v>354</v>
      </c>
      <c r="F7" s="17">
        <v>6</v>
      </c>
    </row>
    <row r="8" spans="1:6">
      <c r="B8" s="16">
        <v>7</v>
      </c>
      <c r="E8" s="17" t="s">
        <v>375</v>
      </c>
      <c r="F8" s="17">
        <v>7</v>
      </c>
    </row>
    <row r="9" spans="1:6">
      <c r="B9" s="16">
        <v>8</v>
      </c>
      <c r="E9" s="17" t="s">
        <v>376</v>
      </c>
      <c r="F9" s="17">
        <v>8</v>
      </c>
    </row>
    <row r="10" spans="1:6">
      <c r="B10" s="16">
        <v>9</v>
      </c>
      <c r="E10" s="17" t="s">
        <v>377</v>
      </c>
      <c r="F10" s="17">
        <v>9</v>
      </c>
    </row>
    <row r="11" spans="1:6">
      <c r="B11" s="16">
        <v>10</v>
      </c>
      <c r="E11" s="17" t="s">
        <v>357</v>
      </c>
      <c r="F11" s="17">
        <v>10</v>
      </c>
    </row>
    <row r="12" spans="1:6">
      <c r="B12" s="16">
        <v>11</v>
      </c>
      <c r="E12" s="17" t="s">
        <v>378</v>
      </c>
      <c r="F12" s="17">
        <v>11</v>
      </c>
    </row>
    <row r="13" spans="1:6">
      <c r="B13" s="16">
        <v>12</v>
      </c>
      <c r="E13" s="17" t="s">
        <v>379</v>
      </c>
      <c r="F13" s="17">
        <v>12</v>
      </c>
    </row>
    <row r="14" spans="1:6">
      <c r="B14" s="16">
        <v>13</v>
      </c>
      <c r="E14" s="17" t="s">
        <v>380</v>
      </c>
      <c r="F14" s="17">
        <v>13</v>
      </c>
    </row>
    <row r="15" spans="1:6">
      <c r="B15" s="16">
        <v>14</v>
      </c>
      <c r="E15" s="17" t="s">
        <v>381</v>
      </c>
      <c r="F15" s="17">
        <v>14</v>
      </c>
    </row>
    <row r="16" spans="1:6">
      <c r="B16" s="16">
        <v>15</v>
      </c>
      <c r="E16" s="17" t="s">
        <v>382</v>
      </c>
      <c r="F16" s="17">
        <v>15</v>
      </c>
    </row>
    <row r="17" spans="2:6">
      <c r="B17" s="16">
        <v>16</v>
      </c>
      <c r="E17" s="17" t="s">
        <v>383</v>
      </c>
      <c r="F17" s="17">
        <v>16</v>
      </c>
    </row>
    <row r="18" spans="2:6">
      <c r="B18" s="16">
        <v>17</v>
      </c>
      <c r="E18" s="17" t="s">
        <v>384</v>
      </c>
      <c r="F18" s="17">
        <v>17</v>
      </c>
    </row>
    <row r="19" spans="2:6">
      <c r="B19" s="16">
        <v>18</v>
      </c>
      <c r="E19" s="17" t="s">
        <v>385</v>
      </c>
      <c r="F19" s="17">
        <v>18</v>
      </c>
    </row>
    <row r="20" spans="2:6">
      <c r="B20" s="16">
        <v>19</v>
      </c>
      <c r="E20" s="17" t="s">
        <v>386</v>
      </c>
      <c r="F20" s="17">
        <v>19</v>
      </c>
    </row>
    <row r="21" spans="2:6">
      <c r="B21" s="16">
        <v>20</v>
      </c>
      <c r="E21" s="17" t="s">
        <v>387</v>
      </c>
      <c r="F21" s="17">
        <v>20</v>
      </c>
    </row>
    <row r="22" spans="2:6">
      <c r="B22" s="16">
        <v>21</v>
      </c>
      <c r="E22" s="17" t="s">
        <v>388</v>
      </c>
      <c r="F22" s="17">
        <v>21</v>
      </c>
    </row>
    <row r="23" spans="2:6">
      <c r="B23" s="16">
        <v>22</v>
      </c>
      <c r="E23" s="17" t="s">
        <v>389</v>
      </c>
      <c r="F23" s="17">
        <v>22</v>
      </c>
    </row>
    <row r="24" spans="2:6">
      <c r="B24" s="16">
        <v>23</v>
      </c>
      <c r="E24" s="17" t="s">
        <v>390</v>
      </c>
      <c r="F24" s="17">
        <v>23</v>
      </c>
    </row>
    <row r="25" spans="2:6">
      <c r="B25" s="16">
        <v>24</v>
      </c>
      <c r="E25" s="17" t="s">
        <v>391</v>
      </c>
      <c r="F25" s="17">
        <v>24</v>
      </c>
    </row>
    <row r="26" spans="2:6">
      <c r="B26" s="16">
        <v>25</v>
      </c>
      <c r="E26" s="17" t="s">
        <v>392</v>
      </c>
      <c r="F26" s="17">
        <v>25</v>
      </c>
    </row>
    <row r="27" spans="2:6">
      <c r="B27" s="16">
        <v>26</v>
      </c>
      <c r="E27" s="17" t="s">
        <v>393</v>
      </c>
      <c r="F27" s="17">
        <v>26</v>
      </c>
    </row>
    <row r="28" spans="2:6">
      <c r="B28" s="16">
        <v>27</v>
      </c>
      <c r="E28" s="17" t="s">
        <v>394</v>
      </c>
      <c r="F28" s="17">
        <v>27</v>
      </c>
    </row>
    <row r="29" spans="2:6">
      <c r="B29" s="16">
        <v>28</v>
      </c>
      <c r="E29" s="17" t="s">
        <v>395</v>
      </c>
      <c r="F29" s="17">
        <v>28</v>
      </c>
    </row>
    <row r="30" spans="2:6">
      <c r="B30" s="16">
        <v>29</v>
      </c>
      <c r="E30" s="17" t="s">
        <v>396</v>
      </c>
      <c r="F30" s="17">
        <v>29</v>
      </c>
    </row>
    <row r="31" spans="2:6">
      <c r="B31" s="16">
        <v>30</v>
      </c>
      <c r="E31" s="17" t="s">
        <v>397</v>
      </c>
      <c r="F31" s="17">
        <v>30</v>
      </c>
    </row>
    <row r="32" spans="2:6">
      <c r="B32" s="16">
        <v>31</v>
      </c>
      <c r="E32" s="17" t="s">
        <v>398</v>
      </c>
      <c r="F32" s="17">
        <v>31</v>
      </c>
    </row>
    <row r="33" spans="2:6">
      <c r="B33" s="16">
        <v>32</v>
      </c>
      <c r="E33" s="17" t="s">
        <v>399</v>
      </c>
      <c r="F33" s="17">
        <v>32</v>
      </c>
    </row>
    <row r="34" spans="2:6">
      <c r="B34" s="16">
        <v>33</v>
      </c>
      <c r="E34" s="17" t="s">
        <v>400</v>
      </c>
      <c r="F34" s="17">
        <v>33</v>
      </c>
    </row>
    <row r="35" spans="2:6">
      <c r="B35" s="16">
        <v>34</v>
      </c>
      <c r="F35" s="17">
        <v>34</v>
      </c>
    </row>
    <row r="36" spans="2:6">
      <c r="B36" s="16">
        <v>35</v>
      </c>
      <c r="E36" s="17" t="s">
        <v>401</v>
      </c>
      <c r="F36" s="17">
        <v>35</v>
      </c>
    </row>
    <row r="37" spans="2:6">
      <c r="B37" s="16">
        <v>36</v>
      </c>
      <c r="E37" s="17" t="s">
        <v>402</v>
      </c>
      <c r="F37" s="17">
        <v>36</v>
      </c>
    </row>
    <row r="38" spans="2:6">
      <c r="B38" s="16">
        <v>37</v>
      </c>
      <c r="E38" s="17" t="s">
        <v>403</v>
      </c>
      <c r="F38" s="17">
        <v>37</v>
      </c>
    </row>
    <row r="39" spans="2:6">
      <c r="B39" s="16">
        <v>38</v>
      </c>
      <c r="F39" s="17">
        <v>38</v>
      </c>
    </row>
    <row r="40" spans="2:6">
      <c r="B40" s="16">
        <v>39</v>
      </c>
    </row>
    <row r="41" spans="2:6">
      <c r="B41" s="16">
        <v>40</v>
      </c>
    </row>
    <row r="42" spans="2:6">
      <c r="B42" s="16">
        <v>41</v>
      </c>
    </row>
    <row r="43" spans="2:6">
      <c r="B43" s="16">
        <v>42</v>
      </c>
    </row>
    <row r="44" spans="2:6">
      <c r="B44" s="16">
        <v>43</v>
      </c>
    </row>
    <row r="45" spans="2:6">
      <c r="B45" s="16">
        <v>44</v>
      </c>
    </row>
    <row r="46" spans="2:6">
      <c r="B46" s="16">
        <v>45</v>
      </c>
    </row>
    <row r="47" spans="2:6">
      <c r="B47" s="16">
        <v>46</v>
      </c>
    </row>
    <row r="48" spans="2:6">
      <c r="B48" s="16">
        <v>47</v>
      </c>
    </row>
    <row r="49" spans="1:2">
      <c r="B49" s="16">
        <v>48</v>
      </c>
    </row>
    <row r="50" spans="1:2">
      <c r="B50" s="16">
        <v>49</v>
      </c>
    </row>
    <row r="51" spans="1:2">
      <c r="A51" s="16" t="s">
        <v>191</v>
      </c>
      <c r="B51" s="16">
        <v>50</v>
      </c>
    </row>
    <row r="52" spans="1:2">
      <c r="A52" s="16" t="s">
        <v>196</v>
      </c>
      <c r="B52" s="16">
        <v>51</v>
      </c>
    </row>
    <row r="53" spans="1:2">
      <c r="A53" s="18" t="s">
        <v>199</v>
      </c>
      <c r="B53" s="16">
        <v>52</v>
      </c>
    </row>
    <row r="54" spans="1:2">
      <c r="A54" s="18" t="s">
        <v>202</v>
      </c>
      <c r="B54" s="16">
        <v>53</v>
      </c>
    </row>
    <row r="55" spans="1:2">
      <c r="A55" s="16" t="s">
        <v>205</v>
      </c>
      <c r="B55" s="16">
        <v>54</v>
      </c>
    </row>
    <row r="56" spans="1:2">
      <c r="A56" s="16" t="s">
        <v>208</v>
      </c>
      <c r="B56" s="16">
        <v>55</v>
      </c>
    </row>
    <row r="57" spans="1:2">
      <c r="A57" s="16" t="s">
        <v>211</v>
      </c>
      <c r="B57" s="16">
        <v>56</v>
      </c>
    </row>
    <row r="58" spans="1:2">
      <c r="A58" s="16" t="s">
        <v>213</v>
      </c>
      <c r="B58" s="16">
        <v>57</v>
      </c>
    </row>
    <row r="59" spans="1:2">
      <c r="A59" s="16" t="s">
        <v>217</v>
      </c>
      <c r="B59" s="16">
        <v>58</v>
      </c>
    </row>
    <row r="60" spans="1:2">
      <c r="A60" s="16" t="s">
        <v>219</v>
      </c>
      <c r="B60" s="16">
        <v>59</v>
      </c>
    </row>
    <row r="61" spans="1:2">
      <c r="A61" s="16" t="s">
        <v>221</v>
      </c>
      <c r="B61" s="16">
        <v>60</v>
      </c>
    </row>
    <row r="62" spans="1:2">
      <c r="A62" s="16" t="s">
        <v>223</v>
      </c>
      <c r="B62" s="16">
        <v>61</v>
      </c>
    </row>
    <row r="63" spans="1:2">
      <c r="A63" s="16" t="s">
        <v>225</v>
      </c>
      <c r="B63" s="16">
        <v>62</v>
      </c>
    </row>
    <row r="64" spans="1:2">
      <c r="A64" s="16" t="s">
        <v>227</v>
      </c>
      <c r="B64" s="16">
        <v>63</v>
      </c>
    </row>
    <row r="65" spans="1:2">
      <c r="A65" s="16" t="s">
        <v>229</v>
      </c>
      <c r="B65" s="16">
        <v>64</v>
      </c>
    </row>
    <row r="66" spans="1:2">
      <c r="A66" s="16" t="s">
        <v>231</v>
      </c>
      <c r="B66" s="16">
        <v>65</v>
      </c>
    </row>
    <row r="67" spans="1:2">
      <c r="A67" s="16" t="s">
        <v>233</v>
      </c>
      <c r="B67" s="16">
        <v>66</v>
      </c>
    </row>
    <row r="68" spans="1:2">
      <c r="A68" s="16" t="s">
        <v>236</v>
      </c>
      <c r="B68" s="16">
        <v>67</v>
      </c>
    </row>
    <row r="69" spans="1:2">
      <c r="A69" s="16" t="s">
        <v>239</v>
      </c>
      <c r="B69" s="16">
        <v>68</v>
      </c>
    </row>
    <row r="70" spans="1:2">
      <c r="A70" s="16" t="s">
        <v>241</v>
      </c>
      <c r="B70" s="16">
        <v>69</v>
      </c>
    </row>
    <row r="71" spans="1:2">
      <c r="A71" s="16" t="s">
        <v>243</v>
      </c>
      <c r="B71" s="16">
        <v>70</v>
      </c>
    </row>
    <row r="72" spans="1:2">
      <c r="A72" s="16" t="s">
        <v>245</v>
      </c>
      <c r="B72" s="16">
        <v>71</v>
      </c>
    </row>
    <row r="73" spans="1:2">
      <c r="A73" s="16" t="s">
        <v>248</v>
      </c>
      <c r="B73" s="16">
        <v>72</v>
      </c>
    </row>
    <row r="74" spans="1:2">
      <c r="A74" s="16" t="s">
        <v>251</v>
      </c>
      <c r="B74" s="16">
        <v>73</v>
      </c>
    </row>
    <row r="75" spans="1:2">
      <c r="A75" s="16" t="s">
        <v>254</v>
      </c>
      <c r="B75" s="16">
        <v>74</v>
      </c>
    </row>
    <row r="76" spans="1:2">
      <c r="A76" s="16" t="s">
        <v>257</v>
      </c>
      <c r="B76" s="16">
        <v>75</v>
      </c>
    </row>
    <row r="77" spans="1:2">
      <c r="A77" s="16" t="s">
        <v>260</v>
      </c>
      <c r="B77" s="16">
        <v>76</v>
      </c>
    </row>
    <row r="78" spans="1:2">
      <c r="A78" s="16" t="s">
        <v>263</v>
      </c>
      <c r="B78" s="16">
        <v>77</v>
      </c>
    </row>
    <row r="79" spans="1:2">
      <c r="A79" s="16" t="s">
        <v>266</v>
      </c>
      <c r="B79" s="16">
        <v>78</v>
      </c>
    </row>
    <row r="80" spans="1:2">
      <c r="A80" s="16" t="s">
        <v>269</v>
      </c>
      <c r="B80" s="16">
        <v>79</v>
      </c>
    </row>
    <row r="81" spans="1:2">
      <c r="A81" s="16" t="s">
        <v>271</v>
      </c>
      <c r="B81" s="16">
        <v>80</v>
      </c>
    </row>
    <row r="82" spans="1:2">
      <c r="A82" s="16" t="s">
        <v>273</v>
      </c>
      <c r="B82" s="16">
        <v>81</v>
      </c>
    </row>
    <row r="83" spans="1:2">
      <c r="A83" s="16" t="s">
        <v>275</v>
      </c>
      <c r="B83" s="16">
        <v>82</v>
      </c>
    </row>
    <row r="84" spans="1:2">
      <c r="A84" s="16" t="s">
        <v>277</v>
      </c>
      <c r="B84" s="16">
        <v>83</v>
      </c>
    </row>
    <row r="85" spans="1:2">
      <c r="A85" s="16" t="s">
        <v>279</v>
      </c>
      <c r="B85" s="16">
        <v>84</v>
      </c>
    </row>
    <row r="86" spans="1:2">
      <c r="A86" s="16" t="s">
        <v>281</v>
      </c>
      <c r="B86" s="16">
        <v>85</v>
      </c>
    </row>
    <row r="87" spans="1:2">
      <c r="B87" s="16">
        <v>86</v>
      </c>
    </row>
    <row r="88" spans="1:2">
      <c r="B88" s="16">
        <v>87</v>
      </c>
    </row>
    <row r="89" spans="1:2">
      <c r="B89" s="16">
        <v>88</v>
      </c>
    </row>
    <row r="90" spans="1:2">
      <c r="B90" s="16">
        <v>89</v>
      </c>
    </row>
    <row r="91" spans="1:2">
      <c r="B91" s="16">
        <v>90</v>
      </c>
    </row>
    <row r="92" spans="1:2">
      <c r="B92" s="16">
        <v>91</v>
      </c>
    </row>
    <row r="93" spans="1:2">
      <c r="B93" s="16">
        <v>92</v>
      </c>
    </row>
    <row r="94" spans="1:2">
      <c r="B94" s="16">
        <v>93</v>
      </c>
    </row>
    <row r="95" spans="1:2">
      <c r="B95" s="16">
        <v>94</v>
      </c>
    </row>
    <row r="96" spans="1:2">
      <c r="B96" s="16">
        <v>95</v>
      </c>
    </row>
    <row r="97" spans="1:2">
      <c r="B97" s="16">
        <v>96</v>
      </c>
    </row>
    <row r="98" spans="1:2">
      <c r="B98" s="16">
        <v>97</v>
      </c>
    </row>
    <row r="99" spans="1:2">
      <c r="B99" s="16">
        <v>98</v>
      </c>
    </row>
    <row r="100" spans="1:2">
      <c r="B100" s="16">
        <v>99</v>
      </c>
    </row>
    <row r="101" spans="1:2">
      <c r="B101" s="16">
        <v>100</v>
      </c>
    </row>
    <row r="102" spans="1:2">
      <c r="B102" s="16">
        <v>101</v>
      </c>
    </row>
    <row r="103" spans="1:2">
      <c r="B103" s="16">
        <v>102</v>
      </c>
    </row>
    <row r="104" spans="1:2">
      <c r="B104" s="16">
        <v>103</v>
      </c>
    </row>
    <row r="105" spans="1:2">
      <c r="B105" s="16">
        <v>104</v>
      </c>
    </row>
    <row r="106" ht="16.5" customHeight="1" spans="1:2">
      <c r="A106" s="13"/>
      <c r="B106" s="16">
        <v>105</v>
      </c>
    </row>
    <row r="107" spans="1:2">
      <c r="B107" s="16">
        <v>106</v>
      </c>
    </row>
    <row r="108" spans="1:2">
      <c r="B108" s="16">
        <v>107</v>
      </c>
    </row>
    <row r="109" spans="1:2">
      <c r="B109" s="16">
        <v>108</v>
      </c>
    </row>
    <row r="110" spans="1:2">
      <c r="B110" s="16">
        <v>109</v>
      </c>
    </row>
    <row r="111" spans="1:2">
      <c r="B111" s="16">
        <v>110</v>
      </c>
    </row>
    <row r="112" spans="1:2">
      <c r="B112" s="16">
        <v>111</v>
      </c>
    </row>
  </sheetData>
  <conditionalFormatting sqref="E2:E37">
    <cfRule type="duplicateValues" dxfId="0" priority="1"/>
  </conditionalFormatting>
  <conditionalFormatting sqref="E1 E38:E1048576">
    <cfRule type="duplicateValues" dxfId="0" priority="2"/>
  </conditionalFormatting>
  <dataValidations count="1">
    <dataValidation type="whole" operator="between" allowBlank="1" showInputMessage="1" showErrorMessage="1" sqref="F$1:F$1048576">
      <formula1>1</formula1>
      <formula2>999</formula2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0"/>
  <sheetViews>
    <sheetView workbookViewId="0">
      <selection activeCell="F34" sqref="F34"/>
    </sheetView>
  </sheetViews>
  <sheetFormatPr defaultColWidth="8.25" defaultRowHeight="14.25"/>
  <cols>
    <col min="1" max="2" width="14.0833333333333" style="1" customWidth="1"/>
    <col min="3" max="3" width="18.25" style="1" customWidth="1"/>
    <col min="4" max="4" width="9.5" style="1" customWidth="1"/>
    <col min="5" max="5" width="8.25" style="1" customWidth="1"/>
    <col min="6" max="6" width="18.5" style="1" customWidth="1"/>
    <col min="7" max="7" width="16.5833333333333" style="1" customWidth="1"/>
    <col min="8" max="8" width="13.0833333333333" style="1" customWidth="1"/>
    <col min="9" max="9" width="12.6666666666667" style="1" customWidth="1"/>
    <col min="10" max="10" width="20.8333333333333" style="1" customWidth="1"/>
    <col min="11" max="11" width="8.25" style="2" customWidth="1"/>
    <col min="12" max="12" width="27.5" style="1" customWidth="1"/>
    <col min="13" max="13" width="22.9166666666667" style="1" customWidth="1"/>
    <col min="14" max="14" width="17.8333333333333" style="1" customWidth="1"/>
    <col min="15" max="15" width="98.9166666666667" style="1" customWidth="1"/>
    <col min="16" max="16" width="10.8333333333333" style="1" customWidth="1"/>
    <col min="17" max="17" width="1.83333333333333" style="1" customWidth="1"/>
    <col min="18" max="18" width="11.3333333333333" style="1" customWidth="1"/>
    <col min="19" max="16384" width="8.25" style="1" customWidth="1"/>
  </cols>
  <sheetData>
    <row r="1" ht="16.5" customHeight="1" spans="1:15">
      <c r="A1" s="3" t="s">
        <v>404</v>
      </c>
      <c r="B1" s="3"/>
      <c r="C1" s="4" t="s">
        <v>405</v>
      </c>
      <c r="E1" s="3"/>
      <c r="F1" s="3" t="s">
        <v>406</v>
      </c>
      <c r="H1" s="5" t="s">
        <v>320</v>
      </c>
      <c r="J1" s="3" t="s">
        <v>407</v>
      </c>
      <c r="K1" s="3" t="s">
        <v>408</v>
      </c>
      <c r="L1" s="1" t="s">
        <v>409</v>
      </c>
      <c r="M1" s="3" t="s">
        <v>410</v>
      </c>
      <c r="N1" s="3" t="s">
        <v>408</v>
      </c>
      <c r="O1" s="3" t="s">
        <v>409</v>
      </c>
    </row>
    <row r="2" ht="16.5" customHeight="1" spans="1:15">
      <c r="A2" s="6" t="s">
        <v>411</v>
      </c>
      <c r="B2" s="6"/>
      <c r="C2" s="6" t="s">
        <v>412</v>
      </c>
      <c r="D2" s="1" t="s">
        <v>180</v>
      </c>
      <c r="F2" s="1" t="s">
        <v>413</v>
      </c>
      <c r="G2" s="1" t="s">
        <v>414</v>
      </c>
      <c r="H2" s="5" t="s">
        <v>415</v>
      </c>
      <c r="J2" s="7" t="s">
        <v>416</v>
      </c>
      <c r="M2" s="7" t="s">
        <v>417</v>
      </c>
      <c r="N2" s="1" t="s">
        <v>418</v>
      </c>
      <c r="O2" s="7" t="s">
        <v>419</v>
      </c>
    </row>
    <row r="3" spans="1:15">
      <c r="A3" s="6" t="s">
        <v>420</v>
      </c>
      <c r="B3" s="6"/>
      <c r="C3" s="6" t="s">
        <v>421</v>
      </c>
      <c r="D3" s="1" t="s">
        <v>422</v>
      </c>
      <c r="F3" s="1" t="s">
        <v>423</v>
      </c>
      <c r="G3" s="3" t="s">
        <v>424</v>
      </c>
      <c r="H3" s="7" t="s">
        <v>425</v>
      </c>
      <c r="I3" s="7" t="s">
        <v>426</v>
      </c>
      <c r="J3" s="7" t="s">
        <v>427</v>
      </c>
      <c r="K3" s="2" t="s">
        <v>428</v>
      </c>
      <c r="M3" s="7" t="s">
        <v>429</v>
      </c>
      <c r="N3" s="1" t="s">
        <v>418</v>
      </c>
      <c r="O3" s="7" t="s">
        <v>430</v>
      </c>
    </row>
    <row r="4" spans="1:15">
      <c r="A4" s="4" t="s">
        <v>431</v>
      </c>
      <c r="B4" s="6"/>
      <c r="C4" s="6" t="s">
        <v>432</v>
      </c>
      <c r="F4" s="6" t="s">
        <v>433</v>
      </c>
      <c r="G4" s="1" t="s">
        <v>434</v>
      </c>
      <c r="H4" s="7" t="s">
        <v>435</v>
      </c>
      <c r="I4" s="7" t="s">
        <v>436</v>
      </c>
      <c r="J4" s="7" t="s">
        <v>437</v>
      </c>
      <c r="M4" s="7" t="s">
        <v>438</v>
      </c>
      <c r="N4" s="1" t="s">
        <v>418</v>
      </c>
      <c r="O4" s="7" t="s">
        <v>430</v>
      </c>
    </row>
    <row r="5" spans="1:15">
      <c r="A5" s="6" t="s">
        <v>439</v>
      </c>
      <c r="C5" s="6" t="s">
        <v>440</v>
      </c>
      <c r="F5" s="6" t="s">
        <v>441</v>
      </c>
      <c r="G5" s="1" t="s">
        <v>442</v>
      </c>
      <c r="H5" s="7" t="s">
        <v>443</v>
      </c>
      <c r="I5" s="7" t="s">
        <v>444</v>
      </c>
      <c r="J5" s="7" t="s">
        <v>445</v>
      </c>
      <c r="M5" s="7" t="s">
        <v>446</v>
      </c>
      <c r="O5" s="7" t="s">
        <v>447</v>
      </c>
    </row>
    <row r="6" spans="1:15">
      <c r="A6" s="8" t="s">
        <v>448</v>
      </c>
      <c r="C6" s="9" t="s">
        <v>449</v>
      </c>
      <c r="F6" s="6" t="s">
        <v>450</v>
      </c>
      <c r="H6" s="7" t="s">
        <v>451</v>
      </c>
      <c r="I6" s="7" t="s">
        <v>452</v>
      </c>
      <c r="J6" s="7" t="s">
        <v>453</v>
      </c>
      <c r="M6" s="7" t="s">
        <v>454</v>
      </c>
      <c r="O6" s="7" t="s">
        <v>455</v>
      </c>
    </row>
    <row r="7" spans="1:15">
      <c r="B7" s="8"/>
      <c r="C7" s="9" t="s">
        <v>456</v>
      </c>
      <c r="F7" s="9" t="s">
        <v>457</v>
      </c>
      <c r="G7" s="10"/>
      <c r="H7" s="7" t="s">
        <v>458</v>
      </c>
      <c r="I7" s="7" t="s">
        <v>459</v>
      </c>
      <c r="J7" s="1" t="s">
        <v>460</v>
      </c>
      <c r="K7" s="7"/>
      <c r="L7" s="2"/>
      <c r="M7" s="7" t="s">
        <v>461</v>
      </c>
      <c r="O7" s="7" t="s">
        <v>455</v>
      </c>
    </row>
    <row r="8" spans="1:15">
      <c r="F8" s="9" t="s">
        <v>462</v>
      </c>
      <c r="G8" s="10"/>
      <c r="H8" s="11" t="s">
        <v>463</v>
      </c>
      <c r="I8" s="11" t="s">
        <v>464</v>
      </c>
      <c r="J8" s="7" t="s">
        <v>465</v>
      </c>
      <c r="M8" s="7" t="s">
        <v>466</v>
      </c>
      <c r="N8" s="1" t="s">
        <v>428</v>
      </c>
      <c r="O8" s="7" t="s">
        <v>467</v>
      </c>
    </row>
    <row r="9" spans="1:15">
      <c r="F9" s="9" t="s">
        <v>468</v>
      </c>
      <c r="G9" s="10"/>
      <c r="H9" s="11" t="s">
        <v>469</v>
      </c>
      <c r="I9" s="11" t="s">
        <v>470</v>
      </c>
      <c r="J9" s="7" t="s">
        <v>471</v>
      </c>
      <c r="M9" s="7" t="s">
        <v>472</v>
      </c>
      <c r="N9" s="1" t="s">
        <v>428</v>
      </c>
      <c r="O9" s="7" t="s">
        <v>473</v>
      </c>
    </row>
    <row r="10" spans="1:15">
      <c r="F10" s="9" t="s">
        <v>474</v>
      </c>
      <c r="G10" s="10"/>
      <c r="H10" s="11" t="s">
        <v>475</v>
      </c>
      <c r="I10" s="11" t="s">
        <v>476</v>
      </c>
      <c r="J10" s="7" t="s">
        <v>477</v>
      </c>
      <c r="M10" s="7" t="s">
        <v>478</v>
      </c>
      <c r="N10" s="1" t="s">
        <v>479</v>
      </c>
      <c r="O10" s="7" t="s">
        <v>480</v>
      </c>
    </row>
    <row r="11" spans="1:15">
      <c r="F11" s="9" t="s">
        <v>481</v>
      </c>
      <c r="G11" s="10"/>
      <c r="H11" s="11" t="s">
        <v>482</v>
      </c>
      <c r="I11" s="11" t="s">
        <v>483</v>
      </c>
      <c r="J11" s="7" t="s">
        <v>484</v>
      </c>
      <c r="M11" s="7" t="s">
        <v>485</v>
      </c>
      <c r="N11" s="1" t="s">
        <v>479</v>
      </c>
      <c r="O11" s="7" t="s">
        <v>486</v>
      </c>
    </row>
    <row r="12" spans="1:15">
      <c r="F12" s="12" t="s">
        <v>487</v>
      </c>
      <c r="G12" s="10"/>
      <c r="H12" s="11" t="s">
        <v>488</v>
      </c>
      <c r="I12" s="11" t="s">
        <v>489</v>
      </c>
      <c r="J12" s="7" t="s">
        <v>490</v>
      </c>
      <c r="L12" s="1" t="s">
        <v>491</v>
      </c>
      <c r="M12" s="7" t="s">
        <v>492</v>
      </c>
      <c r="N12" s="1" t="s">
        <v>428</v>
      </c>
      <c r="O12" s="7" t="s">
        <v>493</v>
      </c>
    </row>
    <row r="13" spans="1:15">
      <c r="F13" s="6"/>
      <c r="H13" s="11" t="s">
        <v>494</v>
      </c>
      <c r="I13" s="11" t="s">
        <v>495</v>
      </c>
      <c r="J13" s="7" t="s">
        <v>496</v>
      </c>
      <c r="L13" s="1" t="s">
        <v>497</v>
      </c>
      <c r="M13" s="7" t="s">
        <v>498</v>
      </c>
      <c r="N13" s="1" t="s">
        <v>428</v>
      </c>
      <c r="O13" s="7" t="s">
        <v>499</v>
      </c>
    </row>
    <row r="14" spans="1:15">
      <c r="A14" s="1" t="s">
        <v>500</v>
      </c>
      <c r="F14" s="6"/>
      <c r="H14" s="11" t="s">
        <v>501</v>
      </c>
      <c r="I14" s="11" t="s">
        <v>502</v>
      </c>
      <c r="J14" s="7" t="s">
        <v>503</v>
      </c>
      <c r="M14" s="7" t="s">
        <v>504</v>
      </c>
      <c r="N14" s="1" t="s">
        <v>479</v>
      </c>
      <c r="O14" s="7" t="s">
        <v>505</v>
      </c>
    </row>
    <row r="15" spans="1:15">
      <c r="A15" s="1" t="s">
        <v>506</v>
      </c>
      <c r="F15" s="6"/>
      <c r="H15" s="11" t="s">
        <v>507</v>
      </c>
      <c r="I15" s="11" t="s">
        <v>508</v>
      </c>
      <c r="J15" s="7" t="s">
        <v>509</v>
      </c>
      <c r="K15" s="1"/>
      <c r="M15" s="7" t="s">
        <v>510</v>
      </c>
      <c r="N15" s="1" t="s">
        <v>479</v>
      </c>
      <c r="O15" s="7" t="s">
        <v>511</v>
      </c>
    </row>
    <row r="16" ht="16.5" customHeight="1" spans="1:15">
      <c r="A16" s="1" t="s">
        <v>512</v>
      </c>
      <c r="F16" s="6"/>
      <c r="H16" s="11" t="s">
        <v>513</v>
      </c>
      <c r="I16" s="11" t="s">
        <v>514</v>
      </c>
      <c r="J16" s="13" t="s">
        <v>515</v>
      </c>
      <c r="K16" s="1"/>
      <c r="L16" s="1" t="s">
        <v>516</v>
      </c>
      <c r="M16" s="7" t="s">
        <v>517</v>
      </c>
      <c r="N16" s="1" t="s">
        <v>428</v>
      </c>
      <c r="O16" s="7" t="s">
        <v>518</v>
      </c>
    </row>
    <row r="17" spans="1:17">
      <c r="A17" s="1" t="s">
        <v>519</v>
      </c>
      <c r="F17" s="6"/>
      <c r="H17" s="11" t="s">
        <v>520</v>
      </c>
      <c r="I17" s="11" t="s">
        <v>521</v>
      </c>
      <c r="K17" s="1"/>
      <c r="M17" s="7" t="s">
        <v>522</v>
      </c>
      <c r="N17" s="1" t="s">
        <v>428</v>
      </c>
      <c r="O17" s="7" t="s">
        <v>523</v>
      </c>
    </row>
    <row r="18" spans="1:17">
      <c r="A18" s="1" t="s">
        <v>524</v>
      </c>
      <c r="F18" s="6"/>
      <c r="I18" s="1" t="s">
        <v>525</v>
      </c>
      <c r="K18" s="1"/>
      <c r="M18" s="7" t="s">
        <v>526</v>
      </c>
      <c r="N18" s="1" t="s">
        <v>479</v>
      </c>
      <c r="O18" s="7" t="s">
        <v>527</v>
      </c>
    </row>
    <row r="19" spans="1:17">
      <c r="A19" s="1" t="s">
        <v>528</v>
      </c>
      <c r="F19" s="6"/>
      <c r="K19" s="1"/>
      <c r="M19" s="7" t="s">
        <v>529</v>
      </c>
      <c r="N19" s="1" t="s">
        <v>418</v>
      </c>
      <c r="O19" s="7" t="s">
        <v>530</v>
      </c>
    </row>
    <row r="20" spans="1:17">
      <c r="A20" s="1" t="s">
        <v>531</v>
      </c>
      <c r="F20" s="6"/>
      <c r="K20" s="1"/>
      <c r="M20" s="7" t="s">
        <v>532</v>
      </c>
      <c r="N20" s="1" t="s">
        <v>479</v>
      </c>
      <c r="O20" s="7" t="s">
        <v>533</v>
      </c>
    </row>
    <row r="21" spans="1:17">
      <c r="A21" s="3" t="s">
        <v>534</v>
      </c>
      <c r="F21" s="6"/>
      <c r="K21" s="1"/>
      <c r="M21" s="7" t="s">
        <v>535</v>
      </c>
      <c r="N21" s="1" t="s">
        <v>479</v>
      </c>
      <c r="O21" s="7" t="s">
        <v>536</v>
      </c>
    </row>
    <row r="22" spans="1:17">
      <c r="A22" s="1" t="s">
        <v>537</v>
      </c>
      <c r="G22" s="6"/>
      <c r="K22" s="1"/>
      <c r="M22" s="7" t="s">
        <v>538</v>
      </c>
      <c r="N22" s="1" t="s">
        <v>479</v>
      </c>
      <c r="O22" s="7" t="s">
        <v>539</v>
      </c>
    </row>
    <row r="23" spans="1:17">
      <c r="G23" s="6"/>
      <c r="M23" s="7" t="s">
        <v>540</v>
      </c>
      <c r="N23" s="1" t="s">
        <v>479</v>
      </c>
      <c r="O23" s="7" t="s">
        <v>541</v>
      </c>
    </row>
    <row r="24" spans="1:17">
      <c r="G24" s="6"/>
      <c r="M24" s="7" t="s">
        <v>542</v>
      </c>
      <c r="N24" s="1" t="s">
        <v>479</v>
      </c>
      <c r="O24" s="7" t="s">
        <v>543</v>
      </c>
    </row>
    <row r="25" ht="16.5" customHeight="1" spans="1:17">
      <c r="F25" s="6"/>
      <c r="G25" s="6"/>
      <c r="M25" s="13" t="s">
        <v>446</v>
      </c>
      <c r="N25" s="13" t="s">
        <v>544</v>
      </c>
      <c r="O25" s="13"/>
      <c r="P25" s="13"/>
      <c r="Q25" s="13"/>
    </row>
    <row r="26" ht="16.5" customHeight="1" spans="1:17">
      <c r="F26" s="6"/>
      <c r="G26" s="6"/>
      <c r="M26" s="13" t="s">
        <v>545</v>
      </c>
      <c r="N26" s="13" t="s">
        <v>546</v>
      </c>
      <c r="O26" s="13"/>
      <c r="P26" s="13"/>
      <c r="Q26" s="13"/>
    </row>
    <row r="27" ht="16.5" customHeight="1" spans="1:17">
      <c r="M27" s="13" t="s">
        <v>547</v>
      </c>
      <c r="N27" s="13" t="s">
        <v>548</v>
      </c>
      <c r="O27" s="13"/>
      <c r="P27" s="13"/>
      <c r="Q27" s="13"/>
    </row>
    <row r="28" ht="16.5" customHeight="1" spans="1:17">
      <c r="M28" s="13" t="s">
        <v>549</v>
      </c>
      <c r="N28" s="13"/>
      <c r="O28" s="13"/>
      <c r="P28" s="13"/>
      <c r="Q28" s="13"/>
    </row>
    <row r="29" ht="16.5" customHeight="1" spans="1:17">
      <c r="M29" s="13" t="s">
        <v>550</v>
      </c>
      <c r="N29" s="13"/>
      <c r="O29" s="13"/>
      <c r="P29" s="13"/>
      <c r="Q29" s="13"/>
    </row>
    <row r="30" ht="16.5" customHeight="1" spans="1:17">
      <c r="M30" s="13" t="s">
        <v>551</v>
      </c>
      <c r="N30" s="13"/>
      <c r="O30" s="13"/>
      <c r="P30" s="13"/>
      <c r="Q30" s="13"/>
    </row>
    <row r="31" ht="16.5" customHeight="1" spans="1:17">
      <c r="M31" s="14" t="s">
        <v>552</v>
      </c>
      <c r="N31" s="13"/>
      <c r="O31" s="13" t="s">
        <v>553</v>
      </c>
      <c r="P31" s="13"/>
      <c r="Q31" s="13"/>
    </row>
    <row r="32" ht="16.5" customHeight="1" spans="1:17">
      <c r="M32" s="14" t="s">
        <v>554</v>
      </c>
      <c r="N32" s="13"/>
      <c r="O32" s="13" t="s">
        <v>553</v>
      </c>
      <c r="P32" s="13"/>
      <c r="Q32" s="13"/>
    </row>
    <row r="33" ht="16.5" customHeight="1" spans="11:17">
      <c r="M33" s="14" t="s">
        <v>554</v>
      </c>
      <c r="N33" s="13"/>
      <c r="O33" s="13" t="s">
        <v>553</v>
      </c>
      <c r="P33" s="13"/>
      <c r="Q33" s="13"/>
    </row>
    <row r="34" ht="16.5" customHeight="1" spans="11:17">
      <c r="M34" s="7" t="s">
        <v>555</v>
      </c>
      <c r="N34" s="13"/>
      <c r="O34" s="13"/>
      <c r="P34" s="13"/>
      <c r="Q34" s="13"/>
    </row>
    <row r="35" ht="16.5" customHeight="1" spans="11:17">
      <c r="M35" s="7" t="s">
        <v>556</v>
      </c>
      <c r="N35" s="13"/>
      <c r="O35" s="13"/>
      <c r="P35" s="13"/>
      <c r="Q35" s="13"/>
    </row>
    <row r="36" ht="16.5" customHeight="1" spans="11:17">
      <c r="M36" s="7" t="s">
        <v>557</v>
      </c>
      <c r="N36" s="13"/>
      <c r="O36" s="13"/>
      <c r="P36" s="13"/>
      <c r="Q36" s="13"/>
    </row>
    <row r="37" ht="16.5" customHeight="1" spans="11:17">
      <c r="M37" s="7" t="s">
        <v>558</v>
      </c>
      <c r="N37" s="13"/>
      <c r="O37" s="13"/>
      <c r="P37" s="13"/>
      <c r="Q37" s="13"/>
    </row>
    <row r="38" ht="16.5" customHeight="1" spans="11:17">
      <c r="M38" s="13" t="s">
        <v>559</v>
      </c>
      <c r="N38" s="13"/>
      <c r="O38" s="13"/>
      <c r="P38" s="13"/>
      <c r="Q38" s="13"/>
    </row>
    <row r="39" ht="16.5" customHeight="1" spans="11:17">
      <c r="M39" s="13" t="s">
        <v>560</v>
      </c>
      <c r="N39" s="13" t="s">
        <v>561</v>
      </c>
      <c r="O39" s="13"/>
      <c r="P39" s="13"/>
      <c r="Q39" s="13"/>
    </row>
    <row r="40" ht="16.5" customHeight="1" spans="11:17">
      <c r="M40" s="13" t="s">
        <v>562</v>
      </c>
      <c r="N40" s="13" t="s">
        <v>563</v>
      </c>
      <c r="O40" s="13"/>
      <c r="P40" s="13"/>
      <c r="Q40" s="13"/>
    </row>
    <row r="41" ht="16.5" customHeight="1" spans="11:17">
      <c r="K41" s="1"/>
      <c r="M41" s="13" t="s">
        <v>564</v>
      </c>
      <c r="N41" s="13" t="s">
        <v>565</v>
      </c>
      <c r="O41" s="13"/>
      <c r="P41" s="13"/>
      <c r="Q41" s="13"/>
    </row>
    <row r="42" ht="16.5" customHeight="1" spans="11:17">
      <c r="K42" s="1"/>
      <c r="M42" s="7" t="s">
        <v>566</v>
      </c>
      <c r="N42" s="13" t="s">
        <v>567</v>
      </c>
      <c r="O42" s="13"/>
      <c r="P42" s="13"/>
      <c r="Q42" s="13"/>
    </row>
    <row r="43" ht="16.5" customHeight="1" spans="11:17">
      <c r="K43" s="1"/>
      <c r="M43" s="7" t="s">
        <v>568</v>
      </c>
      <c r="N43" s="13" t="s">
        <v>569</v>
      </c>
      <c r="O43" s="13"/>
      <c r="P43" s="13"/>
      <c r="Q43" s="13"/>
    </row>
    <row r="44" ht="16.5" customHeight="1" spans="11:17">
      <c r="K44" s="1"/>
      <c r="M44" s="7" t="s">
        <v>570</v>
      </c>
      <c r="N44" s="13" t="s">
        <v>571</v>
      </c>
      <c r="O44" s="13"/>
      <c r="P44" s="13"/>
      <c r="Q44" s="13"/>
    </row>
    <row r="45" ht="16.5" customHeight="1" spans="11:17">
      <c r="K45" s="1"/>
      <c r="M45" s="7" t="s">
        <v>572</v>
      </c>
      <c r="N45" s="13" t="s">
        <v>573</v>
      </c>
      <c r="O45" s="13"/>
      <c r="P45" s="13"/>
      <c r="Q45" s="13"/>
    </row>
    <row r="46" ht="16.5" customHeight="1" spans="11:17">
      <c r="K46" s="1"/>
      <c r="M46" s="7" t="s">
        <v>574</v>
      </c>
      <c r="N46" s="13" t="s">
        <v>575</v>
      </c>
      <c r="O46" s="13"/>
      <c r="P46" s="13"/>
      <c r="Q46" s="13"/>
    </row>
    <row r="47" ht="16.5" customHeight="1" spans="11:17">
      <c r="K47" s="1"/>
      <c r="M47" s="7" t="s">
        <v>576</v>
      </c>
      <c r="N47" s="13" t="s">
        <v>577</v>
      </c>
      <c r="O47" s="13"/>
      <c r="P47" s="13"/>
      <c r="Q47" s="13"/>
    </row>
    <row r="48" ht="16.5" customHeight="1" spans="11:17">
      <c r="K48" s="1"/>
      <c r="M48" s="7" t="s">
        <v>578</v>
      </c>
      <c r="N48" s="13" t="s">
        <v>579</v>
      </c>
      <c r="O48" s="13"/>
      <c r="P48" s="13"/>
      <c r="Q48" s="13"/>
    </row>
    <row r="49" ht="16.5" customHeight="1" spans="6:17">
      <c r="K49" s="1"/>
      <c r="M49" s="7" t="s">
        <v>580</v>
      </c>
      <c r="N49" s="13" t="s">
        <v>581</v>
      </c>
      <c r="O49" s="13"/>
      <c r="P49" s="13"/>
      <c r="Q49" s="13"/>
    </row>
    <row r="50" ht="16.5" customHeight="1" spans="6:17">
      <c r="K50" s="1"/>
      <c r="M50" s="7" t="s">
        <v>582</v>
      </c>
      <c r="N50" s="13" t="s">
        <v>583</v>
      </c>
      <c r="O50" s="13"/>
      <c r="P50" s="13"/>
      <c r="Q50" s="13"/>
    </row>
    <row r="51" ht="16.5" customHeight="1" spans="6:17">
      <c r="K51" s="1"/>
      <c r="M51" s="7" t="s">
        <v>584</v>
      </c>
      <c r="N51" s="13" t="s">
        <v>585</v>
      </c>
      <c r="O51" s="13"/>
      <c r="P51" s="13"/>
      <c r="Q51" s="13"/>
    </row>
    <row r="52" ht="16.5" customHeight="1" spans="6:17">
      <c r="K52" s="1"/>
      <c r="M52" s="7" t="s">
        <v>586</v>
      </c>
      <c r="N52" s="13" t="s">
        <v>587</v>
      </c>
      <c r="O52" s="13"/>
      <c r="P52" s="13"/>
      <c r="Q52" s="13"/>
    </row>
    <row r="53" ht="16.5" customHeight="1" spans="6:17">
      <c r="K53" s="1"/>
      <c r="M53" s="7" t="s">
        <v>588</v>
      </c>
      <c r="N53" s="13" t="s">
        <v>589</v>
      </c>
      <c r="O53" s="13"/>
      <c r="P53" s="13"/>
      <c r="Q53" s="13"/>
    </row>
    <row r="54" spans="6:17">
      <c r="K54" s="1"/>
      <c r="M54" s="15"/>
    </row>
    <row r="55" spans="6:17">
      <c r="K55" s="1"/>
      <c r="M55" s="15"/>
    </row>
    <row r="56" spans="6:17">
      <c r="K56" s="1"/>
    </row>
    <row r="57" ht="16.5" customHeight="1" spans="6:17">
      <c r="F57" s="13" t="s">
        <v>590</v>
      </c>
      <c r="G57" s="13"/>
      <c r="H57" s="13"/>
      <c r="I57" s="13"/>
      <c r="J57" s="13"/>
      <c r="K57" s="13"/>
      <c r="L57" s="13"/>
      <c r="M57" s="13"/>
      <c r="N57" s="13"/>
    </row>
    <row r="58" ht="16.5" customHeight="1" spans="6:17">
      <c r="F58" s="13" t="s">
        <v>591</v>
      </c>
      <c r="G58" s="13"/>
      <c r="H58" s="13"/>
      <c r="I58" s="13"/>
      <c r="J58" s="13"/>
      <c r="K58" s="13"/>
      <c r="L58" s="13"/>
      <c r="M58" s="13"/>
      <c r="N58" s="13"/>
    </row>
    <row r="59" ht="16.5" customHeight="1" spans="6:17">
      <c r="F59" s="13" t="s">
        <v>592</v>
      </c>
      <c r="G59" s="13"/>
      <c r="H59" s="13"/>
      <c r="I59" s="13"/>
      <c r="J59" s="13"/>
      <c r="K59" s="13"/>
      <c r="L59" s="13"/>
      <c r="M59" s="13"/>
      <c r="N59" s="13"/>
    </row>
    <row r="60" ht="16.5" customHeight="1" spans="6:17">
      <c r="F60" s="13" t="s">
        <v>593</v>
      </c>
      <c r="G60" s="13"/>
      <c r="H60" s="13"/>
      <c r="I60" s="13"/>
      <c r="J60" s="13"/>
      <c r="K60" s="13"/>
      <c r="L60" s="13"/>
      <c r="M60" s="13"/>
      <c r="N60" s="13"/>
    </row>
    <row r="61" ht="16.5" customHeight="1" spans="6:17">
      <c r="F61" s="13" t="s">
        <v>594</v>
      </c>
      <c r="G61" s="13"/>
      <c r="H61" s="13"/>
      <c r="I61" s="13"/>
      <c r="J61" s="13"/>
      <c r="K61" s="13"/>
      <c r="L61" s="13"/>
      <c r="M61" s="13"/>
      <c r="N61" s="13"/>
    </row>
    <row r="62" ht="16.5" customHeight="1" spans="6:17">
      <c r="F62" s="13" t="s">
        <v>595</v>
      </c>
      <c r="G62" s="13"/>
      <c r="H62" s="13"/>
      <c r="I62" s="13"/>
      <c r="J62" s="13"/>
      <c r="K62" s="13"/>
      <c r="L62" s="13"/>
      <c r="M62" s="13"/>
      <c r="N62" s="13"/>
    </row>
    <row r="63" ht="16.5" customHeight="1" spans="6:17">
      <c r="F63" s="13" t="s">
        <v>596</v>
      </c>
      <c r="G63" s="13"/>
      <c r="H63" s="13"/>
      <c r="I63" s="13"/>
      <c r="J63" s="13"/>
      <c r="K63" s="13"/>
      <c r="L63" s="13"/>
      <c r="M63" s="13"/>
      <c r="N63" s="13"/>
    </row>
    <row r="64" ht="16.5" customHeight="1" spans="6:17">
      <c r="F64" s="13" t="s">
        <v>597</v>
      </c>
      <c r="G64" s="13"/>
      <c r="H64" s="13"/>
      <c r="I64" s="13"/>
      <c r="J64" s="13"/>
      <c r="K64" s="13"/>
      <c r="L64" s="13"/>
      <c r="M64" s="13"/>
      <c r="N64" s="13"/>
    </row>
    <row r="65" ht="16.5" customHeight="1" spans="6:14">
      <c r="F65" s="13" t="s">
        <v>598</v>
      </c>
      <c r="G65" s="13"/>
      <c r="H65" s="13"/>
      <c r="I65" s="13"/>
      <c r="J65" s="13"/>
      <c r="K65" s="13"/>
      <c r="L65" s="13"/>
      <c r="M65" s="13"/>
      <c r="N65" s="13"/>
    </row>
    <row r="66" ht="16.5" customHeight="1" spans="6:14">
      <c r="F66" s="13" t="s">
        <v>599</v>
      </c>
      <c r="G66" s="13"/>
      <c r="H66" s="13"/>
      <c r="I66" s="13"/>
      <c r="J66" s="13"/>
      <c r="K66" s="13"/>
      <c r="L66" s="13"/>
      <c r="M66" s="13"/>
      <c r="N66" s="13"/>
    </row>
    <row r="67" ht="16.5" customHeight="1" spans="6:14">
      <c r="F67" s="13" t="s">
        <v>600</v>
      </c>
      <c r="G67" s="13"/>
      <c r="H67" s="13"/>
      <c r="I67" s="13"/>
      <c r="J67" s="13"/>
      <c r="K67" s="13"/>
      <c r="L67" s="13"/>
      <c r="M67" s="13"/>
      <c r="N67" s="13"/>
    </row>
    <row r="68" ht="16.5" customHeight="1" spans="6:14">
      <c r="F68" s="13" t="s">
        <v>598</v>
      </c>
      <c r="G68" s="13"/>
      <c r="H68" s="13"/>
      <c r="I68" s="13"/>
      <c r="J68" s="13"/>
      <c r="K68" s="13"/>
      <c r="L68" s="13"/>
      <c r="M68" s="13"/>
      <c r="N68" s="13"/>
    </row>
    <row r="69" ht="16.5" customHeight="1" spans="6:14">
      <c r="F69" s="13" t="s">
        <v>601</v>
      </c>
      <c r="G69" s="13"/>
      <c r="H69" s="13"/>
      <c r="I69" s="13"/>
      <c r="J69" s="13"/>
      <c r="K69" s="13"/>
      <c r="L69" s="13"/>
      <c r="M69" s="13"/>
      <c r="N69" s="13"/>
    </row>
    <row r="70" ht="16.5" customHeight="1" spans="6:14">
      <c r="F70" s="13"/>
      <c r="G70" s="13"/>
      <c r="H70" s="13"/>
      <c r="I70" s="13"/>
      <c r="J70" s="13"/>
      <c r="K70" s="13"/>
      <c r="L70" s="13"/>
      <c r="M70" s="13"/>
      <c r="N70" s="13"/>
    </row>
    <row r="71" ht="16.5" customHeight="1" spans="6:14">
      <c r="F71" s="13" t="s">
        <v>446</v>
      </c>
      <c r="G71" s="13" t="s">
        <v>602</v>
      </c>
      <c r="H71" s="13"/>
      <c r="I71" s="13"/>
      <c r="J71" s="13"/>
      <c r="K71" s="13"/>
      <c r="L71" s="13"/>
      <c r="M71" s="13"/>
      <c r="N71" s="13"/>
    </row>
    <row r="72" ht="16.5" customHeight="1" spans="6:14">
      <c r="F72" s="13" t="s">
        <v>545</v>
      </c>
      <c r="G72" s="13" t="s">
        <v>603</v>
      </c>
      <c r="H72" s="13"/>
      <c r="I72" s="13"/>
      <c r="J72" s="13"/>
      <c r="K72" s="13"/>
      <c r="L72" s="13"/>
      <c r="M72" s="13"/>
      <c r="N72" s="13"/>
    </row>
    <row r="73" ht="16.5" customHeight="1" spans="6:14">
      <c r="F73" s="13" t="s">
        <v>547</v>
      </c>
      <c r="G73" s="13" t="s">
        <v>604</v>
      </c>
      <c r="H73" s="13"/>
      <c r="I73" s="13"/>
      <c r="J73" s="13"/>
      <c r="K73" s="13"/>
      <c r="L73" s="13"/>
      <c r="M73" s="13"/>
      <c r="N73" s="13"/>
    </row>
    <row r="74" ht="16.5" customHeight="1" spans="6:14">
      <c r="F74" s="13" t="s">
        <v>549</v>
      </c>
      <c r="G74" s="13"/>
      <c r="H74" s="13"/>
      <c r="I74" s="13"/>
      <c r="J74" s="13"/>
      <c r="K74" s="13"/>
      <c r="L74" s="13"/>
      <c r="M74" s="13"/>
      <c r="N74" s="13"/>
    </row>
    <row r="75" ht="16.5" customHeight="1" spans="6:14">
      <c r="F75" s="13" t="s">
        <v>550</v>
      </c>
      <c r="G75" s="13"/>
      <c r="H75" s="13"/>
      <c r="I75" s="13"/>
      <c r="J75" s="13"/>
      <c r="K75" s="13"/>
      <c r="L75" s="13"/>
      <c r="M75" s="13"/>
      <c r="N75" s="13"/>
    </row>
    <row r="76" ht="16.5" customHeight="1" spans="6:14">
      <c r="F76" s="13" t="s">
        <v>551</v>
      </c>
      <c r="G76" s="13"/>
      <c r="H76" s="13"/>
      <c r="I76" s="13"/>
      <c r="J76" s="13"/>
      <c r="K76" s="13"/>
      <c r="L76" s="13"/>
      <c r="M76" s="13"/>
      <c r="N76" s="13"/>
    </row>
    <row r="77" ht="16.5" customHeight="1" spans="6:14">
      <c r="F77" s="13" t="s">
        <v>552</v>
      </c>
      <c r="G77" s="13"/>
      <c r="H77" s="13"/>
      <c r="I77" s="13"/>
      <c r="J77" s="13"/>
      <c r="K77" s="13"/>
      <c r="L77" s="13"/>
      <c r="M77" s="13"/>
      <c r="N77" s="13"/>
    </row>
    <row r="78" ht="16.5" customHeight="1" spans="6:14">
      <c r="F78" s="13" t="s">
        <v>554</v>
      </c>
      <c r="G78" s="13"/>
      <c r="H78" s="13"/>
      <c r="I78" s="13"/>
      <c r="J78" s="13"/>
      <c r="K78" s="13"/>
      <c r="L78" s="13"/>
      <c r="M78" s="13"/>
      <c r="N78" s="13"/>
    </row>
    <row r="79" ht="16.5" customHeight="1" spans="6:14">
      <c r="F79" s="13" t="s">
        <v>554</v>
      </c>
      <c r="G79" s="13"/>
      <c r="H79" s="13"/>
      <c r="I79" s="13"/>
      <c r="J79" s="13"/>
      <c r="K79" s="13"/>
      <c r="L79" s="13"/>
      <c r="M79" s="13"/>
      <c r="N79" s="13"/>
    </row>
    <row r="80" ht="16.5" customHeight="1" spans="6:14">
      <c r="F80" s="7" t="s">
        <v>555</v>
      </c>
      <c r="G80" s="13"/>
      <c r="H80" s="13"/>
      <c r="I80" s="13"/>
      <c r="J80" s="13"/>
      <c r="K80" s="13"/>
      <c r="L80" s="13"/>
      <c r="M80" s="13"/>
      <c r="N80" s="13"/>
    </row>
    <row r="81" ht="16.5" customHeight="1" spans="6:14">
      <c r="F81" s="7" t="s">
        <v>556</v>
      </c>
      <c r="G81" s="13"/>
      <c r="H81" s="13"/>
      <c r="I81" s="13"/>
      <c r="J81" s="13"/>
      <c r="K81" s="13"/>
      <c r="L81" s="13"/>
      <c r="M81" s="13"/>
      <c r="N81" s="13"/>
    </row>
    <row r="82" ht="16.5" customHeight="1" spans="6:14">
      <c r="F82" s="7" t="s">
        <v>557</v>
      </c>
      <c r="G82" s="13"/>
      <c r="H82" s="13"/>
      <c r="I82" s="13"/>
      <c r="J82" s="13"/>
      <c r="K82" s="13"/>
      <c r="L82" s="13"/>
      <c r="M82" s="13"/>
      <c r="N82" s="13"/>
    </row>
    <row r="83" ht="16.5" customHeight="1" spans="6:14">
      <c r="F83" s="7" t="s">
        <v>558</v>
      </c>
      <c r="G83" s="13"/>
      <c r="H83" s="13"/>
      <c r="I83" s="13"/>
      <c r="J83" s="13"/>
      <c r="K83" s="13"/>
      <c r="L83" s="13"/>
      <c r="M83" s="13"/>
      <c r="N83" s="13"/>
    </row>
    <row r="84" ht="16.5" customHeight="1" spans="6:14">
      <c r="F84" s="13" t="s">
        <v>559</v>
      </c>
      <c r="G84" s="13"/>
      <c r="H84" s="13"/>
      <c r="I84" s="13"/>
      <c r="J84" s="13"/>
      <c r="K84" s="13"/>
      <c r="L84" s="13"/>
      <c r="M84" s="13"/>
      <c r="N84" s="13"/>
    </row>
    <row r="85" ht="16.5" customHeight="1" spans="6:14">
      <c r="F85" s="13" t="s">
        <v>560</v>
      </c>
      <c r="G85" s="13" t="s">
        <v>561</v>
      </c>
      <c r="H85" s="13"/>
      <c r="I85" s="13"/>
      <c r="J85" s="13"/>
      <c r="K85" s="13"/>
      <c r="L85" s="13"/>
      <c r="M85" s="13"/>
      <c r="N85" s="13"/>
    </row>
    <row r="86" ht="16.5" customHeight="1" spans="6:14">
      <c r="F86" s="13" t="s">
        <v>562</v>
      </c>
      <c r="G86" s="13" t="s">
        <v>563</v>
      </c>
      <c r="H86" s="13"/>
      <c r="I86" s="13"/>
      <c r="J86" s="13"/>
      <c r="K86" s="13"/>
      <c r="L86" s="13"/>
      <c r="M86" s="13"/>
      <c r="N86" s="13"/>
    </row>
    <row r="87" ht="16.5" customHeight="1" spans="6:14">
      <c r="F87" s="13" t="s">
        <v>564</v>
      </c>
      <c r="G87" s="13" t="s">
        <v>565</v>
      </c>
      <c r="H87" s="13"/>
      <c r="I87" s="13"/>
      <c r="J87" s="13"/>
      <c r="K87" s="13"/>
      <c r="L87" s="13"/>
      <c r="M87" s="13"/>
      <c r="N87" s="13"/>
    </row>
    <row r="88" ht="16.5" customHeight="1" spans="6:14">
      <c r="F88" s="7" t="s">
        <v>566</v>
      </c>
      <c r="G88" s="13" t="s">
        <v>567</v>
      </c>
      <c r="H88" s="13"/>
      <c r="I88" s="13"/>
      <c r="J88" s="13"/>
      <c r="K88" s="13"/>
      <c r="L88" s="13"/>
      <c r="M88" s="13"/>
      <c r="N88" s="13"/>
    </row>
    <row r="89" ht="16.5" customHeight="1" spans="6:14">
      <c r="F89" s="7" t="s">
        <v>568</v>
      </c>
      <c r="G89" s="13" t="s">
        <v>569</v>
      </c>
      <c r="H89" s="13"/>
      <c r="I89" s="13"/>
      <c r="J89" s="13"/>
      <c r="K89" s="13"/>
      <c r="L89" s="13"/>
      <c r="M89" s="13"/>
      <c r="N89" s="13"/>
    </row>
    <row r="90" ht="16.5" customHeight="1" spans="6:14">
      <c r="F90" s="7" t="s">
        <v>570</v>
      </c>
      <c r="G90" s="13" t="s">
        <v>571</v>
      </c>
      <c r="H90" s="13"/>
      <c r="I90" s="13"/>
      <c r="J90" s="13"/>
      <c r="K90" s="13"/>
      <c r="L90" s="13"/>
      <c r="M90" s="13"/>
      <c r="N90" s="13"/>
    </row>
    <row r="91" ht="16.5" customHeight="1" spans="6:14">
      <c r="F91" s="7" t="s">
        <v>572</v>
      </c>
      <c r="G91" s="13" t="s">
        <v>573</v>
      </c>
      <c r="H91" s="13"/>
      <c r="I91" s="13"/>
      <c r="J91" s="13"/>
      <c r="K91" s="13"/>
      <c r="L91" s="13"/>
      <c r="M91" s="13"/>
      <c r="N91" s="13"/>
    </row>
    <row r="92" ht="16.5" customHeight="1" spans="6:14">
      <c r="F92" s="7" t="s">
        <v>574</v>
      </c>
      <c r="G92" s="13" t="s">
        <v>575</v>
      </c>
      <c r="H92" s="13"/>
      <c r="I92" s="13"/>
      <c r="J92" s="13"/>
      <c r="K92" s="13"/>
      <c r="L92" s="13"/>
      <c r="M92" s="13"/>
      <c r="N92" s="13"/>
    </row>
    <row r="93" ht="16.5" customHeight="1" spans="6:14">
      <c r="F93" s="7" t="s">
        <v>576</v>
      </c>
      <c r="G93" s="13" t="s">
        <v>577</v>
      </c>
      <c r="H93" s="13"/>
      <c r="I93" s="13"/>
      <c r="J93" s="13"/>
      <c r="K93" s="13"/>
      <c r="L93" s="13"/>
      <c r="M93" s="13"/>
      <c r="N93" s="13"/>
    </row>
    <row r="94" ht="16.5" customHeight="1" spans="6:14">
      <c r="F94" s="7" t="s">
        <v>578</v>
      </c>
      <c r="G94" s="13" t="s">
        <v>579</v>
      </c>
      <c r="H94" s="13"/>
      <c r="I94" s="13"/>
      <c r="J94" s="13"/>
      <c r="K94" s="13"/>
      <c r="L94" s="13"/>
      <c r="M94" s="13"/>
      <c r="N94" s="13"/>
    </row>
    <row r="95" ht="16.5" customHeight="1" spans="6:14">
      <c r="F95" s="7" t="s">
        <v>580</v>
      </c>
      <c r="G95" s="13" t="s">
        <v>581</v>
      </c>
      <c r="H95" s="13"/>
      <c r="I95" s="13"/>
      <c r="J95" s="13"/>
      <c r="K95" s="13"/>
      <c r="L95" s="13"/>
      <c r="M95" s="13"/>
      <c r="N95" s="13"/>
    </row>
    <row r="96" ht="16.5" customHeight="1" spans="6:14">
      <c r="F96" s="7" t="s">
        <v>582</v>
      </c>
      <c r="G96" s="13" t="s">
        <v>583</v>
      </c>
      <c r="H96" s="13"/>
      <c r="I96" s="13"/>
      <c r="J96" s="13"/>
      <c r="K96" s="13"/>
      <c r="L96" s="13"/>
      <c r="M96" s="13"/>
      <c r="N96" s="13"/>
    </row>
    <row r="97" ht="16.5" customHeight="1" spans="6:14">
      <c r="F97" s="7" t="s">
        <v>584</v>
      </c>
      <c r="G97" s="13" t="s">
        <v>585</v>
      </c>
      <c r="H97" s="13"/>
      <c r="I97" s="13"/>
      <c r="J97" s="13"/>
      <c r="K97" s="13"/>
      <c r="L97" s="13"/>
      <c r="M97" s="13"/>
      <c r="N97" s="13"/>
    </row>
    <row r="98" ht="16.5" customHeight="1" spans="6:14">
      <c r="F98" s="7" t="s">
        <v>586</v>
      </c>
      <c r="G98" s="13" t="s">
        <v>587</v>
      </c>
      <c r="H98" s="13"/>
      <c r="I98" s="13"/>
      <c r="J98" s="13"/>
      <c r="K98" s="13"/>
      <c r="L98" s="13"/>
      <c r="M98" s="13"/>
      <c r="N98" s="13"/>
    </row>
    <row r="99" ht="16.5" customHeight="1" spans="6:14">
      <c r="F99" s="7" t="s">
        <v>588</v>
      </c>
      <c r="G99" s="13" t="s">
        <v>589</v>
      </c>
      <c r="H99" s="13"/>
      <c r="I99" s="13"/>
      <c r="J99" s="13"/>
      <c r="K99" s="13"/>
      <c r="L99" s="13"/>
      <c r="M99" s="13"/>
      <c r="N99" s="13"/>
    </row>
    <row r="100" ht="16.5" customHeight="1" spans="6:14">
      <c r="F100" s="13"/>
      <c r="G100" s="13"/>
      <c r="H100" s="13"/>
      <c r="I100" s="13"/>
      <c r="J100" s="13"/>
      <c r="K100" s="13"/>
      <c r="L100" s="13"/>
      <c r="M100" s="13"/>
      <c r="N100" s="13"/>
    </row>
  </sheetData>
  <conditionalFormatting sqref="J5">
    <cfRule type="duplicateValues" dxfId="0" priority="7"/>
  </conditionalFormatting>
  <conditionalFormatting sqref="L5">
    <cfRule type="duplicateValues" dxfId="0" priority="23"/>
  </conditionalFormatting>
  <conditionalFormatting sqref="O5">
    <cfRule type="duplicateValues" dxfId="0" priority="18"/>
  </conditionalFormatting>
  <conditionalFormatting sqref="J6">
    <cfRule type="duplicateValues" dxfId="0" priority="8"/>
  </conditionalFormatting>
  <conditionalFormatting sqref="L6">
    <cfRule type="duplicateValues" dxfId="0" priority="26"/>
  </conditionalFormatting>
  <conditionalFormatting sqref="O6">
    <cfRule type="duplicateValues" dxfId="0" priority="19"/>
  </conditionalFormatting>
  <conditionalFormatting sqref="O7">
    <cfRule type="duplicateValues" dxfId="0" priority="17"/>
  </conditionalFormatting>
  <conditionalFormatting sqref="O8">
    <cfRule type="duplicateValues" dxfId="0" priority="15"/>
  </conditionalFormatting>
  <conditionalFormatting sqref="J9">
    <cfRule type="duplicateValues" dxfId="0" priority="4"/>
  </conditionalFormatting>
  <conditionalFormatting sqref="L10">
    <cfRule type="duplicateValues" dxfId="0" priority="21"/>
  </conditionalFormatting>
  <conditionalFormatting sqref="L15">
    <cfRule type="duplicateValues" dxfId="0" priority="24"/>
  </conditionalFormatting>
  <conditionalFormatting sqref="O18">
    <cfRule type="duplicateValues" dxfId="0" priority="12"/>
  </conditionalFormatting>
  <conditionalFormatting sqref="O19">
    <cfRule type="duplicateValues" dxfId="0" priority="13"/>
  </conditionalFormatting>
  <conditionalFormatting sqref="J2:J4">
    <cfRule type="duplicateValues" dxfId="0" priority="9"/>
  </conditionalFormatting>
  <conditionalFormatting sqref="L2:L4">
    <cfRule type="duplicateValues" dxfId="0" priority="27"/>
  </conditionalFormatting>
  <conditionalFormatting sqref="L7:L9">
    <cfRule type="duplicateValues" dxfId="0" priority="22"/>
  </conditionalFormatting>
  <conditionalFormatting sqref="O2:O4">
    <cfRule type="duplicateValues" dxfId="0" priority="20"/>
  </conditionalFormatting>
  <conditionalFormatting sqref="O9:O12">
    <cfRule type="duplicateValues" dxfId="0" priority="14"/>
  </conditionalFormatting>
  <conditionalFormatting sqref="O13:O17">
    <cfRule type="duplicateValues" dxfId="0" priority="16"/>
  </conditionalFormatting>
  <conditionalFormatting sqref="O20:O22">
    <cfRule type="duplicateValues" dxfId="0" priority="11"/>
  </conditionalFormatting>
  <conditionalFormatting sqref="O23:O24">
    <cfRule type="duplicateValues" dxfId="0" priority="1"/>
  </conditionalFormatting>
  <conditionalFormatting sqref="H3:I17">
    <cfRule type="duplicateValues" dxfId="0" priority="3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skill_config</vt:lpstr>
      <vt:lpstr>buff_config</vt:lpstr>
      <vt:lpstr>编号表</vt:lpstr>
      <vt:lpstr>名称表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thothSSQS</cp:lastModifiedBy>
  <dcterms:created xsi:type="dcterms:W3CDTF">2026-09-03T02:53:00Z</dcterms:created>
  <dcterms:modified xsi:type="dcterms:W3CDTF">2026-09-07T23:10:56Z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1FA9B0A1D88F41DFA2163C00A0742C62_12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